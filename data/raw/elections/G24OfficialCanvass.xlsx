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Todd L. Cooper, Jr\2024 Elections\110524\Canvass\"/>
    </mc:Choice>
  </mc:AlternateContent>
  <xr:revisionPtr revIDLastSave="0" documentId="13_ncr:1_{0D82431C-96EB-458A-8505-181DF02386A5}" xr6:coauthVersionLast="47" xr6:coauthVersionMax="47" xr10:uidLastSave="{00000000-0000-0000-0000-000000000000}"/>
  <bookViews>
    <workbookView xWindow="-110" yWindow="-110" windowWidth="38620" windowHeight="21100" xr2:uid="{A3EC9FEA-A0FF-4578-853A-7E136B866C62}"/>
  </bookViews>
  <sheets>
    <sheet name="G24 Contests Only" sheetId="1" r:id="rId1"/>
    <sheet name="G24 Issues On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662" i="1" l="1"/>
  <c r="AV661" i="1"/>
  <c r="AV660" i="1"/>
  <c r="AV659" i="1"/>
  <c r="AV658" i="1"/>
  <c r="AV657" i="1"/>
  <c r="AV656" i="1"/>
  <c r="AV655" i="1"/>
  <c r="AV654" i="1"/>
  <c r="AV653" i="1"/>
  <c r="AV652" i="1"/>
  <c r="AV651" i="1"/>
  <c r="AV650" i="1"/>
  <c r="AV649" i="1"/>
  <c r="AV648" i="1"/>
  <c r="AV647" i="1"/>
  <c r="AV646" i="1"/>
  <c r="AV645" i="1"/>
  <c r="AV644" i="1"/>
  <c r="AV643" i="1"/>
  <c r="AV642" i="1"/>
  <c r="AV641" i="1"/>
  <c r="AV640" i="1"/>
  <c r="AV639" i="1"/>
  <c r="AV638" i="1"/>
  <c r="AV637" i="1"/>
  <c r="AV636" i="1"/>
  <c r="AV635" i="1"/>
  <c r="AV634" i="1"/>
  <c r="AV633" i="1"/>
  <c r="AV632" i="1"/>
  <c r="AV631" i="1"/>
  <c r="AV630" i="1"/>
  <c r="AV629" i="1"/>
  <c r="AV628" i="1"/>
  <c r="AV627" i="1"/>
  <c r="AV626" i="1"/>
  <c r="AV625" i="1"/>
  <c r="AV624" i="1"/>
  <c r="AV623" i="1"/>
  <c r="AV622" i="1"/>
  <c r="AV621" i="1"/>
  <c r="AV620" i="1"/>
  <c r="AV619" i="1"/>
  <c r="AV618" i="1"/>
  <c r="AV617" i="1"/>
  <c r="AV616" i="1"/>
  <c r="AV615" i="1"/>
  <c r="AV614" i="1"/>
  <c r="AV613" i="1"/>
  <c r="AV612" i="1"/>
  <c r="AV611" i="1"/>
  <c r="AV610" i="1"/>
  <c r="AV609" i="1"/>
  <c r="AV608" i="1"/>
  <c r="AV607" i="1"/>
  <c r="AV606" i="1"/>
  <c r="AV605" i="1"/>
  <c r="AV604" i="1"/>
  <c r="AV603" i="1"/>
  <c r="AV602" i="1"/>
  <c r="AV601" i="1"/>
  <c r="AV600" i="1"/>
  <c r="AV599" i="1"/>
  <c r="AV598" i="1"/>
  <c r="AV597" i="1"/>
  <c r="AV596" i="1"/>
  <c r="AV595" i="1"/>
  <c r="AV594" i="1"/>
  <c r="AV593" i="1"/>
  <c r="AV592" i="1"/>
  <c r="AV591" i="1"/>
  <c r="AV590" i="1"/>
  <c r="AV589" i="1"/>
  <c r="AV588" i="1"/>
  <c r="AV587" i="1"/>
  <c r="AV586" i="1"/>
  <c r="AV585" i="1"/>
  <c r="AV584" i="1"/>
  <c r="AV583" i="1"/>
  <c r="AV582" i="1"/>
  <c r="AV581" i="1"/>
  <c r="AV580" i="1"/>
  <c r="AV579" i="1"/>
  <c r="AV578" i="1"/>
  <c r="AV577" i="1"/>
  <c r="AV576" i="1"/>
  <c r="AV575" i="1"/>
  <c r="AV574" i="1"/>
  <c r="AV573" i="1"/>
  <c r="AV572" i="1"/>
  <c r="AV571" i="1"/>
  <c r="AV570" i="1"/>
  <c r="AV569" i="1"/>
  <c r="AV565" i="1"/>
  <c r="AV566" i="1" s="1"/>
  <c r="AS614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5" i="1"/>
  <c r="G566" i="1" s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5" i="1"/>
  <c r="K566" i="1" s="1"/>
  <c r="J565" i="1"/>
  <c r="J566" i="1" s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5" i="1"/>
  <c r="R566" i="1" s="1"/>
  <c r="CJ662" i="1"/>
  <c r="CJ661" i="1"/>
  <c r="CJ660" i="1"/>
  <c r="CJ659" i="1"/>
  <c r="CJ658" i="1"/>
  <c r="CJ657" i="1"/>
  <c r="CJ656" i="1"/>
  <c r="CJ655" i="1"/>
  <c r="CJ654" i="1"/>
  <c r="CJ653" i="1"/>
  <c r="CJ652" i="1"/>
  <c r="CJ651" i="1"/>
  <c r="CJ650" i="1"/>
  <c r="CJ649" i="1"/>
  <c r="CJ648" i="1"/>
  <c r="CJ647" i="1"/>
  <c r="CJ646" i="1"/>
  <c r="CJ645" i="1"/>
  <c r="CJ644" i="1"/>
  <c r="CJ643" i="1"/>
  <c r="CJ642" i="1"/>
  <c r="CJ641" i="1"/>
  <c r="CJ640" i="1"/>
  <c r="CJ639" i="1"/>
  <c r="CJ638" i="1"/>
  <c r="CJ637" i="1"/>
  <c r="CJ636" i="1"/>
  <c r="CJ635" i="1"/>
  <c r="CJ634" i="1"/>
  <c r="CJ633" i="1"/>
  <c r="CJ632" i="1"/>
  <c r="CJ631" i="1"/>
  <c r="CJ630" i="1"/>
  <c r="CJ629" i="1"/>
  <c r="CJ628" i="1"/>
  <c r="CJ627" i="1"/>
  <c r="CJ626" i="1"/>
  <c r="CJ625" i="1"/>
  <c r="CJ624" i="1"/>
  <c r="CJ623" i="1"/>
  <c r="CJ622" i="1"/>
  <c r="CJ621" i="1"/>
  <c r="CJ620" i="1"/>
  <c r="CJ619" i="1"/>
  <c r="CJ618" i="1"/>
  <c r="CJ617" i="1"/>
  <c r="CJ616" i="1"/>
  <c r="CJ615" i="1"/>
  <c r="CJ614" i="1"/>
  <c r="CJ613" i="1"/>
  <c r="CJ612" i="1"/>
  <c r="CJ611" i="1"/>
  <c r="CJ610" i="1"/>
  <c r="CJ609" i="1"/>
  <c r="CJ608" i="1"/>
  <c r="CJ607" i="1"/>
  <c r="CJ606" i="1"/>
  <c r="CJ605" i="1"/>
  <c r="CJ604" i="1"/>
  <c r="CJ603" i="1"/>
  <c r="CJ602" i="1"/>
  <c r="CJ601" i="1"/>
  <c r="CJ600" i="1"/>
  <c r="CJ599" i="1"/>
  <c r="CJ598" i="1"/>
  <c r="CJ597" i="1"/>
  <c r="CJ596" i="1"/>
  <c r="CJ595" i="1"/>
  <c r="CJ594" i="1"/>
  <c r="CJ593" i="1"/>
  <c r="CJ592" i="1"/>
  <c r="CJ591" i="1"/>
  <c r="CJ590" i="1"/>
  <c r="CJ589" i="1"/>
  <c r="CJ588" i="1"/>
  <c r="CJ587" i="1"/>
  <c r="CJ586" i="1"/>
  <c r="CJ585" i="1"/>
  <c r="CJ584" i="1"/>
  <c r="CJ583" i="1"/>
  <c r="CJ582" i="1"/>
  <c r="CJ581" i="1"/>
  <c r="CJ580" i="1"/>
  <c r="CJ579" i="1"/>
  <c r="CJ578" i="1"/>
  <c r="CJ577" i="1"/>
  <c r="CJ576" i="1"/>
  <c r="CJ575" i="1"/>
  <c r="CJ574" i="1"/>
  <c r="CJ573" i="1"/>
  <c r="CJ572" i="1"/>
  <c r="CJ571" i="1"/>
  <c r="CJ570" i="1"/>
  <c r="CJ569" i="1"/>
  <c r="CJ565" i="1"/>
  <c r="CJ566" i="1" s="1"/>
  <c r="CI662" i="1"/>
  <c r="CI661" i="1"/>
  <c r="CI660" i="1"/>
  <c r="CI659" i="1"/>
  <c r="CI658" i="1"/>
  <c r="CI657" i="1"/>
  <c r="CI656" i="1"/>
  <c r="CI655" i="1"/>
  <c r="CI654" i="1"/>
  <c r="CI653" i="1"/>
  <c r="CI652" i="1"/>
  <c r="CI651" i="1"/>
  <c r="CI650" i="1"/>
  <c r="CI649" i="1"/>
  <c r="CI648" i="1"/>
  <c r="CI647" i="1"/>
  <c r="CI646" i="1"/>
  <c r="CI645" i="1"/>
  <c r="CI644" i="1"/>
  <c r="CI643" i="1"/>
  <c r="CI642" i="1"/>
  <c r="CI641" i="1"/>
  <c r="CI640" i="1"/>
  <c r="CI639" i="1"/>
  <c r="CI638" i="1"/>
  <c r="CI637" i="1"/>
  <c r="CI636" i="1"/>
  <c r="CI635" i="1"/>
  <c r="CI634" i="1"/>
  <c r="CI633" i="1"/>
  <c r="CI632" i="1"/>
  <c r="CI631" i="1"/>
  <c r="CI630" i="1"/>
  <c r="CI629" i="1"/>
  <c r="CI628" i="1"/>
  <c r="CI627" i="1"/>
  <c r="CI626" i="1"/>
  <c r="CI625" i="1"/>
  <c r="CI624" i="1"/>
  <c r="CI623" i="1"/>
  <c r="CI622" i="1"/>
  <c r="CI621" i="1"/>
  <c r="CI620" i="1"/>
  <c r="CI619" i="1"/>
  <c r="CI618" i="1"/>
  <c r="CI617" i="1"/>
  <c r="CI616" i="1"/>
  <c r="CI615" i="1"/>
  <c r="CI614" i="1"/>
  <c r="CI613" i="1"/>
  <c r="CI612" i="1"/>
  <c r="CI611" i="1"/>
  <c r="CI610" i="1"/>
  <c r="CI609" i="1"/>
  <c r="CI608" i="1"/>
  <c r="CI607" i="1"/>
  <c r="CI606" i="1"/>
  <c r="CI605" i="1"/>
  <c r="CI604" i="1"/>
  <c r="CI603" i="1"/>
  <c r="CI602" i="1"/>
  <c r="CI601" i="1"/>
  <c r="CI600" i="1"/>
  <c r="CI599" i="1"/>
  <c r="CI598" i="1"/>
  <c r="CI597" i="1"/>
  <c r="CI596" i="1"/>
  <c r="CI595" i="1"/>
  <c r="CI594" i="1"/>
  <c r="CI593" i="1"/>
  <c r="CI592" i="1"/>
  <c r="CI591" i="1"/>
  <c r="CI590" i="1"/>
  <c r="CI589" i="1"/>
  <c r="CI588" i="1"/>
  <c r="CI587" i="1"/>
  <c r="CI586" i="1"/>
  <c r="CI585" i="1"/>
  <c r="CI584" i="1"/>
  <c r="CI583" i="1"/>
  <c r="CI582" i="1"/>
  <c r="CI581" i="1"/>
  <c r="CI580" i="1"/>
  <c r="CI579" i="1"/>
  <c r="CI578" i="1"/>
  <c r="CI577" i="1"/>
  <c r="CI576" i="1"/>
  <c r="CI575" i="1"/>
  <c r="CI574" i="1"/>
  <c r="CI573" i="1"/>
  <c r="CI572" i="1"/>
  <c r="CI571" i="1"/>
  <c r="CI570" i="1"/>
  <c r="CI569" i="1"/>
  <c r="CI565" i="1"/>
  <c r="CI566" i="1" s="1"/>
  <c r="CH662" i="1"/>
  <c r="CH661" i="1"/>
  <c r="CH660" i="1"/>
  <c r="CH659" i="1"/>
  <c r="CH658" i="1"/>
  <c r="CH657" i="1"/>
  <c r="CH656" i="1"/>
  <c r="CH655" i="1"/>
  <c r="CH654" i="1"/>
  <c r="CH653" i="1"/>
  <c r="CH652" i="1"/>
  <c r="CH651" i="1"/>
  <c r="CH650" i="1"/>
  <c r="CH649" i="1"/>
  <c r="CH648" i="1"/>
  <c r="CH647" i="1"/>
  <c r="CH646" i="1"/>
  <c r="CH645" i="1"/>
  <c r="CH644" i="1"/>
  <c r="CH643" i="1"/>
  <c r="CH642" i="1"/>
  <c r="CH641" i="1"/>
  <c r="CH640" i="1"/>
  <c r="CH639" i="1"/>
  <c r="CH638" i="1"/>
  <c r="CH637" i="1"/>
  <c r="CH636" i="1"/>
  <c r="CH635" i="1"/>
  <c r="CH634" i="1"/>
  <c r="CH633" i="1"/>
  <c r="CH632" i="1"/>
  <c r="CH631" i="1"/>
  <c r="CH630" i="1"/>
  <c r="CH629" i="1"/>
  <c r="CH628" i="1"/>
  <c r="CH627" i="1"/>
  <c r="CH626" i="1"/>
  <c r="CH625" i="1"/>
  <c r="CH624" i="1"/>
  <c r="CH623" i="1"/>
  <c r="CH622" i="1"/>
  <c r="CH621" i="1"/>
  <c r="CH620" i="1"/>
  <c r="CH619" i="1"/>
  <c r="CH618" i="1"/>
  <c r="CH617" i="1"/>
  <c r="CH616" i="1"/>
  <c r="CH615" i="1"/>
  <c r="CH614" i="1"/>
  <c r="CH613" i="1"/>
  <c r="CH612" i="1"/>
  <c r="CH611" i="1"/>
  <c r="CH610" i="1"/>
  <c r="CH609" i="1"/>
  <c r="CH608" i="1"/>
  <c r="CH607" i="1"/>
  <c r="CH606" i="1"/>
  <c r="CH605" i="1"/>
  <c r="CH604" i="1"/>
  <c r="CH603" i="1"/>
  <c r="CH602" i="1"/>
  <c r="CH601" i="1"/>
  <c r="CH600" i="1"/>
  <c r="CH599" i="1"/>
  <c r="CH598" i="1"/>
  <c r="CH597" i="1"/>
  <c r="CH596" i="1"/>
  <c r="CH595" i="1"/>
  <c r="CH594" i="1"/>
  <c r="CH593" i="1"/>
  <c r="CH592" i="1"/>
  <c r="CH591" i="1"/>
  <c r="CH590" i="1"/>
  <c r="CH589" i="1"/>
  <c r="CH588" i="1"/>
  <c r="CH587" i="1"/>
  <c r="CH586" i="1"/>
  <c r="CH585" i="1"/>
  <c r="CH584" i="1"/>
  <c r="CH583" i="1"/>
  <c r="CH582" i="1"/>
  <c r="CH581" i="1"/>
  <c r="CH580" i="1"/>
  <c r="CH579" i="1"/>
  <c r="CH578" i="1"/>
  <c r="CH577" i="1"/>
  <c r="CH576" i="1"/>
  <c r="CH575" i="1"/>
  <c r="CH574" i="1"/>
  <c r="CH573" i="1"/>
  <c r="CH572" i="1"/>
  <c r="CH571" i="1"/>
  <c r="CH570" i="1"/>
  <c r="CH569" i="1"/>
  <c r="CH565" i="1"/>
  <c r="CH566" i="1" s="1"/>
  <c r="CE662" i="1"/>
  <c r="CE661" i="1"/>
  <c r="CE660" i="1"/>
  <c r="CE659" i="1"/>
  <c r="CE658" i="1"/>
  <c r="CE657" i="1"/>
  <c r="CE656" i="1"/>
  <c r="CE655" i="1"/>
  <c r="CE654" i="1"/>
  <c r="CE653" i="1"/>
  <c r="CE652" i="1"/>
  <c r="CE651" i="1"/>
  <c r="CE650" i="1"/>
  <c r="CE649" i="1"/>
  <c r="CE648" i="1"/>
  <c r="CE647" i="1"/>
  <c r="CE646" i="1"/>
  <c r="CE645" i="1"/>
  <c r="CE644" i="1"/>
  <c r="CE643" i="1"/>
  <c r="CE642" i="1"/>
  <c r="CE641" i="1"/>
  <c r="CE640" i="1"/>
  <c r="CE639" i="1"/>
  <c r="CE638" i="1"/>
  <c r="CE637" i="1"/>
  <c r="CE636" i="1"/>
  <c r="CE635" i="1"/>
  <c r="CE634" i="1"/>
  <c r="CE633" i="1"/>
  <c r="CE632" i="1"/>
  <c r="CE631" i="1"/>
  <c r="CE630" i="1"/>
  <c r="CE629" i="1"/>
  <c r="CE628" i="1"/>
  <c r="CE627" i="1"/>
  <c r="CE626" i="1"/>
  <c r="CE625" i="1"/>
  <c r="CE624" i="1"/>
  <c r="CE623" i="1"/>
  <c r="CE622" i="1"/>
  <c r="CE621" i="1"/>
  <c r="CE620" i="1"/>
  <c r="CE619" i="1"/>
  <c r="CE618" i="1"/>
  <c r="CE617" i="1"/>
  <c r="CE616" i="1"/>
  <c r="CE615" i="1"/>
  <c r="CE614" i="1"/>
  <c r="CE613" i="1"/>
  <c r="CE612" i="1"/>
  <c r="CE611" i="1"/>
  <c r="CE610" i="1"/>
  <c r="CE609" i="1"/>
  <c r="CE608" i="1"/>
  <c r="CE607" i="1"/>
  <c r="CE606" i="1"/>
  <c r="CE605" i="1"/>
  <c r="CE604" i="1"/>
  <c r="CE603" i="1"/>
  <c r="CE602" i="1"/>
  <c r="CE601" i="1"/>
  <c r="CE600" i="1"/>
  <c r="CE599" i="1"/>
  <c r="CE598" i="1"/>
  <c r="CE597" i="1"/>
  <c r="CE596" i="1"/>
  <c r="CE595" i="1"/>
  <c r="CE594" i="1"/>
  <c r="CE593" i="1"/>
  <c r="CE592" i="1"/>
  <c r="CE591" i="1"/>
  <c r="CE590" i="1"/>
  <c r="CE589" i="1"/>
  <c r="CE588" i="1"/>
  <c r="CE587" i="1"/>
  <c r="CE586" i="1"/>
  <c r="CE585" i="1"/>
  <c r="CE584" i="1"/>
  <c r="CE583" i="1"/>
  <c r="CE582" i="1"/>
  <c r="CE581" i="1"/>
  <c r="CE580" i="1"/>
  <c r="CE579" i="1"/>
  <c r="CE578" i="1"/>
  <c r="CE577" i="1"/>
  <c r="CE576" i="1"/>
  <c r="CE575" i="1"/>
  <c r="CE574" i="1"/>
  <c r="CE573" i="1"/>
  <c r="CE572" i="1"/>
  <c r="CE571" i="1"/>
  <c r="CE570" i="1"/>
  <c r="CE569" i="1"/>
  <c r="CE565" i="1"/>
  <c r="CE566" i="1" s="1"/>
  <c r="CA662" i="1"/>
  <c r="CA661" i="1"/>
  <c r="CA660" i="1"/>
  <c r="CA659" i="1"/>
  <c r="CA658" i="1"/>
  <c r="CA657" i="1"/>
  <c r="CA656" i="1"/>
  <c r="CA655" i="1"/>
  <c r="CA654" i="1"/>
  <c r="CA653" i="1"/>
  <c r="CA652" i="1"/>
  <c r="CA651" i="1"/>
  <c r="CA650" i="1"/>
  <c r="CA649" i="1"/>
  <c r="CA648" i="1"/>
  <c r="CA647" i="1"/>
  <c r="CA646" i="1"/>
  <c r="CA645" i="1"/>
  <c r="CA644" i="1"/>
  <c r="CA643" i="1"/>
  <c r="CA642" i="1"/>
  <c r="CA641" i="1"/>
  <c r="CA640" i="1"/>
  <c r="CA639" i="1"/>
  <c r="CA638" i="1"/>
  <c r="CA637" i="1"/>
  <c r="CA636" i="1"/>
  <c r="CA635" i="1"/>
  <c r="CA634" i="1"/>
  <c r="CA633" i="1"/>
  <c r="CA632" i="1"/>
  <c r="CA631" i="1"/>
  <c r="CA630" i="1"/>
  <c r="CA629" i="1"/>
  <c r="CA628" i="1"/>
  <c r="CA627" i="1"/>
  <c r="CA626" i="1"/>
  <c r="CA625" i="1"/>
  <c r="CA624" i="1"/>
  <c r="CA623" i="1"/>
  <c r="CA622" i="1"/>
  <c r="CA621" i="1"/>
  <c r="CA620" i="1"/>
  <c r="CA619" i="1"/>
  <c r="CA618" i="1"/>
  <c r="CA617" i="1"/>
  <c r="CA616" i="1"/>
  <c r="CA615" i="1"/>
  <c r="CA614" i="1"/>
  <c r="CA613" i="1"/>
  <c r="CA612" i="1"/>
  <c r="CA611" i="1"/>
  <c r="CA610" i="1"/>
  <c r="CA609" i="1"/>
  <c r="CA608" i="1"/>
  <c r="CA607" i="1"/>
  <c r="CA606" i="1"/>
  <c r="CA605" i="1"/>
  <c r="CA604" i="1"/>
  <c r="CA603" i="1"/>
  <c r="CA602" i="1"/>
  <c r="CA601" i="1"/>
  <c r="CA600" i="1"/>
  <c r="CA599" i="1"/>
  <c r="CA598" i="1"/>
  <c r="CA597" i="1"/>
  <c r="CA596" i="1"/>
  <c r="CA595" i="1"/>
  <c r="CA594" i="1"/>
  <c r="CA593" i="1"/>
  <c r="CA592" i="1"/>
  <c r="CA591" i="1"/>
  <c r="CA590" i="1"/>
  <c r="CA589" i="1"/>
  <c r="CA588" i="1"/>
  <c r="CA587" i="1"/>
  <c r="CA586" i="1"/>
  <c r="CA585" i="1"/>
  <c r="CA584" i="1"/>
  <c r="CA583" i="1"/>
  <c r="CA582" i="1"/>
  <c r="CA581" i="1"/>
  <c r="CA580" i="1"/>
  <c r="CA579" i="1"/>
  <c r="CA578" i="1"/>
  <c r="CA577" i="1"/>
  <c r="CA576" i="1"/>
  <c r="CA575" i="1"/>
  <c r="CA574" i="1"/>
  <c r="CA573" i="1"/>
  <c r="CA572" i="1"/>
  <c r="CA571" i="1"/>
  <c r="CA570" i="1"/>
  <c r="CA569" i="1"/>
  <c r="CA565" i="1"/>
  <c r="CA566" i="1" s="1"/>
  <c r="BY662" i="1"/>
  <c r="BY661" i="1"/>
  <c r="BY660" i="1"/>
  <c r="BY659" i="1"/>
  <c r="BY658" i="1"/>
  <c r="BY657" i="1"/>
  <c r="BY656" i="1"/>
  <c r="BY655" i="1"/>
  <c r="BY654" i="1"/>
  <c r="BY653" i="1"/>
  <c r="BY652" i="1"/>
  <c r="BY651" i="1"/>
  <c r="BY650" i="1"/>
  <c r="BY649" i="1"/>
  <c r="BY648" i="1"/>
  <c r="BY647" i="1"/>
  <c r="BY646" i="1"/>
  <c r="BY645" i="1"/>
  <c r="BY644" i="1"/>
  <c r="BY643" i="1"/>
  <c r="BY642" i="1"/>
  <c r="BY641" i="1"/>
  <c r="BY640" i="1"/>
  <c r="BY639" i="1"/>
  <c r="BY638" i="1"/>
  <c r="BY637" i="1"/>
  <c r="BY636" i="1"/>
  <c r="BY635" i="1"/>
  <c r="BY634" i="1"/>
  <c r="BY633" i="1"/>
  <c r="BY632" i="1"/>
  <c r="BY631" i="1"/>
  <c r="BY630" i="1"/>
  <c r="BY629" i="1"/>
  <c r="BY628" i="1"/>
  <c r="BY627" i="1"/>
  <c r="BY626" i="1"/>
  <c r="BY625" i="1"/>
  <c r="BY624" i="1"/>
  <c r="BY623" i="1"/>
  <c r="BY622" i="1"/>
  <c r="BY621" i="1"/>
  <c r="BY620" i="1"/>
  <c r="BY619" i="1"/>
  <c r="BY618" i="1"/>
  <c r="BY617" i="1"/>
  <c r="BY616" i="1"/>
  <c r="BY615" i="1"/>
  <c r="BY614" i="1"/>
  <c r="BY613" i="1"/>
  <c r="BY612" i="1"/>
  <c r="BY611" i="1"/>
  <c r="BY610" i="1"/>
  <c r="BY609" i="1"/>
  <c r="BY608" i="1"/>
  <c r="BY607" i="1"/>
  <c r="BY606" i="1"/>
  <c r="BY605" i="1"/>
  <c r="BY604" i="1"/>
  <c r="BY603" i="1"/>
  <c r="BY602" i="1"/>
  <c r="BY601" i="1"/>
  <c r="BY600" i="1"/>
  <c r="BY599" i="1"/>
  <c r="BY598" i="1"/>
  <c r="BY597" i="1"/>
  <c r="BY596" i="1"/>
  <c r="BY595" i="1"/>
  <c r="BY594" i="1"/>
  <c r="BY593" i="1"/>
  <c r="BY592" i="1"/>
  <c r="BY591" i="1"/>
  <c r="BY590" i="1"/>
  <c r="BY589" i="1"/>
  <c r="BY588" i="1"/>
  <c r="BY587" i="1"/>
  <c r="BY586" i="1"/>
  <c r="BY585" i="1"/>
  <c r="BY584" i="1"/>
  <c r="BY583" i="1"/>
  <c r="BY582" i="1"/>
  <c r="BY581" i="1"/>
  <c r="BY580" i="1"/>
  <c r="BY579" i="1"/>
  <c r="BY578" i="1"/>
  <c r="BY577" i="1"/>
  <c r="BY576" i="1"/>
  <c r="BY575" i="1"/>
  <c r="BY574" i="1"/>
  <c r="BY573" i="1"/>
  <c r="BY572" i="1"/>
  <c r="BY571" i="1"/>
  <c r="BY570" i="1"/>
  <c r="BY569" i="1"/>
  <c r="BY565" i="1"/>
  <c r="BY566" i="1" s="1"/>
  <c r="BW662" i="1"/>
  <c r="BW661" i="1"/>
  <c r="BW660" i="1"/>
  <c r="BW659" i="1"/>
  <c r="BW658" i="1"/>
  <c r="BW657" i="1"/>
  <c r="BW656" i="1"/>
  <c r="BW655" i="1"/>
  <c r="BW654" i="1"/>
  <c r="BW653" i="1"/>
  <c r="BW652" i="1"/>
  <c r="BW651" i="1"/>
  <c r="BW650" i="1"/>
  <c r="BW649" i="1"/>
  <c r="BW648" i="1"/>
  <c r="BW647" i="1"/>
  <c r="BW646" i="1"/>
  <c r="BW645" i="1"/>
  <c r="BW644" i="1"/>
  <c r="BW643" i="1"/>
  <c r="BW642" i="1"/>
  <c r="BW641" i="1"/>
  <c r="BW640" i="1"/>
  <c r="BW639" i="1"/>
  <c r="BW638" i="1"/>
  <c r="BW637" i="1"/>
  <c r="BW636" i="1"/>
  <c r="BW635" i="1"/>
  <c r="BW634" i="1"/>
  <c r="BW633" i="1"/>
  <c r="BW632" i="1"/>
  <c r="BW631" i="1"/>
  <c r="BW630" i="1"/>
  <c r="BW629" i="1"/>
  <c r="BW628" i="1"/>
  <c r="BW627" i="1"/>
  <c r="BW626" i="1"/>
  <c r="BW625" i="1"/>
  <c r="BW624" i="1"/>
  <c r="BW623" i="1"/>
  <c r="BW622" i="1"/>
  <c r="BW621" i="1"/>
  <c r="BW620" i="1"/>
  <c r="BW619" i="1"/>
  <c r="BW618" i="1"/>
  <c r="BW617" i="1"/>
  <c r="BW616" i="1"/>
  <c r="BW615" i="1"/>
  <c r="BW614" i="1"/>
  <c r="BW613" i="1"/>
  <c r="BW612" i="1"/>
  <c r="BW611" i="1"/>
  <c r="BW610" i="1"/>
  <c r="BW609" i="1"/>
  <c r="BW608" i="1"/>
  <c r="BW607" i="1"/>
  <c r="BW606" i="1"/>
  <c r="BW605" i="1"/>
  <c r="BW604" i="1"/>
  <c r="BW603" i="1"/>
  <c r="BW602" i="1"/>
  <c r="BW601" i="1"/>
  <c r="BW600" i="1"/>
  <c r="BW599" i="1"/>
  <c r="BW598" i="1"/>
  <c r="BW597" i="1"/>
  <c r="BW596" i="1"/>
  <c r="BW595" i="1"/>
  <c r="BW594" i="1"/>
  <c r="BW593" i="1"/>
  <c r="BW592" i="1"/>
  <c r="BW591" i="1"/>
  <c r="BW590" i="1"/>
  <c r="BW589" i="1"/>
  <c r="BW588" i="1"/>
  <c r="BW587" i="1"/>
  <c r="BW586" i="1"/>
  <c r="BW585" i="1"/>
  <c r="BW584" i="1"/>
  <c r="BW583" i="1"/>
  <c r="BW582" i="1"/>
  <c r="BW581" i="1"/>
  <c r="BW580" i="1"/>
  <c r="BW579" i="1"/>
  <c r="BW578" i="1"/>
  <c r="BW577" i="1"/>
  <c r="BW576" i="1"/>
  <c r="BW575" i="1"/>
  <c r="BW574" i="1"/>
  <c r="BW573" i="1"/>
  <c r="BW572" i="1"/>
  <c r="BW571" i="1"/>
  <c r="BW570" i="1"/>
  <c r="BW569" i="1"/>
  <c r="BW565" i="1"/>
  <c r="BW566" i="1" s="1"/>
  <c r="BU662" i="1"/>
  <c r="BU661" i="1"/>
  <c r="BU660" i="1"/>
  <c r="BU659" i="1"/>
  <c r="BU658" i="1"/>
  <c r="BU657" i="1"/>
  <c r="BU656" i="1"/>
  <c r="BU655" i="1"/>
  <c r="BU654" i="1"/>
  <c r="BU653" i="1"/>
  <c r="BU652" i="1"/>
  <c r="BU651" i="1"/>
  <c r="BU650" i="1"/>
  <c r="BU649" i="1"/>
  <c r="BU648" i="1"/>
  <c r="BU647" i="1"/>
  <c r="BU646" i="1"/>
  <c r="BU645" i="1"/>
  <c r="BU644" i="1"/>
  <c r="BU643" i="1"/>
  <c r="BU642" i="1"/>
  <c r="BU641" i="1"/>
  <c r="BU640" i="1"/>
  <c r="BU639" i="1"/>
  <c r="BU638" i="1"/>
  <c r="BU637" i="1"/>
  <c r="BU636" i="1"/>
  <c r="BU635" i="1"/>
  <c r="BU634" i="1"/>
  <c r="BU633" i="1"/>
  <c r="BU632" i="1"/>
  <c r="BU631" i="1"/>
  <c r="BU630" i="1"/>
  <c r="BU629" i="1"/>
  <c r="BU628" i="1"/>
  <c r="BU627" i="1"/>
  <c r="BU626" i="1"/>
  <c r="BU625" i="1"/>
  <c r="BU624" i="1"/>
  <c r="BU623" i="1"/>
  <c r="BU622" i="1"/>
  <c r="BU621" i="1"/>
  <c r="BU620" i="1"/>
  <c r="BU619" i="1"/>
  <c r="BU618" i="1"/>
  <c r="BU617" i="1"/>
  <c r="BU616" i="1"/>
  <c r="BU615" i="1"/>
  <c r="BU614" i="1"/>
  <c r="BU613" i="1"/>
  <c r="BU612" i="1"/>
  <c r="BU611" i="1"/>
  <c r="BU610" i="1"/>
  <c r="BU609" i="1"/>
  <c r="BU608" i="1"/>
  <c r="BU607" i="1"/>
  <c r="BU606" i="1"/>
  <c r="BU605" i="1"/>
  <c r="BU604" i="1"/>
  <c r="BU603" i="1"/>
  <c r="BU602" i="1"/>
  <c r="BU601" i="1"/>
  <c r="BU600" i="1"/>
  <c r="BU599" i="1"/>
  <c r="BU598" i="1"/>
  <c r="BU597" i="1"/>
  <c r="BU596" i="1"/>
  <c r="BU595" i="1"/>
  <c r="BU594" i="1"/>
  <c r="BU593" i="1"/>
  <c r="BU592" i="1"/>
  <c r="BU591" i="1"/>
  <c r="BU590" i="1"/>
  <c r="BU589" i="1"/>
  <c r="BU588" i="1"/>
  <c r="BU587" i="1"/>
  <c r="BU586" i="1"/>
  <c r="BU585" i="1"/>
  <c r="BU584" i="1"/>
  <c r="BU583" i="1"/>
  <c r="BU582" i="1"/>
  <c r="BU581" i="1"/>
  <c r="BU580" i="1"/>
  <c r="BU579" i="1"/>
  <c r="BU578" i="1"/>
  <c r="BU577" i="1"/>
  <c r="BU576" i="1"/>
  <c r="BU575" i="1"/>
  <c r="BU574" i="1"/>
  <c r="BU573" i="1"/>
  <c r="BU572" i="1"/>
  <c r="BU571" i="1"/>
  <c r="BU570" i="1"/>
  <c r="BU569" i="1"/>
  <c r="BU565" i="1"/>
  <c r="BU566" i="1" s="1"/>
  <c r="BT662" i="1"/>
  <c r="BT661" i="1"/>
  <c r="BT660" i="1"/>
  <c r="BT659" i="1"/>
  <c r="BT658" i="1"/>
  <c r="BT657" i="1"/>
  <c r="BT656" i="1"/>
  <c r="BT655" i="1"/>
  <c r="BT654" i="1"/>
  <c r="BT653" i="1"/>
  <c r="BT652" i="1"/>
  <c r="BT651" i="1"/>
  <c r="BT650" i="1"/>
  <c r="BT649" i="1"/>
  <c r="BT648" i="1"/>
  <c r="BT647" i="1"/>
  <c r="BT646" i="1"/>
  <c r="BT645" i="1"/>
  <c r="BT644" i="1"/>
  <c r="BT643" i="1"/>
  <c r="BT642" i="1"/>
  <c r="BT641" i="1"/>
  <c r="BT640" i="1"/>
  <c r="BT639" i="1"/>
  <c r="BT638" i="1"/>
  <c r="BT637" i="1"/>
  <c r="BT636" i="1"/>
  <c r="BT635" i="1"/>
  <c r="BT634" i="1"/>
  <c r="BT633" i="1"/>
  <c r="BT632" i="1"/>
  <c r="BT631" i="1"/>
  <c r="BT630" i="1"/>
  <c r="BT629" i="1"/>
  <c r="BT628" i="1"/>
  <c r="BT627" i="1"/>
  <c r="BT626" i="1"/>
  <c r="BT625" i="1"/>
  <c r="BT624" i="1"/>
  <c r="BT623" i="1"/>
  <c r="BT622" i="1"/>
  <c r="BT621" i="1"/>
  <c r="BT620" i="1"/>
  <c r="BT619" i="1"/>
  <c r="BT618" i="1"/>
  <c r="BT617" i="1"/>
  <c r="BT616" i="1"/>
  <c r="BT615" i="1"/>
  <c r="BT614" i="1"/>
  <c r="BT613" i="1"/>
  <c r="BT612" i="1"/>
  <c r="BT611" i="1"/>
  <c r="BT610" i="1"/>
  <c r="BT609" i="1"/>
  <c r="BT608" i="1"/>
  <c r="BT607" i="1"/>
  <c r="BT606" i="1"/>
  <c r="BT605" i="1"/>
  <c r="BT604" i="1"/>
  <c r="BT603" i="1"/>
  <c r="BT602" i="1"/>
  <c r="BT601" i="1"/>
  <c r="BT600" i="1"/>
  <c r="BT599" i="1"/>
  <c r="BT598" i="1"/>
  <c r="BT597" i="1"/>
  <c r="BT596" i="1"/>
  <c r="BT595" i="1"/>
  <c r="BT594" i="1"/>
  <c r="BT593" i="1"/>
  <c r="BT592" i="1"/>
  <c r="BT591" i="1"/>
  <c r="BT590" i="1"/>
  <c r="BT589" i="1"/>
  <c r="BT588" i="1"/>
  <c r="BT587" i="1"/>
  <c r="BT586" i="1"/>
  <c r="BT585" i="1"/>
  <c r="BT584" i="1"/>
  <c r="BT583" i="1"/>
  <c r="BT582" i="1"/>
  <c r="BT581" i="1"/>
  <c r="BT580" i="1"/>
  <c r="BT579" i="1"/>
  <c r="BT578" i="1"/>
  <c r="BT577" i="1"/>
  <c r="BT576" i="1"/>
  <c r="BT575" i="1"/>
  <c r="BT574" i="1"/>
  <c r="BT573" i="1"/>
  <c r="BT572" i="1"/>
  <c r="BT571" i="1"/>
  <c r="BT570" i="1"/>
  <c r="BT569" i="1"/>
  <c r="BT565" i="1"/>
  <c r="BT566" i="1" s="1"/>
  <c r="BR662" i="1"/>
  <c r="BR661" i="1"/>
  <c r="BR660" i="1"/>
  <c r="BR659" i="1"/>
  <c r="BR658" i="1"/>
  <c r="BR657" i="1"/>
  <c r="BR656" i="1"/>
  <c r="BR655" i="1"/>
  <c r="BR654" i="1"/>
  <c r="BR653" i="1"/>
  <c r="BR652" i="1"/>
  <c r="BR651" i="1"/>
  <c r="BR650" i="1"/>
  <c r="BR649" i="1"/>
  <c r="BR648" i="1"/>
  <c r="BR647" i="1"/>
  <c r="BR646" i="1"/>
  <c r="BR645" i="1"/>
  <c r="BR644" i="1"/>
  <c r="BR643" i="1"/>
  <c r="BR642" i="1"/>
  <c r="BR641" i="1"/>
  <c r="BR640" i="1"/>
  <c r="BR639" i="1"/>
  <c r="BR638" i="1"/>
  <c r="BR637" i="1"/>
  <c r="BR636" i="1"/>
  <c r="BR635" i="1"/>
  <c r="BR634" i="1"/>
  <c r="BR633" i="1"/>
  <c r="BR632" i="1"/>
  <c r="BR631" i="1"/>
  <c r="BR630" i="1"/>
  <c r="BR629" i="1"/>
  <c r="BR628" i="1"/>
  <c r="BR627" i="1"/>
  <c r="BR626" i="1"/>
  <c r="BR625" i="1"/>
  <c r="BR624" i="1"/>
  <c r="BR623" i="1"/>
  <c r="BR622" i="1"/>
  <c r="BR621" i="1"/>
  <c r="BR620" i="1"/>
  <c r="BR619" i="1"/>
  <c r="BR618" i="1"/>
  <c r="BR617" i="1"/>
  <c r="BR616" i="1"/>
  <c r="BR615" i="1"/>
  <c r="BR614" i="1"/>
  <c r="BR613" i="1"/>
  <c r="BR612" i="1"/>
  <c r="BR611" i="1"/>
  <c r="BR610" i="1"/>
  <c r="BR609" i="1"/>
  <c r="BR608" i="1"/>
  <c r="BR607" i="1"/>
  <c r="BR606" i="1"/>
  <c r="BR605" i="1"/>
  <c r="BR604" i="1"/>
  <c r="BR603" i="1"/>
  <c r="BR602" i="1"/>
  <c r="BR601" i="1"/>
  <c r="BR600" i="1"/>
  <c r="BR599" i="1"/>
  <c r="BR598" i="1"/>
  <c r="BR597" i="1"/>
  <c r="BR596" i="1"/>
  <c r="BR595" i="1"/>
  <c r="BR594" i="1"/>
  <c r="BR593" i="1"/>
  <c r="BR592" i="1"/>
  <c r="BR591" i="1"/>
  <c r="BR590" i="1"/>
  <c r="BR589" i="1"/>
  <c r="BR588" i="1"/>
  <c r="BR587" i="1"/>
  <c r="BR586" i="1"/>
  <c r="BR585" i="1"/>
  <c r="BR584" i="1"/>
  <c r="BR583" i="1"/>
  <c r="BR582" i="1"/>
  <c r="BR581" i="1"/>
  <c r="BR580" i="1"/>
  <c r="BR579" i="1"/>
  <c r="BR578" i="1"/>
  <c r="BR577" i="1"/>
  <c r="BR576" i="1"/>
  <c r="BR575" i="1"/>
  <c r="BR574" i="1"/>
  <c r="BR573" i="1"/>
  <c r="BR572" i="1"/>
  <c r="BR571" i="1"/>
  <c r="BR570" i="1"/>
  <c r="BR569" i="1"/>
  <c r="BR565" i="1"/>
  <c r="BR566" i="1" s="1"/>
  <c r="BP662" i="1"/>
  <c r="BP661" i="1"/>
  <c r="BP660" i="1"/>
  <c r="BP659" i="1"/>
  <c r="BP658" i="1"/>
  <c r="BP657" i="1"/>
  <c r="BP656" i="1"/>
  <c r="BP655" i="1"/>
  <c r="BP654" i="1"/>
  <c r="BP653" i="1"/>
  <c r="BP652" i="1"/>
  <c r="BP651" i="1"/>
  <c r="BP650" i="1"/>
  <c r="BP649" i="1"/>
  <c r="BP648" i="1"/>
  <c r="BP647" i="1"/>
  <c r="BP646" i="1"/>
  <c r="BP645" i="1"/>
  <c r="BP644" i="1"/>
  <c r="BP643" i="1"/>
  <c r="BP642" i="1"/>
  <c r="BP641" i="1"/>
  <c r="BP640" i="1"/>
  <c r="BP639" i="1"/>
  <c r="BP638" i="1"/>
  <c r="BP637" i="1"/>
  <c r="BP636" i="1"/>
  <c r="BP635" i="1"/>
  <c r="BP634" i="1"/>
  <c r="BP633" i="1"/>
  <c r="BP632" i="1"/>
  <c r="BP631" i="1"/>
  <c r="BP630" i="1"/>
  <c r="BP629" i="1"/>
  <c r="BP628" i="1"/>
  <c r="BP627" i="1"/>
  <c r="BP626" i="1"/>
  <c r="BP625" i="1"/>
  <c r="BP624" i="1"/>
  <c r="BP623" i="1"/>
  <c r="BP622" i="1"/>
  <c r="BP621" i="1"/>
  <c r="BP620" i="1"/>
  <c r="BP619" i="1"/>
  <c r="BP618" i="1"/>
  <c r="BP617" i="1"/>
  <c r="BP616" i="1"/>
  <c r="BP615" i="1"/>
  <c r="BP614" i="1"/>
  <c r="BP613" i="1"/>
  <c r="BP612" i="1"/>
  <c r="BP611" i="1"/>
  <c r="BP610" i="1"/>
  <c r="BP609" i="1"/>
  <c r="BP608" i="1"/>
  <c r="BP607" i="1"/>
  <c r="BP606" i="1"/>
  <c r="BP605" i="1"/>
  <c r="BP604" i="1"/>
  <c r="BP603" i="1"/>
  <c r="BP602" i="1"/>
  <c r="BP601" i="1"/>
  <c r="BP600" i="1"/>
  <c r="BP599" i="1"/>
  <c r="BP598" i="1"/>
  <c r="BP597" i="1"/>
  <c r="BP596" i="1"/>
  <c r="BP595" i="1"/>
  <c r="BP594" i="1"/>
  <c r="BP593" i="1"/>
  <c r="BP592" i="1"/>
  <c r="BP591" i="1"/>
  <c r="BP590" i="1"/>
  <c r="BP589" i="1"/>
  <c r="BP588" i="1"/>
  <c r="BP587" i="1"/>
  <c r="BP586" i="1"/>
  <c r="BP585" i="1"/>
  <c r="BP584" i="1"/>
  <c r="BP583" i="1"/>
  <c r="BP582" i="1"/>
  <c r="BP581" i="1"/>
  <c r="BP580" i="1"/>
  <c r="BP579" i="1"/>
  <c r="BP578" i="1"/>
  <c r="BP577" i="1"/>
  <c r="BP576" i="1"/>
  <c r="BP575" i="1"/>
  <c r="BP574" i="1"/>
  <c r="BP573" i="1"/>
  <c r="BP572" i="1"/>
  <c r="BP571" i="1"/>
  <c r="BP570" i="1"/>
  <c r="BP569" i="1"/>
  <c r="BP565" i="1"/>
  <c r="BP566" i="1" s="1"/>
  <c r="BN662" i="1"/>
  <c r="BN661" i="1"/>
  <c r="BN660" i="1"/>
  <c r="BN659" i="1"/>
  <c r="BN658" i="1"/>
  <c r="BN657" i="1"/>
  <c r="BN656" i="1"/>
  <c r="BN655" i="1"/>
  <c r="BN654" i="1"/>
  <c r="BN653" i="1"/>
  <c r="BN652" i="1"/>
  <c r="BN651" i="1"/>
  <c r="BN650" i="1"/>
  <c r="BN649" i="1"/>
  <c r="BN648" i="1"/>
  <c r="BN647" i="1"/>
  <c r="BN646" i="1"/>
  <c r="BN645" i="1"/>
  <c r="BN644" i="1"/>
  <c r="BN643" i="1"/>
  <c r="BN642" i="1"/>
  <c r="BN641" i="1"/>
  <c r="BN640" i="1"/>
  <c r="BN639" i="1"/>
  <c r="BN638" i="1"/>
  <c r="BN637" i="1"/>
  <c r="BN636" i="1"/>
  <c r="BN635" i="1"/>
  <c r="BN634" i="1"/>
  <c r="BN633" i="1"/>
  <c r="BN632" i="1"/>
  <c r="BN631" i="1"/>
  <c r="BN630" i="1"/>
  <c r="BN629" i="1"/>
  <c r="BN628" i="1"/>
  <c r="BN627" i="1"/>
  <c r="BN626" i="1"/>
  <c r="BN625" i="1"/>
  <c r="BN624" i="1"/>
  <c r="BN623" i="1"/>
  <c r="BN622" i="1"/>
  <c r="BN621" i="1"/>
  <c r="BN620" i="1"/>
  <c r="BN619" i="1"/>
  <c r="BN618" i="1"/>
  <c r="BN617" i="1"/>
  <c r="BN616" i="1"/>
  <c r="BN615" i="1"/>
  <c r="BN614" i="1"/>
  <c r="BN613" i="1"/>
  <c r="BN612" i="1"/>
  <c r="BN611" i="1"/>
  <c r="BN610" i="1"/>
  <c r="BN609" i="1"/>
  <c r="BN608" i="1"/>
  <c r="BN607" i="1"/>
  <c r="BN606" i="1"/>
  <c r="BN605" i="1"/>
  <c r="BN604" i="1"/>
  <c r="BN603" i="1"/>
  <c r="BN602" i="1"/>
  <c r="BN601" i="1"/>
  <c r="BN600" i="1"/>
  <c r="BN599" i="1"/>
  <c r="BN598" i="1"/>
  <c r="BN597" i="1"/>
  <c r="BN596" i="1"/>
  <c r="BN595" i="1"/>
  <c r="BN594" i="1"/>
  <c r="BN593" i="1"/>
  <c r="BN592" i="1"/>
  <c r="BN591" i="1"/>
  <c r="BN590" i="1"/>
  <c r="BN589" i="1"/>
  <c r="BN588" i="1"/>
  <c r="BN587" i="1"/>
  <c r="BN586" i="1"/>
  <c r="BN585" i="1"/>
  <c r="BN584" i="1"/>
  <c r="BN583" i="1"/>
  <c r="BN582" i="1"/>
  <c r="BN581" i="1"/>
  <c r="BN580" i="1"/>
  <c r="BN579" i="1"/>
  <c r="BN578" i="1"/>
  <c r="BN577" i="1"/>
  <c r="BN576" i="1"/>
  <c r="BN575" i="1"/>
  <c r="BN574" i="1"/>
  <c r="BN573" i="1"/>
  <c r="BN572" i="1"/>
  <c r="BN571" i="1"/>
  <c r="BN570" i="1"/>
  <c r="BN569" i="1"/>
  <c r="BN565" i="1"/>
  <c r="BN566" i="1" s="1"/>
  <c r="BM662" i="1"/>
  <c r="BM661" i="1"/>
  <c r="BM660" i="1"/>
  <c r="BM659" i="1"/>
  <c r="BM658" i="1"/>
  <c r="BM657" i="1"/>
  <c r="BM656" i="1"/>
  <c r="BM655" i="1"/>
  <c r="BM654" i="1"/>
  <c r="BM653" i="1"/>
  <c r="BM652" i="1"/>
  <c r="BM651" i="1"/>
  <c r="BM650" i="1"/>
  <c r="BM649" i="1"/>
  <c r="BM648" i="1"/>
  <c r="BM647" i="1"/>
  <c r="BM646" i="1"/>
  <c r="BM645" i="1"/>
  <c r="BM644" i="1"/>
  <c r="BM643" i="1"/>
  <c r="BM642" i="1"/>
  <c r="BM641" i="1"/>
  <c r="BM640" i="1"/>
  <c r="BM639" i="1"/>
  <c r="BM638" i="1"/>
  <c r="BM637" i="1"/>
  <c r="BM636" i="1"/>
  <c r="BM635" i="1"/>
  <c r="BM634" i="1"/>
  <c r="BM633" i="1"/>
  <c r="BM632" i="1"/>
  <c r="BM631" i="1"/>
  <c r="BM630" i="1"/>
  <c r="BM629" i="1"/>
  <c r="BM628" i="1"/>
  <c r="BM627" i="1"/>
  <c r="BM626" i="1"/>
  <c r="BM625" i="1"/>
  <c r="BM624" i="1"/>
  <c r="BM623" i="1"/>
  <c r="BM622" i="1"/>
  <c r="BM621" i="1"/>
  <c r="BM620" i="1"/>
  <c r="BM619" i="1"/>
  <c r="BM618" i="1"/>
  <c r="BM617" i="1"/>
  <c r="BM616" i="1"/>
  <c r="BM615" i="1"/>
  <c r="BM614" i="1"/>
  <c r="BM613" i="1"/>
  <c r="BM612" i="1"/>
  <c r="BM611" i="1"/>
  <c r="BM610" i="1"/>
  <c r="BM609" i="1"/>
  <c r="BM608" i="1"/>
  <c r="BM607" i="1"/>
  <c r="BM606" i="1"/>
  <c r="BM605" i="1"/>
  <c r="BM604" i="1"/>
  <c r="BM603" i="1"/>
  <c r="BM602" i="1"/>
  <c r="BM601" i="1"/>
  <c r="BM600" i="1"/>
  <c r="BM599" i="1"/>
  <c r="BM598" i="1"/>
  <c r="BM597" i="1"/>
  <c r="BM596" i="1"/>
  <c r="BM595" i="1"/>
  <c r="BM594" i="1"/>
  <c r="BM593" i="1"/>
  <c r="BM592" i="1"/>
  <c r="BM591" i="1"/>
  <c r="BM590" i="1"/>
  <c r="BM589" i="1"/>
  <c r="BM588" i="1"/>
  <c r="BM587" i="1"/>
  <c r="BM586" i="1"/>
  <c r="BM585" i="1"/>
  <c r="BM584" i="1"/>
  <c r="BM583" i="1"/>
  <c r="BM582" i="1"/>
  <c r="BM581" i="1"/>
  <c r="BM580" i="1"/>
  <c r="BM579" i="1"/>
  <c r="BM578" i="1"/>
  <c r="BM577" i="1"/>
  <c r="BM576" i="1"/>
  <c r="BM575" i="1"/>
  <c r="BM574" i="1"/>
  <c r="BM573" i="1"/>
  <c r="BM572" i="1"/>
  <c r="BM571" i="1"/>
  <c r="BM570" i="1"/>
  <c r="BM569" i="1"/>
  <c r="BM565" i="1"/>
  <c r="BM566" i="1" s="1"/>
  <c r="BO565" i="1"/>
  <c r="BQ565" i="1"/>
  <c r="BS565" i="1"/>
  <c r="BV565" i="1"/>
  <c r="BX565" i="1"/>
  <c r="BZ565" i="1"/>
  <c r="CB565" i="1"/>
  <c r="CC565" i="1"/>
  <c r="CD565" i="1"/>
  <c r="CF565" i="1"/>
  <c r="CG565" i="1"/>
  <c r="CK565" i="1"/>
  <c r="BK662" i="1"/>
  <c r="BK661" i="1"/>
  <c r="BK660" i="1"/>
  <c r="BK659" i="1"/>
  <c r="BK658" i="1"/>
  <c r="BK657" i="1"/>
  <c r="BK656" i="1"/>
  <c r="BK655" i="1"/>
  <c r="BK654" i="1"/>
  <c r="BK653" i="1"/>
  <c r="BK652" i="1"/>
  <c r="BK651" i="1"/>
  <c r="BK650" i="1"/>
  <c r="BK649" i="1"/>
  <c r="BK648" i="1"/>
  <c r="BK647" i="1"/>
  <c r="BK646" i="1"/>
  <c r="BK645" i="1"/>
  <c r="BK644" i="1"/>
  <c r="BK643" i="1"/>
  <c r="BK642" i="1"/>
  <c r="BK641" i="1"/>
  <c r="BK640" i="1"/>
  <c r="BK639" i="1"/>
  <c r="BK638" i="1"/>
  <c r="BK637" i="1"/>
  <c r="BK636" i="1"/>
  <c r="BK635" i="1"/>
  <c r="BK634" i="1"/>
  <c r="BK633" i="1"/>
  <c r="BK632" i="1"/>
  <c r="BK631" i="1"/>
  <c r="BK630" i="1"/>
  <c r="BK629" i="1"/>
  <c r="BK628" i="1"/>
  <c r="BK627" i="1"/>
  <c r="BK626" i="1"/>
  <c r="BK625" i="1"/>
  <c r="BK624" i="1"/>
  <c r="BK623" i="1"/>
  <c r="BK622" i="1"/>
  <c r="BK621" i="1"/>
  <c r="BK620" i="1"/>
  <c r="BK619" i="1"/>
  <c r="BK618" i="1"/>
  <c r="BK617" i="1"/>
  <c r="BK616" i="1"/>
  <c r="BK615" i="1"/>
  <c r="BK614" i="1"/>
  <c r="BK613" i="1"/>
  <c r="BK612" i="1"/>
  <c r="BK611" i="1"/>
  <c r="BK610" i="1"/>
  <c r="BK609" i="1"/>
  <c r="BK608" i="1"/>
  <c r="BK607" i="1"/>
  <c r="BK606" i="1"/>
  <c r="BK605" i="1"/>
  <c r="BK604" i="1"/>
  <c r="BK603" i="1"/>
  <c r="BK602" i="1"/>
  <c r="BK601" i="1"/>
  <c r="BK600" i="1"/>
  <c r="BK599" i="1"/>
  <c r="BK598" i="1"/>
  <c r="BK597" i="1"/>
  <c r="BK596" i="1"/>
  <c r="BK595" i="1"/>
  <c r="BK594" i="1"/>
  <c r="BK593" i="1"/>
  <c r="BK592" i="1"/>
  <c r="BK591" i="1"/>
  <c r="BK590" i="1"/>
  <c r="BK589" i="1"/>
  <c r="BK588" i="1"/>
  <c r="BK587" i="1"/>
  <c r="BK586" i="1"/>
  <c r="BK585" i="1"/>
  <c r="BK584" i="1"/>
  <c r="BK583" i="1"/>
  <c r="BK582" i="1"/>
  <c r="BK581" i="1"/>
  <c r="BK580" i="1"/>
  <c r="BK579" i="1"/>
  <c r="BK578" i="1"/>
  <c r="BK577" i="1"/>
  <c r="BK576" i="1"/>
  <c r="BK575" i="1"/>
  <c r="BK574" i="1"/>
  <c r="BK573" i="1"/>
  <c r="BK572" i="1"/>
  <c r="BK571" i="1"/>
  <c r="BK570" i="1"/>
  <c r="BK569" i="1"/>
  <c r="BK565" i="1"/>
  <c r="BK566" i="1" s="1"/>
  <c r="BJ662" i="1"/>
  <c r="BJ661" i="1"/>
  <c r="BJ660" i="1"/>
  <c r="BJ659" i="1"/>
  <c r="BJ658" i="1"/>
  <c r="BJ657" i="1"/>
  <c r="BJ656" i="1"/>
  <c r="BJ655" i="1"/>
  <c r="BJ654" i="1"/>
  <c r="BJ653" i="1"/>
  <c r="BJ652" i="1"/>
  <c r="BJ651" i="1"/>
  <c r="BJ650" i="1"/>
  <c r="BJ649" i="1"/>
  <c r="BJ648" i="1"/>
  <c r="BJ647" i="1"/>
  <c r="BJ646" i="1"/>
  <c r="BJ645" i="1"/>
  <c r="BJ644" i="1"/>
  <c r="BJ643" i="1"/>
  <c r="BJ642" i="1"/>
  <c r="BJ641" i="1"/>
  <c r="BJ640" i="1"/>
  <c r="BJ639" i="1"/>
  <c r="BJ638" i="1"/>
  <c r="BJ637" i="1"/>
  <c r="BJ636" i="1"/>
  <c r="BJ635" i="1"/>
  <c r="BJ634" i="1"/>
  <c r="BJ633" i="1"/>
  <c r="BJ632" i="1"/>
  <c r="BJ631" i="1"/>
  <c r="BJ630" i="1"/>
  <c r="BJ629" i="1"/>
  <c r="BJ628" i="1"/>
  <c r="BJ627" i="1"/>
  <c r="BJ626" i="1"/>
  <c r="BJ625" i="1"/>
  <c r="BJ624" i="1"/>
  <c r="BJ623" i="1"/>
  <c r="BJ622" i="1"/>
  <c r="BJ621" i="1"/>
  <c r="BJ620" i="1"/>
  <c r="BJ619" i="1"/>
  <c r="BJ618" i="1"/>
  <c r="BJ617" i="1"/>
  <c r="BJ616" i="1"/>
  <c r="BJ615" i="1"/>
  <c r="BJ614" i="1"/>
  <c r="BJ613" i="1"/>
  <c r="BJ612" i="1"/>
  <c r="BJ611" i="1"/>
  <c r="BJ610" i="1"/>
  <c r="BJ609" i="1"/>
  <c r="BJ608" i="1"/>
  <c r="BJ607" i="1"/>
  <c r="BJ606" i="1"/>
  <c r="BJ605" i="1"/>
  <c r="BJ604" i="1"/>
  <c r="BJ603" i="1"/>
  <c r="BJ602" i="1"/>
  <c r="BJ601" i="1"/>
  <c r="BJ600" i="1"/>
  <c r="BJ599" i="1"/>
  <c r="BJ598" i="1"/>
  <c r="BJ597" i="1"/>
  <c r="BJ596" i="1"/>
  <c r="BJ595" i="1"/>
  <c r="BJ594" i="1"/>
  <c r="BJ593" i="1"/>
  <c r="BJ592" i="1"/>
  <c r="BJ591" i="1"/>
  <c r="BJ590" i="1"/>
  <c r="BJ589" i="1"/>
  <c r="BJ588" i="1"/>
  <c r="BJ587" i="1"/>
  <c r="BJ586" i="1"/>
  <c r="BJ585" i="1"/>
  <c r="BJ584" i="1"/>
  <c r="BJ583" i="1"/>
  <c r="BJ582" i="1"/>
  <c r="BJ581" i="1"/>
  <c r="BJ580" i="1"/>
  <c r="BJ579" i="1"/>
  <c r="BJ578" i="1"/>
  <c r="BJ577" i="1"/>
  <c r="BJ576" i="1"/>
  <c r="BJ575" i="1"/>
  <c r="BJ574" i="1"/>
  <c r="BJ573" i="1"/>
  <c r="BJ572" i="1"/>
  <c r="BJ571" i="1"/>
  <c r="BJ570" i="1"/>
  <c r="BJ569" i="1"/>
  <c r="BJ565" i="1"/>
  <c r="BJ566" i="1" s="1"/>
  <c r="BH662" i="1"/>
  <c r="BH661" i="1"/>
  <c r="BH660" i="1"/>
  <c r="BH659" i="1"/>
  <c r="BH658" i="1"/>
  <c r="BH657" i="1"/>
  <c r="BH656" i="1"/>
  <c r="BH655" i="1"/>
  <c r="BH654" i="1"/>
  <c r="BH653" i="1"/>
  <c r="BH652" i="1"/>
  <c r="BH651" i="1"/>
  <c r="BH650" i="1"/>
  <c r="BH649" i="1"/>
  <c r="BH648" i="1"/>
  <c r="BH647" i="1"/>
  <c r="BH646" i="1"/>
  <c r="BH645" i="1"/>
  <c r="BH644" i="1"/>
  <c r="BH643" i="1"/>
  <c r="BH642" i="1"/>
  <c r="BH641" i="1"/>
  <c r="BH640" i="1"/>
  <c r="BH639" i="1"/>
  <c r="BH638" i="1"/>
  <c r="BH637" i="1"/>
  <c r="BH636" i="1"/>
  <c r="BH635" i="1"/>
  <c r="BH634" i="1"/>
  <c r="BH633" i="1"/>
  <c r="BH632" i="1"/>
  <c r="BH631" i="1"/>
  <c r="BH630" i="1"/>
  <c r="BH629" i="1"/>
  <c r="BH628" i="1"/>
  <c r="BH627" i="1"/>
  <c r="BH626" i="1"/>
  <c r="BH625" i="1"/>
  <c r="BH624" i="1"/>
  <c r="BH623" i="1"/>
  <c r="BH622" i="1"/>
  <c r="BH621" i="1"/>
  <c r="BH620" i="1"/>
  <c r="BH619" i="1"/>
  <c r="BH618" i="1"/>
  <c r="BH617" i="1"/>
  <c r="BH616" i="1"/>
  <c r="BH615" i="1"/>
  <c r="BH614" i="1"/>
  <c r="BH613" i="1"/>
  <c r="BH612" i="1"/>
  <c r="BH611" i="1"/>
  <c r="BH610" i="1"/>
  <c r="BH609" i="1"/>
  <c r="BH608" i="1"/>
  <c r="BH607" i="1"/>
  <c r="BH606" i="1"/>
  <c r="BH605" i="1"/>
  <c r="BH604" i="1"/>
  <c r="BH603" i="1"/>
  <c r="BH602" i="1"/>
  <c r="BH601" i="1"/>
  <c r="BH600" i="1"/>
  <c r="BH599" i="1"/>
  <c r="BH598" i="1"/>
  <c r="BH597" i="1"/>
  <c r="BH596" i="1"/>
  <c r="BH595" i="1"/>
  <c r="BH594" i="1"/>
  <c r="BH593" i="1"/>
  <c r="BH592" i="1"/>
  <c r="BH591" i="1"/>
  <c r="BH590" i="1"/>
  <c r="BH589" i="1"/>
  <c r="BH588" i="1"/>
  <c r="BH587" i="1"/>
  <c r="BH586" i="1"/>
  <c r="BH585" i="1"/>
  <c r="BH584" i="1"/>
  <c r="BH583" i="1"/>
  <c r="BH582" i="1"/>
  <c r="BH581" i="1"/>
  <c r="BH580" i="1"/>
  <c r="BH579" i="1"/>
  <c r="BH578" i="1"/>
  <c r="BH577" i="1"/>
  <c r="BH576" i="1"/>
  <c r="BH575" i="1"/>
  <c r="BH574" i="1"/>
  <c r="BH573" i="1"/>
  <c r="BH572" i="1"/>
  <c r="BH571" i="1"/>
  <c r="BH570" i="1"/>
  <c r="BH569" i="1"/>
  <c r="BH565" i="1"/>
  <c r="BH566" i="1" s="1"/>
  <c r="BF662" i="1"/>
  <c r="BF661" i="1"/>
  <c r="BF660" i="1"/>
  <c r="BF659" i="1"/>
  <c r="BF658" i="1"/>
  <c r="BF657" i="1"/>
  <c r="BF656" i="1"/>
  <c r="BF655" i="1"/>
  <c r="BF654" i="1"/>
  <c r="BF653" i="1"/>
  <c r="BF652" i="1"/>
  <c r="BF651" i="1"/>
  <c r="BF650" i="1"/>
  <c r="BF649" i="1"/>
  <c r="BF648" i="1"/>
  <c r="BF647" i="1"/>
  <c r="BF646" i="1"/>
  <c r="BF645" i="1"/>
  <c r="BF644" i="1"/>
  <c r="BF643" i="1"/>
  <c r="BF642" i="1"/>
  <c r="BF641" i="1"/>
  <c r="BF640" i="1"/>
  <c r="BF639" i="1"/>
  <c r="BF638" i="1"/>
  <c r="BF637" i="1"/>
  <c r="BF636" i="1"/>
  <c r="BF635" i="1"/>
  <c r="BF634" i="1"/>
  <c r="BF633" i="1"/>
  <c r="BF632" i="1"/>
  <c r="BF631" i="1"/>
  <c r="BF630" i="1"/>
  <c r="BF629" i="1"/>
  <c r="BF628" i="1"/>
  <c r="BF627" i="1"/>
  <c r="BF626" i="1"/>
  <c r="BF625" i="1"/>
  <c r="BF624" i="1"/>
  <c r="BF623" i="1"/>
  <c r="BF622" i="1"/>
  <c r="BF621" i="1"/>
  <c r="BF620" i="1"/>
  <c r="BF619" i="1"/>
  <c r="BF618" i="1"/>
  <c r="BF617" i="1"/>
  <c r="BF616" i="1"/>
  <c r="BF615" i="1"/>
  <c r="BF614" i="1"/>
  <c r="BF613" i="1"/>
  <c r="BF612" i="1"/>
  <c r="BF611" i="1"/>
  <c r="BF610" i="1"/>
  <c r="BF609" i="1"/>
  <c r="BF608" i="1"/>
  <c r="BF607" i="1"/>
  <c r="BF606" i="1"/>
  <c r="BF605" i="1"/>
  <c r="BF604" i="1"/>
  <c r="BF603" i="1"/>
  <c r="BF602" i="1"/>
  <c r="BF601" i="1"/>
  <c r="BF600" i="1"/>
  <c r="BF599" i="1"/>
  <c r="BF598" i="1"/>
  <c r="BF597" i="1"/>
  <c r="BF596" i="1"/>
  <c r="BF595" i="1"/>
  <c r="BF594" i="1"/>
  <c r="BF593" i="1"/>
  <c r="BF592" i="1"/>
  <c r="BF591" i="1"/>
  <c r="BF590" i="1"/>
  <c r="BF589" i="1"/>
  <c r="BF588" i="1"/>
  <c r="BF587" i="1"/>
  <c r="BF586" i="1"/>
  <c r="BF585" i="1"/>
  <c r="BF584" i="1"/>
  <c r="BF583" i="1"/>
  <c r="BF582" i="1"/>
  <c r="BF581" i="1"/>
  <c r="BF580" i="1"/>
  <c r="BF579" i="1"/>
  <c r="BF578" i="1"/>
  <c r="BF577" i="1"/>
  <c r="BF576" i="1"/>
  <c r="BF575" i="1"/>
  <c r="BF574" i="1"/>
  <c r="BF573" i="1"/>
  <c r="BF572" i="1"/>
  <c r="BF571" i="1"/>
  <c r="BF570" i="1"/>
  <c r="BF569" i="1"/>
  <c r="BF565" i="1"/>
  <c r="BF566" i="1" s="1"/>
  <c r="BD662" i="1"/>
  <c r="BD661" i="1"/>
  <c r="BD660" i="1"/>
  <c r="BD659" i="1"/>
  <c r="BD658" i="1"/>
  <c r="BD657" i="1"/>
  <c r="BD656" i="1"/>
  <c r="BD655" i="1"/>
  <c r="BD654" i="1"/>
  <c r="BD653" i="1"/>
  <c r="BD652" i="1"/>
  <c r="BD651" i="1"/>
  <c r="BD650" i="1"/>
  <c r="BD649" i="1"/>
  <c r="BD648" i="1"/>
  <c r="BD647" i="1"/>
  <c r="BD646" i="1"/>
  <c r="BD645" i="1"/>
  <c r="BD644" i="1"/>
  <c r="BD643" i="1"/>
  <c r="BD642" i="1"/>
  <c r="BD641" i="1"/>
  <c r="BD640" i="1"/>
  <c r="BD639" i="1"/>
  <c r="BD638" i="1"/>
  <c r="BD637" i="1"/>
  <c r="BD636" i="1"/>
  <c r="BD635" i="1"/>
  <c r="BD634" i="1"/>
  <c r="BD633" i="1"/>
  <c r="BD632" i="1"/>
  <c r="BD631" i="1"/>
  <c r="BD630" i="1"/>
  <c r="BD629" i="1"/>
  <c r="BD628" i="1"/>
  <c r="BD627" i="1"/>
  <c r="BD626" i="1"/>
  <c r="BD625" i="1"/>
  <c r="BD624" i="1"/>
  <c r="BD623" i="1"/>
  <c r="BD622" i="1"/>
  <c r="BD621" i="1"/>
  <c r="BD620" i="1"/>
  <c r="BD619" i="1"/>
  <c r="BD618" i="1"/>
  <c r="BD617" i="1"/>
  <c r="BD616" i="1"/>
  <c r="BD615" i="1"/>
  <c r="BD614" i="1"/>
  <c r="BD613" i="1"/>
  <c r="BD612" i="1"/>
  <c r="BD611" i="1"/>
  <c r="BD610" i="1"/>
  <c r="BD609" i="1"/>
  <c r="BD608" i="1"/>
  <c r="BD607" i="1"/>
  <c r="BD606" i="1"/>
  <c r="BD605" i="1"/>
  <c r="BD604" i="1"/>
  <c r="BD603" i="1"/>
  <c r="BD602" i="1"/>
  <c r="BD601" i="1"/>
  <c r="BD600" i="1"/>
  <c r="BD599" i="1"/>
  <c r="BD598" i="1"/>
  <c r="BD597" i="1"/>
  <c r="BD596" i="1"/>
  <c r="BD595" i="1"/>
  <c r="BD594" i="1"/>
  <c r="BD593" i="1"/>
  <c r="BD592" i="1"/>
  <c r="BD591" i="1"/>
  <c r="BD590" i="1"/>
  <c r="BD589" i="1"/>
  <c r="BD588" i="1"/>
  <c r="BD587" i="1"/>
  <c r="BD586" i="1"/>
  <c r="BD585" i="1"/>
  <c r="BD584" i="1"/>
  <c r="BD583" i="1"/>
  <c r="BD582" i="1"/>
  <c r="BD581" i="1"/>
  <c r="BD580" i="1"/>
  <c r="BD579" i="1"/>
  <c r="BD578" i="1"/>
  <c r="BD577" i="1"/>
  <c r="BD576" i="1"/>
  <c r="BD575" i="1"/>
  <c r="BD574" i="1"/>
  <c r="BD573" i="1"/>
  <c r="BD572" i="1"/>
  <c r="BD571" i="1"/>
  <c r="BD570" i="1"/>
  <c r="BD569" i="1"/>
  <c r="BD565" i="1"/>
  <c r="BD566" i="1" s="1"/>
  <c r="BB662" i="1"/>
  <c r="BB661" i="1"/>
  <c r="BB660" i="1"/>
  <c r="BB659" i="1"/>
  <c r="BB658" i="1"/>
  <c r="BB657" i="1"/>
  <c r="BB656" i="1"/>
  <c r="BB655" i="1"/>
  <c r="BB654" i="1"/>
  <c r="BB653" i="1"/>
  <c r="BB652" i="1"/>
  <c r="BB651" i="1"/>
  <c r="BB650" i="1"/>
  <c r="BB649" i="1"/>
  <c r="BB648" i="1"/>
  <c r="BB647" i="1"/>
  <c r="BB646" i="1"/>
  <c r="BB645" i="1"/>
  <c r="BB644" i="1"/>
  <c r="BB643" i="1"/>
  <c r="BB642" i="1"/>
  <c r="BB641" i="1"/>
  <c r="BB640" i="1"/>
  <c r="BB639" i="1"/>
  <c r="BB638" i="1"/>
  <c r="BB637" i="1"/>
  <c r="BB636" i="1"/>
  <c r="BB635" i="1"/>
  <c r="BB634" i="1"/>
  <c r="BB633" i="1"/>
  <c r="BB632" i="1"/>
  <c r="BB631" i="1"/>
  <c r="BB630" i="1"/>
  <c r="BB629" i="1"/>
  <c r="BB628" i="1"/>
  <c r="BB627" i="1"/>
  <c r="BB626" i="1"/>
  <c r="BB625" i="1"/>
  <c r="BB624" i="1"/>
  <c r="BB623" i="1"/>
  <c r="BB622" i="1"/>
  <c r="BB621" i="1"/>
  <c r="BB620" i="1"/>
  <c r="BB619" i="1"/>
  <c r="BB618" i="1"/>
  <c r="BB617" i="1"/>
  <c r="BB616" i="1"/>
  <c r="BB615" i="1"/>
  <c r="BB614" i="1"/>
  <c r="BB613" i="1"/>
  <c r="BB612" i="1"/>
  <c r="BB611" i="1"/>
  <c r="BB610" i="1"/>
  <c r="BB609" i="1"/>
  <c r="BB608" i="1"/>
  <c r="BB607" i="1"/>
  <c r="BB606" i="1"/>
  <c r="BB605" i="1"/>
  <c r="BB604" i="1"/>
  <c r="BB603" i="1"/>
  <c r="BB602" i="1"/>
  <c r="BB601" i="1"/>
  <c r="BB600" i="1"/>
  <c r="BB599" i="1"/>
  <c r="BB598" i="1"/>
  <c r="BB597" i="1"/>
  <c r="BB596" i="1"/>
  <c r="BB595" i="1"/>
  <c r="BB594" i="1"/>
  <c r="BB593" i="1"/>
  <c r="BB592" i="1"/>
  <c r="BB591" i="1"/>
  <c r="BB590" i="1"/>
  <c r="BB589" i="1"/>
  <c r="BB588" i="1"/>
  <c r="BB587" i="1"/>
  <c r="BB586" i="1"/>
  <c r="BB585" i="1"/>
  <c r="BB584" i="1"/>
  <c r="BB583" i="1"/>
  <c r="BB582" i="1"/>
  <c r="BB581" i="1"/>
  <c r="BB580" i="1"/>
  <c r="BB579" i="1"/>
  <c r="BB578" i="1"/>
  <c r="BB577" i="1"/>
  <c r="BB576" i="1"/>
  <c r="BB575" i="1"/>
  <c r="BB574" i="1"/>
  <c r="BB573" i="1"/>
  <c r="BB572" i="1"/>
  <c r="BB571" i="1"/>
  <c r="BB570" i="1"/>
  <c r="BB569" i="1"/>
  <c r="BB565" i="1"/>
  <c r="BB566" i="1" s="1"/>
  <c r="AX662" i="1"/>
  <c r="AX661" i="1"/>
  <c r="AX660" i="1"/>
  <c r="AX659" i="1"/>
  <c r="AX658" i="1"/>
  <c r="AX657" i="1"/>
  <c r="AX656" i="1"/>
  <c r="AX655" i="1"/>
  <c r="AX654" i="1"/>
  <c r="AX653" i="1"/>
  <c r="AX652" i="1"/>
  <c r="AX651" i="1"/>
  <c r="AX650" i="1"/>
  <c r="AX649" i="1"/>
  <c r="AX648" i="1"/>
  <c r="AX647" i="1"/>
  <c r="AX646" i="1"/>
  <c r="AX645" i="1"/>
  <c r="AX644" i="1"/>
  <c r="AX643" i="1"/>
  <c r="AX642" i="1"/>
  <c r="AX641" i="1"/>
  <c r="AX640" i="1"/>
  <c r="AX639" i="1"/>
  <c r="AX638" i="1"/>
  <c r="AX637" i="1"/>
  <c r="AX636" i="1"/>
  <c r="AX635" i="1"/>
  <c r="AX634" i="1"/>
  <c r="AX633" i="1"/>
  <c r="AX632" i="1"/>
  <c r="AX631" i="1"/>
  <c r="AX630" i="1"/>
  <c r="AX629" i="1"/>
  <c r="AX628" i="1"/>
  <c r="AX627" i="1"/>
  <c r="AX626" i="1"/>
  <c r="AX625" i="1"/>
  <c r="AX624" i="1"/>
  <c r="AX623" i="1"/>
  <c r="AX622" i="1"/>
  <c r="AX621" i="1"/>
  <c r="AX620" i="1"/>
  <c r="AX619" i="1"/>
  <c r="AX618" i="1"/>
  <c r="AX617" i="1"/>
  <c r="AX616" i="1"/>
  <c r="AX615" i="1"/>
  <c r="AX614" i="1"/>
  <c r="AX613" i="1"/>
  <c r="AX612" i="1"/>
  <c r="AX611" i="1"/>
  <c r="AX610" i="1"/>
  <c r="AX609" i="1"/>
  <c r="AX608" i="1"/>
  <c r="AX607" i="1"/>
  <c r="AX606" i="1"/>
  <c r="AX605" i="1"/>
  <c r="AX604" i="1"/>
  <c r="AX603" i="1"/>
  <c r="AX602" i="1"/>
  <c r="AX601" i="1"/>
  <c r="AX600" i="1"/>
  <c r="AX599" i="1"/>
  <c r="AX598" i="1"/>
  <c r="AX597" i="1"/>
  <c r="AX596" i="1"/>
  <c r="AX595" i="1"/>
  <c r="AX594" i="1"/>
  <c r="AX593" i="1"/>
  <c r="AX592" i="1"/>
  <c r="AX591" i="1"/>
  <c r="AX590" i="1"/>
  <c r="AX589" i="1"/>
  <c r="AX588" i="1"/>
  <c r="AX587" i="1"/>
  <c r="AX586" i="1"/>
  <c r="AX585" i="1"/>
  <c r="AX584" i="1"/>
  <c r="AX583" i="1"/>
  <c r="AX582" i="1"/>
  <c r="AX581" i="1"/>
  <c r="AX580" i="1"/>
  <c r="AX579" i="1"/>
  <c r="AX578" i="1"/>
  <c r="AX577" i="1"/>
  <c r="AX576" i="1"/>
  <c r="AX575" i="1"/>
  <c r="AX574" i="1"/>
  <c r="AX573" i="1"/>
  <c r="AX572" i="1"/>
  <c r="AX571" i="1"/>
  <c r="AX570" i="1"/>
  <c r="AX569" i="1"/>
  <c r="AX565" i="1"/>
  <c r="AX566" i="1" s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5" i="1"/>
  <c r="AU566" i="1" s="1"/>
  <c r="AS662" i="1"/>
  <c r="AS661" i="1"/>
  <c r="AS660" i="1"/>
  <c r="AS659" i="1"/>
  <c r="AS658" i="1"/>
  <c r="AS657" i="1"/>
  <c r="AS656" i="1"/>
  <c r="AS655" i="1"/>
  <c r="AS654" i="1"/>
  <c r="AS653" i="1"/>
  <c r="AS652" i="1"/>
  <c r="AS651" i="1"/>
  <c r="AS650" i="1"/>
  <c r="AS649" i="1"/>
  <c r="AS648" i="1"/>
  <c r="AS647" i="1"/>
  <c r="AS646" i="1"/>
  <c r="AS645" i="1"/>
  <c r="AS644" i="1"/>
  <c r="AS643" i="1"/>
  <c r="AS642" i="1"/>
  <c r="AS641" i="1"/>
  <c r="AS640" i="1"/>
  <c r="AS639" i="1"/>
  <c r="AS638" i="1"/>
  <c r="AS637" i="1"/>
  <c r="AS636" i="1"/>
  <c r="AS635" i="1"/>
  <c r="AS634" i="1"/>
  <c r="AS633" i="1"/>
  <c r="AS632" i="1"/>
  <c r="AS631" i="1"/>
  <c r="AS630" i="1"/>
  <c r="AS629" i="1"/>
  <c r="AS628" i="1"/>
  <c r="AS627" i="1"/>
  <c r="AS626" i="1"/>
  <c r="AS625" i="1"/>
  <c r="AS624" i="1"/>
  <c r="AS623" i="1"/>
  <c r="AS622" i="1"/>
  <c r="AS621" i="1"/>
  <c r="AS620" i="1"/>
  <c r="AS619" i="1"/>
  <c r="AS618" i="1"/>
  <c r="AS617" i="1"/>
  <c r="AS616" i="1"/>
  <c r="AS615" i="1"/>
  <c r="AS613" i="1"/>
  <c r="AS612" i="1"/>
  <c r="AS611" i="1"/>
  <c r="AS610" i="1"/>
  <c r="AS609" i="1"/>
  <c r="AS608" i="1"/>
  <c r="AS607" i="1"/>
  <c r="AS606" i="1"/>
  <c r="AS605" i="1"/>
  <c r="AS604" i="1"/>
  <c r="AS603" i="1"/>
  <c r="AS602" i="1"/>
  <c r="AS601" i="1"/>
  <c r="AS600" i="1"/>
  <c r="AS599" i="1"/>
  <c r="AS598" i="1"/>
  <c r="AS597" i="1"/>
  <c r="AS596" i="1"/>
  <c r="AS595" i="1"/>
  <c r="AS594" i="1"/>
  <c r="AS593" i="1"/>
  <c r="AS592" i="1"/>
  <c r="AS591" i="1"/>
  <c r="AS590" i="1"/>
  <c r="AS589" i="1"/>
  <c r="AS588" i="1"/>
  <c r="AS587" i="1"/>
  <c r="AS586" i="1"/>
  <c r="AS585" i="1"/>
  <c r="AS584" i="1"/>
  <c r="AS583" i="1"/>
  <c r="AS582" i="1"/>
  <c r="AS581" i="1"/>
  <c r="AS580" i="1"/>
  <c r="AS579" i="1"/>
  <c r="AS578" i="1"/>
  <c r="AS577" i="1"/>
  <c r="AS576" i="1"/>
  <c r="AS575" i="1"/>
  <c r="AS574" i="1"/>
  <c r="AS573" i="1"/>
  <c r="AS572" i="1"/>
  <c r="AS571" i="1"/>
  <c r="AS570" i="1"/>
  <c r="AS569" i="1"/>
  <c r="AS565" i="1"/>
  <c r="AS566" i="1" s="1"/>
  <c r="AQ662" i="1"/>
  <c r="AQ661" i="1"/>
  <c r="AQ660" i="1"/>
  <c r="AQ659" i="1"/>
  <c r="AQ658" i="1"/>
  <c r="AQ657" i="1"/>
  <c r="AQ656" i="1"/>
  <c r="AQ655" i="1"/>
  <c r="AQ654" i="1"/>
  <c r="AQ653" i="1"/>
  <c r="AQ652" i="1"/>
  <c r="AQ651" i="1"/>
  <c r="AQ650" i="1"/>
  <c r="AQ649" i="1"/>
  <c r="AQ648" i="1"/>
  <c r="AQ647" i="1"/>
  <c r="AQ646" i="1"/>
  <c r="AQ645" i="1"/>
  <c r="AQ644" i="1"/>
  <c r="AQ643" i="1"/>
  <c r="AQ642" i="1"/>
  <c r="AQ641" i="1"/>
  <c r="AQ640" i="1"/>
  <c r="AQ639" i="1"/>
  <c r="AQ638" i="1"/>
  <c r="AQ637" i="1"/>
  <c r="AQ636" i="1"/>
  <c r="AQ635" i="1"/>
  <c r="AQ634" i="1"/>
  <c r="AQ633" i="1"/>
  <c r="AQ632" i="1"/>
  <c r="AQ631" i="1"/>
  <c r="AQ630" i="1"/>
  <c r="AQ629" i="1"/>
  <c r="AQ628" i="1"/>
  <c r="AQ627" i="1"/>
  <c r="AQ626" i="1"/>
  <c r="AQ625" i="1"/>
  <c r="AQ624" i="1"/>
  <c r="AQ623" i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AQ606" i="1"/>
  <c r="AQ605" i="1"/>
  <c r="AQ604" i="1"/>
  <c r="AQ603" i="1"/>
  <c r="AQ602" i="1"/>
  <c r="AQ601" i="1"/>
  <c r="AQ600" i="1"/>
  <c r="AQ599" i="1"/>
  <c r="AQ598" i="1"/>
  <c r="AQ597" i="1"/>
  <c r="AQ596" i="1"/>
  <c r="AQ595" i="1"/>
  <c r="AQ594" i="1"/>
  <c r="AQ593" i="1"/>
  <c r="AQ592" i="1"/>
  <c r="AQ591" i="1"/>
  <c r="AQ590" i="1"/>
  <c r="AQ589" i="1"/>
  <c r="AQ588" i="1"/>
  <c r="AQ587" i="1"/>
  <c r="AQ586" i="1"/>
  <c r="AQ585" i="1"/>
  <c r="AQ584" i="1"/>
  <c r="AQ583" i="1"/>
  <c r="AQ582" i="1"/>
  <c r="AQ581" i="1"/>
  <c r="AQ580" i="1"/>
  <c r="AQ579" i="1"/>
  <c r="AQ578" i="1"/>
  <c r="AQ577" i="1"/>
  <c r="AQ576" i="1"/>
  <c r="AQ575" i="1"/>
  <c r="AQ574" i="1"/>
  <c r="AQ573" i="1"/>
  <c r="AQ572" i="1"/>
  <c r="AQ571" i="1"/>
  <c r="AQ570" i="1"/>
  <c r="AQ569" i="1"/>
  <c r="AQ565" i="1"/>
  <c r="AQ566" i="1" s="1"/>
  <c r="AO662" i="1"/>
  <c r="AO661" i="1"/>
  <c r="AO660" i="1"/>
  <c r="AO659" i="1"/>
  <c r="AO658" i="1"/>
  <c r="AO657" i="1"/>
  <c r="AO656" i="1"/>
  <c r="AO655" i="1"/>
  <c r="AO654" i="1"/>
  <c r="AO653" i="1"/>
  <c r="AO652" i="1"/>
  <c r="AO651" i="1"/>
  <c r="AO650" i="1"/>
  <c r="AO649" i="1"/>
  <c r="AO648" i="1"/>
  <c r="AO647" i="1"/>
  <c r="AO646" i="1"/>
  <c r="AO645" i="1"/>
  <c r="AO644" i="1"/>
  <c r="AO643" i="1"/>
  <c r="AO642" i="1"/>
  <c r="AO641" i="1"/>
  <c r="AO640" i="1"/>
  <c r="AO639" i="1"/>
  <c r="AO638" i="1"/>
  <c r="AO637" i="1"/>
  <c r="AO636" i="1"/>
  <c r="AO635" i="1"/>
  <c r="AO634" i="1"/>
  <c r="AO633" i="1"/>
  <c r="AO632" i="1"/>
  <c r="AO631" i="1"/>
  <c r="AO630" i="1"/>
  <c r="AO629" i="1"/>
  <c r="AO628" i="1"/>
  <c r="AO627" i="1"/>
  <c r="AO626" i="1"/>
  <c r="AO625" i="1"/>
  <c r="AO624" i="1"/>
  <c r="AO623" i="1"/>
  <c r="AO622" i="1"/>
  <c r="AO621" i="1"/>
  <c r="AO620" i="1"/>
  <c r="AO619" i="1"/>
  <c r="AO618" i="1"/>
  <c r="AO617" i="1"/>
  <c r="AO616" i="1"/>
  <c r="AO615" i="1"/>
  <c r="AO614" i="1"/>
  <c r="AO613" i="1"/>
  <c r="AO612" i="1"/>
  <c r="AO611" i="1"/>
  <c r="AO610" i="1"/>
  <c r="AO609" i="1"/>
  <c r="AO608" i="1"/>
  <c r="AO607" i="1"/>
  <c r="AO606" i="1"/>
  <c r="AO605" i="1"/>
  <c r="AO604" i="1"/>
  <c r="AO603" i="1"/>
  <c r="AO602" i="1"/>
  <c r="AO601" i="1"/>
  <c r="AO600" i="1"/>
  <c r="AO599" i="1"/>
  <c r="AO598" i="1"/>
  <c r="AO597" i="1"/>
  <c r="AO596" i="1"/>
  <c r="AO595" i="1"/>
  <c r="AO594" i="1"/>
  <c r="AO593" i="1"/>
  <c r="AO592" i="1"/>
  <c r="AO591" i="1"/>
  <c r="AO590" i="1"/>
  <c r="AO589" i="1"/>
  <c r="AO588" i="1"/>
  <c r="AO587" i="1"/>
  <c r="AO586" i="1"/>
  <c r="AO585" i="1"/>
  <c r="AO584" i="1"/>
  <c r="AO583" i="1"/>
  <c r="AO582" i="1"/>
  <c r="AO581" i="1"/>
  <c r="AO580" i="1"/>
  <c r="AO579" i="1"/>
  <c r="AO578" i="1"/>
  <c r="AO577" i="1"/>
  <c r="AO576" i="1"/>
  <c r="AO575" i="1"/>
  <c r="AO574" i="1"/>
  <c r="AO573" i="1"/>
  <c r="AO572" i="1"/>
  <c r="AO571" i="1"/>
  <c r="AO570" i="1"/>
  <c r="AO569" i="1"/>
  <c r="AO565" i="1"/>
  <c r="AO566" i="1" s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5" i="1"/>
  <c r="AK566" i="1" s="1"/>
  <c r="AL565" i="1"/>
  <c r="AM565" i="1"/>
  <c r="AN565" i="1"/>
  <c r="AP565" i="1"/>
  <c r="AR565" i="1"/>
  <c r="AT565" i="1"/>
  <c r="AW565" i="1"/>
  <c r="AY565" i="1"/>
  <c r="AZ565" i="1"/>
  <c r="BA565" i="1"/>
  <c r="BC565" i="1"/>
  <c r="BE565" i="1"/>
  <c r="BG565" i="1"/>
  <c r="BI565" i="1"/>
  <c r="BL565" i="1"/>
  <c r="AG662" i="1"/>
  <c r="AG661" i="1"/>
  <c r="AG660" i="1"/>
  <c r="AG659" i="1"/>
  <c r="AG658" i="1"/>
  <c r="AG657" i="1"/>
  <c r="AG656" i="1"/>
  <c r="AG655" i="1"/>
  <c r="AG654" i="1"/>
  <c r="AG653" i="1"/>
  <c r="AG652" i="1"/>
  <c r="AG651" i="1"/>
  <c r="AG650" i="1"/>
  <c r="AG649" i="1"/>
  <c r="AG648" i="1"/>
  <c r="AG647" i="1"/>
  <c r="AG646" i="1"/>
  <c r="AG645" i="1"/>
  <c r="AG644" i="1"/>
  <c r="AG643" i="1"/>
  <c r="AG642" i="1"/>
  <c r="AG641" i="1"/>
  <c r="AG640" i="1"/>
  <c r="AG639" i="1"/>
  <c r="AG638" i="1"/>
  <c r="AG637" i="1"/>
  <c r="AG636" i="1"/>
  <c r="AG635" i="1"/>
  <c r="AG634" i="1"/>
  <c r="AG633" i="1"/>
  <c r="AG632" i="1"/>
  <c r="AG631" i="1"/>
  <c r="AG630" i="1"/>
  <c r="AG629" i="1"/>
  <c r="AG628" i="1"/>
  <c r="AG627" i="1"/>
  <c r="AG626" i="1"/>
  <c r="AG625" i="1"/>
  <c r="AG624" i="1"/>
  <c r="AG623" i="1"/>
  <c r="AG622" i="1"/>
  <c r="AG621" i="1"/>
  <c r="AG620" i="1"/>
  <c r="AG619" i="1"/>
  <c r="AG618" i="1"/>
  <c r="AG617" i="1"/>
  <c r="AG616" i="1"/>
  <c r="AG615" i="1"/>
  <c r="AG614" i="1"/>
  <c r="AG613" i="1"/>
  <c r="AG612" i="1"/>
  <c r="AG611" i="1"/>
  <c r="AG610" i="1"/>
  <c r="AG609" i="1"/>
  <c r="AG608" i="1"/>
  <c r="AG607" i="1"/>
  <c r="AG606" i="1"/>
  <c r="AG605" i="1"/>
  <c r="AG604" i="1"/>
  <c r="AG603" i="1"/>
  <c r="AG602" i="1"/>
  <c r="AG601" i="1"/>
  <c r="AG600" i="1"/>
  <c r="AG599" i="1"/>
  <c r="AG598" i="1"/>
  <c r="AG597" i="1"/>
  <c r="AG596" i="1"/>
  <c r="AG595" i="1"/>
  <c r="AG594" i="1"/>
  <c r="AG593" i="1"/>
  <c r="AG592" i="1"/>
  <c r="AG591" i="1"/>
  <c r="AG590" i="1"/>
  <c r="AG589" i="1"/>
  <c r="AG588" i="1"/>
  <c r="AG587" i="1"/>
  <c r="AG586" i="1"/>
  <c r="AG585" i="1"/>
  <c r="AG584" i="1"/>
  <c r="AG583" i="1"/>
  <c r="AG582" i="1"/>
  <c r="AG581" i="1"/>
  <c r="AG580" i="1"/>
  <c r="AG579" i="1"/>
  <c r="AG578" i="1"/>
  <c r="AG577" i="1"/>
  <c r="AG576" i="1"/>
  <c r="AG575" i="1"/>
  <c r="AG574" i="1"/>
  <c r="AG573" i="1"/>
  <c r="AG572" i="1"/>
  <c r="AG571" i="1"/>
  <c r="AG570" i="1"/>
  <c r="AG569" i="1"/>
  <c r="AG565" i="1"/>
  <c r="AG566" i="1" s="1"/>
  <c r="AE662" i="1"/>
  <c r="AD662" i="1"/>
  <c r="AC662" i="1"/>
  <c r="AB662" i="1"/>
  <c r="AA662" i="1"/>
  <c r="AE661" i="1"/>
  <c r="AD661" i="1"/>
  <c r="AC661" i="1"/>
  <c r="AB661" i="1"/>
  <c r="AA661" i="1"/>
  <c r="AE660" i="1"/>
  <c r="AD660" i="1"/>
  <c r="AC660" i="1"/>
  <c r="AB660" i="1"/>
  <c r="AA660" i="1"/>
  <c r="AE659" i="1"/>
  <c r="AD659" i="1"/>
  <c r="AC659" i="1"/>
  <c r="AB659" i="1"/>
  <c r="AA659" i="1"/>
  <c r="AE658" i="1"/>
  <c r="AD658" i="1"/>
  <c r="AC658" i="1"/>
  <c r="AB658" i="1"/>
  <c r="AA658" i="1"/>
  <c r="AE657" i="1"/>
  <c r="AD657" i="1"/>
  <c r="AC657" i="1"/>
  <c r="AB657" i="1"/>
  <c r="AA657" i="1"/>
  <c r="AE656" i="1"/>
  <c r="AD656" i="1"/>
  <c r="AC656" i="1"/>
  <c r="AB656" i="1"/>
  <c r="AA656" i="1"/>
  <c r="AE655" i="1"/>
  <c r="AD655" i="1"/>
  <c r="AC655" i="1"/>
  <c r="AB655" i="1"/>
  <c r="AA655" i="1"/>
  <c r="AE654" i="1"/>
  <c r="AD654" i="1"/>
  <c r="AC654" i="1"/>
  <c r="AB654" i="1"/>
  <c r="AA654" i="1"/>
  <c r="AE653" i="1"/>
  <c r="AD653" i="1"/>
  <c r="AC653" i="1"/>
  <c r="AB653" i="1"/>
  <c r="AA653" i="1"/>
  <c r="AE652" i="1"/>
  <c r="AD652" i="1"/>
  <c r="AC652" i="1"/>
  <c r="AB652" i="1"/>
  <c r="AA652" i="1"/>
  <c r="AE651" i="1"/>
  <c r="AD651" i="1"/>
  <c r="AC651" i="1"/>
  <c r="AB651" i="1"/>
  <c r="AA651" i="1"/>
  <c r="AE650" i="1"/>
  <c r="AD650" i="1"/>
  <c r="AC650" i="1"/>
  <c r="AB650" i="1"/>
  <c r="AA650" i="1"/>
  <c r="AE649" i="1"/>
  <c r="AD649" i="1"/>
  <c r="AC649" i="1"/>
  <c r="AB649" i="1"/>
  <c r="AA649" i="1"/>
  <c r="AE648" i="1"/>
  <c r="AD648" i="1"/>
  <c r="AC648" i="1"/>
  <c r="AB648" i="1"/>
  <c r="AA648" i="1"/>
  <c r="AE647" i="1"/>
  <c r="AD647" i="1"/>
  <c r="AC647" i="1"/>
  <c r="AB647" i="1"/>
  <c r="AA647" i="1"/>
  <c r="AE646" i="1"/>
  <c r="AD646" i="1"/>
  <c r="AC646" i="1"/>
  <c r="AB646" i="1"/>
  <c r="AA646" i="1"/>
  <c r="AE645" i="1"/>
  <c r="AD645" i="1"/>
  <c r="AC645" i="1"/>
  <c r="AB645" i="1"/>
  <c r="AA645" i="1"/>
  <c r="AE644" i="1"/>
  <c r="AD644" i="1"/>
  <c r="AC644" i="1"/>
  <c r="AB644" i="1"/>
  <c r="AA644" i="1"/>
  <c r="AE643" i="1"/>
  <c r="AD643" i="1"/>
  <c r="AC643" i="1"/>
  <c r="AB643" i="1"/>
  <c r="AA643" i="1"/>
  <c r="AE642" i="1"/>
  <c r="AD642" i="1"/>
  <c r="AC642" i="1"/>
  <c r="AB642" i="1"/>
  <c r="AA642" i="1"/>
  <c r="AE641" i="1"/>
  <c r="AD641" i="1"/>
  <c r="AC641" i="1"/>
  <c r="AB641" i="1"/>
  <c r="AA641" i="1"/>
  <c r="AE640" i="1"/>
  <c r="AD640" i="1"/>
  <c r="AC640" i="1"/>
  <c r="AB640" i="1"/>
  <c r="AA640" i="1"/>
  <c r="AE639" i="1"/>
  <c r="AD639" i="1"/>
  <c r="AC639" i="1"/>
  <c r="AB639" i="1"/>
  <c r="AA639" i="1"/>
  <c r="AE638" i="1"/>
  <c r="AD638" i="1"/>
  <c r="AC638" i="1"/>
  <c r="AB638" i="1"/>
  <c r="AA638" i="1"/>
  <c r="AE637" i="1"/>
  <c r="AD637" i="1"/>
  <c r="AC637" i="1"/>
  <c r="AB637" i="1"/>
  <c r="AA637" i="1"/>
  <c r="AE636" i="1"/>
  <c r="AD636" i="1"/>
  <c r="AC636" i="1"/>
  <c r="AB636" i="1"/>
  <c r="AA636" i="1"/>
  <c r="AE635" i="1"/>
  <c r="AD635" i="1"/>
  <c r="AC635" i="1"/>
  <c r="AB635" i="1"/>
  <c r="AA635" i="1"/>
  <c r="AE634" i="1"/>
  <c r="AD634" i="1"/>
  <c r="AC634" i="1"/>
  <c r="AB634" i="1"/>
  <c r="AA634" i="1"/>
  <c r="AE633" i="1"/>
  <c r="AD633" i="1"/>
  <c r="AC633" i="1"/>
  <c r="AB633" i="1"/>
  <c r="AA633" i="1"/>
  <c r="AE632" i="1"/>
  <c r="AD632" i="1"/>
  <c r="AC632" i="1"/>
  <c r="AB632" i="1"/>
  <c r="AA632" i="1"/>
  <c r="AE631" i="1"/>
  <c r="AD631" i="1"/>
  <c r="AC631" i="1"/>
  <c r="AB631" i="1"/>
  <c r="AA631" i="1"/>
  <c r="AE630" i="1"/>
  <c r="AD630" i="1"/>
  <c r="AC630" i="1"/>
  <c r="AB630" i="1"/>
  <c r="AA630" i="1"/>
  <c r="AE629" i="1"/>
  <c r="AD629" i="1"/>
  <c r="AC629" i="1"/>
  <c r="AB629" i="1"/>
  <c r="AA629" i="1"/>
  <c r="AE628" i="1"/>
  <c r="AD628" i="1"/>
  <c r="AC628" i="1"/>
  <c r="AB628" i="1"/>
  <c r="AA628" i="1"/>
  <c r="AE627" i="1"/>
  <c r="AD627" i="1"/>
  <c r="AC627" i="1"/>
  <c r="AB627" i="1"/>
  <c r="AA627" i="1"/>
  <c r="AE626" i="1"/>
  <c r="AD626" i="1"/>
  <c r="AC626" i="1"/>
  <c r="AB626" i="1"/>
  <c r="AA626" i="1"/>
  <c r="AE625" i="1"/>
  <c r="AD625" i="1"/>
  <c r="AC625" i="1"/>
  <c r="AB625" i="1"/>
  <c r="AA625" i="1"/>
  <c r="AE624" i="1"/>
  <c r="AD624" i="1"/>
  <c r="AC624" i="1"/>
  <c r="AB624" i="1"/>
  <c r="AA624" i="1"/>
  <c r="AE623" i="1"/>
  <c r="AD623" i="1"/>
  <c r="AC623" i="1"/>
  <c r="AB623" i="1"/>
  <c r="AA623" i="1"/>
  <c r="AE622" i="1"/>
  <c r="AD622" i="1"/>
  <c r="AC622" i="1"/>
  <c r="AB622" i="1"/>
  <c r="AA622" i="1"/>
  <c r="AE621" i="1"/>
  <c r="AD621" i="1"/>
  <c r="AC621" i="1"/>
  <c r="AB621" i="1"/>
  <c r="AA621" i="1"/>
  <c r="AE620" i="1"/>
  <c r="AD620" i="1"/>
  <c r="AC620" i="1"/>
  <c r="AB620" i="1"/>
  <c r="AA620" i="1"/>
  <c r="AE619" i="1"/>
  <c r="AD619" i="1"/>
  <c r="AC619" i="1"/>
  <c r="AB619" i="1"/>
  <c r="AA619" i="1"/>
  <c r="AE618" i="1"/>
  <c r="AD618" i="1"/>
  <c r="AC618" i="1"/>
  <c r="AB618" i="1"/>
  <c r="AA618" i="1"/>
  <c r="AE617" i="1"/>
  <c r="AD617" i="1"/>
  <c r="AC617" i="1"/>
  <c r="AB617" i="1"/>
  <c r="AA617" i="1"/>
  <c r="AE616" i="1"/>
  <c r="AD616" i="1"/>
  <c r="AC616" i="1"/>
  <c r="AB616" i="1"/>
  <c r="AA616" i="1"/>
  <c r="AE615" i="1"/>
  <c r="AD615" i="1"/>
  <c r="AC615" i="1"/>
  <c r="AB615" i="1"/>
  <c r="AA615" i="1"/>
  <c r="AE614" i="1"/>
  <c r="AD614" i="1"/>
  <c r="AC614" i="1"/>
  <c r="AB614" i="1"/>
  <c r="AA614" i="1"/>
  <c r="AE613" i="1"/>
  <c r="AD613" i="1"/>
  <c r="AC613" i="1"/>
  <c r="AB613" i="1"/>
  <c r="AA613" i="1"/>
  <c r="AE612" i="1"/>
  <c r="AD612" i="1"/>
  <c r="AC612" i="1"/>
  <c r="AB612" i="1"/>
  <c r="AA612" i="1"/>
  <c r="AE611" i="1"/>
  <c r="AD611" i="1"/>
  <c r="AC611" i="1"/>
  <c r="AB611" i="1"/>
  <c r="AA611" i="1"/>
  <c r="AE610" i="1"/>
  <c r="AD610" i="1"/>
  <c r="AC610" i="1"/>
  <c r="AB610" i="1"/>
  <c r="AA610" i="1"/>
  <c r="AE609" i="1"/>
  <c r="AD609" i="1"/>
  <c r="AC609" i="1"/>
  <c r="AB609" i="1"/>
  <c r="AA609" i="1"/>
  <c r="AE608" i="1"/>
  <c r="AD608" i="1"/>
  <c r="AC608" i="1"/>
  <c r="AB608" i="1"/>
  <c r="AA608" i="1"/>
  <c r="AE607" i="1"/>
  <c r="AD607" i="1"/>
  <c r="AC607" i="1"/>
  <c r="AB607" i="1"/>
  <c r="AA607" i="1"/>
  <c r="AE606" i="1"/>
  <c r="AD606" i="1"/>
  <c r="AC606" i="1"/>
  <c r="AB606" i="1"/>
  <c r="AA606" i="1"/>
  <c r="AE605" i="1"/>
  <c r="AD605" i="1"/>
  <c r="AC605" i="1"/>
  <c r="AB605" i="1"/>
  <c r="AA605" i="1"/>
  <c r="AE604" i="1"/>
  <c r="AD604" i="1"/>
  <c r="AC604" i="1"/>
  <c r="AB604" i="1"/>
  <c r="AA604" i="1"/>
  <c r="AE603" i="1"/>
  <c r="AD603" i="1"/>
  <c r="AC603" i="1"/>
  <c r="AB603" i="1"/>
  <c r="AA603" i="1"/>
  <c r="AE602" i="1"/>
  <c r="AD602" i="1"/>
  <c r="AC602" i="1"/>
  <c r="AB602" i="1"/>
  <c r="AA602" i="1"/>
  <c r="AE601" i="1"/>
  <c r="AD601" i="1"/>
  <c r="AC601" i="1"/>
  <c r="AB601" i="1"/>
  <c r="AA601" i="1"/>
  <c r="AE600" i="1"/>
  <c r="AD600" i="1"/>
  <c r="AC600" i="1"/>
  <c r="AB600" i="1"/>
  <c r="AA600" i="1"/>
  <c r="AE599" i="1"/>
  <c r="AD599" i="1"/>
  <c r="AC599" i="1"/>
  <c r="AB599" i="1"/>
  <c r="AA599" i="1"/>
  <c r="AE598" i="1"/>
  <c r="AD598" i="1"/>
  <c r="AC598" i="1"/>
  <c r="AB598" i="1"/>
  <c r="AA598" i="1"/>
  <c r="AE597" i="1"/>
  <c r="AD597" i="1"/>
  <c r="AC597" i="1"/>
  <c r="AB597" i="1"/>
  <c r="AA597" i="1"/>
  <c r="AE596" i="1"/>
  <c r="AD596" i="1"/>
  <c r="AC596" i="1"/>
  <c r="AB596" i="1"/>
  <c r="AA596" i="1"/>
  <c r="AE595" i="1"/>
  <c r="AD595" i="1"/>
  <c r="AC595" i="1"/>
  <c r="AB595" i="1"/>
  <c r="AA595" i="1"/>
  <c r="AE594" i="1"/>
  <c r="AD594" i="1"/>
  <c r="AC594" i="1"/>
  <c r="AB594" i="1"/>
  <c r="AA594" i="1"/>
  <c r="AE593" i="1"/>
  <c r="AD593" i="1"/>
  <c r="AC593" i="1"/>
  <c r="AB593" i="1"/>
  <c r="AA593" i="1"/>
  <c r="AE592" i="1"/>
  <c r="AD592" i="1"/>
  <c r="AC592" i="1"/>
  <c r="AB592" i="1"/>
  <c r="AA592" i="1"/>
  <c r="AE591" i="1"/>
  <c r="AD591" i="1"/>
  <c r="AC591" i="1"/>
  <c r="AB591" i="1"/>
  <c r="AA591" i="1"/>
  <c r="AE590" i="1"/>
  <c r="AD590" i="1"/>
  <c r="AC590" i="1"/>
  <c r="AB590" i="1"/>
  <c r="AA590" i="1"/>
  <c r="AE589" i="1"/>
  <c r="AD589" i="1"/>
  <c r="AC589" i="1"/>
  <c r="AB589" i="1"/>
  <c r="AA589" i="1"/>
  <c r="AE588" i="1"/>
  <c r="AD588" i="1"/>
  <c r="AC588" i="1"/>
  <c r="AB588" i="1"/>
  <c r="AA588" i="1"/>
  <c r="AE587" i="1"/>
  <c r="AD587" i="1"/>
  <c r="AC587" i="1"/>
  <c r="AB587" i="1"/>
  <c r="AA587" i="1"/>
  <c r="AE586" i="1"/>
  <c r="AD586" i="1"/>
  <c r="AC586" i="1"/>
  <c r="AB586" i="1"/>
  <c r="AA586" i="1"/>
  <c r="AE585" i="1"/>
  <c r="AD585" i="1"/>
  <c r="AC585" i="1"/>
  <c r="AB585" i="1"/>
  <c r="AA585" i="1"/>
  <c r="AE584" i="1"/>
  <c r="AD584" i="1"/>
  <c r="AC584" i="1"/>
  <c r="AB584" i="1"/>
  <c r="AA584" i="1"/>
  <c r="AE583" i="1"/>
  <c r="AD583" i="1"/>
  <c r="AC583" i="1"/>
  <c r="AB583" i="1"/>
  <c r="AA583" i="1"/>
  <c r="AE582" i="1"/>
  <c r="AD582" i="1"/>
  <c r="AC582" i="1"/>
  <c r="AB582" i="1"/>
  <c r="AA582" i="1"/>
  <c r="AE581" i="1"/>
  <c r="AD581" i="1"/>
  <c r="AC581" i="1"/>
  <c r="AB581" i="1"/>
  <c r="AA581" i="1"/>
  <c r="AE580" i="1"/>
  <c r="AD580" i="1"/>
  <c r="AC580" i="1"/>
  <c r="AB580" i="1"/>
  <c r="AA580" i="1"/>
  <c r="AE579" i="1"/>
  <c r="AD579" i="1"/>
  <c r="AC579" i="1"/>
  <c r="AB579" i="1"/>
  <c r="AA579" i="1"/>
  <c r="AE578" i="1"/>
  <c r="AD578" i="1"/>
  <c r="AC578" i="1"/>
  <c r="AB578" i="1"/>
  <c r="AA578" i="1"/>
  <c r="AE577" i="1"/>
  <c r="AD577" i="1"/>
  <c r="AC577" i="1"/>
  <c r="AB577" i="1"/>
  <c r="AA577" i="1"/>
  <c r="AE576" i="1"/>
  <c r="AD576" i="1"/>
  <c r="AC576" i="1"/>
  <c r="AB576" i="1"/>
  <c r="AA576" i="1"/>
  <c r="AE575" i="1"/>
  <c r="AD575" i="1"/>
  <c r="AC575" i="1"/>
  <c r="AB575" i="1"/>
  <c r="AA575" i="1"/>
  <c r="AE574" i="1"/>
  <c r="AD574" i="1"/>
  <c r="AC574" i="1"/>
  <c r="AB574" i="1"/>
  <c r="AA574" i="1"/>
  <c r="AE573" i="1"/>
  <c r="AD573" i="1"/>
  <c r="AC573" i="1"/>
  <c r="AB573" i="1"/>
  <c r="AA573" i="1"/>
  <c r="AE572" i="1"/>
  <c r="AD572" i="1"/>
  <c r="AC572" i="1"/>
  <c r="AB572" i="1"/>
  <c r="AA572" i="1"/>
  <c r="AE571" i="1"/>
  <c r="AD571" i="1"/>
  <c r="AC571" i="1"/>
  <c r="AB571" i="1"/>
  <c r="AA571" i="1"/>
  <c r="AE570" i="1"/>
  <c r="AD570" i="1"/>
  <c r="AC570" i="1"/>
  <c r="AB570" i="1"/>
  <c r="AA570" i="1"/>
  <c r="AE569" i="1"/>
  <c r="AD569" i="1"/>
  <c r="AC569" i="1"/>
  <c r="AB569" i="1"/>
  <c r="AA569" i="1"/>
  <c r="AE565" i="1"/>
  <c r="AE566" i="1" s="1"/>
  <c r="AD565" i="1"/>
  <c r="AD566" i="1" s="1"/>
  <c r="AC565" i="1"/>
  <c r="AC566" i="1" s="1"/>
  <c r="AB565" i="1"/>
  <c r="AB566" i="1" s="1"/>
  <c r="AA565" i="1"/>
  <c r="AA566" i="1" s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5" i="1"/>
  <c r="Z566" i="1" s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5" i="1"/>
  <c r="V566" i="1" s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5" i="1"/>
  <c r="U566" i="1" s="1"/>
  <c r="Q662" i="1"/>
  <c r="P662" i="1"/>
  <c r="O662" i="1"/>
  <c r="N662" i="1"/>
  <c r="M662" i="1"/>
  <c r="L662" i="1"/>
  <c r="I662" i="1"/>
  <c r="H662" i="1"/>
  <c r="Q661" i="1"/>
  <c r="P661" i="1"/>
  <c r="O661" i="1"/>
  <c r="N661" i="1"/>
  <c r="M661" i="1"/>
  <c r="L661" i="1"/>
  <c r="I661" i="1"/>
  <c r="H661" i="1"/>
  <c r="Q660" i="1"/>
  <c r="P660" i="1"/>
  <c r="O660" i="1"/>
  <c r="N660" i="1"/>
  <c r="M660" i="1"/>
  <c r="L660" i="1"/>
  <c r="I660" i="1"/>
  <c r="H660" i="1"/>
  <c r="Q659" i="1"/>
  <c r="P659" i="1"/>
  <c r="O659" i="1"/>
  <c r="N659" i="1"/>
  <c r="M659" i="1"/>
  <c r="L659" i="1"/>
  <c r="I659" i="1"/>
  <c r="H659" i="1"/>
  <c r="Q658" i="1"/>
  <c r="P658" i="1"/>
  <c r="O658" i="1"/>
  <c r="N658" i="1"/>
  <c r="M658" i="1"/>
  <c r="L658" i="1"/>
  <c r="I658" i="1"/>
  <c r="H658" i="1"/>
  <c r="Q657" i="1"/>
  <c r="P657" i="1"/>
  <c r="O657" i="1"/>
  <c r="N657" i="1"/>
  <c r="M657" i="1"/>
  <c r="L657" i="1"/>
  <c r="I657" i="1"/>
  <c r="H657" i="1"/>
  <c r="Q656" i="1"/>
  <c r="P656" i="1"/>
  <c r="O656" i="1"/>
  <c r="N656" i="1"/>
  <c r="M656" i="1"/>
  <c r="L656" i="1"/>
  <c r="I656" i="1"/>
  <c r="H656" i="1"/>
  <c r="Q655" i="1"/>
  <c r="P655" i="1"/>
  <c r="O655" i="1"/>
  <c r="N655" i="1"/>
  <c r="M655" i="1"/>
  <c r="L655" i="1"/>
  <c r="I655" i="1"/>
  <c r="H655" i="1"/>
  <c r="Q654" i="1"/>
  <c r="P654" i="1"/>
  <c r="O654" i="1"/>
  <c r="N654" i="1"/>
  <c r="M654" i="1"/>
  <c r="L654" i="1"/>
  <c r="I654" i="1"/>
  <c r="H654" i="1"/>
  <c r="Q653" i="1"/>
  <c r="P653" i="1"/>
  <c r="O653" i="1"/>
  <c r="N653" i="1"/>
  <c r="M653" i="1"/>
  <c r="L653" i="1"/>
  <c r="I653" i="1"/>
  <c r="H653" i="1"/>
  <c r="Q652" i="1"/>
  <c r="P652" i="1"/>
  <c r="O652" i="1"/>
  <c r="N652" i="1"/>
  <c r="M652" i="1"/>
  <c r="L652" i="1"/>
  <c r="I652" i="1"/>
  <c r="H652" i="1"/>
  <c r="Q651" i="1"/>
  <c r="P651" i="1"/>
  <c r="O651" i="1"/>
  <c r="N651" i="1"/>
  <c r="M651" i="1"/>
  <c r="L651" i="1"/>
  <c r="I651" i="1"/>
  <c r="H651" i="1"/>
  <c r="Q650" i="1"/>
  <c r="P650" i="1"/>
  <c r="O650" i="1"/>
  <c r="N650" i="1"/>
  <c r="M650" i="1"/>
  <c r="L650" i="1"/>
  <c r="I650" i="1"/>
  <c r="H650" i="1"/>
  <c r="Q649" i="1"/>
  <c r="P649" i="1"/>
  <c r="O649" i="1"/>
  <c r="N649" i="1"/>
  <c r="M649" i="1"/>
  <c r="L649" i="1"/>
  <c r="I649" i="1"/>
  <c r="H649" i="1"/>
  <c r="Q648" i="1"/>
  <c r="P648" i="1"/>
  <c r="O648" i="1"/>
  <c r="N648" i="1"/>
  <c r="M648" i="1"/>
  <c r="L648" i="1"/>
  <c r="I648" i="1"/>
  <c r="H648" i="1"/>
  <c r="Q647" i="1"/>
  <c r="P647" i="1"/>
  <c r="O647" i="1"/>
  <c r="N647" i="1"/>
  <c r="M647" i="1"/>
  <c r="L647" i="1"/>
  <c r="I647" i="1"/>
  <c r="H647" i="1"/>
  <c r="Q646" i="1"/>
  <c r="P646" i="1"/>
  <c r="O646" i="1"/>
  <c r="N646" i="1"/>
  <c r="M646" i="1"/>
  <c r="L646" i="1"/>
  <c r="I646" i="1"/>
  <c r="H646" i="1"/>
  <c r="Q645" i="1"/>
  <c r="P645" i="1"/>
  <c r="O645" i="1"/>
  <c r="N645" i="1"/>
  <c r="M645" i="1"/>
  <c r="L645" i="1"/>
  <c r="I645" i="1"/>
  <c r="H645" i="1"/>
  <c r="Q644" i="1"/>
  <c r="P644" i="1"/>
  <c r="O644" i="1"/>
  <c r="N644" i="1"/>
  <c r="M644" i="1"/>
  <c r="L644" i="1"/>
  <c r="I644" i="1"/>
  <c r="H644" i="1"/>
  <c r="Q643" i="1"/>
  <c r="P643" i="1"/>
  <c r="O643" i="1"/>
  <c r="N643" i="1"/>
  <c r="M643" i="1"/>
  <c r="L643" i="1"/>
  <c r="I643" i="1"/>
  <c r="H643" i="1"/>
  <c r="Q642" i="1"/>
  <c r="P642" i="1"/>
  <c r="O642" i="1"/>
  <c r="N642" i="1"/>
  <c r="M642" i="1"/>
  <c r="L642" i="1"/>
  <c r="I642" i="1"/>
  <c r="H642" i="1"/>
  <c r="Q641" i="1"/>
  <c r="P641" i="1"/>
  <c r="O641" i="1"/>
  <c r="N641" i="1"/>
  <c r="M641" i="1"/>
  <c r="L641" i="1"/>
  <c r="I641" i="1"/>
  <c r="H641" i="1"/>
  <c r="Q640" i="1"/>
  <c r="P640" i="1"/>
  <c r="O640" i="1"/>
  <c r="N640" i="1"/>
  <c r="M640" i="1"/>
  <c r="L640" i="1"/>
  <c r="I640" i="1"/>
  <c r="H640" i="1"/>
  <c r="Q639" i="1"/>
  <c r="P639" i="1"/>
  <c r="O639" i="1"/>
  <c r="N639" i="1"/>
  <c r="M639" i="1"/>
  <c r="L639" i="1"/>
  <c r="I639" i="1"/>
  <c r="H639" i="1"/>
  <c r="Q638" i="1"/>
  <c r="P638" i="1"/>
  <c r="O638" i="1"/>
  <c r="N638" i="1"/>
  <c r="M638" i="1"/>
  <c r="L638" i="1"/>
  <c r="I638" i="1"/>
  <c r="H638" i="1"/>
  <c r="Q637" i="1"/>
  <c r="P637" i="1"/>
  <c r="O637" i="1"/>
  <c r="N637" i="1"/>
  <c r="M637" i="1"/>
  <c r="L637" i="1"/>
  <c r="I637" i="1"/>
  <c r="H637" i="1"/>
  <c r="Q636" i="1"/>
  <c r="P636" i="1"/>
  <c r="O636" i="1"/>
  <c r="N636" i="1"/>
  <c r="M636" i="1"/>
  <c r="L636" i="1"/>
  <c r="I636" i="1"/>
  <c r="H636" i="1"/>
  <c r="Q635" i="1"/>
  <c r="P635" i="1"/>
  <c r="O635" i="1"/>
  <c r="N635" i="1"/>
  <c r="M635" i="1"/>
  <c r="L635" i="1"/>
  <c r="I635" i="1"/>
  <c r="H635" i="1"/>
  <c r="Q634" i="1"/>
  <c r="P634" i="1"/>
  <c r="O634" i="1"/>
  <c r="N634" i="1"/>
  <c r="M634" i="1"/>
  <c r="L634" i="1"/>
  <c r="I634" i="1"/>
  <c r="H634" i="1"/>
  <c r="Q633" i="1"/>
  <c r="P633" i="1"/>
  <c r="O633" i="1"/>
  <c r="N633" i="1"/>
  <c r="M633" i="1"/>
  <c r="L633" i="1"/>
  <c r="I633" i="1"/>
  <c r="H633" i="1"/>
  <c r="Q632" i="1"/>
  <c r="P632" i="1"/>
  <c r="O632" i="1"/>
  <c r="N632" i="1"/>
  <c r="M632" i="1"/>
  <c r="L632" i="1"/>
  <c r="I632" i="1"/>
  <c r="H632" i="1"/>
  <c r="Q631" i="1"/>
  <c r="P631" i="1"/>
  <c r="O631" i="1"/>
  <c r="N631" i="1"/>
  <c r="M631" i="1"/>
  <c r="L631" i="1"/>
  <c r="I631" i="1"/>
  <c r="H631" i="1"/>
  <c r="Q630" i="1"/>
  <c r="P630" i="1"/>
  <c r="O630" i="1"/>
  <c r="N630" i="1"/>
  <c r="M630" i="1"/>
  <c r="L630" i="1"/>
  <c r="I630" i="1"/>
  <c r="H630" i="1"/>
  <c r="Q629" i="1"/>
  <c r="P629" i="1"/>
  <c r="O629" i="1"/>
  <c r="N629" i="1"/>
  <c r="M629" i="1"/>
  <c r="L629" i="1"/>
  <c r="I629" i="1"/>
  <c r="H629" i="1"/>
  <c r="Q628" i="1"/>
  <c r="P628" i="1"/>
  <c r="O628" i="1"/>
  <c r="N628" i="1"/>
  <c r="M628" i="1"/>
  <c r="L628" i="1"/>
  <c r="I628" i="1"/>
  <c r="H628" i="1"/>
  <c r="Q627" i="1"/>
  <c r="P627" i="1"/>
  <c r="O627" i="1"/>
  <c r="N627" i="1"/>
  <c r="M627" i="1"/>
  <c r="L627" i="1"/>
  <c r="I627" i="1"/>
  <c r="H627" i="1"/>
  <c r="Q626" i="1"/>
  <c r="P626" i="1"/>
  <c r="O626" i="1"/>
  <c r="N626" i="1"/>
  <c r="M626" i="1"/>
  <c r="L626" i="1"/>
  <c r="I626" i="1"/>
  <c r="H626" i="1"/>
  <c r="Q625" i="1"/>
  <c r="P625" i="1"/>
  <c r="O625" i="1"/>
  <c r="N625" i="1"/>
  <c r="M625" i="1"/>
  <c r="L625" i="1"/>
  <c r="I625" i="1"/>
  <c r="H625" i="1"/>
  <c r="Q624" i="1"/>
  <c r="P624" i="1"/>
  <c r="O624" i="1"/>
  <c r="N624" i="1"/>
  <c r="M624" i="1"/>
  <c r="L624" i="1"/>
  <c r="I624" i="1"/>
  <c r="H624" i="1"/>
  <c r="Q623" i="1"/>
  <c r="P623" i="1"/>
  <c r="O623" i="1"/>
  <c r="N623" i="1"/>
  <c r="M623" i="1"/>
  <c r="L623" i="1"/>
  <c r="I623" i="1"/>
  <c r="H623" i="1"/>
  <c r="Q622" i="1"/>
  <c r="P622" i="1"/>
  <c r="O622" i="1"/>
  <c r="N622" i="1"/>
  <c r="M622" i="1"/>
  <c r="L622" i="1"/>
  <c r="I622" i="1"/>
  <c r="H622" i="1"/>
  <c r="Q621" i="1"/>
  <c r="P621" i="1"/>
  <c r="O621" i="1"/>
  <c r="N621" i="1"/>
  <c r="M621" i="1"/>
  <c r="L621" i="1"/>
  <c r="I621" i="1"/>
  <c r="H621" i="1"/>
  <c r="Q620" i="1"/>
  <c r="P620" i="1"/>
  <c r="O620" i="1"/>
  <c r="N620" i="1"/>
  <c r="M620" i="1"/>
  <c r="L620" i="1"/>
  <c r="I620" i="1"/>
  <c r="H620" i="1"/>
  <c r="Q619" i="1"/>
  <c r="P619" i="1"/>
  <c r="O619" i="1"/>
  <c r="N619" i="1"/>
  <c r="M619" i="1"/>
  <c r="L619" i="1"/>
  <c r="I619" i="1"/>
  <c r="H619" i="1"/>
  <c r="Q618" i="1"/>
  <c r="P618" i="1"/>
  <c r="O618" i="1"/>
  <c r="N618" i="1"/>
  <c r="M618" i="1"/>
  <c r="L618" i="1"/>
  <c r="I618" i="1"/>
  <c r="H618" i="1"/>
  <c r="Q617" i="1"/>
  <c r="P617" i="1"/>
  <c r="O617" i="1"/>
  <c r="N617" i="1"/>
  <c r="M617" i="1"/>
  <c r="L617" i="1"/>
  <c r="I617" i="1"/>
  <c r="H617" i="1"/>
  <c r="Q616" i="1"/>
  <c r="P616" i="1"/>
  <c r="O616" i="1"/>
  <c r="N616" i="1"/>
  <c r="M616" i="1"/>
  <c r="L616" i="1"/>
  <c r="I616" i="1"/>
  <c r="H616" i="1"/>
  <c r="Q615" i="1"/>
  <c r="P615" i="1"/>
  <c r="O615" i="1"/>
  <c r="N615" i="1"/>
  <c r="M615" i="1"/>
  <c r="L615" i="1"/>
  <c r="I615" i="1"/>
  <c r="H615" i="1"/>
  <c r="Q614" i="1"/>
  <c r="P614" i="1"/>
  <c r="O614" i="1"/>
  <c r="N614" i="1"/>
  <c r="M614" i="1"/>
  <c r="L614" i="1"/>
  <c r="I614" i="1"/>
  <c r="H614" i="1"/>
  <c r="Q613" i="1"/>
  <c r="P613" i="1"/>
  <c r="O613" i="1"/>
  <c r="N613" i="1"/>
  <c r="M613" i="1"/>
  <c r="L613" i="1"/>
  <c r="I613" i="1"/>
  <c r="H613" i="1"/>
  <c r="Q612" i="1"/>
  <c r="P612" i="1"/>
  <c r="O612" i="1"/>
  <c r="N612" i="1"/>
  <c r="M612" i="1"/>
  <c r="L612" i="1"/>
  <c r="I612" i="1"/>
  <c r="H612" i="1"/>
  <c r="Q611" i="1"/>
  <c r="P611" i="1"/>
  <c r="O611" i="1"/>
  <c r="N611" i="1"/>
  <c r="M611" i="1"/>
  <c r="L611" i="1"/>
  <c r="I611" i="1"/>
  <c r="H611" i="1"/>
  <c r="Q610" i="1"/>
  <c r="P610" i="1"/>
  <c r="O610" i="1"/>
  <c r="N610" i="1"/>
  <c r="M610" i="1"/>
  <c r="L610" i="1"/>
  <c r="I610" i="1"/>
  <c r="H610" i="1"/>
  <c r="Q609" i="1"/>
  <c r="P609" i="1"/>
  <c r="O609" i="1"/>
  <c r="N609" i="1"/>
  <c r="M609" i="1"/>
  <c r="L609" i="1"/>
  <c r="I609" i="1"/>
  <c r="H609" i="1"/>
  <c r="Q608" i="1"/>
  <c r="P608" i="1"/>
  <c r="O608" i="1"/>
  <c r="N608" i="1"/>
  <c r="M608" i="1"/>
  <c r="L608" i="1"/>
  <c r="I608" i="1"/>
  <c r="H608" i="1"/>
  <c r="Q607" i="1"/>
  <c r="P607" i="1"/>
  <c r="O607" i="1"/>
  <c r="N607" i="1"/>
  <c r="M607" i="1"/>
  <c r="L607" i="1"/>
  <c r="I607" i="1"/>
  <c r="H607" i="1"/>
  <c r="Q606" i="1"/>
  <c r="P606" i="1"/>
  <c r="O606" i="1"/>
  <c r="N606" i="1"/>
  <c r="M606" i="1"/>
  <c r="L606" i="1"/>
  <c r="I606" i="1"/>
  <c r="H606" i="1"/>
  <c r="Q605" i="1"/>
  <c r="P605" i="1"/>
  <c r="O605" i="1"/>
  <c r="N605" i="1"/>
  <c r="M605" i="1"/>
  <c r="L605" i="1"/>
  <c r="I605" i="1"/>
  <c r="H605" i="1"/>
  <c r="Q604" i="1"/>
  <c r="P604" i="1"/>
  <c r="O604" i="1"/>
  <c r="N604" i="1"/>
  <c r="M604" i="1"/>
  <c r="L604" i="1"/>
  <c r="I604" i="1"/>
  <c r="H604" i="1"/>
  <c r="Q603" i="1"/>
  <c r="P603" i="1"/>
  <c r="O603" i="1"/>
  <c r="N603" i="1"/>
  <c r="M603" i="1"/>
  <c r="L603" i="1"/>
  <c r="I603" i="1"/>
  <c r="H603" i="1"/>
  <c r="Q602" i="1"/>
  <c r="P602" i="1"/>
  <c r="O602" i="1"/>
  <c r="N602" i="1"/>
  <c r="M602" i="1"/>
  <c r="L602" i="1"/>
  <c r="I602" i="1"/>
  <c r="H602" i="1"/>
  <c r="Q601" i="1"/>
  <c r="P601" i="1"/>
  <c r="O601" i="1"/>
  <c r="N601" i="1"/>
  <c r="M601" i="1"/>
  <c r="L601" i="1"/>
  <c r="I601" i="1"/>
  <c r="H601" i="1"/>
  <c r="Q600" i="1"/>
  <c r="P600" i="1"/>
  <c r="O600" i="1"/>
  <c r="N600" i="1"/>
  <c r="M600" i="1"/>
  <c r="L600" i="1"/>
  <c r="I600" i="1"/>
  <c r="H600" i="1"/>
  <c r="Q599" i="1"/>
  <c r="P599" i="1"/>
  <c r="O599" i="1"/>
  <c r="N599" i="1"/>
  <c r="M599" i="1"/>
  <c r="L599" i="1"/>
  <c r="I599" i="1"/>
  <c r="H599" i="1"/>
  <c r="Q598" i="1"/>
  <c r="P598" i="1"/>
  <c r="O598" i="1"/>
  <c r="N598" i="1"/>
  <c r="M598" i="1"/>
  <c r="L598" i="1"/>
  <c r="I598" i="1"/>
  <c r="H598" i="1"/>
  <c r="Q597" i="1"/>
  <c r="P597" i="1"/>
  <c r="O597" i="1"/>
  <c r="N597" i="1"/>
  <c r="M597" i="1"/>
  <c r="L597" i="1"/>
  <c r="I597" i="1"/>
  <c r="H597" i="1"/>
  <c r="Q596" i="1"/>
  <c r="P596" i="1"/>
  <c r="O596" i="1"/>
  <c r="N596" i="1"/>
  <c r="M596" i="1"/>
  <c r="L596" i="1"/>
  <c r="I596" i="1"/>
  <c r="H596" i="1"/>
  <c r="Q595" i="1"/>
  <c r="P595" i="1"/>
  <c r="O595" i="1"/>
  <c r="N595" i="1"/>
  <c r="M595" i="1"/>
  <c r="L595" i="1"/>
  <c r="I595" i="1"/>
  <c r="H595" i="1"/>
  <c r="Q594" i="1"/>
  <c r="P594" i="1"/>
  <c r="O594" i="1"/>
  <c r="N594" i="1"/>
  <c r="M594" i="1"/>
  <c r="L594" i="1"/>
  <c r="I594" i="1"/>
  <c r="H594" i="1"/>
  <c r="Q593" i="1"/>
  <c r="P593" i="1"/>
  <c r="O593" i="1"/>
  <c r="N593" i="1"/>
  <c r="M593" i="1"/>
  <c r="L593" i="1"/>
  <c r="I593" i="1"/>
  <c r="H593" i="1"/>
  <c r="Q592" i="1"/>
  <c r="P592" i="1"/>
  <c r="O592" i="1"/>
  <c r="N592" i="1"/>
  <c r="M592" i="1"/>
  <c r="L592" i="1"/>
  <c r="I592" i="1"/>
  <c r="H592" i="1"/>
  <c r="Q591" i="1"/>
  <c r="P591" i="1"/>
  <c r="O591" i="1"/>
  <c r="N591" i="1"/>
  <c r="M591" i="1"/>
  <c r="L591" i="1"/>
  <c r="I591" i="1"/>
  <c r="H591" i="1"/>
  <c r="Q590" i="1"/>
  <c r="P590" i="1"/>
  <c r="O590" i="1"/>
  <c r="N590" i="1"/>
  <c r="M590" i="1"/>
  <c r="L590" i="1"/>
  <c r="I590" i="1"/>
  <c r="H590" i="1"/>
  <c r="Q589" i="1"/>
  <c r="P589" i="1"/>
  <c r="O589" i="1"/>
  <c r="N589" i="1"/>
  <c r="M589" i="1"/>
  <c r="L589" i="1"/>
  <c r="I589" i="1"/>
  <c r="H589" i="1"/>
  <c r="Q588" i="1"/>
  <c r="P588" i="1"/>
  <c r="O588" i="1"/>
  <c r="N588" i="1"/>
  <c r="M588" i="1"/>
  <c r="L588" i="1"/>
  <c r="I588" i="1"/>
  <c r="H588" i="1"/>
  <c r="Q587" i="1"/>
  <c r="P587" i="1"/>
  <c r="O587" i="1"/>
  <c r="N587" i="1"/>
  <c r="M587" i="1"/>
  <c r="L587" i="1"/>
  <c r="I587" i="1"/>
  <c r="H587" i="1"/>
  <c r="Q586" i="1"/>
  <c r="P586" i="1"/>
  <c r="O586" i="1"/>
  <c r="N586" i="1"/>
  <c r="M586" i="1"/>
  <c r="L586" i="1"/>
  <c r="I586" i="1"/>
  <c r="H586" i="1"/>
  <c r="Q585" i="1"/>
  <c r="P585" i="1"/>
  <c r="O585" i="1"/>
  <c r="N585" i="1"/>
  <c r="M585" i="1"/>
  <c r="L585" i="1"/>
  <c r="I585" i="1"/>
  <c r="H585" i="1"/>
  <c r="Q584" i="1"/>
  <c r="P584" i="1"/>
  <c r="O584" i="1"/>
  <c r="N584" i="1"/>
  <c r="M584" i="1"/>
  <c r="L584" i="1"/>
  <c r="I584" i="1"/>
  <c r="H584" i="1"/>
  <c r="Q583" i="1"/>
  <c r="P583" i="1"/>
  <c r="O583" i="1"/>
  <c r="N583" i="1"/>
  <c r="M583" i="1"/>
  <c r="L583" i="1"/>
  <c r="I583" i="1"/>
  <c r="H583" i="1"/>
  <c r="Q582" i="1"/>
  <c r="P582" i="1"/>
  <c r="O582" i="1"/>
  <c r="N582" i="1"/>
  <c r="M582" i="1"/>
  <c r="L582" i="1"/>
  <c r="I582" i="1"/>
  <c r="H582" i="1"/>
  <c r="Q581" i="1"/>
  <c r="P581" i="1"/>
  <c r="O581" i="1"/>
  <c r="N581" i="1"/>
  <c r="M581" i="1"/>
  <c r="L581" i="1"/>
  <c r="I581" i="1"/>
  <c r="H581" i="1"/>
  <c r="Q580" i="1"/>
  <c r="P580" i="1"/>
  <c r="O580" i="1"/>
  <c r="N580" i="1"/>
  <c r="M580" i="1"/>
  <c r="L580" i="1"/>
  <c r="I580" i="1"/>
  <c r="H580" i="1"/>
  <c r="Q579" i="1"/>
  <c r="P579" i="1"/>
  <c r="O579" i="1"/>
  <c r="N579" i="1"/>
  <c r="M579" i="1"/>
  <c r="L579" i="1"/>
  <c r="I579" i="1"/>
  <c r="H579" i="1"/>
  <c r="Q578" i="1"/>
  <c r="P578" i="1"/>
  <c r="O578" i="1"/>
  <c r="N578" i="1"/>
  <c r="M578" i="1"/>
  <c r="L578" i="1"/>
  <c r="I578" i="1"/>
  <c r="H578" i="1"/>
  <c r="Q577" i="1"/>
  <c r="P577" i="1"/>
  <c r="O577" i="1"/>
  <c r="N577" i="1"/>
  <c r="M577" i="1"/>
  <c r="L577" i="1"/>
  <c r="I577" i="1"/>
  <c r="H577" i="1"/>
  <c r="Q576" i="1"/>
  <c r="P576" i="1"/>
  <c r="O576" i="1"/>
  <c r="N576" i="1"/>
  <c r="M576" i="1"/>
  <c r="L576" i="1"/>
  <c r="I576" i="1"/>
  <c r="H576" i="1"/>
  <c r="Q575" i="1"/>
  <c r="P575" i="1"/>
  <c r="O575" i="1"/>
  <c r="N575" i="1"/>
  <c r="M575" i="1"/>
  <c r="L575" i="1"/>
  <c r="I575" i="1"/>
  <c r="H575" i="1"/>
  <c r="Q574" i="1"/>
  <c r="P574" i="1"/>
  <c r="O574" i="1"/>
  <c r="N574" i="1"/>
  <c r="M574" i="1"/>
  <c r="L574" i="1"/>
  <c r="I574" i="1"/>
  <c r="H574" i="1"/>
  <c r="Q573" i="1"/>
  <c r="P573" i="1"/>
  <c r="O573" i="1"/>
  <c r="N573" i="1"/>
  <c r="M573" i="1"/>
  <c r="L573" i="1"/>
  <c r="I573" i="1"/>
  <c r="H573" i="1"/>
  <c r="Q572" i="1"/>
  <c r="P572" i="1"/>
  <c r="O572" i="1"/>
  <c r="N572" i="1"/>
  <c r="M572" i="1"/>
  <c r="L572" i="1"/>
  <c r="I572" i="1"/>
  <c r="H572" i="1"/>
  <c r="Q571" i="1"/>
  <c r="P571" i="1"/>
  <c r="O571" i="1"/>
  <c r="N571" i="1"/>
  <c r="M571" i="1"/>
  <c r="L571" i="1"/>
  <c r="I571" i="1"/>
  <c r="H571" i="1"/>
  <c r="Q570" i="1"/>
  <c r="P570" i="1"/>
  <c r="O570" i="1"/>
  <c r="N570" i="1"/>
  <c r="M570" i="1"/>
  <c r="L570" i="1"/>
  <c r="I570" i="1"/>
  <c r="H570" i="1"/>
  <c r="Q569" i="1"/>
  <c r="P569" i="1"/>
  <c r="O569" i="1"/>
  <c r="N569" i="1"/>
  <c r="M569" i="1"/>
  <c r="L569" i="1"/>
  <c r="I569" i="1"/>
  <c r="H569" i="1"/>
  <c r="Q565" i="1"/>
  <c r="Q566" i="1" s="1"/>
  <c r="P565" i="1"/>
  <c r="P566" i="1" s="1"/>
  <c r="O565" i="1"/>
  <c r="O566" i="1" s="1"/>
  <c r="N565" i="1"/>
  <c r="N566" i="1" s="1"/>
  <c r="M565" i="1"/>
  <c r="M566" i="1" s="1"/>
  <c r="L565" i="1"/>
  <c r="L566" i="1" s="1"/>
  <c r="I565" i="1"/>
  <c r="I566" i="1" s="1"/>
  <c r="H565" i="1"/>
  <c r="H566" i="1" s="1"/>
  <c r="BW663" i="2"/>
  <c r="BV663" i="2"/>
  <c r="BW662" i="2"/>
  <c r="BV662" i="2"/>
  <c r="BW661" i="2"/>
  <c r="BV661" i="2"/>
  <c r="BW660" i="2"/>
  <c r="BV660" i="2"/>
  <c r="BW659" i="2"/>
  <c r="BV659" i="2"/>
  <c r="BW658" i="2"/>
  <c r="BV658" i="2"/>
  <c r="BW657" i="2"/>
  <c r="BV657" i="2"/>
  <c r="BW656" i="2"/>
  <c r="BV656" i="2"/>
  <c r="BW655" i="2"/>
  <c r="BV655" i="2"/>
  <c r="BW654" i="2"/>
  <c r="BV654" i="2"/>
  <c r="BW653" i="2"/>
  <c r="BV653" i="2"/>
  <c r="BW652" i="2"/>
  <c r="BV652" i="2"/>
  <c r="BW651" i="2"/>
  <c r="BV651" i="2"/>
  <c r="BW650" i="2"/>
  <c r="BV650" i="2"/>
  <c r="BW649" i="2"/>
  <c r="BV649" i="2"/>
  <c r="BW648" i="2"/>
  <c r="BV648" i="2"/>
  <c r="BW647" i="2"/>
  <c r="BV647" i="2"/>
  <c r="BW646" i="2"/>
  <c r="BV646" i="2"/>
  <c r="BW645" i="2"/>
  <c r="BV645" i="2"/>
  <c r="BW644" i="2"/>
  <c r="BV644" i="2"/>
  <c r="BW643" i="2"/>
  <c r="BV643" i="2"/>
  <c r="BW642" i="2"/>
  <c r="BV642" i="2"/>
  <c r="BW641" i="2"/>
  <c r="BV641" i="2"/>
  <c r="BW640" i="2"/>
  <c r="BV640" i="2"/>
  <c r="BW639" i="2"/>
  <c r="BV639" i="2"/>
  <c r="BW638" i="2"/>
  <c r="BV638" i="2"/>
  <c r="BW637" i="2"/>
  <c r="BV637" i="2"/>
  <c r="BW636" i="2"/>
  <c r="BV636" i="2"/>
  <c r="BW635" i="2"/>
  <c r="BV635" i="2"/>
  <c r="BW634" i="2"/>
  <c r="BV634" i="2"/>
  <c r="BW633" i="2"/>
  <c r="BV633" i="2"/>
  <c r="BW632" i="2"/>
  <c r="BV632" i="2"/>
  <c r="BW631" i="2"/>
  <c r="BV631" i="2"/>
  <c r="BW630" i="2"/>
  <c r="BV630" i="2"/>
  <c r="BW629" i="2"/>
  <c r="BV629" i="2"/>
  <c r="BW628" i="2"/>
  <c r="BV628" i="2"/>
  <c r="BW627" i="2"/>
  <c r="BV627" i="2"/>
  <c r="BW626" i="2"/>
  <c r="BV626" i="2"/>
  <c r="BW625" i="2"/>
  <c r="BV625" i="2"/>
  <c r="BW624" i="2"/>
  <c r="BV624" i="2"/>
  <c r="BW623" i="2"/>
  <c r="BV623" i="2"/>
  <c r="BW622" i="2"/>
  <c r="BV622" i="2"/>
  <c r="BW621" i="2"/>
  <c r="BV621" i="2"/>
  <c r="BW620" i="2"/>
  <c r="BV620" i="2"/>
  <c r="BW619" i="2"/>
  <c r="BV619" i="2"/>
  <c r="BW618" i="2"/>
  <c r="BV618" i="2"/>
  <c r="BW617" i="2"/>
  <c r="BV617" i="2"/>
  <c r="BW616" i="2"/>
  <c r="BV616" i="2"/>
  <c r="BW615" i="2"/>
  <c r="BV615" i="2"/>
  <c r="BW614" i="2"/>
  <c r="BV614" i="2"/>
  <c r="BW613" i="2"/>
  <c r="BV613" i="2"/>
  <c r="BW612" i="2"/>
  <c r="BV612" i="2"/>
  <c r="BW611" i="2"/>
  <c r="BV611" i="2"/>
  <c r="BW610" i="2"/>
  <c r="BV610" i="2"/>
  <c r="BW609" i="2"/>
  <c r="BV609" i="2"/>
  <c r="BW608" i="2"/>
  <c r="BV608" i="2"/>
  <c r="BW607" i="2"/>
  <c r="BV607" i="2"/>
  <c r="BW606" i="2"/>
  <c r="BV606" i="2"/>
  <c r="BW605" i="2"/>
  <c r="BV605" i="2"/>
  <c r="BW604" i="2"/>
  <c r="BV604" i="2"/>
  <c r="BW603" i="2"/>
  <c r="BV603" i="2"/>
  <c r="BW602" i="2"/>
  <c r="BV602" i="2"/>
  <c r="BW601" i="2"/>
  <c r="BV601" i="2"/>
  <c r="BW600" i="2"/>
  <c r="BV600" i="2"/>
  <c r="BW599" i="2"/>
  <c r="BV599" i="2"/>
  <c r="BW598" i="2"/>
  <c r="BV598" i="2"/>
  <c r="BW597" i="2"/>
  <c r="BV597" i="2"/>
  <c r="BW596" i="2"/>
  <c r="BV596" i="2"/>
  <c r="BW595" i="2"/>
  <c r="BV595" i="2"/>
  <c r="BW594" i="2"/>
  <c r="BV594" i="2"/>
  <c r="BW593" i="2"/>
  <c r="BV593" i="2"/>
  <c r="BW592" i="2"/>
  <c r="BV592" i="2"/>
  <c r="BW591" i="2"/>
  <c r="BV591" i="2"/>
  <c r="BW590" i="2"/>
  <c r="BV590" i="2"/>
  <c r="BW589" i="2"/>
  <c r="BV589" i="2"/>
  <c r="BW588" i="2"/>
  <c r="BV588" i="2"/>
  <c r="BW587" i="2"/>
  <c r="BV587" i="2"/>
  <c r="BW586" i="2"/>
  <c r="BV586" i="2"/>
  <c r="BW585" i="2"/>
  <c r="BV585" i="2"/>
  <c r="BW584" i="2"/>
  <c r="BV584" i="2"/>
  <c r="BW583" i="2"/>
  <c r="BV583" i="2"/>
  <c r="BW582" i="2"/>
  <c r="BV582" i="2"/>
  <c r="BW581" i="2"/>
  <c r="BV581" i="2"/>
  <c r="BW580" i="2"/>
  <c r="BV580" i="2"/>
  <c r="BW579" i="2"/>
  <c r="BV579" i="2"/>
  <c r="BW578" i="2"/>
  <c r="BV578" i="2"/>
  <c r="BW577" i="2"/>
  <c r="BV577" i="2"/>
  <c r="BW576" i="2"/>
  <c r="BV576" i="2"/>
  <c r="BW575" i="2"/>
  <c r="BV575" i="2"/>
  <c r="BW574" i="2"/>
  <c r="BV574" i="2"/>
  <c r="BW573" i="2"/>
  <c r="BV573" i="2"/>
  <c r="BW572" i="2"/>
  <c r="BV572" i="2"/>
  <c r="BW571" i="2"/>
  <c r="BV571" i="2"/>
  <c r="BW570" i="2"/>
  <c r="BV570" i="2"/>
  <c r="BW566" i="2"/>
  <c r="BW567" i="2" s="1"/>
  <c r="BV566" i="2"/>
  <c r="BV567" i="2" s="1"/>
  <c r="BU663" i="2"/>
  <c r="BT663" i="2"/>
  <c r="BS663" i="2"/>
  <c r="BR663" i="2"/>
  <c r="BQ663" i="2"/>
  <c r="BP663" i="2"/>
  <c r="BO663" i="2"/>
  <c r="BN663" i="2"/>
  <c r="BM663" i="2"/>
  <c r="BL663" i="2"/>
  <c r="BK663" i="2"/>
  <c r="BJ663" i="2"/>
  <c r="BU662" i="2"/>
  <c r="BT662" i="2"/>
  <c r="BS662" i="2"/>
  <c r="BR662" i="2"/>
  <c r="BQ662" i="2"/>
  <c r="BP662" i="2"/>
  <c r="BO662" i="2"/>
  <c r="BN662" i="2"/>
  <c r="BM662" i="2"/>
  <c r="BL662" i="2"/>
  <c r="BK662" i="2"/>
  <c r="BJ662" i="2"/>
  <c r="BU661" i="2"/>
  <c r="BT661" i="2"/>
  <c r="BS661" i="2"/>
  <c r="BR661" i="2"/>
  <c r="BQ661" i="2"/>
  <c r="BP661" i="2"/>
  <c r="BO661" i="2"/>
  <c r="BN661" i="2"/>
  <c r="BM661" i="2"/>
  <c r="BL661" i="2"/>
  <c r="BK661" i="2"/>
  <c r="BJ661" i="2"/>
  <c r="BU660" i="2"/>
  <c r="BT660" i="2"/>
  <c r="BS660" i="2"/>
  <c r="BR660" i="2"/>
  <c r="BQ660" i="2"/>
  <c r="BP660" i="2"/>
  <c r="BO660" i="2"/>
  <c r="BN660" i="2"/>
  <c r="BM660" i="2"/>
  <c r="BL660" i="2"/>
  <c r="BK660" i="2"/>
  <c r="BJ660" i="2"/>
  <c r="BU659" i="2"/>
  <c r="BT659" i="2"/>
  <c r="BS659" i="2"/>
  <c r="BR659" i="2"/>
  <c r="BQ659" i="2"/>
  <c r="BP659" i="2"/>
  <c r="BO659" i="2"/>
  <c r="BN659" i="2"/>
  <c r="BM659" i="2"/>
  <c r="BL659" i="2"/>
  <c r="BK659" i="2"/>
  <c r="BJ659" i="2"/>
  <c r="BU658" i="2"/>
  <c r="BT658" i="2"/>
  <c r="BS658" i="2"/>
  <c r="BR658" i="2"/>
  <c r="BQ658" i="2"/>
  <c r="BP658" i="2"/>
  <c r="BO658" i="2"/>
  <c r="BN658" i="2"/>
  <c r="BM658" i="2"/>
  <c r="BL658" i="2"/>
  <c r="BK658" i="2"/>
  <c r="BJ658" i="2"/>
  <c r="BU657" i="2"/>
  <c r="BT657" i="2"/>
  <c r="BS657" i="2"/>
  <c r="BR657" i="2"/>
  <c r="BQ657" i="2"/>
  <c r="BP657" i="2"/>
  <c r="BO657" i="2"/>
  <c r="BN657" i="2"/>
  <c r="BM657" i="2"/>
  <c r="BL657" i="2"/>
  <c r="BK657" i="2"/>
  <c r="BJ657" i="2"/>
  <c r="BU656" i="2"/>
  <c r="BT656" i="2"/>
  <c r="BS656" i="2"/>
  <c r="BR656" i="2"/>
  <c r="BQ656" i="2"/>
  <c r="BP656" i="2"/>
  <c r="BO656" i="2"/>
  <c r="BN656" i="2"/>
  <c r="BM656" i="2"/>
  <c r="BL656" i="2"/>
  <c r="BK656" i="2"/>
  <c r="BJ656" i="2"/>
  <c r="BU655" i="2"/>
  <c r="BT655" i="2"/>
  <c r="BS655" i="2"/>
  <c r="BR655" i="2"/>
  <c r="BQ655" i="2"/>
  <c r="BP655" i="2"/>
  <c r="BO655" i="2"/>
  <c r="BN655" i="2"/>
  <c r="BM655" i="2"/>
  <c r="BL655" i="2"/>
  <c r="BK655" i="2"/>
  <c r="BJ655" i="2"/>
  <c r="BU654" i="2"/>
  <c r="BT654" i="2"/>
  <c r="BS654" i="2"/>
  <c r="BR654" i="2"/>
  <c r="BQ654" i="2"/>
  <c r="BP654" i="2"/>
  <c r="BO654" i="2"/>
  <c r="BN654" i="2"/>
  <c r="BM654" i="2"/>
  <c r="BL654" i="2"/>
  <c r="BK654" i="2"/>
  <c r="BJ654" i="2"/>
  <c r="BU653" i="2"/>
  <c r="BT653" i="2"/>
  <c r="BS653" i="2"/>
  <c r="BR653" i="2"/>
  <c r="BQ653" i="2"/>
  <c r="BP653" i="2"/>
  <c r="BO653" i="2"/>
  <c r="BN653" i="2"/>
  <c r="BM653" i="2"/>
  <c r="BL653" i="2"/>
  <c r="BK653" i="2"/>
  <c r="BJ653" i="2"/>
  <c r="BU652" i="2"/>
  <c r="BT652" i="2"/>
  <c r="BS652" i="2"/>
  <c r="BR652" i="2"/>
  <c r="BQ652" i="2"/>
  <c r="BP652" i="2"/>
  <c r="BO652" i="2"/>
  <c r="BN652" i="2"/>
  <c r="BM652" i="2"/>
  <c r="BL652" i="2"/>
  <c r="BK652" i="2"/>
  <c r="BJ652" i="2"/>
  <c r="BU651" i="2"/>
  <c r="BT651" i="2"/>
  <c r="BS651" i="2"/>
  <c r="BR651" i="2"/>
  <c r="BQ651" i="2"/>
  <c r="BP651" i="2"/>
  <c r="BO651" i="2"/>
  <c r="BN651" i="2"/>
  <c r="BM651" i="2"/>
  <c r="BL651" i="2"/>
  <c r="BK651" i="2"/>
  <c r="BJ651" i="2"/>
  <c r="BU650" i="2"/>
  <c r="BT650" i="2"/>
  <c r="BS650" i="2"/>
  <c r="BR650" i="2"/>
  <c r="BQ650" i="2"/>
  <c r="BP650" i="2"/>
  <c r="BO650" i="2"/>
  <c r="BN650" i="2"/>
  <c r="BM650" i="2"/>
  <c r="BL650" i="2"/>
  <c r="BK650" i="2"/>
  <c r="BJ650" i="2"/>
  <c r="BU649" i="2"/>
  <c r="BT649" i="2"/>
  <c r="BS649" i="2"/>
  <c r="BR649" i="2"/>
  <c r="BQ649" i="2"/>
  <c r="BP649" i="2"/>
  <c r="BO649" i="2"/>
  <c r="BN649" i="2"/>
  <c r="BM649" i="2"/>
  <c r="BL649" i="2"/>
  <c r="BK649" i="2"/>
  <c r="BJ649" i="2"/>
  <c r="BU648" i="2"/>
  <c r="BT648" i="2"/>
  <c r="BS648" i="2"/>
  <c r="BR648" i="2"/>
  <c r="BQ648" i="2"/>
  <c r="BP648" i="2"/>
  <c r="BO648" i="2"/>
  <c r="BN648" i="2"/>
  <c r="BM648" i="2"/>
  <c r="BL648" i="2"/>
  <c r="BK648" i="2"/>
  <c r="BJ648" i="2"/>
  <c r="BU647" i="2"/>
  <c r="BT647" i="2"/>
  <c r="BS647" i="2"/>
  <c r="BR647" i="2"/>
  <c r="BQ647" i="2"/>
  <c r="BP647" i="2"/>
  <c r="BO647" i="2"/>
  <c r="BN647" i="2"/>
  <c r="BM647" i="2"/>
  <c r="BL647" i="2"/>
  <c r="BK647" i="2"/>
  <c r="BJ647" i="2"/>
  <c r="BU646" i="2"/>
  <c r="BT646" i="2"/>
  <c r="BS646" i="2"/>
  <c r="BR646" i="2"/>
  <c r="BQ646" i="2"/>
  <c r="BP646" i="2"/>
  <c r="BO646" i="2"/>
  <c r="BN646" i="2"/>
  <c r="BM646" i="2"/>
  <c r="BL646" i="2"/>
  <c r="BK646" i="2"/>
  <c r="BJ646" i="2"/>
  <c r="BU645" i="2"/>
  <c r="BT645" i="2"/>
  <c r="BS645" i="2"/>
  <c r="BR645" i="2"/>
  <c r="BQ645" i="2"/>
  <c r="BP645" i="2"/>
  <c r="BO645" i="2"/>
  <c r="BN645" i="2"/>
  <c r="BM645" i="2"/>
  <c r="BL645" i="2"/>
  <c r="BK645" i="2"/>
  <c r="BJ645" i="2"/>
  <c r="BU644" i="2"/>
  <c r="BT644" i="2"/>
  <c r="BS644" i="2"/>
  <c r="BR644" i="2"/>
  <c r="BQ644" i="2"/>
  <c r="BP644" i="2"/>
  <c r="BO644" i="2"/>
  <c r="BN644" i="2"/>
  <c r="BM644" i="2"/>
  <c r="BL644" i="2"/>
  <c r="BK644" i="2"/>
  <c r="BJ644" i="2"/>
  <c r="BU643" i="2"/>
  <c r="BT643" i="2"/>
  <c r="BS643" i="2"/>
  <c r="BR643" i="2"/>
  <c r="BQ643" i="2"/>
  <c r="BP643" i="2"/>
  <c r="BO643" i="2"/>
  <c r="BN643" i="2"/>
  <c r="BM643" i="2"/>
  <c r="BL643" i="2"/>
  <c r="BK643" i="2"/>
  <c r="BJ643" i="2"/>
  <c r="BU642" i="2"/>
  <c r="BT642" i="2"/>
  <c r="BS642" i="2"/>
  <c r="BR642" i="2"/>
  <c r="BQ642" i="2"/>
  <c r="BP642" i="2"/>
  <c r="BO642" i="2"/>
  <c r="BN642" i="2"/>
  <c r="BM642" i="2"/>
  <c r="BL642" i="2"/>
  <c r="BK642" i="2"/>
  <c r="BJ642" i="2"/>
  <c r="BU641" i="2"/>
  <c r="BT641" i="2"/>
  <c r="BS641" i="2"/>
  <c r="BR641" i="2"/>
  <c r="BQ641" i="2"/>
  <c r="BP641" i="2"/>
  <c r="BO641" i="2"/>
  <c r="BN641" i="2"/>
  <c r="BM641" i="2"/>
  <c r="BL641" i="2"/>
  <c r="BK641" i="2"/>
  <c r="BJ641" i="2"/>
  <c r="BU640" i="2"/>
  <c r="BT640" i="2"/>
  <c r="BS640" i="2"/>
  <c r="BR640" i="2"/>
  <c r="BQ640" i="2"/>
  <c r="BP640" i="2"/>
  <c r="BO640" i="2"/>
  <c r="BN640" i="2"/>
  <c r="BM640" i="2"/>
  <c r="BL640" i="2"/>
  <c r="BK640" i="2"/>
  <c r="BJ640" i="2"/>
  <c r="BU639" i="2"/>
  <c r="BT639" i="2"/>
  <c r="BS639" i="2"/>
  <c r="BR639" i="2"/>
  <c r="BQ639" i="2"/>
  <c r="BP639" i="2"/>
  <c r="BO639" i="2"/>
  <c r="BN639" i="2"/>
  <c r="BM639" i="2"/>
  <c r="BL639" i="2"/>
  <c r="BK639" i="2"/>
  <c r="BJ639" i="2"/>
  <c r="BU638" i="2"/>
  <c r="BT638" i="2"/>
  <c r="BS638" i="2"/>
  <c r="BR638" i="2"/>
  <c r="BQ638" i="2"/>
  <c r="BP638" i="2"/>
  <c r="BO638" i="2"/>
  <c r="BN638" i="2"/>
  <c r="BM638" i="2"/>
  <c r="BL638" i="2"/>
  <c r="BK638" i="2"/>
  <c r="BJ638" i="2"/>
  <c r="BU637" i="2"/>
  <c r="BT637" i="2"/>
  <c r="BS637" i="2"/>
  <c r="BR637" i="2"/>
  <c r="BQ637" i="2"/>
  <c r="BP637" i="2"/>
  <c r="BO637" i="2"/>
  <c r="BN637" i="2"/>
  <c r="BM637" i="2"/>
  <c r="BL637" i="2"/>
  <c r="BK637" i="2"/>
  <c r="BJ637" i="2"/>
  <c r="BU636" i="2"/>
  <c r="BT636" i="2"/>
  <c r="BS636" i="2"/>
  <c r="BR636" i="2"/>
  <c r="BQ636" i="2"/>
  <c r="BP636" i="2"/>
  <c r="BO636" i="2"/>
  <c r="BN636" i="2"/>
  <c r="BM636" i="2"/>
  <c r="BL636" i="2"/>
  <c r="BK636" i="2"/>
  <c r="BJ636" i="2"/>
  <c r="BU635" i="2"/>
  <c r="BT635" i="2"/>
  <c r="BS635" i="2"/>
  <c r="BR635" i="2"/>
  <c r="BQ635" i="2"/>
  <c r="BP635" i="2"/>
  <c r="BO635" i="2"/>
  <c r="BN635" i="2"/>
  <c r="BM635" i="2"/>
  <c r="BL635" i="2"/>
  <c r="BK635" i="2"/>
  <c r="BJ635" i="2"/>
  <c r="BU634" i="2"/>
  <c r="BT634" i="2"/>
  <c r="BS634" i="2"/>
  <c r="BR634" i="2"/>
  <c r="BQ634" i="2"/>
  <c r="BP634" i="2"/>
  <c r="BO634" i="2"/>
  <c r="BN634" i="2"/>
  <c r="BM634" i="2"/>
  <c r="BL634" i="2"/>
  <c r="BK634" i="2"/>
  <c r="BJ634" i="2"/>
  <c r="BU633" i="2"/>
  <c r="BT633" i="2"/>
  <c r="BS633" i="2"/>
  <c r="BR633" i="2"/>
  <c r="BQ633" i="2"/>
  <c r="BP633" i="2"/>
  <c r="BO633" i="2"/>
  <c r="BN633" i="2"/>
  <c r="BM633" i="2"/>
  <c r="BL633" i="2"/>
  <c r="BK633" i="2"/>
  <c r="BJ633" i="2"/>
  <c r="BU632" i="2"/>
  <c r="BT632" i="2"/>
  <c r="BS632" i="2"/>
  <c r="BR632" i="2"/>
  <c r="BQ632" i="2"/>
  <c r="BP632" i="2"/>
  <c r="BO632" i="2"/>
  <c r="BN632" i="2"/>
  <c r="BM632" i="2"/>
  <c r="BL632" i="2"/>
  <c r="BK632" i="2"/>
  <c r="BJ632" i="2"/>
  <c r="BU631" i="2"/>
  <c r="BT631" i="2"/>
  <c r="BS631" i="2"/>
  <c r="BR631" i="2"/>
  <c r="BQ631" i="2"/>
  <c r="BP631" i="2"/>
  <c r="BO631" i="2"/>
  <c r="BN631" i="2"/>
  <c r="BM631" i="2"/>
  <c r="BL631" i="2"/>
  <c r="BK631" i="2"/>
  <c r="BJ631" i="2"/>
  <c r="BU630" i="2"/>
  <c r="BT630" i="2"/>
  <c r="BS630" i="2"/>
  <c r="BR630" i="2"/>
  <c r="BQ630" i="2"/>
  <c r="BP630" i="2"/>
  <c r="BO630" i="2"/>
  <c r="BN630" i="2"/>
  <c r="BM630" i="2"/>
  <c r="BL630" i="2"/>
  <c r="BK630" i="2"/>
  <c r="BJ630" i="2"/>
  <c r="BU629" i="2"/>
  <c r="BT629" i="2"/>
  <c r="BS629" i="2"/>
  <c r="BR629" i="2"/>
  <c r="BQ629" i="2"/>
  <c r="BP629" i="2"/>
  <c r="BO629" i="2"/>
  <c r="BN629" i="2"/>
  <c r="BM629" i="2"/>
  <c r="BL629" i="2"/>
  <c r="BK629" i="2"/>
  <c r="BJ629" i="2"/>
  <c r="BU628" i="2"/>
  <c r="BT628" i="2"/>
  <c r="BS628" i="2"/>
  <c r="BR628" i="2"/>
  <c r="BQ628" i="2"/>
  <c r="BP628" i="2"/>
  <c r="BO628" i="2"/>
  <c r="BN628" i="2"/>
  <c r="BM628" i="2"/>
  <c r="BL628" i="2"/>
  <c r="BK628" i="2"/>
  <c r="BJ628" i="2"/>
  <c r="BU627" i="2"/>
  <c r="BT627" i="2"/>
  <c r="BS627" i="2"/>
  <c r="BR627" i="2"/>
  <c r="BQ627" i="2"/>
  <c r="BP627" i="2"/>
  <c r="BO627" i="2"/>
  <c r="BN627" i="2"/>
  <c r="BM627" i="2"/>
  <c r="BL627" i="2"/>
  <c r="BK627" i="2"/>
  <c r="BJ627" i="2"/>
  <c r="BU626" i="2"/>
  <c r="BT626" i="2"/>
  <c r="BS626" i="2"/>
  <c r="BR626" i="2"/>
  <c r="BQ626" i="2"/>
  <c r="BP626" i="2"/>
  <c r="BO626" i="2"/>
  <c r="BN626" i="2"/>
  <c r="BM626" i="2"/>
  <c r="BL626" i="2"/>
  <c r="BK626" i="2"/>
  <c r="BJ626" i="2"/>
  <c r="BU625" i="2"/>
  <c r="BT625" i="2"/>
  <c r="BS625" i="2"/>
  <c r="BR625" i="2"/>
  <c r="BQ625" i="2"/>
  <c r="BP625" i="2"/>
  <c r="BO625" i="2"/>
  <c r="BN625" i="2"/>
  <c r="BM625" i="2"/>
  <c r="BL625" i="2"/>
  <c r="BK625" i="2"/>
  <c r="BJ625" i="2"/>
  <c r="BU624" i="2"/>
  <c r="BT624" i="2"/>
  <c r="BS624" i="2"/>
  <c r="BR624" i="2"/>
  <c r="BQ624" i="2"/>
  <c r="BP624" i="2"/>
  <c r="BO624" i="2"/>
  <c r="BN624" i="2"/>
  <c r="BM624" i="2"/>
  <c r="BL624" i="2"/>
  <c r="BK624" i="2"/>
  <c r="BJ624" i="2"/>
  <c r="BU623" i="2"/>
  <c r="BT623" i="2"/>
  <c r="BS623" i="2"/>
  <c r="BR623" i="2"/>
  <c r="BQ623" i="2"/>
  <c r="BP623" i="2"/>
  <c r="BO623" i="2"/>
  <c r="BN623" i="2"/>
  <c r="BM623" i="2"/>
  <c r="BL623" i="2"/>
  <c r="BK623" i="2"/>
  <c r="BJ623" i="2"/>
  <c r="BU622" i="2"/>
  <c r="BT622" i="2"/>
  <c r="BS622" i="2"/>
  <c r="BR622" i="2"/>
  <c r="BQ622" i="2"/>
  <c r="BP622" i="2"/>
  <c r="BO622" i="2"/>
  <c r="BN622" i="2"/>
  <c r="BM622" i="2"/>
  <c r="BL622" i="2"/>
  <c r="BK622" i="2"/>
  <c r="BJ622" i="2"/>
  <c r="BU621" i="2"/>
  <c r="BT621" i="2"/>
  <c r="BS621" i="2"/>
  <c r="BR621" i="2"/>
  <c r="BQ621" i="2"/>
  <c r="BP621" i="2"/>
  <c r="BO621" i="2"/>
  <c r="BN621" i="2"/>
  <c r="BM621" i="2"/>
  <c r="BL621" i="2"/>
  <c r="BK621" i="2"/>
  <c r="BJ621" i="2"/>
  <c r="BU620" i="2"/>
  <c r="BT620" i="2"/>
  <c r="BS620" i="2"/>
  <c r="BR620" i="2"/>
  <c r="BQ620" i="2"/>
  <c r="BP620" i="2"/>
  <c r="BO620" i="2"/>
  <c r="BN620" i="2"/>
  <c r="BM620" i="2"/>
  <c r="BL620" i="2"/>
  <c r="BK620" i="2"/>
  <c r="BJ620" i="2"/>
  <c r="BU619" i="2"/>
  <c r="BT619" i="2"/>
  <c r="BS619" i="2"/>
  <c r="BR619" i="2"/>
  <c r="BQ619" i="2"/>
  <c r="BP619" i="2"/>
  <c r="BO619" i="2"/>
  <c r="BN619" i="2"/>
  <c r="BM619" i="2"/>
  <c r="BL619" i="2"/>
  <c r="BK619" i="2"/>
  <c r="BJ619" i="2"/>
  <c r="BU618" i="2"/>
  <c r="BT618" i="2"/>
  <c r="BS618" i="2"/>
  <c r="BR618" i="2"/>
  <c r="BQ618" i="2"/>
  <c r="BP618" i="2"/>
  <c r="BO618" i="2"/>
  <c r="BN618" i="2"/>
  <c r="BM618" i="2"/>
  <c r="BL618" i="2"/>
  <c r="BK618" i="2"/>
  <c r="BJ618" i="2"/>
  <c r="BU617" i="2"/>
  <c r="BT617" i="2"/>
  <c r="BS617" i="2"/>
  <c r="BR617" i="2"/>
  <c r="BQ617" i="2"/>
  <c r="BP617" i="2"/>
  <c r="BO617" i="2"/>
  <c r="BN617" i="2"/>
  <c r="BM617" i="2"/>
  <c r="BL617" i="2"/>
  <c r="BK617" i="2"/>
  <c r="BJ617" i="2"/>
  <c r="BU616" i="2"/>
  <c r="BT616" i="2"/>
  <c r="BS616" i="2"/>
  <c r="BR616" i="2"/>
  <c r="BQ616" i="2"/>
  <c r="BP616" i="2"/>
  <c r="BO616" i="2"/>
  <c r="BN616" i="2"/>
  <c r="BM616" i="2"/>
  <c r="BL616" i="2"/>
  <c r="BK616" i="2"/>
  <c r="BJ616" i="2"/>
  <c r="BU615" i="2"/>
  <c r="BT615" i="2"/>
  <c r="BS615" i="2"/>
  <c r="BR615" i="2"/>
  <c r="BQ615" i="2"/>
  <c r="BP615" i="2"/>
  <c r="BO615" i="2"/>
  <c r="BN615" i="2"/>
  <c r="BM615" i="2"/>
  <c r="BL615" i="2"/>
  <c r="BK615" i="2"/>
  <c r="BJ615" i="2"/>
  <c r="BU614" i="2"/>
  <c r="BT614" i="2"/>
  <c r="BS614" i="2"/>
  <c r="BR614" i="2"/>
  <c r="BQ614" i="2"/>
  <c r="BP614" i="2"/>
  <c r="BO614" i="2"/>
  <c r="BN614" i="2"/>
  <c r="BM614" i="2"/>
  <c r="BL614" i="2"/>
  <c r="BK614" i="2"/>
  <c r="BJ614" i="2"/>
  <c r="BU613" i="2"/>
  <c r="BT613" i="2"/>
  <c r="BS613" i="2"/>
  <c r="BR613" i="2"/>
  <c r="BQ613" i="2"/>
  <c r="BP613" i="2"/>
  <c r="BO613" i="2"/>
  <c r="BN613" i="2"/>
  <c r="BM613" i="2"/>
  <c r="BL613" i="2"/>
  <c r="BK613" i="2"/>
  <c r="BJ613" i="2"/>
  <c r="BU612" i="2"/>
  <c r="BT612" i="2"/>
  <c r="BS612" i="2"/>
  <c r="BR612" i="2"/>
  <c r="BQ612" i="2"/>
  <c r="BP612" i="2"/>
  <c r="BO612" i="2"/>
  <c r="BN612" i="2"/>
  <c r="BM612" i="2"/>
  <c r="BL612" i="2"/>
  <c r="BK612" i="2"/>
  <c r="BJ612" i="2"/>
  <c r="BU611" i="2"/>
  <c r="BT611" i="2"/>
  <c r="BS611" i="2"/>
  <c r="BR611" i="2"/>
  <c r="BQ611" i="2"/>
  <c r="BP611" i="2"/>
  <c r="BO611" i="2"/>
  <c r="BN611" i="2"/>
  <c r="BM611" i="2"/>
  <c r="BL611" i="2"/>
  <c r="BK611" i="2"/>
  <c r="BJ611" i="2"/>
  <c r="BU610" i="2"/>
  <c r="BT610" i="2"/>
  <c r="BS610" i="2"/>
  <c r="BR610" i="2"/>
  <c r="BQ610" i="2"/>
  <c r="BP610" i="2"/>
  <c r="BO610" i="2"/>
  <c r="BN610" i="2"/>
  <c r="BM610" i="2"/>
  <c r="BL610" i="2"/>
  <c r="BK610" i="2"/>
  <c r="BJ610" i="2"/>
  <c r="BU609" i="2"/>
  <c r="BT609" i="2"/>
  <c r="BS609" i="2"/>
  <c r="BR609" i="2"/>
  <c r="BQ609" i="2"/>
  <c r="BP609" i="2"/>
  <c r="BO609" i="2"/>
  <c r="BN609" i="2"/>
  <c r="BM609" i="2"/>
  <c r="BL609" i="2"/>
  <c r="BK609" i="2"/>
  <c r="BJ609" i="2"/>
  <c r="BU608" i="2"/>
  <c r="BT608" i="2"/>
  <c r="BS608" i="2"/>
  <c r="BR608" i="2"/>
  <c r="BQ608" i="2"/>
  <c r="BP608" i="2"/>
  <c r="BO608" i="2"/>
  <c r="BN608" i="2"/>
  <c r="BM608" i="2"/>
  <c r="BL608" i="2"/>
  <c r="BK608" i="2"/>
  <c r="BJ608" i="2"/>
  <c r="BU607" i="2"/>
  <c r="BT607" i="2"/>
  <c r="BS607" i="2"/>
  <c r="BR607" i="2"/>
  <c r="BQ607" i="2"/>
  <c r="BP607" i="2"/>
  <c r="BO607" i="2"/>
  <c r="BN607" i="2"/>
  <c r="BM607" i="2"/>
  <c r="BL607" i="2"/>
  <c r="BK607" i="2"/>
  <c r="BJ607" i="2"/>
  <c r="BU606" i="2"/>
  <c r="BT606" i="2"/>
  <c r="BS606" i="2"/>
  <c r="BR606" i="2"/>
  <c r="BQ606" i="2"/>
  <c r="BP606" i="2"/>
  <c r="BO606" i="2"/>
  <c r="BN606" i="2"/>
  <c r="BM606" i="2"/>
  <c r="BL606" i="2"/>
  <c r="BK606" i="2"/>
  <c r="BJ606" i="2"/>
  <c r="BU605" i="2"/>
  <c r="BT605" i="2"/>
  <c r="BS605" i="2"/>
  <c r="BR605" i="2"/>
  <c r="BQ605" i="2"/>
  <c r="BP605" i="2"/>
  <c r="BO605" i="2"/>
  <c r="BN605" i="2"/>
  <c r="BM605" i="2"/>
  <c r="BL605" i="2"/>
  <c r="BK605" i="2"/>
  <c r="BJ605" i="2"/>
  <c r="BU604" i="2"/>
  <c r="BT604" i="2"/>
  <c r="BS604" i="2"/>
  <c r="BR604" i="2"/>
  <c r="BQ604" i="2"/>
  <c r="BP604" i="2"/>
  <c r="BO604" i="2"/>
  <c r="BN604" i="2"/>
  <c r="BM604" i="2"/>
  <c r="BL604" i="2"/>
  <c r="BK604" i="2"/>
  <c r="BJ604" i="2"/>
  <c r="BU603" i="2"/>
  <c r="BT603" i="2"/>
  <c r="BS603" i="2"/>
  <c r="BR603" i="2"/>
  <c r="BQ603" i="2"/>
  <c r="BP603" i="2"/>
  <c r="BO603" i="2"/>
  <c r="BN603" i="2"/>
  <c r="BM603" i="2"/>
  <c r="BL603" i="2"/>
  <c r="BK603" i="2"/>
  <c r="BJ603" i="2"/>
  <c r="BU602" i="2"/>
  <c r="BT602" i="2"/>
  <c r="BS602" i="2"/>
  <c r="BR602" i="2"/>
  <c r="BQ602" i="2"/>
  <c r="BP602" i="2"/>
  <c r="BO602" i="2"/>
  <c r="BN602" i="2"/>
  <c r="BM602" i="2"/>
  <c r="BL602" i="2"/>
  <c r="BK602" i="2"/>
  <c r="BJ602" i="2"/>
  <c r="BU601" i="2"/>
  <c r="BT601" i="2"/>
  <c r="BS601" i="2"/>
  <c r="BR601" i="2"/>
  <c r="BQ601" i="2"/>
  <c r="BP601" i="2"/>
  <c r="BO601" i="2"/>
  <c r="BN601" i="2"/>
  <c r="BM601" i="2"/>
  <c r="BL601" i="2"/>
  <c r="BK601" i="2"/>
  <c r="BJ601" i="2"/>
  <c r="BU600" i="2"/>
  <c r="BT600" i="2"/>
  <c r="BS600" i="2"/>
  <c r="BR600" i="2"/>
  <c r="BQ600" i="2"/>
  <c r="BP600" i="2"/>
  <c r="BO600" i="2"/>
  <c r="BN600" i="2"/>
  <c r="BM600" i="2"/>
  <c r="BL600" i="2"/>
  <c r="BK600" i="2"/>
  <c r="BJ600" i="2"/>
  <c r="BU599" i="2"/>
  <c r="BT599" i="2"/>
  <c r="BS599" i="2"/>
  <c r="BR599" i="2"/>
  <c r="BQ599" i="2"/>
  <c r="BP599" i="2"/>
  <c r="BO599" i="2"/>
  <c r="BN599" i="2"/>
  <c r="BM599" i="2"/>
  <c r="BL599" i="2"/>
  <c r="BK599" i="2"/>
  <c r="BJ599" i="2"/>
  <c r="BU598" i="2"/>
  <c r="BT598" i="2"/>
  <c r="BS598" i="2"/>
  <c r="BR598" i="2"/>
  <c r="BQ598" i="2"/>
  <c r="BP598" i="2"/>
  <c r="BO598" i="2"/>
  <c r="BN598" i="2"/>
  <c r="BM598" i="2"/>
  <c r="BL598" i="2"/>
  <c r="BK598" i="2"/>
  <c r="BJ598" i="2"/>
  <c r="BU597" i="2"/>
  <c r="BT597" i="2"/>
  <c r="BS597" i="2"/>
  <c r="BR597" i="2"/>
  <c r="BQ597" i="2"/>
  <c r="BP597" i="2"/>
  <c r="BO597" i="2"/>
  <c r="BN597" i="2"/>
  <c r="BM597" i="2"/>
  <c r="BL597" i="2"/>
  <c r="BK597" i="2"/>
  <c r="BJ597" i="2"/>
  <c r="BU596" i="2"/>
  <c r="BT596" i="2"/>
  <c r="BS596" i="2"/>
  <c r="BR596" i="2"/>
  <c r="BQ596" i="2"/>
  <c r="BP596" i="2"/>
  <c r="BO596" i="2"/>
  <c r="BN596" i="2"/>
  <c r="BM596" i="2"/>
  <c r="BL596" i="2"/>
  <c r="BK596" i="2"/>
  <c r="BJ596" i="2"/>
  <c r="BU595" i="2"/>
  <c r="BT595" i="2"/>
  <c r="BS595" i="2"/>
  <c r="BR595" i="2"/>
  <c r="BQ595" i="2"/>
  <c r="BP595" i="2"/>
  <c r="BO595" i="2"/>
  <c r="BN595" i="2"/>
  <c r="BM595" i="2"/>
  <c r="BL595" i="2"/>
  <c r="BK595" i="2"/>
  <c r="BJ595" i="2"/>
  <c r="BU594" i="2"/>
  <c r="BT594" i="2"/>
  <c r="BS594" i="2"/>
  <c r="BR594" i="2"/>
  <c r="BQ594" i="2"/>
  <c r="BP594" i="2"/>
  <c r="BO594" i="2"/>
  <c r="BN594" i="2"/>
  <c r="BM594" i="2"/>
  <c r="BL594" i="2"/>
  <c r="BK594" i="2"/>
  <c r="BJ594" i="2"/>
  <c r="BU593" i="2"/>
  <c r="BT593" i="2"/>
  <c r="BS593" i="2"/>
  <c r="BR593" i="2"/>
  <c r="BQ593" i="2"/>
  <c r="BP593" i="2"/>
  <c r="BO593" i="2"/>
  <c r="BN593" i="2"/>
  <c r="BM593" i="2"/>
  <c r="BL593" i="2"/>
  <c r="BK593" i="2"/>
  <c r="BJ593" i="2"/>
  <c r="BU592" i="2"/>
  <c r="BT592" i="2"/>
  <c r="BS592" i="2"/>
  <c r="BR592" i="2"/>
  <c r="BQ592" i="2"/>
  <c r="BP592" i="2"/>
  <c r="BO592" i="2"/>
  <c r="BN592" i="2"/>
  <c r="BM592" i="2"/>
  <c r="BL592" i="2"/>
  <c r="BK592" i="2"/>
  <c r="BJ592" i="2"/>
  <c r="BU591" i="2"/>
  <c r="BT591" i="2"/>
  <c r="BS591" i="2"/>
  <c r="BR591" i="2"/>
  <c r="BQ591" i="2"/>
  <c r="BP591" i="2"/>
  <c r="BO591" i="2"/>
  <c r="BN591" i="2"/>
  <c r="BM591" i="2"/>
  <c r="BL591" i="2"/>
  <c r="BK591" i="2"/>
  <c r="BJ591" i="2"/>
  <c r="BU590" i="2"/>
  <c r="BT590" i="2"/>
  <c r="BS590" i="2"/>
  <c r="BR590" i="2"/>
  <c r="BQ590" i="2"/>
  <c r="BP590" i="2"/>
  <c r="BO590" i="2"/>
  <c r="BN590" i="2"/>
  <c r="BM590" i="2"/>
  <c r="BL590" i="2"/>
  <c r="BK590" i="2"/>
  <c r="BJ590" i="2"/>
  <c r="BU589" i="2"/>
  <c r="BT589" i="2"/>
  <c r="BS589" i="2"/>
  <c r="BR589" i="2"/>
  <c r="BQ589" i="2"/>
  <c r="BP589" i="2"/>
  <c r="BO589" i="2"/>
  <c r="BN589" i="2"/>
  <c r="BM589" i="2"/>
  <c r="BL589" i="2"/>
  <c r="BK589" i="2"/>
  <c r="BJ589" i="2"/>
  <c r="BU588" i="2"/>
  <c r="BT588" i="2"/>
  <c r="BS588" i="2"/>
  <c r="BR588" i="2"/>
  <c r="BQ588" i="2"/>
  <c r="BP588" i="2"/>
  <c r="BO588" i="2"/>
  <c r="BN588" i="2"/>
  <c r="BM588" i="2"/>
  <c r="BL588" i="2"/>
  <c r="BK588" i="2"/>
  <c r="BJ588" i="2"/>
  <c r="BU587" i="2"/>
  <c r="BT587" i="2"/>
  <c r="BS587" i="2"/>
  <c r="BR587" i="2"/>
  <c r="BQ587" i="2"/>
  <c r="BP587" i="2"/>
  <c r="BO587" i="2"/>
  <c r="BN587" i="2"/>
  <c r="BM587" i="2"/>
  <c r="BL587" i="2"/>
  <c r="BK587" i="2"/>
  <c r="BJ587" i="2"/>
  <c r="BU586" i="2"/>
  <c r="BT586" i="2"/>
  <c r="BS586" i="2"/>
  <c r="BR586" i="2"/>
  <c r="BQ586" i="2"/>
  <c r="BP586" i="2"/>
  <c r="BO586" i="2"/>
  <c r="BN586" i="2"/>
  <c r="BM586" i="2"/>
  <c r="BL586" i="2"/>
  <c r="BK586" i="2"/>
  <c r="BJ586" i="2"/>
  <c r="BU585" i="2"/>
  <c r="BT585" i="2"/>
  <c r="BS585" i="2"/>
  <c r="BR585" i="2"/>
  <c r="BQ585" i="2"/>
  <c r="BP585" i="2"/>
  <c r="BO585" i="2"/>
  <c r="BN585" i="2"/>
  <c r="BM585" i="2"/>
  <c r="BL585" i="2"/>
  <c r="BK585" i="2"/>
  <c r="BJ585" i="2"/>
  <c r="BU584" i="2"/>
  <c r="BT584" i="2"/>
  <c r="BS584" i="2"/>
  <c r="BR584" i="2"/>
  <c r="BQ584" i="2"/>
  <c r="BP584" i="2"/>
  <c r="BO584" i="2"/>
  <c r="BN584" i="2"/>
  <c r="BM584" i="2"/>
  <c r="BL584" i="2"/>
  <c r="BK584" i="2"/>
  <c r="BJ584" i="2"/>
  <c r="BU583" i="2"/>
  <c r="BT583" i="2"/>
  <c r="BS583" i="2"/>
  <c r="BR583" i="2"/>
  <c r="BQ583" i="2"/>
  <c r="BP583" i="2"/>
  <c r="BO583" i="2"/>
  <c r="BN583" i="2"/>
  <c r="BM583" i="2"/>
  <c r="BL583" i="2"/>
  <c r="BK583" i="2"/>
  <c r="BJ583" i="2"/>
  <c r="BU582" i="2"/>
  <c r="BT582" i="2"/>
  <c r="BS582" i="2"/>
  <c r="BR582" i="2"/>
  <c r="BQ582" i="2"/>
  <c r="BP582" i="2"/>
  <c r="BO582" i="2"/>
  <c r="BN582" i="2"/>
  <c r="BM582" i="2"/>
  <c r="BL582" i="2"/>
  <c r="BK582" i="2"/>
  <c r="BJ582" i="2"/>
  <c r="BU581" i="2"/>
  <c r="BT581" i="2"/>
  <c r="BS581" i="2"/>
  <c r="BR581" i="2"/>
  <c r="BQ581" i="2"/>
  <c r="BP581" i="2"/>
  <c r="BO581" i="2"/>
  <c r="BN581" i="2"/>
  <c r="BM581" i="2"/>
  <c r="BL581" i="2"/>
  <c r="BK581" i="2"/>
  <c r="BJ581" i="2"/>
  <c r="BU580" i="2"/>
  <c r="BT580" i="2"/>
  <c r="BS580" i="2"/>
  <c r="BR580" i="2"/>
  <c r="BQ580" i="2"/>
  <c r="BP580" i="2"/>
  <c r="BO580" i="2"/>
  <c r="BN580" i="2"/>
  <c r="BM580" i="2"/>
  <c r="BL580" i="2"/>
  <c r="BK580" i="2"/>
  <c r="BJ580" i="2"/>
  <c r="BU579" i="2"/>
  <c r="BT579" i="2"/>
  <c r="BS579" i="2"/>
  <c r="BR579" i="2"/>
  <c r="BQ579" i="2"/>
  <c r="BP579" i="2"/>
  <c r="BO579" i="2"/>
  <c r="BN579" i="2"/>
  <c r="BM579" i="2"/>
  <c r="BL579" i="2"/>
  <c r="BK579" i="2"/>
  <c r="BJ579" i="2"/>
  <c r="BU578" i="2"/>
  <c r="BT578" i="2"/>
  <c r="BS578" i="2"/>
  <c r="BR578" i="2"/>
  <c r="BQ578" i="2"/>
  <c r="BP578" i="2"/>
  <c r="BO578" i="2"/>
  <c r="BN578" i="2"/>
  <c r="BM578" i="2"/>
  <c r="BL578" i="2"/>
  <c r="BK578" i="2"/>
  <c r="BJ578" i="2"/>
  <c r="BU577" i="2"/>
  <c r="BT577" i="2"/>
  <c r="BS577" i="2"/>
  <c r="BR577" i="2"/>
  <c r="BQ577" i="2"/>
  <c r="BP577" i="2"/>
  <c r="BO577" i="2"/>
  <c r="BN577" i="2"/>
  <c r="BM577" i="2"/>
  <c r="BL577" i="2"/>
  <c r="BK577" i="2"/>
  <c r="BJ577" i="2"/>
  <c r="BU576" i="2"/>
  <c r="BT576" i="2"/>
  <c r="BS576" i="2"/>
  <c r="BR576" i="2"/>
  <c r="BQ576" i="2"/>
  <c r="BP576" i="2"/>
  <c r="BO576" i="2"/>
  <c r="BN576" i="2"/>
  <c r="BM576" i="2"/>
  <c r="BL576" i="2"/>
  <c r="BK576" i="2"/>
  <c r="BJ576" i="2"/>
  <c r="BU575" i="2"/>
  <c r="BT575" i="2"/>
  <c r="BS575" i="2"/>
  <c r="BR575" i="2"/>
  <c r="BQ575" i="2"/>
  <c r="BP575" i="2"/>
  <c r="BO575" i="2"/>
  <c r="BN575" i="2"/>
  <c r="BM575" i="2"/>
  <c r="BL575" i="2"/>
  <c r="BK575" i="2"/>
  <c r="BJ575" i="2"/>
  <c r="BU574" i="2"/>
  <c r="BT574" i="2"/>
  <c r="BS574" i="2"/>
  <c r="BR574" i="2"/>
  <c r="BQ574" i="2"/>
  <c r="BP574" i="2"/>
  <c r="BO574" i="2"/>
  <c r="BN574" i="2"/>
  <c r="BM574" i="2"/>
  <c r="BL574" i="2"/>
  <c r="BK574" i="2"/>
  <c r="BJ574" i="2"/>
  <c r="BU573" i="2"/>
  <c r="BT573" i="2"/>
  <c r="BS573" i="2"/>
  <c r="BR573" i="2"/>
  <c r="BQ573" i="2"/>
  <c r="BP573" i="2"/>
  <c r="BO573" i="2"/>
  <c r="BN573" i="2"/>
  <c r="BM573" i="2"/>
  <c r="BL573" i="2"/>
  <c r="BK573" i="2"/>
  <c r="BJ573" i="2"/>
  <c r="BU572" i="2"/>
  <c r="BT572" i="2"/>
  <c r="BS572" i="2"/>
  <c r="BR572" i="2"/>
  <c r="BQ572" i="2"/>
  <c r="BP572" i="2"/>
  <c r="BO572" i="2"/>
  <c r="BN572" i="2"/>
  <c r="BM572" i="2"/>
  <c r="BL572" i="2"/>
  <c r="BK572" i="2"/>
  <c r="BJ572" i="2"/>
  <c r="BU571" i="2"/>
  <c r="BT571" i="2"/>
  <c r="BS571" i="2"/>
  <c r="BR571" i="2"/>
  <c r="BQ571" i="2"/>
  <c r="BP571" i="2"/>
  <c r="BO571" i="2"/>
  <c r="BN571" i="2"/>
  <c r="BM571" i="2"/>
  <c r="BL571" i="2"/>
  <c r="BK571" i="2"/>
  <c r="BJ571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U566" i="2"/>
  <c r="BU567" i="2" s="1"/>
  <c r="BT566" i="2"/>
  <c r="BT567" i="2" s="1"/>
  <c r="BS566" i="2"/>
  <c r="BS567" i="2" s="1"/>
  <c r="BR566" i="2"/>
  <c r="BR567" i="2" s="1"/>
  <c r="BQ566" i="2"/>
  <c r="BQ567" i="2" s="1"/>
  <c r="BP566" i="2"/>
  <c r="BP567" i="2" s="1"/>
  <c r="BO566" i="2"/>
  <c r="BO567" i="2" s="1"/>
  <c r="BN566" i="2"/>
  <c r="BN567" i="2" s="1"/>
  <c r="BM566" i="2"/>
  <c r="BM567" i="2" s="1"/>
  <c r="BL566" i="2"/>
  <c r="BL567" i="2" s="1"/>
  <c r="BK566" i="2"/>
  <c r="BK567" i="2" s="1"/>
  <c r="BJ566" i="2"/>
  <c r="BJ567" i="2" s="1"/>
  <c r="BI663" i="2"/>
  <c r="BH663" i="2"/>
  <c r="BG663" i="2"/>
  <c r="BF663" i="2"/>
  <c r="BE663" i="2"/>
  <c r="BD663" i="2"/>
  <c r="BC663" i="2"/>
  <c r="BB663" i="2"/>
  <c r="BA663" i="2"/>
  <c r="AZ663" i="2"/>
  <c r="AY663" i="2"/>
  <c r="AX663" i="2"/>
  <c r="AW663" i="2"/>
  <c r="AV663" i="2"/>
  <c r="AU663" i="2"/>
  <c r="AT663" i="2"/>
  <c r="AS663" i="2"/>
  <c r="AR663" i="2"/>
  <c r="AQ663" i="2"/>
  <c r="AP663" i="2"/>
  <c r="AO663" i="2"/>
  <c r="AN663" i="2"/>
  <c r="AM663" i="2"/>
  <c r="AL663" i="2"/>
  <c r="AK663" i="2"/>
  <c r="AJ663" i="2"/>
  <c r="AI663" i="2"/>
  <c r="AH663" i="2"/>
  <c r="BI662" i="2"/>
  <c r="BH662" i="2"/>
  <c r="BG662" i="2"/>
  <c r="BF662" i="2"/>
  <c r="BE662" i="2"/>
  <c r="BD662" i="2"/>
  <c r="BC662" i="2"/>
  <c r="BB662" i="2"/>
  <c r="BA662" i="2"/>
  <c r="AZ662" i="2"/>
  <c r="AY662" i="2"/>
  <c r="AX662" i="2"/>
  <c r="AW662" i="2"/>
  <c r="AV662" i="2"/>
  <c r="AU662" i="2"/>
  <c r="AT662" i="2"/>
  <c r="AS662" i="2"/>
  <c r="AR662" i="2"/>
  <c r="AQ662" i="2"/>
  <c r="AP662" i="2"/>
  <c r="AO662" i="2"/>
  <c r="AN662" i="2"/>
  <c r="AM662" i="2"/>
  <c r="AL662" i="2"/>
  <c r="AK662" i="2"/>
  <c r="AJ662" i="2"/>
  <c r="AI662" i="2"/>
  <c r="AH662" i="2"/>
  <c r="BI661" i="2"/>
  <c r="BH661" i="2"/>
  <c r="BG661" i="2"/>
  <c r="BF661" i="2"/>
  <c r="BE661" i="2"/>
  <c r="BD661" i="2"/>
  <c r="BC661" i="2"/>
  <c r="BB661" i="2"/>
  <c r="BA661" i="2"/>
  <c r="AZ661" i="2"/>
  <c r="AY661" i="2"/>
  <c r="AX661" i="2"/>
  <c r="AW661" i="2"/>
  <c r="AV661" i="2"/>
  <c r="AU661" i="2"/>
  <c r="AT661" i="2"/>
  <c r="AS661" i="2"/>
  <c r="AR661" i="2"/>
  <c r="AQ661" i="2"/>
  <c r="AP661" i="2"/>
  <c r="AO661" i="2"/>
  <c r="AN661" i="2"/>
  <c r="AM661" i="2"/>
  <c r="AL661" i="2"/>
  <c r="AK661" i="2"/>
  <c r="AJ661" i="2"/>
  <c r="AI661" i="2"/>
  <c r="AH661" i="2"/>
  <c r="BI660" i="2"/>
  <c r="BH660" i="2"/>
  <c r="BG660" i="2"/>
  <c r="BF660" i="2"/>
  <c r="BE660" i="2"/>
  <c r="BD660" i="2"/>
  <c r="BC660" i="2"/>
  <c r="BB660" i="2"/>
  <c r="BA660" i="2"/>
  <c r="AZ660" i="2"/>
  <c r="AY660" i="2"/>
  <c r="AX660" i="2"/>
  <c r="AW660" i="2"/>
  <c r="AV660" i="2"/>
  <c r="AU660" i="2"/>
  <c r="AT660" i="2"/>
  <c r="AS660" i="2"/>
  <c r="AR660" i="2"/>
  <c r="AQ660" i="2"/>
  <c r="AP660" i="2"/>
  <c r="AO660" i="2"/>
  <c r="AN660" i="2"/>
  <c r="AM660" i="2"/>
  <c r="AL660" i="2"/>
  <c r="AK660" i="2"/>
  <c r="AJ660" i="2"/>
  <c r="AI660" i="2"/>
  <c r="AH660" i="2"/>
  <c r="BI659" i="2"/>
  <c r="BH659" i="2"/>
  <c r="BG659" i="2"/>
  <c r="BF659" i="2"/>
  <c r="BE659" i="2"/>
  <c r="BD659" i="2"/>
  <c r="BC659" i="2"/>
  <c r="BB659" i="2"/>
  <c r="BA659" i="2"/>
  <c r="AZ659" i="2"/>
  <c r="AY659" i="2"/>
  <c r="AX659" i="2"/>
  <c r="AW659" i="2"/>
  <c r="AV659" i="2"/>
  <c r="AU659" i="2"/>
  <c r="AT659" i="2"/>
  <c r="AS659" i="2"/>
  <c r="AR659" i="2"/>
  <c r="AQ659" i="2"/>
  <c r="AP659" i="2"/>
  <c r="AO659" i="2"/>
  <c r="AN659" i="2"/>
  <c r="AM659" i="2"/>
  <c r="AL659" i="2"/>
  <c r="AK659" i="2"/>
  <c r="AJ659" i="2"/>
  <c r="AI659" i="2"/>
  <c r="AH659" i="2"/>
  <c r="BI658" i="2"/>
  <c r="BH658" i="2"/>
  <c r="BG658" i="2"/>
  <c r="BF658" i="2"/>
  <c r="BE658" i="2"/>
  <c r="BD658" i="2"/>
  <c r="BC658" i="2"/>
  <c r="BB658" i="2"/>
  <c r="BA658" i="2"/>
  <c r="AZ658" i="2"/>
  <c r="AY658" i="2"/>
  <c r="AX658" i="2"/>
  <c r="AW658" i="2"/>
  <c r="AV658" i="2"/>
  <c r="AU658" i="2"/>
  <c r="AT658" i="2"/>
  <c r="AS658" i="2"/>
  <c r="AR658" i="2"/>
  <c r="AQ658" i="2"/>
  <c r="AP658" i="2"/>
  <c r="AO658" i="2"/>
  <c r="AN658" i="2"/>
  <c r="AM658" i="2"/>
  <c r="AL658" i="2"/>
  <c r="AK658" i="2"/>
  <c r="AJ658" i="2"/>
  <c r="AI658" i="2"/>
  <c r="AH658" i="2"/>
  <c r="BI657" i="2"/>
  <c r="BH657" i="2"/>
  <c r="BG657" i="2"/>
  <c r="BF657" i="2"/>
  <c r="BE657" i="2"/>
  <c r="BD657" i="2"/>
  <c r="BC657" i="2"/>
  <c r="BB657" i="2"/>
  <c r="BA657" i="2"/>
  <c r="AZ657" i="2"/>
  <c r="AY657" i="2"/>
  <c r="AX657" i="2"/>
  <c r="AW657" i="2"/>
  <c r="AV657" i="2"/>
  <c r="AU657" i="2"/>
  <c r="AT657" i="2"/>
  <c r="AS657" i="2"/>
  <c r="AR657" i="2"/>
  <c r="AQ657" i="2"/>
  <c r="AP657" i="2"/>
  <c r="AO657" i="2"/>
  <c r="AN657" i="2"/>
  <c r="AM657" i="2"/>
  <c r="AL657" i="2"/>
  <c r="AK657" i="2"/>
  <c r="AJ657" i="2"/>
  <c r="AI657" i="2"/>
  <c r="AH657" i="2"/>
  <c r="BI656" i="2"/>
  <c r="BH656" i="2"/>
  <c r="BG656" i="2"/>
  <c r="BF656" i="2"/>
  <c r="BE656" i="2"/>
  <c r="BD656" i="2"/>
  <c r="BC656" i="2"/>
  <c r="BB656" i="2"/>
  <c r="BA656" i="2"/>
  <c r="AZ656" i="2"/>
  <c r="AY656" i="2"/>
  <c r="AX656" i="2"/>
  <c r="AW656" i="2"/>
  <c r="AV656" i="2"/>
  <c r="AU656" i="2"/>
  <c r="AT656" i="2"/>
  <c r="AS656" i="2"/>
  <c r="AR656" i="2"/>
  <c r="AQ656" i="2"/>
  <c r="AP656" i="2"/>
  <c r="AO656" i="2"/>
  <c r="AN656" i="2"/>
  <c r="AM656" i="2"/>
  <c r="AL656" i="2"/>
  <c r="AK656" i="2"/>
  <c r="AJ656" i="2"/>
  <c r="AI656" i="2"/>
  <c r="AH656" i="2"/>
  <c r="BI655" i="2"/>
  <c r="BH655" i="2"/>
  <c r="BG655" i="2"/>
  <c r="BF655" i="2"/>
  <c r="BE655" i="2"/>
  <c r="BD655" i="2"/>
  <c r="BC655" i="2"/>
  <c r="BB655" i="2"/>
  <c r="BA655" i="2"/>
  <c r="AZ655" i="2"/>
  <c r="AY655" i="2"/>
  <c r="AX655" i="2"/>
  <c r="AW655" i="2"/>
  <c r="AV655" i="2"/>
  <c r="AU655" i="2"/>
  <c r="AT655" i="2"/>
  <c r="AS655" i="2"/>
  <c r="AR655" i="2"/>
  <c r="AQ655" i="2"/>
  <c r="AP655" i="2"/>
  <c r="AO655" i="2"/>
  <c r="AN655" i="2"/>
  <c r="AM655" i="2"/>
  <c r="AL655" i="2"/>
  <c r="AK655" i="2"/>
  <c r="AJ655" i="2"/>
  <c r="AI655" i="2"/>
  <c r="AH655" i="2"/>
  <c r="BI654" i="2"/>
  <c r="BH654" i="2"/>
  <c r="BG654" i="2"/>
  <c r="BF654" i="2"/>
  <c r="BE654" i="2"/>
  <c r="BD654" i="2"/>
  <c r="BC654" i="2"/>
  <c r="BB654" i="2"/>
  <c r="BA654" i="2"/>
  <c r="AZ654" i="2"/>
  <c r="AY654" i="2"/>
  <c r="AX654" i="2"/>
  <c r="AW654" i="2"/>
  <c r="AV654" i="2"/>
  <c r="AU654" i="2"/>
  <c r="AT654" i="2"/>
  <c r="AS654" i="2"/>
  <c r="AR654" i="2"/>
  <c r="AQ654" i="2"/>
  <c r="AP654" i="2"/>
  <c r="AO654" i="2"/>
  <c r="AN654" i="2"/>
  <c r="AM654" i="2"/>
  <c r="AL654" i="2"/>
  <c r="AK654" i="2"/>
  <c r="AJ654" i="2"/>
  <c r="AI654" i="2"/>
  <c r="AH654" i="2"/>
  <c r="BI653" i="2"/>
  <c r="BH653" i="2"/>
  <c r="BG653" i="2"/>
  <c r="BF653" i="2"/>
  <c r="BE653" i="2"/>
  <c r="BD653" i="2"/>
  <c r="BC653" i="2"/>
  <c r="BB653" i="2"/>
  <c r="BA653" i="2"/>
  <c r="AZ653" i="2"/>
  <c r="AY653" i="2"/>
  <c r="AX653" i="2"/>
  <c r="AW653" i="2"/>
  <c r="AV653" i="2"/>
  <c r="AU653" i="2"/>
  <c r="AT653" i="2"/>
  <c r="AS653" i="2"/>
  <c r="AR653" i="2"/>
  <c r="AQ653" i="2"/>
  <c r="AP653" i="2"/>
  <c r="AO653" i="2"/>
  <c r="AN653" i="2"/>
  <c r="AM653" i="2"/>
  <c r="AL653" i="2"/>
  <c r="AK653" i="2"/>
  <c r="AJ653" i="2"/>
  <c r="AI653" i="2"/>
  <c r="AH653" i="2"/>
  <c r="BI652" i="2"/>
  <c r="BH652" i="2"/>
  <c r="BG652" i="2"/>
  <c r="BF652" i="2"/>
  <c r="BE652" i="2"/>
  <c r="BD652" i="2"/>
  <c r="BC652" i="2"/>
  <c r="BB652" i="2"/>
  <c r="BA652" i="2"/>
  <c r="AZ652" i="2"/>
  <c r="AY652" i="2"/>
  <c r="AX652" i="2"/>
  <c r="AW652" i="2"/>
  <c r="AV652" i="2"/>
  <c r="AU652" i="2"/>
  <c r="AT652" i="2"/>
  <c r="AS652" i="2"/>
  <c r="AR652" i="2"/>
  <c r="AQ652" i="2"/>
  <c r="AP652" i="2"/>
  <c r="AO652" i="2"/>
  <c r="AN652" i="2"/>
  <c r="AM652" i="2"/>
  <c r="AL652" i="2"/>
  <c r="AK652" i="2"/>
  <c r="AJ652" i="2"/>
  <c r="AI652" i="2"/>
  <c r="AH652" i="2"/>
  <c r="BI651" i="2"/>
  <c r="BH651" i="2"/>
  <c r="BG651" i="2"/>
  <c r="BF651" i="2"/>
  <c r="BE651" i="2"/>
  <c r="BD651" i="2"/>
  <c r="BC651" i="2"/>
  <c r="BB651" i="2"/>
  <c r="BA651" i="2"/>
  <c r="AZ651" i="2"/>
  <c r="AY651" i="2"/>
  <c r="AX651" i="2"/>
  <c r="AW651" i="2"/>
  <c r="AV651" i="2"/>
  <c r="AU651" i="2"/>
  <c r="AT651" i="2"/>
  <c r="AS651" i="2"/>
  <c r="AR651" i="2"/>
  <c r="AQ651" i="2"/>
  <c r="AP651" i="2"/>
  <c r="AO651" i="2"/>
  <c r="AN651" i="2"/>
  <c r="AM651" i="2"/>
  <c r="AL651" i="2"/>
  <c r="AK651" i="2"/>
  <c r="AJ651" i="2"/>
  <c r="AI651" i="2"/>
  <c r="AH651" i="2"/>
  <c r="BI650" i="2"/>
  <c r="BH650" i="2"/>
  <c r="BG650" i="2"/>
  <c r="BF650" i="2"/>
  <c r="BE650" i="2"/>
  <c r="BD650" i="2"/>
  <c r="BC650" i="2"/>
  <c r="BB650" i="2"/>
  <c r="BA650" i="2"/>
  <c r="AZ650" i="2"/>
  <c r="AY650" i="2"/>
  <c r="AX650" i="2"/>
  <c r="AW650" i="2"/>
  <c r="AV650" i="2"/>
  <c r="AU650" i="2"/>
  <c r="AT650" i="2"/>
  <c r="AS650" i="2"/>
  <c r="AR650" i="2"/>
  <c r="AQ650" i="2"/>
  <c r="AP650" i="2"/>
  <c r="AO650" i="2"/>
  <c r="AN650" i="2"/>
  <c r="AM650" i="2"/>
  <c r="AL650" i="2"/>
  <c r="AK650" i="2"/>
  <c r="AJ650" i="2"/>
  <c r="AI650" i="2"/>
  <c r="AH650" i="2"/>
  <c r="BI649" i="2"/>
  <c r="BH649" i="2"/>
  <c r="BG649" i="2"/>
  <c r="BF649" i="2"/>
  <c r="BE649" i="2"/>
  <c r="BD649" i="2"/>
  <c r="BC649" i="2"/>
  <c r="BB649" i="2"/>
  <c r="BA649" i="2"/>
  <c r="AZ649" i="2"/>
  <c r="AY649" i="2"/>
  <c r="AX649" i="2"/>
  <c r="AW649" i="2"/>
  <c r="AV649" i="2"/>
  <c r="AU649" i="2"/>
  <c r="AT649" i="2"/>
  <c r="AS649" i="2"/>
  <c r="AR649" i="2"/>
  <c r="AQ649" i="2"/>
  <c r="AP649" i="2"/>
  <c r="AO649" i="2"/>
  <c r="AN649" i="2"/>
  <c r="AM649" i="2"/>
  <c r="AL649" i="2"/>
  <c r="AK649" i="2"/>
  <c r="AJ649" i="2"/>
  <c r="AI649" i="2"/>
  <c r="AH649" i="2"/>
  <c r="BI648" i="2"/>
  <c r="BH648" i="2"/>
  <c r="BG648" i="2"/>
  <c r="BF648" i="2"/>
  <c r="BE648" i="2"/>
  <c r="BD648" i="2"/>
  <c r="BC648" i="2"/>
  <c r="BB648" i="2"/>
  <c r="BA648" i="2"/>
  <c r="AZ648" i="2"/>
  <c r="AY648" i="2"/>
  <c r="AX648" i="2"/>
  <c r="AW648" i="2"/>
  <c r="AV648" i="2"/>
  <c r="AU648" i="2"/>
  <c r="AT648" i="2"/>
  <c r="AS648" i="2"/>
  <c r="AR648" i="2"/>
  <c r="AQ648" i="2"/>
  <c r="AP648" i="2"/>
  <c r="AO648" i="2"/>
  <c r="AN648" i="2"/>
  <c r="AM648" i="2"/>
  <c r="AL648" i="2"/>
  <c r="AK648" i="2"/>
  <c r="AJ648" i="2"/>
  <c r="AI648" i="2"/>
  <c r="AH648" i="2"/>
  <c r="BI647" i="2"/>
  <c r="BH647" i="2"/>
  <c r="BG647" i="2"/>
  <c r="BF647" i="2"/>
  <c r="BE647" i="2"/>
  <c r="BD647" i="2"/>
  <c r="BC647" i="2"/>
  <c r="BB647" i="2"/>
  <c r="BA647" i="2"/>
  <c r="AZ647" i="2"/>
  <c r="AY647" i="2"/>
  <c r="AX647" i="2"/>
  <c r="AW647" i="2"/>
  <c r="AV647" i="2"/>
  <c r="AU647" i="2"/>
  <c r="AT647" i="2"/>
  <c r="AS647" i="2"/>
  <c r="AR647" i="2"/>
  <c r="AQ647" i="2"/>
  <c r="AP647" i="2"/>
  <c r="AO647" i="2"/>
  <c r="AN647" i="2"/>
  <c r="AM647" i="2"/>
  <c r="AL647" i="2"/>
  <c r="AK647" i="2"/>
  <c r="AJ647" i="2"/>
  <c r="AI647" i="2"/>
  <c r="AH647" i="2"/>
  <c r="BI646" i="2"/>
  <c r="BH646" i="2"/>
  <c r="BG646" i="2"/>
  <c r="BF646" i="2"/>
  <c r="BE646" i="2"/>
  <c r="BD646" i="2"/>
  <c r="BC646" i="2"/>
  <c r="BB646" i="2"/>
  <c r="BA646" i="2"/>
  <c r="AZ646" i="2"/>
  <c r="AY646" i="2"/>
  <c r="AX646" i="2"/>
  <c r="AW646" i="2"/>
  <c r="AV646" i="2"/>
  <c r="AU646" i="2"/>
  <c r="AT646" i="2"/>
  <c r="AS646" i="2"/>
  <c r="AR646" i="2"/>
  <c r="AQ646" i="2"/>
  <c r="AP646" i="2"/>
  <c r="AO646" i="2"/>
  <c r="AN646" i="2"/>
  <c r="AM646" i="2"/>
  <c r="AL646" i="2"/>
  <c r="AK646" i="2"/>
  <c r="AJ646" i="2"/>
  <c r="AI646" i="2"/>
  <c r="AH646" i="2"/>
  <c r="BI645" i="2"/>
  <c r="BH645" i="2"/>
  <c r="BG645" i="2"/>
  <c r="BF645" i="2"/>
  <c r="BE645" i="2"/>
  <c r="BD645" i="2"/>
  <c r="BC645" i="2"/>
  <c r="BB645" i="2"/>
  <c r="BA645" i="2"/>
  <c r="AZ645" i="2"/>
  <c r="AY645" i="2"/>
  <c r="AX645" i="2"/>
  <c r="AW645" i="2"/>
  <c r="AV645" i="2"/>
  <c r="AU645" i="2"/>
  <c r="AT645" i="2"/>
  <c r="AS645" i="2"/>
  <c r="AR645" i="2"/>
  <c r="AQ645" i="2"/>
  <c r="AP645" i="2"/>
  <c r="AO645" i="2"/>
  <c r="AN645" i="2"/>
  <c r="AM645" i="2"/>
  <c r="AL645" i="2"/>
  <c r="AK645" i="2"/>
  <c r="AJ645" i="2"/>
  <c r="AI645" i="2"/>
  <c r="AH645" i="2"/>
  <c r="BI644" i="2"/>
  <c r="BH644" i="2"/>
  <c r="BG644" i="2"/>
  <c r="BF644" i="2"/>
  <c r="BE644" i="2"/>
  <c r="BD644" i="2"/>
  <c r="BC644" i="2"/>
  <c r="BB644" i="2"/>
  <c r="BA644" i="2"/>
  <c r="AZ644" i="2"/>
  <c r="AY644" i="2"/>
  <c r="AX644" i="2"/>
  <c r="AW644" i="2"/>
  <c r="AV644" i="2"/>
  <c r="AU644" i="2"/>
  <c r="AT644" i="2"/>
  <c r="AS644" i="2"/>
  <c r="AR644" i="2"/>
  <c r="AQ644" i="2"/>
  <c r="AP644" i="2"/>
  <c r="AO644" i="2"/>
  <c r="AN644" i="2"/>
  <c r="AM644" i="2"/>
  <c r="AL644" i="2"/>
  <c r="AK644" i="2"/>
  <c r="AJ644" i="2"/>
  <c r="AI644" i="2"/>
  <c r="AH644" i="2"/>
  <c r="BI643" i="2"/>
  <c r="BH643" i="2"/>
  <c r="BG643" i="2"/>
  <c r="BF643" i="2"/>
  <c r="BE643" i="2"/>
  <c r="BD643" i="2"/>
  <c r="BC643" i="2"/>
  <c r="BB643" i="2"/>
  <c r="BA643" i="2"/>
  <c r="AZ643" i="2"/>
  <c r="AY643" i="2"/>
  <c r="AX643" i="2"/>
  <c r="AW643" i="2"/>
  <c r="AV643" i="2"/>
  <c r="AU643" i="2"/>
  <c r="AT643" i="2"/>
  <c r="AS643" i="2"/>
  <c r="AR643" i="2"/>
  <c r="AQ643" i="2"/>
  <c r="AP643" i="2"/>
  <c r="AO643" i="2"/>
  <c r="AN643" i="2"/>
  <c r="AM643" i="2"/>
  <c r="AL643" i="2"/>
  <c r="AK643" i="2"/>
  <c r="AJ643" i="2"/>
  <c r="AI643" i="2"/>
  <c r="AH643" i="2"/>
  <c r="BI642" i="2"/>
  <c r="BH642" i="2"/>
  <c r="BG642" i="2"/>
  <c r="BF642" i="2"/>
  <c r="BE642" i="2"/>
  <c r="BD642" i="2"/>
  <c r="BC642" i="2"/>
  <c r="BB642" i="2"/>
  <c r="BA642" i="2"/>
  <c r="AZ642" i="2"/>
  <c r="AY642" i="2"/>
  <c r="AX642" i="2"/>
  <c r="AW642" i="2"/>
  <c r="AV642" i="2"/>
  <c r="AU642" i="2"/>
  <c r="AT642" i="2"/>
  <c r="AS642" i="2"/>
  <c r="AR642" i="2"/>
  <c r="AQ642" i="2"/>
  <c r="AP642" i="2"/>
  <c r="AO642" i="2"/>
  <c r="AN642" i="2"/>
  <c r="AM642" i="2"/>
  <c r="AL642" i="2"/>
  <c r="AK642" i="2"/>
  <c r="AJ642" i="2"/>
  <c r="AI642" i="2"/>
  <c r="AH642" i="2"/>
  <c r="BI641" i="2"/>
  <c r="BH641" i="2"/>
  <c r="BG641" i="2"/>
  <c r="BF641" i="2"/>
  <c r="BE641" i="2"/>
  <c r="BD641" i="2"/>
  <c r="BC641" i="2"/>
  <c r="BB641" i="2"/>
  <c r="BA641" i="2"/>
  <c r="AZ641" i="2"/>
  <c r="AY641" i="2"/>
  <c r="AX641" i="2"/>
  <c r="AW641" i="2"/>
  <c r="AV641" i="2"/>
  <c r="AU641" i="2"/>
  <c r="AT641" i="2"/>
  <c r="AS641" i="2"/>
  <c r="AR641" i="2"/>
  <c r="AQ641" i="2"/>
  <c r="AP641" i="2"/>
  <c r="AO641" i="2"/>
  <c r="AN641" i="2"/>
  <c r="AM641" i="2"/>
  <c r="AL641" i="2"/>
  <c r="AK641" i="2"/>
  <c r="AJ641" i="2"/>
  <c r="AI641" i="2"/>
  <c r="AH641" i="2"/>
  <c r="BI640" i="2"/>
  <c r="BH640" i="2"/>
  <c r="BG640" i="2"/>
  <c r="BF640" i="2"/>
  <c r="BE640" i="2"/>
  <c r="BD640" i="2"/>
  <c r="BC640" i="2"/>
  <c r="BB640" i="2"/>
  <c r="BA640" i="2"/>
  <c r="AZ640" i="2"/>
  <c r="AY640" i="2"/>
  <c r="AX640" i="2"/>
  <c r="AW640" i="2"/>
  <c r="AV640" i="2"/>
  <c r="AU640" i="2"/>
  <c r="AT640" i="2"/>
  <c r="AS640" i="2"/>
  <c r="AR640" i="2"/>
  <c r="AQ640" i="2"/>
  <c r="AP640" i="2"/>
  <c r="AO640" i="2"/>
  <c r="AN640" i="2"/>
  <c r="AM640" i="2"/>
  <c r="AL640" i="2"/>
  <c r="AK640" i="2"/>
  <c r="AJ640" i="2"/>
  <c r="AI640" i="2"/>
  <c r="AH640" i="2"/>
  <c r="BI639" i="2"/>
  <c r="BH639" i="2"/>
  <c r="BG639" i="2"/>
  <c r="BF639" i="2"/>
  <c r="BE639" i="2"/>
  <c r="BD639" i="2"/>
  <c r="BC639" i="2"/>
  <c r="BB639" i="2"/>
  <c r="BA639" i="2"/>
  <c r="AZ639" i="2"/>
  <c r="AY639" i="2"/>
  <c r="AX639" i="2"/>
  <c r="AW639" i="2"/>
  <c r="AV639" i="2"/>
  <c r="AU639" i="2"/>
  <c r="AT639" i="2"/>
  <c r="AS639" i="2"/>
  <c r="AR639" i="2"/>
  <c r="AQ639" i="2"/>
  <c r="AP639" i="2"/>
  <c r="AO639" i="2"/>
  <c r="AN639" i="2"/>
  <c r="AM639" i="2"/>
  <c r="AL639" i="2"/>
  <c r="AK639" i="2"/>
  <c r="AJ639" i="2"/>
  <c r="AI639" i="2"/>
  <c r="AH639" i="2"/>
  <c r="BI638" i="2"/>
  <c r="BH638" i="2"/>
  <c r="BG638" i="2"/>
  <c r="BF638" i="2"/>
  <c r="BE638" i="2"/>
  <c r="BD638" i="2"/>
  <c r="BC638" i="2"/>
  <c r="BB638" i="2"/>
  <c r="BA638" i="2"/>
  <c r="AZ638" i="2"/>
  <c r="AY638" i="2"/>
  <c r="AX638" i="2"/>
  <c r="AW638" i="2"/>
  <c r="AV638" i="2"/>
  <c r="AU638" i="2"/>
  <c r="AT638" i="2"/>
  <c r="AS638" i="2"/>
  <c r="AR638" i="2"/>
  <c r="AQ638" i="2"/>
  <c r="AP638" i="2"/>
  <c r="AO638" i="2"/>
  <c r="AN638" i="2"/>
  <c r="AM638" i="2"/>
  <c r="AL638" i="2"/>
  <c r="AK638" i="2"/>
  <c r="AJ638" i="2"/>
  <c r="AI638" i="2"/>
  <c r="AH638" i="2"/>
  <c r="BI637" i="2"/>
  <c r="BH637" i="2"/>
  <c r="BG637" i="2"/>
  <c r="BF637" i="2"/>
  <c r="BE637" i="2"/>
  <c r="BD637" i="2"/>
  <c r="BC637" i="2"/>
  <c r="BB637" i="2"/>
  <c r="BA637" i="2"/>
  <c r="AZ637" i="2"/>
  <c r="AY637" i="2"/>
  <c r="AX637" i="2"/>
  <c r="AW637" i="2"/>
  <c r="AV637" i="2"/>
  <c r="AU637" i="2"/>
  <c r="AT637" i="2"/>
  <c r="AS637" i="2"/>
  <c r="AR637" i="2"/>
  <c r="AQ637" i="2"/>
  <c r="AP637" i="2"/>
  <c r="AO637" i="2"/>
  <c r="AN637" i="2"/>
  <c r="AM637" i="2"/>
  <c r="AL637" i="2"/>
  <c r="AK637" i="2"/>
  <c r="AJ637" i="2"/>
  <c r="AI637" i="2"/>
  <c r="AH637" i="2"/>
  <c r="BI636" i="2"/>
  <c r="BH636" i="2"/>
  <c r="BG636" i="2"/>
  <c r="BF636" i="2"/>
  <c r="BE636" i="2"/>
  <c r="BD636" i="2"/>
  <c r="BC636" i="2"/>
  <c r="BB636" i="2"/>
  <c r="BA636" i="2"/>
  <c r="AZ636" i="2"/>
  <c r="AY636" i="2"/>
  <c r="AX636" i="2"/>
  <c r="AW636" i="2"/>
  <c r="AV636" i="2"/>
  <c r="AU636" i="2"/>
  <c r="AT636" i="2"/>
  <c r="AS636" i="2"/>
  <c r="AR636" i="2"/>
  <c r="AQ636" i="2"/>
  <c r="AP636" i="2"/>
  <c r="AO636" i="2"/>
  <c r="AN636" i="2"/>
  <c r="AM636" i="2"/>
  <c r="AL636" i="2"/>
  <c r="AK636" i="2"/>
  <c r="AJ636" i="2"/>
  <c r="AI636" i="2"/>
  <c r="AH636" i="2"/>
  <c r="BI635" i="2"/>
  <c r="BH635" i="2"/>
  <c r="BG635" i="2"/>
  <c r="BF635" i="2"/>
  <c r="BE635" i="2"/>
  <c r="BD635" i="2"/>
  <c r="BC635" i="2"/>
  <c r="BB635" i="2"/>
  <c r="BA635" i="2"/>
  <c r="AZ635" i="2"/>
  <c r="AY635" i="2"/>
  <c r="AX635" i="2"/>
  <c r="AW635" i="2"/>
  <c r="AV635" i="2"/>
  <c r="AU635" i="2"/>
  <c r="AT635" i="2"/>
  <c r="AS635" i="2"/>
  <c r="AR635" i="2"/>
  <c r="AQ635" i="2"/>
  <c r="AP635" i="2"/>
  <c r="AO635" i="2"/>
  <c r="AN635" i="2"/>
  <c r="AM635" i="2"/>
  <c r="AL635" i="2"/>
  <c r="AK635" i="2"/>
  <c r="AJ635" i="2"/>
  <c r="AI635" i="2"/>
  <c r="AH635" i="2"/>
  <c r="BI634" i="2"/>
  <c r="BH634" i="2"/>
  <c r="BG634" i="2"/>
  <c r="BF634" i="2"/>
  <c r="BE634" i="2"/>
  <c r="BD634" i="2"/>
  <c r="BC634" i="2"/>
  <c r="BB634" i="2"/>
  <c r="BA634" i="2"/>
  <c r="AZ634" i="2"/>
  <c r="AY634" i="2"/>
  <c r="AX634" i="2"/>
  <c r="AW634" i="2"/>
  <c r="AV634" i="2"/>
  <c r="AU634" i="2"/>
  <c r="AT634" i="2"/>
  <c r="AS634" i="2"/>
  <c r="AR634" i="2"/>
  <c r="AQ634" i="2"/>
  <c r="AP634" i="2"/>
  <c r="AO634" i="2"/>
  <c r="AN634" i="2"/>
  <c r="AM634" i="2"/>
  <c r="AL634" i="2"/>
  <c r="AK634" i="2"/>
  <c r="AJ634" i="2"/>
  <c r="AI634" i="2"/>
  <c r="AH634" i="2"/>
  <c r="BI633" i="2"/>
  <c r="BH633" i="2"/>
  <c r="BG633" i="2"/>
  <c r="BF633" i="2"/>
  <c r="BE633" i="2"/>
  <c r="BD633" i="2"/>
  <c r="BC633" i="2"/>
  <c r="BB633" i="2"/>
  <c r="BA633" i="2"/>
  <c r="AZ633" i="2"/>
  <c r="AY633" i="2"/>
  <c r="AX633" i="2"/>
  <c r="AW633" i="2"/>
  <c r="AV633" i="2"/>
  <c r="AU633" i="2"/>
  <c r="AT633" i="2"/>
  <c r="AS633" i="2"/>
  <c r="AR633" i="2"/>
  <c r="AQ633" i="2"/>
  <c r="AP633" i="2"/>
  <c r="AO633" i="2"/>
  <c r="AN633" i="2"/>
  <c r="AM633" i="2"/>
  <c r="AL633" i="2"/>
  <c r="AK633" i="2"/>
  <c r="AJ633" i="2"/>
  <c r="AI633" i="2"/>
  <c r="AH633" i="2"/>
  <c r="BI632" i="2"/>
  <c r="BH632" i="2"/>
  <c r="BG632" i="2"/>
  <c r="BF632" i="2"/>
  <c r="BE632" i="2"/>
  <c r="BD632" i="2"/>
  <c r="BC632" i="2"/>
  <c r="BB632" i="2"/>
  <c r="BA632" i="2"/>
  <c r="AZ632" i="2"/>
  <c r="AY632" i="2"/>
  <c r="AX632" i="2"/>
  <c r="AW632" i="2"/>
  <c r="AV632" i="2"/>
  <c r="AU632" i="2"/>
  <c r="AT632" i="2"/>
  <c r="AS632" i="2"/>
  <c r="AR632" i="2"/>
  <c r="AQ632" i="2"/>
  <c r="AP632" i="2"/>
  <c r="AO632" i="2"/>
  <c r="AN632" i="2"/>
  <c r="AM632" i="2"/>
  <c r="AL632" i="2"/>
  <c r="AK632" i="2"/>
  <c r="AJ632" i="2"/>
  <c r="AI632" i="2"/>
  <c r="AH632" i="2"/>
  <c r="BI631" i="2"/>
  <c r="BH631" i="2"/>
  <c r="BG631" i="2"/>
  <c r="BF631" i="2"/>
  <c r="BE631" i="2"/>
  <c r="BD631" i="2"/>
  <c r="BC631" i="2"/>
  <c r="BB631" i="2"/>
  <c r="BA631" i="2"/>
  <c r="AZ631" i="2"/>
  <c r="AY631" i="2"/>
  <c r="AX631" i="2"/>
  <c r="AW631" i="2"/>
  <c r="AV631" i="2"/>
  <c r="AU631" i="2"/>
  <c r="AT631" i="2"/>
  <c r="AS631" i="2"/>
  <c r="AR631" i="2"/>
  <c r="AQ631" i="2"/>
  <c r="AP631" i="2"/>
  <c r="AO631" i="2"/>
  <c r="AN631" i="2"/>
  <c r="AM631" i="2"/>
  <c r="AL631" i="2"/>
  <c r="AK631" i="2"/>
  <c r="AJ631" i="2"/>
  <c r="AI631" i="2"/>
  <c r="AH631" i="2"/>
  <c r="BI630" i="2"/>
  <c r="BH630" i="2"/>
  <c r="BG630" i="2"/>
  <c r="BF630" i="2"/>
  <c r="BE630" i="2"/>
  <c r="BD630" i="2"/>
  <c r="BC630" i="2"/>
  <c r="BB630" i="2"/>
  <c r="BA630" i="2"/>
  <c r="AZ630" i="2"/>
  <c r="AY630" i="2"/>
  <c r="AX630" i="2"/>
  <c r="AW630" i="2"/>
  <c r="AV630" i="2"/>
  <c r="AU630" i="2"/>
  <c r="AT630" i="2"/>
  <c r="AS630" i="2"/>
  <c r="AR630" i="2"/>
  <c r="AQ630" i="2"/>
  <c r="AP630" i="2"/>
  <c r="AO630" i="2"/>
  <c r="AN630" i="2"/>
  <c r="AM630" i="2"/>
  <c r="AL630" i="2"/>
  <c r="AK630" i="2"/>
  <c r="AJ630" i="2"/>
  <c r="AI630" i="2"/>
  <c r="AH630" i="2"/>
  <c r="BI629" i="2"/>
  <c r="BH629" i="2"/>
  <c r="BG629" i="2"/>
  <c r="BF629" i="2"/>
  <c r="BE629" i="2"/>
  <c r="BD629" i="2"/>
  <c r="BC629" i="2"/>
  <c r="BB629" i="2"/>
  <c r="BA629" i="2"/>
  <c r="AZ629" i="2"/>
  <c r="AY629" i="2"/>
  <c r="AX629" i="2"/>
  <c r="AW629" i="2"/>
  <c r="AV629" i="2"/>
  <c r="AU629" i="2"/>
  <c r="AT629" i="2"/>
  <c r="AS629" i="2"/>
  <c r="AR629" i="2"/>
  <c r="AQ629" i="2"/>
  <c r="AP629" i="2"/>
  <c r="AO629" i="2"/>
  <c r="AN629" i="2"/>
  <c r="AM629" i="2"/>
  <c r="AL629" i="2"/>
  <c r="AK629" i="2"/>
  <c r="AJ629" i="2"/>
  <c r="AI629" i="2"/>
  <c r="AH629" i="2"/>
  <c r="BI628" i="2"/>
  <c r="BH628" i="2"/>
  <c r="BG628" i="2"/>
  <c r="BF628" i="2"/>
  <c r="BE628" i="2"/>
  <c r="BD628" i="2"/>
  <c r="BC628" i="2"/>
  <c r="BB628" i="2"/>
  <c r="BA628" i="2"/>
  <c r="AZ628" i="2"/>
  <c r="AY628" i="2"/>
  <c r="AX628" i="2"/>
  <c r="AW628" i="2"/>
  <c r="AV628" i="2"/>
  <c r="AU628" i="2"/>
  <c r="AT628" i="2"/>
  <c r="AS628" i="2"/>
  <c r="AR628" i="2"/>
  <c r="AQ628" i="2"/>
  <c r="AP628" i="2"/>
  <c r="AO628" i="2"/>
  <c r="AN628" i="2"/>
  <c r="AM628" i="2"/>
  <c r="AL628" i="2"/>
  <c r="AK628" i="2"/>
  <c r="AJ628" i="2"/>
  <c r="AI628" i="2"/>
  <c r="AH628" i="2"/>
  <c r="BI627" i="2"/>
  <c r="BH627" i="2"/>
  <c r="BG627" i="2"/>
  <c r="BF627" i="2"/>
  <c r="BE627" i="2"/>
  <c r="BD627" i="2"/>
  <c r="BC627" i="2"/>
  <c r="BB627" i="2"/>
  <c r="BA627" i="2"/>
  <c r="AZ627" i="2"/>
  <c r="AY627" i="2"/>
  <c r="AX627" i="2"/>
  <c r="AW627" i="2"/>
  <c r="AV627" i="2"/>
  <c r="AU627" i="2"/>
  <c r="AT627" i="2"/>
  <c r="AS627" i="2"/>
  <c r="AR627" i="2"/>
  <c r="AQ627" i="2"/>
  <c r="AP627" i="2"/>
  <c r="AO627" i="2"/>
  <c r="AN627" i="2"/>
  <c r="AM627" i="2"/>
  <c r="AL627" i="2"/>
  <c r="AK627" i="2"/>
  <c r="AJ627" i="2"/>
  <c r="AI627" i="2"/>
  <c r="AH627" i="2"/>
  <c r="BI626" i="2"/>
  <c r="BH626" i="2"/>
  <c r="BG626" i="2"/>
  <c r="BF626" i="2"/>
  <c r="BE626" i="2"/>
  <c r="BD626" i="2"/>
  <c r="BC626" i="2"/>
  <c r="BB626" i="2"/>
  <c r="BA626" i="2"/>
  <c r="AZ626" i="2"/>
  <c r="AY626" i="2"/>
  <c r="AX626" i="2"/>
  <c r="AW626" i="2"/>
  <c r="AV626" i="2"/>
  <c r="AU626" i="2"/>
  <c r="AT626" i="2"/>
  <c r="AS626" i="2"/>
  <c r="AR626" i="2"/>
  <c r="AQ626" i="2"/>
  <c r="AP626" i="2"/>
  <c r="AO626" i="2"/>
  <c r="AN626" i="2"/>
  <c r="AM626" i="2"/>
  <c r="AL626" i="2"/>
  <c r="AK626" i="2"/>
  <c r="AJ626" i="2"/>
  <c r="AI626" i="2"/>
  <c r="AH626" i="2"/>
  <c r="BI625" i="2"/>
  <c r="BH625" i="2"/>
  <c r="BG625" i="2"/>
  <c r="BF625" i="2"/>
  <c r="BE625" i="2"/>
  <c r="BD625" i="2"/>
  <c r="BC625" i="2"/>
  <c r="BB625" i="2"/>
  <c r="BA625" i="2"/>
  <c r="AZ625" i="2"/>
  <c r="AY625" i="2"/>
  <c r="AX625" i="2"/>
  <c r="AW625" i="2"/>
  <c r="AV625" i="2"/>
  <c r="AU625" i="2"/>
  <c r="AT625" i="2"/>
  <c r="AS625" i="2"/>
  <c r="AR625" i="2"/>
  <c r="AQ625" i="2"/>
  <c r="AP625" i="2"/>
  <c r="AO625" i="2"/>
  <c r="AN625" i="2"/>
  <c r="AM625" i="2"/>
  <c r="AL625" i="2"/>
  <c r="AK625" i="2"/>
  <c r="AJ625" i="2"/>
  <c r="AI625" i="2"/>
  <c r="AH625" i="2"/>
  <c r="BI624" i="2"/>
  <c r="BH624" i="2"/>
  <c r="BG624" i="2"/>
  <c r="BF624" i="2"/>
  <c r="BE624" i="2"/>
  <c r="BD624" i="2"/>
  <c r="BC624" i="2"/>
  <c r="BB624" i="2"/>
  <c r="BA624" i="2"/>
  <c r="AZ624" i="2"/>
  <c r="AY624" i="2"/>
  <c r="AX624" i="2"/>
  <c r="AW624" i="2"/>
  <c r="AV624" i="2"/>
  <c r="AU624" i="2"/>
  <c r="AT624" i="2"/>
  <c r="AS624" i="2"/>
  <c r="AR624" i="2"/>
  <c r="AQ624" i="2"/>
  <c r="AP624" i="2"/>
  <c r="AO624" i="2"/>
  <c r="AN624" i="2"/>
  <c r="AM624" i="2"/>
  <c r="AL624" i="2"/>
  <c r="AK624" i="2"/>
  <c r="AJ624" i="2"/>
  <c r="AI624" i="2"/>
  <c r="AH624" i="2"/>
  <c r="BI623" i="2"/>
  <c r="BH623" i="2"/>
  <c r="BG623" i="2"/>
  <c r="BF623" i="2"/>
  <c r="BE623" i="2"/>
  <c r="BD623" i="2"/>
  <c r="BC623" i="2"/>
  <c r="BB623" i="2"/>
  <c r="BA623" i="2"/>
  <c r="AZ623" i="2"/>
  <c r="AY623" i="2"/>
  <c r="AX623" i="2"/>
  <c r="AW623" i="2"/>
  <c r="AV623" i="2"/>
  <c r="AU623" i="2"/>
  <c r="AT623" i="2"/>
  <c r="AS623" i="2"/>
  <c r="AR623" i="2"/>
  <c r="AQ623" i="2"/>
  <c r="AP623" i="2"/>
  <c r="AO623" i="2"/>
  <c r="AN623" i="2"/>
  <c r="AM623" i="2"/>
  <c r="AL623" i="2"/>
  <c r="AK623" i="2"/>
  <c r="AJ623" i="2"/>
  <c r="AI623" i="2"/>
  <c r="AH623" i="2"/>
  <c r="BI622" i="2"/>
  <c r="BH622" i="2"/>
  <c r="BG622" i="2"/>
  <c r="BF622" i="2"/>
  <c r="BE622" i="2"/>
  <c r="BD622" i="2"/>
  <c r="BC622" i="2"/>
  <c r="BB622" i="2"/>
  <c r="BA622" i="2"/>
  <c r="AZ622" i="2"/>
  <c r="AY622" i="2"/>
  <c r="AX622" i="2"/>
  <c r="AW622" i="2"/>
  <c r="AV622" i="2"/>
  <c r="AU622" i="2"/>
  <c r="AT622" i="2"/>
  <c r="AS622" i="2"/>
  <c r="AR622" i="2"/>
  <c r="AQ622" i="2"/>
  <c r="AP622" i="2"/>
  <c r="AO622" i="2"/>
  <c r="AN622" i="2"/>
  <c r="AM622" i="2"/>
  <c r="AL622" i="2"/>
  <c r="AK622" i="2"/>
  <c r="AJ622" i="2"/>
  <c r="AI622" i="2"/>
  <c r="AH622" i="2"/>
  <c r="BI621" i="2"/>
  <c r="BH621" i="2"/>
  <c r="BG621" i="2"/>
  <c r="BF621" i="2"/>
  <c r="BE621" i="2"/>
  <c r="BD621" i="2"/>
  <c r="BC621" i="2"/>
  <c r="BB621" i="2"/>
  <c r="BA621" i="2"/>
  <c r="AZ621" i="2"/>
  <c r="AY621" i="2"/>
  <c r="AX621" i="2"/>
  <c r="AW621" i="2"/>
  <c r="AV621" i="2"/>
  <c r="AU621" i="2"/>
  <c r="AT621" i="2"/>
  <c r="AS621" i="2"/>
  <c r="AR621" i="2"/>
  <c r="AQ621" i="2"/>
  <c r="AP621" i="2"/>
  <c r="AO621" i="2"/>
  <c r="AN621" i="2"/>
  <c r="AM621" i="2"/>
  <c r="AL621" i="2"/>
  <c r="AK621" i="2"/>
  <c r="AJ621" i="2"/>
  <c r="AI621" i="2"/>
  <c r="AH621" i="2"/>
  <c r="BI620" i="2"/>
  <c r="BH620" i="2"/>
  <c r="BG620" i="2"/>
  <c r="BF620" i="2"/>
  <c r="BE620" i="2"/>
  <c r="BD620" i="2"/>
  <c r="BC620" i="2"/>
  <c r="BB620" i="2"/>
  <c r="BA620" i="2"/>
  <c r="AZ620" i="2"/>
  <c r="AY620" i="2"/>
  <c r="AX620" i="2"/>
  <c r="AW620" i="2"/>
  <c r="AV620" i="2"/>
  <c r="AU620" i="2"/>
  <c r="AT620" i="2"/>
  <c r="AS620" i="2"/>
  <c r="AR620" i="2"/>
  <c r="AQ620" i="2"/>
  <c r="AP620" i="2"/>
  <c r="AO620" i="2"/>
  <c r="AN620" i="2"/>
  <c r="AM620" i="2"/>
  <c r="AL620" i="2"/>
  <c r="AK620" i="2"/>
  <c r="AJ620" i="2"/>
  <c r="AI620" i="2"/>
  <c r="AH620" i="2"/>
  <c r="BI619" i="2"/>
  <c r="BH619" i="2"/>
  <c r="BG619" i="2"/>
  <c r="BF619" i="2"/>
  <c r="BE619" i="2"/>
  <c r="BD619" i="2"/>
  <c r="BC619" i="2"/>
  <c r="BB619" i="2"/>
  <c r="BA619" i="2"/>
  <c r="AZ619" i="2"/>
  <c r="AY619" i="2"/>
  <c r="AX619" i="2"/>
  <c r="AW619" i="2"/>
  <c r="AV619" i="2"/>
  <c r="AU619" i="2"/>
  <c r="AT619" i="2"/>
  <c r="AS619" i="2"/>
  <c r="AR619" i="2"/>
  <c r="AQ619" i="2"/>
  <c r="AP619" i="2"/>
  <c r="AO619" i="2"/>
  <c r="AN619" i="2"/>
  <c r="AM619" i="2"/>
  <c r="AL619" i="2"/>
  <c r="AK619" i="2"/>
  <c r="AJ619" i="2"/>
  <c r="AI619" i="2"/>
  <c r="AH619" i="2"/>
  <c r="BI618" i="2"/>
  <c r="BH618" i="2"/>
  <c r="BG618" i="2"/>
  <c r="BF618" i="2"/>
  <c r="BE618" i="2"/>
  <c r="BD618" i="2"/>
  <c r="BC618" i="2"/>
  <c r="BB618" i="2"/>
  <c r="BA618" i="2"/>
  <c r="AZ618" i="2"/>
  <c r="AY618" i="2"/>
  <c r="AX618" i="2"/>
  <c r="AW618" i="2"/>
  <c r="AV618" i="2"/>
  <c r="AU618" i="2"/>
  <c r="AT618" i="2"/>
  <c r="AS618" i="2"/>
  <c r="AR618" i="2"/>
  <c r="AQ618" i="2"/>
  <c r="AP618" i="2"/>
  <c r="AO618" i="2"/>
  <c r="AN618" i="2"/>
  <c r="AM618" i="2"/>
  <c r="AL618" i="2"/>
  <c r="AK618" i="2"/>
  <c r="AJ618" i="2"/>
  <c r="AI618" i="2"/>
  <c r="AH618" i="2"/>
  <c r="BI617" i="2"/>
  <c r="BH617" i="2"/>
  <c r="BG617" i="2"/>
  <c r="BF617" i="2"/>
  <c r="BE617" i="2"/>
  <c r="BD617" i="2"/>
  <c r="BC617" i="2"/>
  <c r="BB617" i="2"/>
  <c r="BA617" i="2"/>
  <c r="AZ617" i="2"/>
  <c r="AY617" i="2"/>
  <c r="AX617" i="2"/>
  <c r="AW617" i="2"/>
  <c r="AV617" i="2"/>
  <c r="AU617" i="2"/>
  <c r="AT617" i="2"/>
  <c r="AS617" i="2"/>
  <c r="AR617" i="2"/>
  <c r="AQ617" i="2"/>
  <c r="AP617" i="2"/>
  <c r="AO617" i="2"/>
  <c r="AN617" i="2"/>
  <c r="AM617" i="2"/>
  <c r="AL617" i="2"/>
  <c r="AK617" i="2"/>
  <c r="AJ617" i="2"/>
  <c r="AI617" i="2"/>
  <c r="AH617" i="2"/>
  <c r="BI616" i="2"/>
  <c r="BH616" i="2"/>
  <c r="BG616" i="2"/>
  <c r="BF616" i="2"/>
  <c r="BE616" i="2"/>
  <c r="BD616" i="2"/>
  <c r="BC616" i="2"/>
  <c r="BB616" i="2"/>
  <c r="BA616" i="2"/>
  <c r="AZ616" i="2"/>
  <c r="AY616" i="2"/>
  <c r="AX616" i="2"/>
  <c r="AW616" i="2"/>
  <c r="AV616" i="2"/>
  <c r="AU616" i="2"/>
  <c r="AT616" i="2"/>
  <c r="AS616" i="2"/>
  <c r="AR616" i="2"/>
  <c r="AQ616" i="2"/>
  <c r="AP616" i="2"/>
  <c r="AO616" i="2"/>
  <c r="AN616" i="2"/>
  <c r="AM616" i="2"/>
  <c r="AL616" i="2"/>
  <c r="AK616" i="2"/>
  <c r="AJ616" i="2"/>
  <c r="AI616" i="2"/>
  <c r="AH616" i="2"/>
  <c r="BI615" i="2"/>
  <c r="BH615" i="2"/>
  <c r="BG615" i="2"/>
  <c r="BF615" i="2"/>
  <c r="BE615" i="2"/>
  <c r="BD615" i="2"/>
  <c r="BC615" i="2"/>
  <c r="BB615" i="2"/>
  <c r="BA615" i="2"/>
  <c r="AZ615" i="2"/>
  <c r="AY615" i="2"/>
  <c r="AX615" i="2"/>
  <c r="AW615" i="2"/>
  <c r="AV615" i="2"/>
  <c r="AU615" i="2"/>
  <c r="AT615" i="2"/>
  <c r="AS615" i="2"/>
  <c r="AR615" i="2"/>
  <c r="AQ615" i="2"/>
  <c r="AP615" i="2"/>
  <c r="AO615" i="2"/>
  <c r="AN615" i="2"/>
  <c r="AM615" i="2"/>
  <c r="AL615" i="2"/>
  <c r="AK615" i="2"/>
  <c r="AJ615" i="2"/>
  <c r="AI615" i="2"/>
  <c r="AH615" i="2"/>
  <c r="BI614" i="2"/>
  <c r="BH614" i="2"/>
  <c r="BG614" i="2"/>
  <c r="BF614" i="2"/>
  <c r="BE614" i="2"/>
  <c r="BD614" i="2"/>
  <c r="BC614" i="2"/>
  <c r="BB614" i="2"/>
  <c r="BA614" i="2"/>
  <c r="AZ614" i="2"/>
  <c r="AY614" i="2"/>
  <c r="AX614" i="2"/>
  <c r="AW614" i="2"/>
  <c r="AV614" i="2"/>
  <c r="AU614" i="2"/>
  <c r="AT614" i="2"/>
  <c r="AS614" i="2"/>
  <c r="AR614" i="2"/>
  <c r="AQ614" i="2"/>
  <c r="AP614" i="2"/>
  <c r="AO614" i="2"/>
  <c r="AN614" i="2"/>
  <c r="AM614" i="2"/>
  <c r="AL614" i="2"/>
  <c r="AK614" i="2"/>
  <c r="AJ614" i="2"/>
  <c r="AI614" i="2"/>
  <c r="AH614" i="2"/>
  <c r="BI613" i="2"/>
  <c r="BH613" i="2"/>
  <c r="BG613" i="2"/>
  <c r="BF613" i="2"/>
  <c r="BE613" i="2"/>
  <c r="BD613" i="2"/>
  <c r="BC613" i="2"/>
  <c r="BB613" i="2"/>
  <c r="BA613" i="2"/>
  <c r="AZ613" i="2"/>
  <c r="AY613" i="2"/>
  <c r="AX613" i="2"/>
  <c r="AW613" i="2"/>
  <c r="AV613" i="2"/>
  <c r="AU613" i="2"/>
  <c r="AT613" i="2"/>
  <c r="AS613" i="2"/>
  <c r="AR613" i="2"/>
  <c r="AQ613" i="2"/>
  <c r="AP613" i="2"/>
  <c r="AO613" i="2"/>
  <c r="AN613" i="2"/>
  <c r="AM613" i="2"/>
  <c r="AL613" i="2"/>
  <c r="AK613" i="2"/>
  <c r="AJ613" i="2"/>
  <c r="AI613" i="2"/>
  <c r="AH613" i="2"/>
  <c r="BI612" i="2"/>
  <c r="BH612" i="2"/>
  <c r="BG612" i="2"/>
  <c r="BF612" i="2"/>
  <c r="BE612" i="2"/>
  <c r="BD612" i="2"/>
  <c r="BC612" i="2"/>
  <c r="BB612" i="2"/>
  <c r="BA612" i="2"/>
  <c r="AZ612" i="2"/>
  <c r="AY612" i="2"/>
  <c r="AX612" i="2"/>
  <c r="AW612" i="2"/>
  <c r="AV612" i="2"/>
  <c r="AU612" i="2"/>
  <c r="AT612" i="2"/>
  <c r="AS612" i="2"/>
  <c r="AR612" i="2"/>
  <c r="AQ612" i="2"/>
  <c r="AP612" i="2"/>
  <c r="AO612" i="2"/>
  <c r="AN612" i="2"/>
  <c r="AM612" i="2"/>
  <c r="AL612" i="2"/>
  <c r="AK612" i="2"/>
  <c r="AJ612" i="2"/>
  <c r="AI612" i="2"/>
  <c r="AH612" i="2"/>
  <c r="BI611" i="2"/>
  <c r="BH611" i="2"/>
  <c r="BG611" i="2"/>
  <c r="BF611" i="2"/>
  <c r="BE611" i="2"/>
  <c r="BD611" i="2"/>
  <c r="BC611" i="2"/>
  <c r="BB611" i="2"/>
  <c r="BA611" i="2"/>
  <c r="AZ611" i="2"/>
  <c r="AY611" i="2"/>
  <c r="AX611" i="2"/>
  <c r="AW611" i="2"/>
  <c r="AV611" i="2"/>
  <c r="AU611" i="2"/>
  <c r="AT611" i="2"/>
  <c r="AS611" i="2"/>
  <c r="AR611" i="2"/>
  <c r="AQ611" i="2"/>
  <c r="AP611" i="2"/>
  <c r="AO611" i="2"/>
  <c r="AN611" i="2"/>
  <c r="AM611" i="2"/>
  <c r="AL611" i="2"/>
  <c r="AK611" i="2"/>
  <c r="AJ611" i="2"/>
  <c r="AI611" i="2"/>
  <c r="AH611" i="2"/>
  <c r="BI610" i="2"/>
  <c r="BH610" i="2"/>
  <c r="BG610" i="2"/>
  <c r="BF610" i="2"/>
  <c r="BE610" i="2"/>
  <c r="BD610" i="2"/>
  <c r="BC610" i="2"/>
  <c r="BB610" i="2"/>
  <c r="BA610" i="2"/>
  <c r="AZ610" i="2"/>
  <c r="AY610" i="2"/>
  <c r="AX610" i="2"/>
  <c r="AW610" i="2"/>
  <c r="AV610" i="2"/>
  <c r="AU610" i="2"/>
  <c r="AT610" i="2"/>
  <c r="AS610" i="2"/>
  <c r="AR610" i="2"/>
  <c r="AQ610" i="2"/>
  <c r="AP610" i="2"/>
  <c r="AO610" i="2"/>
  <c r="AN610" i="2"/>
  <c r="AM610" i="2"/>
  <c r="AL610" i="2"/>
  <c r="AK610" i="2"/>
  <c r="AJ610" i="2"/>
  <c r="AI610" i="2"/>
  <c r="AH610" i="2"/>
  <c r="BI609" i="2"/>
  <c r="BH609" i="2"/>
  <c r="BG609" i="2"/>
  <c r="BF609" i="2"/>
  <c r="BE609" i="2"/>
  <c r="BD609" i="2"/>
  <c r="BC609" i="2"/>
  <c r="BB609" i="2"/>
  <c r="BA609" i="2"/>
  <c r="AZ609" i="2"/>
  <c r="AY609" i="2"/>
  <c r="AX609" i="2"/>
  <c r="AW609" i="2"/>
  <c r="AV609" i="2"/>
  <c r="AU609" i="2"/>
  <c r="AT609" i="2"/>
  <c r="AS609" i="2"/>
  <c r="AR609" i="2"/>
  <c r="AQ609" i="2"/>
  <c r="AP609" i="2"/>
  <c r="AO609" i="2"/>
  <c r="AN609" i="2"/>
  <c r="AM609" i="2"/>
  <c r="AL609" i="2"/>
  <c r="AK609" i="2"/>
  <c r="AJ609" i="2"/>
  <c r="AI609" i="2"/>
  <c r="AH609" i="2"/>
  <c r="BI608" i="2"/>
  <c r="BH608" i="2"/>
  <c r="BG608" i="2"/>
  <c r="BF608" i="2"/>
  <c r="BE608" i="2"/>
  <c r="BD608" i="2"/>
  <c r="BC608" i="2"/>
  <c r="BB608" i="2"/>
  <c r="BA608" i="2"/>
  <c r="AZ608" i="2"/>
  <c r="AY608" i="2"/>
  <c r="AX608" i="2"/>
  <c r="AW608" i="2"/>
  <c r="AV608" i="2"/>
  <c r="AU608" i="2"/>
  <c r="AT608" i="2"/>
  <c r="AS608" i="2"/>
  <c r="AR608" i="2"/>
  <c r="AQ608" i="2"/>
  <c r="AP608" i="2"/>
  <c r="AO608" i="2"/>
  <c r="AN608" i="2"/>
  <c r="AM608" i="2"/>
  <c r="AL608" i="2"/>
  <c r="AK608" i="2"/>
  <c r="AJ608" i="2"/>
  <c r="AI608" i="2"/>
  <c r="AH608" i="2"/>
  <c r="BI607" i="2"/>
  <c r="BH607" i="2"/>
  <c r="BG607" i="2"/>
  <c r="BF607" i="2"/>
  <c r="BE607" i="2"/>
  <c r="BD607" i="2"/>
  <c r="BC607" i="2"/>
  <c r="BB607" i="2"/>
  <c r="BA607" i="2"/>
  <c r="AZ607" i="2"/>
  <c r="AY607" i="2"/>
  <c r="AX607" i="2"/>
  <c r="AW607" i="2"/>
  <c r="AV607" i="2"/>
  <c r="AU607" i="2"/>
  <c r="AT607" i="2"/>
  <c r="AS607" i="2"/>
  <c r="AR607" i="2"/>
  <c r="AQ607" i="2"/>
  <c r="AP607" i="2"/>
  <c r="AO607" i="2"/>
  <c r="AN607" i="2"/>
  <c r="AM607" i="2"/>
  <c r="AL607" i="2"/>
  <c r="AK607" i="2"/>
  <c r="AJ607" i="2"/>
  <c r="AI607" i="2"/>
  <c r="AH607" i="2"/>
  <c r="BI606" i="2"/>
  <c r="BH606" i="2"/>
  <c r="BG606" i="2"/>
  <c r="BF606" i="2"/>
  <c r="BE606" i="2"/>
  <c r="BD606" i="2"/>
  <c r="BC606" i="2"/>
  <c r="BB606" i="2"/>
  <c r="BA606" i="2"/>
  <c r="AZ606" i="2"/>
  <c r="AY606" i="2"/>
  <c r="AX606" i="2"/>
  <c r="AW606" i="2"/>
  <c r="AV606" i="2"/>
  <c r="AU606" i="2"/>
  <c r="AT606" i="2"/>
  <c r="AS606" i="2"/>
  <c r="AR606" i="2"/>
  <c r="AQ606" i="2"/>
  <c r="AP606" i="2"/>
  <c r="AO606" i="2"/>
  <c r="AN606" i="2"/>
  <c r="AM606" i="2"/>
  <c r="AL606" i="2"/>
  <c r="AK606" i="2"/>
  <c r="AJ606" i="2"/>
  <c r="AI606" i="2"/>
  <c r="AH606" i="2"/>
  <c r="BI605" i="2"/>
  <c r="BH605" i="2"/>
  <c r="BG605" i="2"/>
  <c r="BF605" i="2"/>
  <c r="BE605" i="2"/>
  <c r="BD605" i="2"/>
  <c r="BC605" i="2"/>
  <c r="BB605" i="2"/>
  <c r="BA605" i="2"/>
  <c r="AZ605" i="2"/>
  <c r="AY605" i="2"/>
  <c r="AX605" i="2"/>
  <c r="AW605" i="2"/>
  <c r="AV605" i="2"/>
  <c r="AU605" i="2"/>
  <c r="AT605" i="2"/>
  <c r="AS605" i="2"/>
  <c r="AR605" i="2"/>
  <c r="AQ605" i="2"/>
  <c r="AP605" i="2"/>
  <c r="AO605" i="2"/>
  <c r="AN605" i="2"/>
  <c r="AM605" i="2"/>
  <c r="AL605" i="2"/>
  <c r="AK605" i="2"/>
  <c r="AJ605" i="2"/>
  <c r="AI605" i="2"/>
  <c r="AH605" i="2"/>
  <c r="BI604" i="2"/>
  <c r="BH604" i="2"/>
  <c r="BG604" i="2"/>
  <c r="BF604" i="2"/>
  <c r="BE604" i="2"/>
  <c r="BD604" i="2"/>
  <c r="BC604" i="2"/>
  <c r="BB604" i="2"/>
  <c r="BA604" i="2"/>
  <c r="AZ604" i="2"/>
  <c r="AY604" i="2"/>
  <c r="AX604" i="2"/>
  <c r="AW604" i="2"/>
  <c r="AV604" i="2"/>
  <c r="AU604" i="2"/>
  <c r="AT604" i="2"/>
  <c r="AS604" i="2"/>
  <c r="AR604" i="2"/>
  <c r="AQ604" i="2"/>
  <c r="AP604" i="2"/>
  <c r="AO604" i="2"/>
  <c r="AN604" i="2"/>
  <c r="AM604" i="2"/>
  <c r="AL604" i="2"/>
  <c r="AK604" i="2"/>
  <c r="AJ604" i="2"/>
  <c r="AI604" i="2"/>
  <c r="AH604" i="2"/>
  <c r="BI603" i="2"/>
  <c r="BH603" i="2"/>
  <c r="BG603" i="2"/>
  <c r="BF603" i="2"/>
  <c r="BE603" i="2"/>
  <c r="BD603" i="2"/>
  <c r="BC603" i="2"/>
  <c r="BB603" i="2"/>
  <c r="BA603" i="2"/>
  <c r="AZ603" i="2"/>
  <c r="AY603" i="2"/>
  <c r="AX603" i="2"/>
  <c r="AW603" i="2"/>
  <c r="AV603" i="2"/>
  <c r="AU603" i="2"/>
  <c r="AT603" i="2"/>
  <c r="AS603" i="2"/>
  <c r="AR603" i="2"/>
  <c r="AQ603" i="2"/>
  <c r="AP603" i="2"/>
  <c r="AO603" i="2"/>
  <c r="AN603" i="2"/>
  <c r="AM603" i="2"/>
  <c r="AL603" i="2"/>
  <c r="AK603" i="2"/>
  <c r="AJ603" i="2"/>
  <c r="AI603" i="2"/>
  <c r="AH603" i="2"/>
  <c r="BI602" i="2"/>
  <c r="BH602" i="2"/>
  <c r="BG602" i="2"/>
  <c r="BF602" i="2"/>
  <c r="BE602" i="2"/>
  <c r="BD602" i="2"/>
  <c r="BC602" i="2"/>
  <c r="BB602" i="2"/>
  <c r="BA602" i="2"/>
  <c r="AZ602" i="2"/>
  <c r="AY602" i="2"/>
  <c r="AX602" i="2"/>
  <c r="AW602" i="2"/>
  <c r="AV602" i="2"/>
  <c r="AU602" i="2"/>
  <c r="AT602" i="2"/>
  <c r="AS602" i="2"/>
  <c r="AR602" i="2"/>
  <c r="AQ602" i="2"/>
  <c r="AP602" i="2"/>
  <c r="AO602" i="2"/>
  <c r="AN602" i="2"/>
  <c r="AM602" i="2"/>
  <c r="AL602" i="2"/>
  <c r="AK602" i="2"/>
  <c r="AJ602" i="2"/>
  <c r="AI602" i="2"/>
  <c r="AH602" i="2"/>
  <c r="BI601" i="2"/>
  <c r="BH601" i="2"/>
  <c r="BG601" i="2"/>
  <c r="BF601" i="2"/>
  <c r="BE601" i="2"/>
  <c r="BD601" i="2"/>
  <c r="BC601" i="2"/>
  <c r="BB601" i="2"/>
  <c r="BA601" i="2"/>
  <c r="AZ601" i="2"/>
  <c r="AY601" i="2"/>
  <c r="AX601" i="2"/>
  <c r="AW601" i="2"/>
  <c r="AV601" i="2"/>
  <c r="AU601" i="2"/>
  <c r="AT601" i="2"/>
  <c r="AS601" i="2"/>
  <c r="AR601" i="2"/>
  <c r="AQ601" i="2"/>
  <c r="AP601" i="2"/>
  <c r="AO601" i="2"/>
  <c r="AN601" i="2"/>
  <c r="AM601" i="2"/>
  <c r="AL601" i="2"/>
  <c r="AK601" i="2"/>
  <c r="AJ601" i="2"/>
  <c r="AI601" i="2"/>
  <c r="AH601" i="2"/>
  <c r="BI600" i="2"/>
  <c r="BH600" i="2"/>
  <c r="BG600" i="2"/>
  <c r="BF600" i="2"/>
  <c r="BE600" i="2"/>
  <c r="BD600" i="2"/>
  <c r="BC600" i="2"/>
  <c r="BB600" i="2"/>
  <c r="BA600" i="2"/>
  <c r="AZ600" i="2"/>
  <c r="AY600" i="2"/>
  <c r="AX600" i="2"/>
  <c r="AW600" i="2"/>
  <c r="AV600" i="2"/>
  <c r="AU600" i="2"/>
  <c r="AT600" i="2"/>
  <c r="AS600" i="2"/>
  <c r="AR600" i="2"/>
  <c r="AQ600" i="2"/>
  <c r="AP600" i="2"/>
  <c r="AO600" i="2"/>
  <c r="AN600" i="2"/>
  <c r="AM600" i="2"/>
  <c r="AL600" i="2"/>
  <c r="AK600" i="2"/>
  <c r="AJ600" i="2"/>
  <c r="AI600" i="2"/>
  <c r="AH600" i="2"/>
  <c r="BI599" i="2"/>
  <c r="BH599" i="2"/>
  <c r="BG599" i="2"/>
  <c r="BF599" i="2"/>
  <c r="BE599" i="2"/>
  <c r="BD599" i="2"/>
  <c r="BC599" i="2"/>
  <c r="BB599" i="2"/>
  <c r="BA599" i="2"/>
  <c r="AZ599" i="2"/>
  <c r="AY599" i="2"/>
  <c r="AX599" i="2"/>
  <c r="AW599" i="2"/>
  <c r="AV599" i="2"/>
  <c r="AU599" i="2"/>
  <c r="AT599" i="2"/>
  <c r="AS599" i="2"/>
  <c r="AR599" i="2"/>
  <c r="AQ599" i="2"/>
  <c r="AP599" i="2"/>
  <c r="AO599" i="2"/>
  <c r="AN599" i="2"/>
  <c r="AM599" i="2"/>
  <c r="AL599" i="2"/>
  <c r="AK599" i="2"/>
  <c r="AJ599" i="2"/>
  <c r="AI599" i="2"/>
  <c r="AH599" i="2"/>
  <c r="BI598" i="2"/>
  <c r="BH598" i="2"/>
  <c r="BG598" i="2"/>
  <c r="BF598" i="2"/>
  <c r="BE598" i="2"/>
  <c r="BD598" i="2"/>
  <c r="BC598" i="2"/>
  <c r="BB598" i="2"/>
  <c r="BA598" i="2"/>
  <c r="AZ598" i="2"/>
  <c r="AY598" i="2"/>
  <c r="AX598" i="2"/>
  <c r="AW598" i="2"/>
  <c r="AV598" i="2"/>
  <c r="AU598" i="2"/>
  <c r="AT598" i="2"/>
  <c r="AS598" i="2"/>
  <c r="AR598" i="2"/>
  <c r="AQ598" i="2"/>
  <c r="AP598" i="2"/>
  <c r="AO598" i="2"/>
  <c r="AN598" i="2"/>
  <c r="AM598" i="2"/>
  <c r="AL598" i="2"/>
  <c r="AK598" i="2"/>
  <c r="AJ598" i="2"/>
  <c r="AI598" i="2"/>
  <c r="AH598" i="2"/>
  <c r="BI597" i="2"/>
  <c r="BH597" i="2"/>
  <c r="BG597" i="2"/>
  <c r="BF597" i="2"/>
  <c r="BE597" i="2"/>
  <c r="BD597" i="2"/>
  <c r="BC597" i="2"/>
  <c r="BB597" i="2"/>
  <c r="BA597" i="2"/>
  <c r="AZ597" i="2"/>
  <c r="AY597" i="2"/>
  <c r="AX597" i="2"/>
  <c r="AW597" i="2"/>
  <c r="AV597" i="2"/>
  <c r="AU597" i="2"/>
  <c r="AT597" i="2"/>
  <c r="AS597" i="2"/>
  <c r="AR597" i="2"/>
  <c r="AQ597" i="2"/>
  <c r="AP597" i="2"/>
  <c r="AO597" i="2"/>
  <c r="AN597" i="2"/>
  <c r="AM597" i="2"/>
  <c r="AL597" i="2"/>
  <c r="AK597" i="2"/>
  <c r="AJ597" i="2"/>
  <c r="AI597" i="2"/>
  <c r="AH597" i="2"/>
  <c r="BI596" i="2"/>
  <c r="BH596" i="2"/>
  <c r="BG596" i="2"/>
  <c r="BF596" i="2"/>
  <c r="BE596" i="2"/>
  <c r="BD596" i="2"/>
  <c r="BC596" i="2"/>
  <c r="BB596" i="2"/>
  <c r="BA596" i="2"/>
  <c r="AZ596" i="2"/>
  <c r="AY596" i="2"/>
  <c r="AX596" i="2"/>
  <c r="AW596" i="2"/>
  <c r="AV596" i="2"/>
  <c r="AU596" i="2"/>
  <c r="AT596" i="2"/>
  <c r="AS596" i="2"/>
  <c r="AR596" i="2"/>
  <c r="AQ596" i="2"/>
  <c r="AP596" i="2"/>
  <c r="AO596" i="2"/>
  <c r="AN596" i="2"/>
  <c r="AM596" i="2"/>
  <c r="AL596" i="2"/>
  <c r="AK596" i="2"/>
  <c r="AJ596" i="2"/>
  <c r="AI596" i="2"/>
  <c r="AH596" i="2"/>
  <c r="BI595" i="2"/>
  <c r="BH595" i="2"/>
  <c r="BG595" i="2"/>
  <c r="BF595" i="2"/>
  <c r="BE595" i="2"/>
  <c r="BD595" i="2"/>
  <c r="BC595" i="2"/>
  <c r="BB595" i="2"/>
  <c r="BA595" i="2"/>
  <c r="AZ595" i="2"/>
  <c r="AY595" i="2"/>
  <c r="AX595" i="2"/>
  <c r="AW595" i="2"/>
  <c r="AV595" i="2"/>
  <c r="AU595" i="2"/>
  <c r="AT595" i="2"/>
  <c r="AS595" i="2"/>
  <c r="AR595" i="2"/>
  <c r="AQ595" i="2"/>
  <c r="AP595" i="2"/>
  <c r="AO595" i="2"/>
  <c r="AN595" i="2"/>
  <c r="AM595" i="2"/>
  <c r="AL595" i="2"/>
  <c r="AK595" i="2"/>
  <c r="AJ595" i="2"/>
  <c r="AI595" i="2"/>
  <c r="AH595" i="2"/>
  <c r="BI594" i="2"/>
  <c r="BH594" i="2"/>
  <c r="BG594" i="2"/>
  <c r="BF594" i="2"/>
  <c r="BE594" i="2"/>
  <c r="BD594" i="2"/>
  <c r="BC594" i="2"/>
  <c r="BB594" i="2"/>
  <c r="BA594" i="2"/>
  <c r="AZ594" i="2"/>
  <c r="AY594" i="2"/>
  <c r="AX594" i="2"/>
  <c r="AW594" i="2"/>
  <c r="AV594" i="2"/>
  <c r="AU594" i="2"/>
  <c r="AT594" i="2"/>
  <c r="AS594" i="2"/>
  <c r="AR594" i="2"/>
  <c r="AQ594" i="2"/>
  <c r="AP594" i="2"/>
  <c r="AO594" i="2"/>
  <c r="AN594" i="2"/>
  <c r="AM594" i="2"/>
  <c r="AL594" i="2"/>
  <c r="AK594" i="2"/>
  <c r="AJ594" i="2"/>
  <c r="AI594" i="2"/>
  <c r="AH594" i="2"/>
  <c r="BI593" i="2"/>
  <c r="BH593" i="2"/>
  <c r="BG593" i="2"/>
  <c r="BF593" i="2"/>
  <c r="BE593" i="2"/>
  <c r="BD593" i="2"/>
  <c r="BC593" i="2"/>
  <c r="BB593" i="2"/>
  <c r="BA593" i="2"/>
  <c r="AZ593" i="2"/>
  <c r="AY593" i="2"/>
  <c r="AX593" i="2"/>
  <c r="AW593" i="2"/>
  <c r="AV593" i="2"/>
  <c r="AU593" i="2"/>
  <c r="AT593" i="2"/>
  <c r="AS593" i="2"/>
  <c r="AR593" i="2"/>
  <c r="AQ593" i="2"/>
  <c r="AP593" i="2"/>
  <c r="AO593" i="2"/>
  <c r="AN593" i="2"/>
  <c r="AM593" i="2"/>
  <c r="AL593" i="2"/>
  <c r="AK593" i="2"/>
  <c r="AJ593" i="2"/>
  <c r="AI593" i="2"/>
  <c r="AH593" i="2"/>
  <c r="BI592" i="2"/>
  <c r="BH592" i="2"/>
  <c r="BG592" i="2"/>
  <c r="BF592" i="2"/>
  <c r="BE592" i="2"/>
  <c r="BD592" i="2"/>
  <c r="BC592" i="2"/>
  <c r="BB592" i="2"/>
  <c r="BA592" i="2"/>
  <c r="AZ592" i="2"/>
  <c r="AY592" i="2"/>
  <c r="AX592" i="2"/>
  <c r="AW592" i="2"/>
  <c r="AV592" i="2"/>
  <c r="AU592" i="2"/>
  <c r="AT592" i="2"/>
  <c r="AS592" i="2"/>
  <c r="AR592" i="2"/>
  <c r="AQ592" i="2"/>
  <c r="AP592" i="2"/>
  <c r="AO592" i="2"/>
  <c r="AN592" i="2"/>
  <c r="AM592" i="2"/>
  <c r="AL592" i="2"/>
  <c r="AK592" i="2"/>
  <c r="AJ592" i="2"/>
  <c r="AI592" i="2"/>
  <c r="AH592" i="2"/>
  <c r="BI591" i="2"/>
  <c r="BH591" i="2"/>
  <c r="BG591" i="2"/>
  <c r="BF591" i="2"/>
  <c r="BE591" i="2"/>
  <c r="BD591" i="2"/>
  <c r="BC591" i="2"/>
  <c r="BB591" i="2"/>
  <c r="BA591" i="2"/>
  <c r="AZ591" i="2"/>
  <c r="AY591" i="2"/>
  <c r="AX591" i="2"/>
  <c r="AW591" i="2"/>
  <c r="AV591" i="2"/>
  <c r="AU591" i="2"/>
  <c r="AT591" i="2"/>
  <c r="AS591" i="2"/>
  <c r="AR591" i="2"/>
  <c r="AQ591" i="2"/>
  <c r="AP591" i="2"/>
  <c r="AO591" i="2"/>
  <c r="AN591" i="2"/>
  <c r="AM591" i="2"/>
  <c r="AL591" i="2"/>
  <c r="AK591" i="2"/>
  <c r="AJ591" i="2"/>
  <c r="AI591" i="2"/>
  <c r="AH591" i="2"/>
  <c r="BI590" i="2"/>
  <c r="BH590" i="2"/>
  <c r="BG590" i="2"/>
  <c r="BF590" i="2"/>
  <c r="BE590" i="2"/>
  <c r="BD590" i="2"/>
  <c r="BC590" i="2"/>
  <c r="BB590" i="2"/>
  <c r="BA590" i="2"/>
  <c r="AZ590" i="2"/>
  <c r="AY590" i="2"/>
  <c r="AX590" i="2"/>
  <c r="AW590" i="2"/>
  <c r="AV590" i="2"/>
  <c r="AU590" i="2"/>
  <c r="AT590" i="2"/>
  <c r="AS590" i="2"/>
  <c r="AR590" i="2"/>
  <c r="AQ590" i="2"/>
  <c r="AP590" i="2"/>
  <c r="AO590" i="2"/>
  <c r="AN590" i="2"/>
  <c r="AM590" i="2"/>
  <c r="AL590" i="2"/>
  <c r="AK590" i="2"/>
  <c r="AJ590" i="2"/>
  <c r="AI590" i="2"/>
  <c r="AH590" i="2"/>
  <c r="BI589" i="2"/>
  <c r="BH589" i="2"/>
  <c r="BG589" i="2"/>
  <c r="BF589" i="2"/>
  <c r="BE589" i="2"/>
  <c r="BD589" i="2"/>
  <c r="BC589" i="2"/>
  <c r="BB589" i="2"/>
  <c r="BA589" i="2"/>
  <c r="AZ589" i="2"/>
  <c r="AY589" i="2"/>
  <c r="AX589" i="2"/>
  <c r="AW589" i="2"/>
  <c r="AV589" i="2"/>
  <c r="AU589" i="2"/>
  <c r="AT589" i="2"/>
  <c r="AS589" i="2"/>
  <c r="AR589" i="2"/>
  <c r="AQ589" i="2"/>
  <c r="AP589" i="2"/>
  <c r="AO589" i="2"/>
  <c r="AN589" i="2"/>
  <c r="AM589" i="2"/>
  <c r="AL589" i="2"/>
  <c r="AK589" i="2"/>
  <c r="AJ589" i="2"/>
  <c r="AI589" i="2"/>
  <c r="AH589" i="2"/>
  <c r="BI588" i="2"/>
  <c r="BH588" i="2"/>
  <c r="BG588" i="2"/>
  <c r="BF588" i="2"/>
  <c r="BE588" i="2"/>
  <c r="BD588" i="2"/>
  <c r="BC588" i="2"/>
  <c r="BB588" i="2"/>
  <c r="BA588" i="2"/>
  <c r="AZ588" i="2"/>
  <c r="AY588" i="2"/>
  <c r="AX588" i="2"/>
  <c r="AW588" i="2"/>
  <c r="AV588" i="2"/>
  <c r="AU588" i="2"/>
  <c r="AT588" i="2"/>
  <c r="AS588" i="2"/>
  <c r="AR588" i="2"/>
  <c r="AQ588" i="2"/>
  <c r="AP588" i="2"/>
  <c r="AO588" i="2"/>
  <c r="AN588" i="2"/>
  <c r="AM588" i="2"/>
  <c r="AL588" i="2"/>
  <c r="AK588" i="2"/>
  <c r="AJ588" i="2"/>
  <c r="AI588" i="2"/>
  <c r="AH588" i="2"/>
  <c r="BI587" i="2"/>
  <c r="BH587" i="2"/>
  <c r="BG587" i="2"/>
  <c r="BF587" i="2"/>
  <c r="BE587" i="2"/>
  <c r="BD587" i="2"/>
  <c r="BC587" i="2"/>
  <c r="BB587" i="2"/>
  <c r="BA587" i="2"/>
  <c r="AZ587" i="2"/>
  <c r="AY587" i="2"/>
  <c r="AX587" i="2"/>
  <c r="AW587" i="2"/>
  <c r="AV587" i="2"/>
  <c r="AU587" i="2"/>
  <c r="AT587" i="2"/>
  <c r="AS587" i="2"/>
  <c r="AR587" i="2"/>
  <c r="AQ587" i="2"/>
  <c r="AP587" i="2"/>
  <c r="AO587" i="2"/>
  <c r="AN587" i="2"/>
  <c r="AM587" i="2"/>
  <c r="AL587" i="2"/>
  <c r="AK587" i="2"/>
  <c r="AJ587" i="2"/>
  <c r="AI587" i="2"/>
  <c r="AH587" i="2"/>
  <c r="BI586" i="2"/>
  <c r="BH586" i="2"/>
  <c r="BG586" i="2"/>
  <c r="BF586" i="2"/>
  <c r="BE586" i="2"/>
  <c r="BD586" i="2"/>
  <c r="BC586" i="2"/>
  <c r="BB586" i="2"/>
  <c r="BA586" i="2"/>
  <c r="AZ586" i="2"/>
  <c r="AY586" i="2"/>
  <c r="AX586" i="2"/>
  <c r="AW586" i="2"/>
  <c r="AV586" i="2"/>
  <c r="AU586" i="2"/>
  <c r="AT586" i="2"/>
  <c r="AS586" i="2"/>
  <c r="AR586" i="2"/>
  <c r="AQ586" i="2"/>
  <c r="AP586" i="2"/>
  <c r="AO586" i="2"/>
  <c r="AN586" i="2"/>
  <c r="AM586" i="2"/>
  <c r="AL586" i="2"/>
  <c r="AK586" i="2"/>
  <c r="AJ586" i="2"/>
  <c r="AI586" i="2"/>
  <c r="AH586" i="2"/>
  <c r="BI585" i="2"/>
  <c r="BH585" i="2"/>
  <c r="BG585" i="2"/>
  <c r="BF585" i="2"/>
  <c r="BE585" i="2"/>
  <c r="BD585" i="2"/>
  <c r="BC585" i="2"/>
  <c r="BB585" i="2"/>
  <c r="BA585" i="2"/>
  <c r="AZ585" i="2"/>
  <c r="AY585" i="2"/>
  <c r="AX585" i="2"/>
  <c r="AW585" i="2"/>
  <c r="AV585" i="2"/>
  <c r="AU585" i="2"/>
  <c r="AT585" i="2"/>
  <c r="AS585" i="2"/>
  <c r="AR585" i="2"/>
  <c r="AQ585" i="2"/>
  <c r="AP585" i="2"/>
  <c r="AO585" i="2"/>
  <c r="AN585" i="2"/>
  <c r="AM585" i="2"/>
  <c r="AL585" i="2"/>
  <c r="AK585" i="2"/>
  <c r="AJ585" i="2"/>
  <c r="AI585" i="2"/>
  <c r="AH585" i="2"/>
  <c r="BI584" i="2"/>
  <c r="BH584" i="2"/>
  <c r="BG584" i="2"/>
  <c r="BF584" i="2"/>
  <c r="BE584" i="2"/>
  <c r="BD584" i="2"/>
  <c r="BC584" i="2"/>
  <c r="BB584" i="2"/>
  <c r="BA584" i="2"/>
  <c r="AZ584" i="2"/>
  <c r="AY584" i="2"/>
  <c r="AX584" i="2"/>
  <c r="AW584" i="2"/>
  <c r="AV584" i="2"/>
  <c r="AU584" i="2"/>
  <c r="AT584" i="2"/>
  <c r="AS584" i="2"/>
  <c r="AR584" i="2"/>
  <c r="AQ584" i="2"/>
  <c r="AP584" i="2"/>
  <c r="AO584" i="2"/>
  <c r="AN584" i="2"/>
  <c r="AM584" i="2"/>
  <c r="AL584" i="2"/>
  <c r="AK584" i="2"/>
  <c r="AJ584" i="2"/>
  <c r="AI584" i="2"/>
  <c r="AH584" i="2"/>
  <c r="BI583" i="2"/>
  <c r="BH583" i="2"/>
  <c r="BG583" i="2"/>
  <c r="BF583" i="2"/>
  <c r="BE583" i="2"/>
  <c r="BD583" i="2"/>
  <c r="BC583" i="2"/>
  <c r="BB583" i="2"/>
  <c r="BA583" i="2"/>
  <c r="AZ583" i="2"/>
  <c r="AY583" i="2"/>
  <c r="AX583" i="2"/>
  <c r="AW583" i="2"/>
  <c r="AV583" i="2"/>
  <c r="AU583" i="2"/>
  <c r="AT583" i="2"/>
  <c r="AS583" i="2"/>
  <c r="AR583" i="2"/>
  <c r="AQ583" i="2"/>
  <c r="AP583" i="2"/>
  <c r="AO583" i="2"/>
  <c r="AN583" i="2"/>
  <c r="AM583" i="2"/>
  <c r="AL583" i="2"/>
  <c r="AK583" i="2"/>
  <c r="AJ583" i="2"/>
  <c r="AI583" i="2"/>
  <c r="AH583" i="2"/>
  <c r="BI582" i="2"/>
  <c r="BH582" i="2"/>
  <c r="BG582" i="2"/>
  <c r="BF582" i="2"/>
  <c r="BE582" i="2"/>
  <c r="BD582" i="2"/>
  <c r="BC582" i="2"/>
  <c r="BB582" i="2"/>
  <c r="BA582" i="2"/>
  <c r="AZ582" i="2"/>
  <c r="AY582" i="2"/>
  <c r="AX582" i="2"/>
  <c r="AW582" i="2"/>
  <c r="AV582" i="2"/>
  <c r="AU582" i="2"/>
  <c r="AT582" i="2"/>
  <c r="AS582" i="2"/>
  <c r="AR582" i="2"/>
  <c r="AQ582" i="2"/>
  <c r="AP582" i="2"/>
  <c r="AO582" i="2"/>
  <c r="AN582" i="2"/>
  <c r="AM582" i="2"/>
  <c r="AL582" i="2"/>
  <c r="AK582" i="2"/>
  <c r="AJ582" i="2"/>
  <c r="AI582" i="2"/>
  <c r="AH582" i="2"/>
  <c r="BI581" i="2"/>
  <c r="BH581" i="2"/>
  <c r="BG581" i="2"/>
  <c r="BF581" i="2"/>
  <c r="BE581" i="2"/>
  <c r="BD581" i="2"/>
  <c r="BC581" i="2"/>
  <c r="BB581" i="2"/>
  <c r="BA581" i="2"/>
  <c r="AZ581" i="2"/>
  <c r="AY581" i="2"/>
  <c r="AX581" i="2"/>
  <c r="AW581" i="2"/>
  <c r="AV581" i="2"/>
  <c r="AU581" i="2"/>
  <c r="AT581" i="2"/>
  <c r="AS581" i="2"/>
  <c r="AR581" i="2"/>
  <c r="AQ581" i="2"/>
  <c r="AP581" i="2"/>
  <c r="AO581" i="2"/>
  <c r="AN581" i="2"/>
  <c r="AM581" i="2"/>
  <c r="AL581" i="2"/>
  <c r="AK581" i="2"/>
  <c r="AJ581" i="2"/>
  <c r="AI581" i="2"/>
  <c r="AH581" i="2"/>
  <c r="BI580" i="2"/>
  <c r="BH580" i="2"/>
  <c r="BG580" i="2"/>
  <c r="BF580" i="2"/>
  <c r="BE580" i="2"/>
  <c r="BD580" i="2"/>
  <c r="BC580" i="2"/>
  <c r="BB580" i="2"/>
  <c r="BA580" i="2"/>
  <c r="AZ580" i="2"/>
  <c r="AY580" i="2"/>
  <c r="AX580" i="2"/>
  <c r="AW580" i="2"/>
  <c r="AV580" i="2"/>
  <c r="AU580" i="2"/>
  <c r="AT580" i="2"/>
  <c r="AS580" i="2"/>
  <c r="AR580" i="2"/>
  <c r="AQ580" i="2"/>
  <c r="AP580" i="2"/>
  <c r="AO580" i="2"/>
  <c r="AN580" i="2"/>
  <c r="AM580" i="2"/>
  <c r="AL580" i="2"/>
  <c r="AK580" i="2"/>
  <c r="AJ580" i="2"/>
  <c r="AI580" i="2"/>
  <c r="AH580" i="2"/>
  <c r="BI579" i="2"/>
  <c r="BH579" i="2"/>
  <c r="BG579" i="2"/>
  <c r="BF579" i="2"/>
  <c r="BE579" i="2"/>
  <c r="BD579" i="2"/>
  <c r="BC579" i="2"/>
  <c r="BB579" i="2"/>
  <c r="BA579" i="2"/>
  <c r="AZ579" i="2"/>
  <c r="AY579" i="2"/>
  <c r="AX579" i="2"/>
  <c r="AW579" i="2"/>
  <c r="AV579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BI578" i="2"/>
  <c r="BH578" i="2"/>
  <c r="BG578" i="2"/>
  <c r="BF578" i="2"/>
  <c r="BE578" i="2"/>
  <c r="BD578" i="2"/>
  <c r="BC578" i="2"/>
  <c r="BB578" i="2"/>
  <c r="BA578" i="2"/>
  <c r="AZ578" i="2"/>
  <c r="AY578" i="2"/>
  <c r="AX578" i="2"/>
  <c r="AW578" i="2"/>
  <c r="AV578" i="2"/>
  <c r="AU578" i="2"/>
  <c r="AT578" i="2"/>
  <c r="AS578" i="2"/>
  <c r="AR578" i="2"/>
  <c r="AQ578" i="2"/>
  <c r="AP578" i="2"/>
  <c r="AO578" i="2"/>
  <c r="AN578" i="2"/>
  <c r="AM578" i="2"/>
  <c r="AL578" i="2"/>
  <c r="AK578" i="2"/>
  <c r="AJ578" i="2"/>
  <c r="AI578" i="2"/>
  <c r="AH578" i="2"/>
  <c r="BI577" i="2"/>
  <c r="BH577" i="2"/>
  <c r="BG577" i="2"/>
  <c r="BF577" i="2"/>
  <c r="BE577" i="2"/>
  <c r="BD577" i="2"/>
  <c r="BC577" i="2"/>
  <c r="BB577" i="2"/>
  <c r="BA577" i="2"/>
  <c r="AZ577" i="2"/>
  <c r="AY577" i="2"/>
  <c r="AX577" i="2"/>
  <c r="AW577" i="2"/>
  <c r="AV577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BI576" i="2"/>
  <c r="BH576" i="2"/>
  <c r="BG576" i="2"/>
  <c r="BF576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BI575" i="2"/>
  <c r="BH575" i="2"/>
  <c r="BG575" i="2"/>
  <c r="BF575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BI572" i="2"/>
  <c r="BH572" i="2"/>
  <c r="BG572" i="2"/>
  <c r="BF572" i="2"/>
  <c r="BE572" i="2"/>
  <c r="BD572" i="2"/>
  <c r="BC572" i="2"/>
  <c r="BB572" i="2"/>
  <c r="BA572" i="2"/>
  <c r="AZ572" i="2"/>
  <c r="AY572" i="2"/>
  <c r="AX572" i="2"/>
  <c r="AW572" i="2"/>
  <c r="AV572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BI571" i="2"/>
  <c r="BH571" i="2"/>
  <c r="BG571" i="2"/>
  <c r="BF571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BI566" i="2"/>
  <c r="BI567" i="2" s="1"/>
  <c r="BH566" i="2"/>
  <c r="BH567" i="2" s="1"/>
  <c r="BG566" i="2"/>
  <c r="BG567" i="2" s="1"/>
  <c r="BF566" i="2"/>
  <c r="BF567" i="2" s="1"/>
  <c r="BE566" i="2"/>
  <c r="BE567" i="2" s="1"/>
  <c r="BD566" i="2"/>
  <c r="BD567" i="2" s="1"/>
  <c r="BC566" i="2"/>
  <c r="BC567" i="2" s="1"/>
  <c r="BB566" i="2"/>
  <c r="BB567" i="2" s="1"/>
  <c r="BA566" i="2"/>
  <c r="BA567" i="2" s="1"/>
  <c r="AZ566" i="2"/>
  <c r="AZ567" i="2" s="1"/>
  <c r="AY566" i="2"/>
  <c r="AY567" i="2" s="1"/>
  <c r="AX566" i="2"/>
  <c r="AX567" i="2" s="1"/>
  <c r="AW566" i="2"/>
  <c r="AW567" i="2" s="1"/>
  <c r="AV566" i="2"/>
  <c r="AV567" i="2" s="1"/>
  <c r="AU566" i="2"/>
  <c r="AU567" i="2" s="1"/>
  <c r="AT566" i="2"/>
  <c r="AT567" i="2" s="1"/>
  <c r="AS566" i="2"/>
  <c r="AS567" i="2" s="1"/>
  <c r="AR566" i="2"/>
  <c r="AR567" i="2" s="1"/>
  <c r="AQ566" i="2"/>
  <c r="AQ567" i="2" s="1"/>
  <c r="AP566" i="2"/>
  <c r="AP567" i="2" s="1"/>
  <c r="AO566" i="2"/>
  <c r="AO567" i="2" s="1"/>
  <c r="AN566" i="2"/>
  <c r="AN567" i="2" s="1"/>
  <c r="AM566" i="2"/>
  <c r="AM567" i="2" s="1"/>
  <c r="AL566" i="2"/>
  <c r="AL567" i="2" s="1"/>
  <c r="AK566" i="2"/>
  <c r="AK567" i="2" s="1"/>
  <c r="AJ566" i="2"/>
  <c r="AJ567" i="2" s="1"/>
  <c r="AI566" i="2"/>
  <c r="AI567" i="2" s="1"/>
  <c r="AH566" i="2"/>
  <c r="AH567" i="2" s="1"/>
  <c r="AG663" i="2"/>
  <c r="AF663" i="2"/>
  <c r="AE663" i="2"/>
  <c r="AD663" i="2"/>
  <c r="AC663" i="2"/>
  <c r="AB663" i="2"/>
  <c r="AA663" i="2"/>
  <c r="Z663" i="2"/>
  <c r="Y663" i="2"/>
  <c r="X663" i="2"/>
  <c r="W663" i="2"/>
  <c r="V663" i="2"/>
  <c r="U663" i="2"/>
  <c r="T663" i="2"/>
  <c r="AG662" i="2"/>
  <c r="AF662" i="2"/>
  <c r="AE662" i="2"/>
  <c r="AD662" i="2"/>
  <c r="AC662" i="2"/>
  <c r="AB662" i="2"/>
  <c r="AA662" i="2"/>
  <c r="Z662" i="2"/>
  <c r="Y662" i="2"/>
  <c r="X662" i="2"/>
  <c r="W662" i="2"/>
  <c r="V662" i="2"/>
  <c r="U662" i="2"/>
  <c r="T662" i="2"/>
  <c r="AG661" i="2"/>
  <c r="AF661" i="2"/>
  <c r="AE661" i="2"/>
  <c r="AD661" i="2"/>
  <c r="AC661" i="2"/>
  <c r="AB661" i="2"/>
  <c r="AA661" i="2"/>
  <c r="Z661" i="2"/>
  <c r="Y661" i="2"/>
  <c r="X661" i="2"/>
  <c r="W661" i="2"/>
  <c r="V661" i="2"/>
  <c r="U661" i="2"/>
  <c r="T661" i="2"/>
  <c r="AG660" i="2"/>
  <c r="AF660" i="2"/>
  <c r="AE660" i="2"/>
  <c r="AD660" i="2"/>
  <c r="AC660" i="2"/>
  <c r="AB660" i="2"/>
  <c r="AA660" i="2"/>
  <c r="Z660" i="2"/>
  <c r="Y660" i="2"/>
  <c r="X660" i="2"/>
  <c r="W660" i="2"/>
  <c r="V660" i="2"/>
  <c r="U660" i="2"/>
  <c r="T660" i="2"/>
  <c r="AG659" i="2"/>
  <c r="AF659" i="2"/>
  <c r="AE659" i="2"/>
  <c r="AD659" i="2"/>
  <c r="AC659" i="2"/>
  <c r="AB659" i="2"/>
  <c r="AA659" i="2"/>
  <c r="Z659" i="2"/>
  <c r="Y659" i="2"/>
  <c r="X659" i="2"/>
  <c r="W659" i="2"/>
  <c r="V659" i="2"/>
  <c r="U659" i="2"/>
  <c r="T659" i="2"/>
  <c r="AG658" i="2"/>
  <c r="AF658" i="2"/>
  <c r="AE658" i="2"/>
  <c r="AD658" i="2"/>
  <c r="AC658" i="2"/>
  <c r="AB658" i="2"/>
  <c r="AA658" i="2"/>
  <c r="Z658" i="2"/>
  <c r="Y658" i="2"/>
  <c r="X658" i="2"/>
  <c r="W658" i="2"/>
  <c r="V658" i="2"/>
  <c r="U658" i="2"/>
  <c r="T658" i="2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U657" i="2"/>
  <c r="T657" i="2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T656" i="2"/>
  <c r="AG655" i="2"/>
  <c r="AF655" i="2"/>
  <c r="AE655" i="2"/>
  <c r="AD655" i="2"/>
  <c r="AC655" i="2"/>
  <c r="AB655" i="2"/>
  <c r="AA655" i="2"/>
  <c r="Z655" i="2"/>
  <c r="Y655" i="2"/>
  <c r="X655" i="2"/>
  <c r="W655" i="2"/>
  <c r="V655" i="2"/>
  <c r="U655" i="2"/>
  <c r="T655" i="2"/>
  <c r="AG654" i="2"/>
  <c r="AF654" i="2"/>
  <c r="AE654" i="2"/>
  <c r="AD654" i="2"/>
  <c r="AC654" i="2"/>
  <c r="AB654" i="2"/>
  <c r="AA654" i="2"/>
  <c r="Z654" i="2"/>
  <c r="Y654" i="2"/>
  <c r="X654" i="2"/>
  <c r="W654" i="2"/>
  <c r="V654" i="2"/>
  <c r="U654" i="2"/>
  <c r="T654" i="2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U653" i="2"/>
  <c r="T653" i="2"/>
  <c r="AG652" i="2"/>
  <c r="AF652" i="2"/>
  <c r="AE652" i="2"/>
  <c r="AD652" i="2"/>
  <c r="AC652" i="2"/>
  <c r="AB652" i="2"/>
  <c r="AA652" i="2"/>
  <c r="Z652" i="2"/>
  <c r="Y652" i="2"/>
  <c r="X652" i="2"/>
  <c r="W652" i="2"/>
  <c r="V652" i="2"/>
  <c r="U652" i="2"/>
  <c r="T652" i="2"/>
  <c r="AG651" i="2"/>
  <c r="AF651" i="2"/>
  <c r="AE651" i="2"/>
  <c r="AD651" i="2"/>
  <c r="AC651" i="2"/>
  <c r="AB651" i="2"/>
  <c r="AA651" i="2"/>
  <c r="Z651" i="2"/>
  <c r="Y651" i="2"/>
  <c r="X651" i="2"/>
  <c r="W651" i="2"/>
  <c r="V651" i="2"/>
  <c r="U651" i="2"/>
  <c r="T651" i="2"/>
  <c r="AG650" i="2"/>
  <c r="AF650" i="2"/>
  <c r="AE650" i="2"/>
  <c r="AD650" i="2"/>
  <c r="AC650" i="2"/>
  <c r="AB650" i="2"/>
  <c r="AA650" i="2"/>
  <c r="Z650" i="2"/>
  <c r="Y650" i="2"/>
  <c r="X650" i="2"/>
  <c r="W650" i="2"/>
  <c r="V650" i="2"/>
  <c r="U650" i="2"/>
  <c r="T650" i="2"/>
  <c r="AG649" i="2"/>
  <c r="AF649" i="2"/>
  <c r="AE649" i="2"/>
  <c r="AD649" i="2"/>
  <c r="AC649" i="2"/>
  <c r="AB649" i="2"/>
  <c r="AA649" i="2"/>
  <c r="Z649" i="2"/>
  <c r="Y649" i="2"/>
  <c r="X649" i="2"/>
  <c r="W649" i="2"/>
  <c r="V649" i="2"/>
  <c r="U649" i="2"/>
  <c r="T649" i="2"/>
  <c r="AG648" i="2"/>
  <c r="AF648" i="2"/>
  <c r="AE648" i="2"/>
  <c r="AD648" i="2"/>
  <c r="AC648" i="2"/>
  <c r="AB648" i="2"/>
  <c r="AA648" i="2"/>
  <c r="Z648" i="2"/>
  <c r="Y648" i="2"/>
  <c r="X648" i="2"/>
  <c r="W648" i="2"/>
  <c r="V648" i="2"/>
  <c r="U648" i="2"/>
  <c r="T648" i="2"/>
  <c r="AG647" i="2"/>
  <c r="AF647" i="2"/>
  <c r="AE647" i="2"/>
  <c r="AD647" i="2"/>
  <c r="AC647" i="2"/>
  <c r="AB647" i="2"/>
  <c r="AA647" i="2"/>
  <c r="Z647" i="2"/>
  <c r="Y647" i="2"/>
  <c r="X647" i="2"/>
  <c r="W647" i="2"/>
  <c r="V647" i="2"/>
  <c r="U647" i="2"/>
  <c r="T647" i="2"/>
  <c r="AG646" i="2"/>
  <c r="AF646" i="2"/>
  <c r="AE646" i="2"/>
  <c r="AD646" i="2"/>
  <c r="AC646" i="2"/>
  <c r="AB646" i="2"/>
  <c r="AA646" i="2"/>
  <c r="Z646" i="2"/>
  <c r="Y646" i="2"/>
  <c r="X646" i="2"/>
  <c r="W646" i="2"/>
  <c r="V646" i="2"/>
  <c r="U646" i="2"/>
  <c r="T646" i="2"/>
  <c r="AG645" i="2"/>
  <c r="AF645" i="2"/>
  <c r="AE645" i="2"/>
  <c r="AD645" i="2"/>
  <c r="AC645" i="2"/>
  <c r="AB645" i="2"/>
  <c r="AA645" i="2"/>
  <c r="Z645" i="2"/>
  <c r="Y645" i="2"/>
  <c r="X645" i="2"/>
  <c r="W645" i="2"/>
  <c r="V645" i="2"/>
  <c r="U645" i="2"/>
  <c r="T645" i="2"/>
  <c r="AG644" i="2"/>
  <c r="AF644" i="2"/>
  <c r="AE644" i="2"/>
  <c r="AD644" i="2"/>
  <c r="AC644" i="2"/>
  <c r="AB644" i="2"/>
  <c r="AA644" i="2"/>
  <c r="Z644" i="2"/>
  <c r="Y644" i="2"/>
  <c r="X644" i="2"/>
  <c r="W644" i="2"/>
  <c r="V644" i="2"/>
  <c r="U644" i="2"/>
  <c r="T644" i="2"/>
  <c r="AG643" i="2"/>
  <c r="AF643" i="2"/>
  <c r="AE643" i="2"/>
  <c r="AD643" i="2"/>
  <c r="AC643" i="2"/>
  <c r="AB643" i="2"/>
  <c r="AA643" i="2"/>
  <c r="Z643" i="2"/>
  <c r="Y643" i="2"/>
  <c r="X643" i="2"/>
  <c r="W643" i="2"/>
  <c r="V643" i="2"/>
  <c r="U643" i="2"/>
  <c r="T643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T642" i="2"/>
  <c r="AG641" i="2"/>
  <c r="AF641" i="2"/>
  <c r="AE641" i="2"/>
  <c r="AD641" i="2"/>
  <c r="AC641" i="2"/>
  <c r="AB641" i="2"/>
  <c r="AA641" i="2"/>
  <c r="Z641" i="2"/>
  <c r="Y641" i="2"/>
  <c r="X641" i="2"/>
  <c r="W641" i="2"/>
  <c r="V641" i="2"/>
  <c r="U641" i="2"/>
  <c r="T641" i="2"/>
  <c r="AG640" i="2"/>
  <c r="AF640" i="2"/>
  <c r="AE640" i="2"/>
  <c r="AD640" i="2"/>
  <c r="AC640" i="2"/>
  <c r="AB640" i="2"/>
  <c r="AA640" i="2"/>
  <c r="Z640" i="2"/>
  <c r="Y640" i="2"/>
  <c r="X640" i="2"/>
  <c r="W640" i="2"/>
  <c r="V640" i="2"/>
  <c r="U640" i="2"/>
  <c r="T640" i="2"/>
  <c r="AG639" i="2"/>
  <c r="AF639" i="2"/>
  <c r="AE639" i="2"/>
  <c r="AD639" i="2"/>
  <c r="AC639" i="2"/>
  <c r="AB639" i="2"/>
  <c r="AA639" i="2"/>
  <c r="Z639" i="2"/>
  <c r="Y639" i="2"/>
  <c r="X639" i="2"/>
  <c r="W639" i="2"/>
  <c r="V639" i="2"/>
  <c r="U639" i="2"/>
  <c r="T639" i="2"/>
  <c r="AG638" i="2"/>
  <c r="AF638" i="2"/>
  <c r="AE638" i="2"/>
  <c r="AD638" i="2"/>
  <c r="AC638" i="2"/>
  <c r="AB638" i="2"/>
  <c r="AA638" i="2"/>
  <c r="Z638" i="2"/>
  <c r="Y638" i="2"/>
  <c r="X638" i="2"/>
  <c r="W638" i="2"/>
  <c r="V638" i="2"/>
  <c r="U638" i="2"/>
  <c r="T638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U637" i="2"/>
  <c r="T637" i="2"/>
  <c r="AG636" i="2"/>
  <c r="AF636" i="2"/>
  <c r="AE636" i="2"/>
  <c r="AD636" i="2"/>
  <c r="AC636" i="2"/>
  <c r="AB636" i="2"/>
  <c r="AA636" i="2"/>
  <c r="Z636" i="2"/>
  <c r="Y636" i="2"/>
  <c r="X636" i="2"/>
  <c r="W636" i="2"/>
  <c r="V636" i="2"/>
  <c r="U636" i="2"/>
  <c r="T636" i="2"/>
  <c r="AG635" i="2"/>
  <c r="AF635" i="2"/>
  <c r="AE635" i="2"/>
  <c r="AD635" i="2"/>
  <c r="AC635" i="2"/>
  <c r="AB635" i="2"/>
  <c r="AA635" i="2"/>
  <c r="Z635" i="2"/>
  <c r="Y635" i="2"/>
  <c r="X635" i="2"/>
  <c r="W635" i="2"/>
  <c r="V635" i="2"/>
  <c r="U635" i="2"/>
  <c r="T635" i="2"/>
  <c r="AG634" i="2"/>
  <c r="AF634" i="2"/>
  <c r="AE634" i="2"/>
  <c r="AD634" i="2"/>
  <c r="AC634" i="2"/>
  <c r="AB634" i="2"/>
  <c r="AA634" i="2"/>
  <c r="Z634" i="2"/>
  <c r="Y634" i="2"/>
  <c r="X634" i="2"/>
  <c r="W634" i="2"/>
  <c r="V634" i="2"/>
  <c r="U634" i="2"/>
  <c r="T634" i="2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U633" i="2"/>
  <c r="T633" i="2"/>
  <c r="AG632" i="2"/>
  <c r="AF632" i="2"/>
  <c r="AE632" i="2"/>
  <c r="AD632" i="2"/>
  <c r="AC632" i="2"/>
  <c r="AB632" i="2"/>
  <c r="AA632" i="2"/>
  <c r="Z632" i="2"/>
  <c r="Y632" i="2"/>
  <c r="X632" i="2"/>
  <c r="W632" i="2"/>
  <c r="V632" i="2"/>
  <c r="U632" i="2"/>
  <c r="T632" i="2"/>
  <c r="AG631" i="2"/>
  <c r="AF631" i="2"/>
  <c r="AE631" i="2"/>
  <c r="AD631" i="2"/>
  <c r="AC631" i="2"/>
  <c r="AB631" i="2"/>
  <c r="AA631" i="2"/>
  <c r="Z631" i="2"/>
  <c r="Y631" i="2"/>
  <c r="X631" i="2"/>
  <c r="W631" i="2"/>
  <c r="V631" i="2"/>
  <c r="U631" i="2"/>
  <c r="T631" i="2"/>
  <c r="AG630" i="2"/>
  <c r="AF630" i="2"/>
  <c r="AE630" i="2"/>
  <c r="AD630" i="2"/>
  <c r="AC630" i="2"/>
  <c r="AB630" i="2"/>
  <c r="AA630" i="2"/>
  <c r="Z630" i="2"/>
  <c r="Y630" i="2"/>
  <c r="X630" i="2"/>
  <c r="W630" i="2"/>
  <c r="V630" i="2"/>
  <c r="U630" i="2"/>
  <c r="T630" i="2"/>
  <c r="AG629" i="2"/>
  <c r="AF629" i="2"/>
  <c r="AE629" i="2"/>
  <c r="AD629" i="2"/>
  <c r="AC629" i="2"/>
  <c r="AB629" i="2"/>
  <c r="AA629" i="2"/>
  <c r="Z629" i="2"/>
  <c r="Y629" i="2"/>
  <c r="X629" i="2"/>
  <c r="W629" i="2"/>
  <c r="V629" i="2"/>
  <c r="U629" i="2"/>
  <c r="T629" i="2"/>
  <c r="AG628" i="2"/>
  <c r="AF628" i="2"/>
  <c r="AE628" i="2"/>
  <c r="AD628" i="2"/>
  <c r="AC628" i="2"/>
  <c r="AB628" i="2"/>
  <c r="AA628" i="2"/>
  <c r="Z628" i="2"/>
  <c r="Y628" i="2"/>
  <c r="X628" i="2"/>
  <c r="W628" i="2"/>
  <c r="V628" i="2"/>
  <c r="U628" i="2"/>
  <c r="T628" i="2"/>
  <c r="AG627" i="2"/>
  <c r="AF627" i="2"/>
  <c r="AE627" i="2"/>
  <c r="AD627" i="2"/>
  <c r="AC627" i="2"/>
  <c r="AB627" i="2"/>
  <c r="AA627" i="2"/>
  <c r="Z627" i="2"/>
  <c r="Y627" i="2"/>
  <c r="X627" i="2"/>
  <c r="W627" i="2"/>
  <c r="V627" i="2"/>
  <c r="U627" i="2"/>
  <c r="T627" i="2"/>
  <c r="AG626" i="2"/>
  <c r="AF626" i="2"/>
  <c r="AE626" i="2"/>
  <c r="AD626" i="2"/>
  <c r="AC626" i="2"/>
  <c r="AB626" i="2"/>
  <c r="AA626" i="2"/>
  <c r="Z626" i="2"/>
  <c r="Y626" i="2"/>
  <c r="X626" i="2"/>
  <c r="W626" i="2"/>
  <c r="V626" i="2"/>
  <c r="U626" i="2"/>
  <c r="T626" i="2"/>
  <c r="AG625" i="2"/>
  <c r="AF625" i="2"/>
  <c r="AE625" i="2"/>
  <c r="AD625" i="2"/>
  <c r="AC625" i="2"/>
  <c r="AB625" i="2"/>
  <c r="AA625" i="2"/>
  <c r="Z625" i="2"/>
  <c r="Y625" i="2"/>
  <c r="X625" i="2"/>
  <c r="W625" i="2"/>
  <c r="V625" i="2"/>
  <c r="U625" i="2"/>
  <c r="T625" i="2"/>
  <c r="AG624" i="2"/>
  <c r="AF624" i="2"/>
  <c r="AE624" i="2"/>
  <c r="AD624" i="2"/>
  <c r="AC624" i="2"/>
  <c r="AB624" i="2"/>
  <c r="AA624" i="2"/>
  <c r="Z624" i="2"/>
  <c r="Y624" i="2"/>
  <c r="X624" i="2"/>
  <c r="W624" i="2"/>
  <c r="V624" i="2"/>
  <c r="U624" i="2"/>
  <c r="T624" i="2"/>
  <c r="AG623" i="2"/>
  <c r="AF623" i="2"/>
  <c r="AE623" i="2"/>
  <c r="AD623" i="2"/>
  <c r="AC623" i="2"/>
  <c r="AB623" i="2"/>
  <c r="AA623" i="2"/>
  <c r="Z623" i="2"/>
  <c r="Y623" i="2"/>
  <c r="X623" i="2"/>
  <c r="W623" i="2"/>
  <c r="V623" i="2"/>
  <c r="U623" i="2"/>
  <c r="T623" i="2"/>
  <c r="AG622" i="2"/>
  <c r="AF622" i="2"/>
  <c r="AE622" i="2"/>
  <c r="AD622" i="2"/>
  <c r="AC622" i="2"/>
  <c r="AB622" i="2"/>
  <c r="AA622" i="2"/>
  <c r="Z622" i="2"/>
  <c r="Y622" i="2"/>
  <c r="X622" i="2"/>
  <c r="W622" i="2"/>
  <c r="V622" i="2"/>
  <c r="U622" i="2"/>
  <c r="T622" i="2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U621" i="2"/>
  <c r="T621" i="2"/>
  <c r="AG620" i="2"/>
  <c r="AF620" i="2"/>
  <c r="AE620" i="2"/>
  <c r="AD620" i="2"/>
  <c r="AC620" i="2"/>
  <c r="AB620" i="2"/>
  <c r="AA620" i="2"/>
  <c r="Z620" i="2"/>
  <c r="Y620" i="2"/>
  <c r="X620" i="2"/>
  <c r="W620" i="2"/>
  <c r="V620" i="2"/>
  <c r="U620" i="2"/>
  <c r="T620" i="2"/>
  <c r="AG619" i="2"/>
  <c r="AF619" i="2"/>
  <c r="AE619" i="2"/>
  <c r="AD619" i="2"/>
  <c r="AC619" i="2"/>
  <c r="AB619" i="2"/>
  <c r="AA619" i="2"/>
  <c r="Z619" i="2"/>
  <c r="Y619" i="2"/>
  <c r="X619" i="2"/>
  <c r="W619" i="2"/>
  <c r="V619" i="2"/>
  <c r="U619" i="2"/>
  <c r="T619" i="2"/>
  <c r="AG618" i="2"/>
  <c r="AF618" i="2"/>
  <c r="AE618" i="2"/>
  <c r="AD618" i="2"/>
  <c r="AC618" i="2"/>
  <c r="AB618" i="2"/>
  <c r="AA618" i="2"/>
  <c r="Z618" i="2"/>
  <c r="Y618" i="2"/>
  <c r="X618" i="2"/>
  <c r="W618" i="2"/>
  <c r="V618" i="2"/>
  <c r="U618" i="2"/>
  <c r="T618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U617" i="2"/>
  <c r="T617" i="2"/>
  <c r="AG616" i="2"/>
  <c r="AF616" i="2"/>
  <c r="AE616" i="2"/>
  <c r="AD616" i="2"/>
  <c r="AC616" i="2"/>
  <c r="AB616" i="2"/>
  <c r="AA616" i="2"/>
  <c r="Z616" i="2"/>
  <c r="Y616" i="2"/>
  <c r="X616" i="2"/>
  <c r="W616" i="2"/>
  <c r="V616" i="2"/>
  <c r="U616" i="2"/>
  <c r="T616" i="2"/>
  <c r="AG615" i="2"/>
  <c r="AF615" i="2"/>
  <c r="AE615" i="2"/>
  <c r="AD615" i="2"/>
  <c r="AC615" i="2"/>
  <c r="AB615" i="2"/>
  <c r="AA615" i="2"/>
  <c r="Z615" i="2"/>
  <c r="Y615" i="2"/>
  <c r="X615" i="2"/>
  <c r="W615" i="2"/>
  <c r="V615" i="2"/>
  <c r="U615" i="2"/>
  <c r="T615" i="2"/>
  <c r="AG614" i="2"/>
  <c r="AF614" i="2"/>
  <c r="AE614" i="2"/>
  <c r="AD614" i="2"/>
  <c r="AC614" i="2"/>
  <c r="AB614" i="2"/>
  <c r="AA614" i="2"/>
  <c r="Z614" i="2"/>
  <c r="Y614" i="2"/>
  <c r="X614" i="2"/>
  <c r="W614" i="2"/>
  <c r="V614" i="2"/>
  <c r="U614" i="2"/>
  <c r="T614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U613" i="2"/>
  <c r="T613" i="2"/>
  <c r="AG612" i="2"/>
  <c r="AF612" i="2"/>
  <c r="AE612" i="2"/>
  <c r="AD612" i="2"/>
  <c r="AC612" i="2"/>
  <c r="AB612" i="2"/>
  <c r="AA612" i="2"/>
  <c r="Z612" i="2"/>
  <c r="Y612" i="2"/>
  <c r="X612" i="2"/>
  <c r="W612" i="2"/>
  <c r="V612" i="2"/>
  <c r="U612" i="2"/>
  <c r="T612" i="2"/>
  <c r="AG611" i="2"/>
  <c r="AF611" i="2"/>
  <c r="AE611" i="2"/>
  <c r="AD611" i="2"/>
  <c r="AC611" i="2"/>
  <c r="AB611" i="2"/>
  <c r="AA611" i="2"/>
  <c r="Z611" i="2"/>
  <c r="Y611" i="2"/>
  <c r="X611" i="2"/>
  <c r="W611" i="2"/>
  <c r="V611" i="2"/>
  <c r="U611" i="2"/>
  <c r="T611" i="2"/>
  <c r="AG610" i="2"/>
  <c r="AF610" i="2"/>
  <c r="AE610" i="2"/>
  <c r="AD610" i="2"/>
  <c r="AC610" i="2"/>
  <c r="AB610" i="2"/>
  <c r="AA610" i="2"/>
  <c r="Z610" i="2"/>
  <c r="Y610" i="2"/>
  <c r="X610" i="2"/>
  <c r="W610" i="2"/>
  <c r="V610" i="2"/>
  <c r="U610" i="2"/>
  <c r="T610" i="2"/>
  <c r="AG609" i="2"/>
  <c r="AF609" i="2"/>
  <c r="AE609" i="2"/>
  <c r="AD609" i="2"/>
  <c r="AC609" i="2"/>
  <c r="AB609" i="2"/>
  <c r="AA609" i="2"/>
  <c r="Z609" i="2"/>
  <c r="Y609" i="2"/>
  <c r="X609" i="2"/>
  <c r="W609" i="2"/>
  <c r="V609" i="2"/>
  <c r="U609" i="2"/>
  <c r="T609" i="2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T608" i="2"/>
  <c r="AG607" i="2"/>
  <c r="AF607" i="2"/>
  <c r="AE607" i="2"/>
  <c r="AD607" i="2"/>
  <c r="AC607" i="2"/>
  <c r="AB607" i="2"/>
  <c r="AA607" i="2"/>
  <c r="Z607" i="2"/>
  <c r="Y607" i="2"/>
  <c r="X607" i="2"/>
  <c r="W607" i="2"/>
  <c r="V607" i="2"/>
  <c r="U607" i="2"/>
  <c r="T607" i="2"/>
  <c r="AG606" i="2"/>
  <c r="AF606" i="2"/>
  <c r="AE606" i="2"/>
  <c r="AD606" i="2"/>
  <c r="AC606" i="2"/>
  <c r="AB606" i="2"/>
  <c r="AA606" i="2"/>
  <c r="Z606" i="2"/>
  <c r="Y606" i="2"/>
  <c r="X606" i="2"/>
  <c r="W606" i="2"/>
  <c r="V606" i="2"/>
  <c r="U606" i="2"/>
  <c r="T606" i="2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U605" i="2"/>
  <c r="T605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T604" i="2"/>
  <c r="AG603" i="2"/>
  <c r="AF603" i="2"/>
  <c r="AE603" i="2"/>
  <c r="AD603" i="2"/>
  <c r="AC603" i="2"/>
  <c r="AB603" i="2"/>
  <c r="AA603" i="2"/>
  <c r="Z603" i="2"/>
  <c r="Y603" i="2"/>
  <c r="X603" i="2"/>
  <c r="W603" i="2"/>
  <c r="V603" i="2"/>
  <c r="U603" i="2"/>
  <c r="T603" i="2"/>
  <c r="AG602" i="2"/>
  <c r="AF602" i="2"/>
  <c r="AE602" i="2"/>
  <c r="AD602" i="2"/>
  <c r="AC602" i="2"/>
  <c r="AB602" i="2"/>
  <c r="AA602" i="2"/>
  <c r="Z602" i="2"/>
  <c r="Y602" i="2"/>
  <c r="X602" i="2"/>
  <c r="W602" i="2"/>
  <c r="V602" i="2"/>
  <c r="U602" i="2"/>
  <c r="T602" i="2"/>
  <c r="AG601" i="2"/>
  <c r="AF601" i="2"/>
  <c r="AE601" i="2"/>
  <c r="AD601" i="2"/>
  <c r="AC601" i="2"/>
  <c r="AB601" i="2"/>
  <c r="AA601" i="2"/>
  <c r="Z601" i="2"/>
  <c r="Y601" i="2"/>
  <c r="X601" i="2"/>
  <c r="W601" i="2"/>
  <c r="V601" i="2"/>
  <c r="U601" i="2"/>
  <c r="T601" i="2"/>
  <c r="AG600" i="2"/>
  <c r="AF600" i="2"/>
  <c r="AE600" i="2"/>
  <c r="AD600" i="2"/>
  <c r="AC600" i="2"/>
  <c r="AB600" i="2"/>
  <c r="AA600" i="2"/>
  <c r="Z600" i="2"/>
  <c r="Y600" i="2"/>
  <c r="X600" i="2"/>
  <c r="W600" i="2"/>
  <c r="V600" i="2"/>
  <c r="U600" i="2"/>
  <c r="T600" i="2"/>
  <c r="AG599" i="2"/>
  <c r="AF599" i="2"/>
  <c r="AE599" i="2"/>
  <c r="AD599" i="2"/>
  <c r="AC599" i="2"/>
  <c r="AB599" i="2"/>
  <c r="AA599" i="2"/>
  <c r="Z599" i="2"/>
  <c r="Y599" i="2"/>
  <c r="X599" i="2"/>
  <c r="W599" i="2"/>
  <c r="V599" i="2"/>
  <c r="U599" i="2"/>
  <c r="T599" i="2"/>
  <c r="AG598" i="2"/>
  <c r="AF598" i="2"/>
  <c r="AE598" i="2"/>
  <c r="AD598" i="2"/>
  <c r="AC598" i="2"/>
  <c r="AB598" i="2"/>
  <c r="AA598" i="2"/>
  <c r="Z598" i="2"/>
  <c r="Y598" i="2"/>
  <c r="X598" i="2"/>
  <c r="W598" i="2"/>
  <c r="V598" i="2"/>
  <c r="U598" i="2"/>
  <c r="T598" i="2"/>
  <c r="AG597" i="2"/>
  <c r="AF597" i="2"/>
  <c r="AE597" i="2"/>
  <c r="AD597" i="2"/>
  <c r="AC597" i="2"/>
  <c r="AB597" i="2"/>
  <c r="AA597" i="2"/>
  <c r="Z597" i="2"/>
  <c r="Y597" i="2"/>
  <c r="X597" i="2"/>
  <c r="W597" i="2"/>
  <c r="V597" i="2"/>
  <c r="U597" i="2"/>
  <c r="T597" i="2"/>
  <c r="AG596" i="2"/>
  <c r="AF596" i="2"/>
  <c r="AE596" i="2"/>
  <c r="AD596" i="2"/>
  <c r="AC596" i="2"/>
  <c r="AB596" i="2"/>
  <c r="AA596" i="2"/>
  <c r="Z596" i="2"/>
  <c r="Y596" i="2"/>
  <c r="X596" i="2"/>
  <c r="W596" i="2"/>
  <c r="V596" i="2"/>
  <c r="U596" i="2"/>
  <c r="T596" i="2"/>
  <c r="AG595" i="2"/>
  <c r="AF595" i="2"/>
  <c r="AE595" i="2"/>
  <c r="AD595" i="2"/>
  <c r="AC595" i="2"/>
  <c r="AB595" i="2"/>
  <c r="AA595" i="2"/>
  <c r="Z595" i="2"/>
  <c r="Y595" i="2"/>
  <c r="X595" i="2"/>
  <c r="W595" i="2"/>
  <c r="V595" i="2"/>
  <c r="U595" i="2"/>
  <c r="T595" i="2"/>
  <c r="AG594" i="2"/>
  <c r="AF594" i="2"/>
  <c r="AE594" i="2"/>
  <c r="AD594" i="2"/>
  <c r="AC594" i="2"/>
  <c r="AB594" i="2"/>
  <c r="AA594" i="2"/>
  <c r="Z594" i="2"/>
  <c r="Y594" i="2"/>
  <c r="X594" i="2"/>
  <c r="W594" i="2"/>
  <c r="V594" i="2"/>
  <c r="U594" i="2"/>
  <c r="T594" i="2"/>
  <c r="AG593" i="2"/>
  <c r="AF593" i="2"/>
  <c r="AE593" i="2"/>
  <c r="AD593" i="2"/>
  <c r="AC593" i="2"/>
  <c r="AB593" i="2"/>
  <c r="AA593" i="2"/>
  <c r="Z593" i="2"/>
  <c r="Y593" i="2"/>
  <c r="X593" i="2"/>
  <c r="W593" i="2"/>
  <c r="V593" i="2"/>
  <c r="U593" i="2"/>
  <c r="T593" i="2"/>
  <c r="AG592" i="2"/>
  <c r="AF592" i="2"/>
  <c r="AE592" i="2"/>
  <c r="AD592" i="2"/>
  <c r="AC592" i="2"/>
  <c r="AB592" i="2"/>
  <c r="AA592" i="2"/>
  <c r="Z592" i="2"/>
  <c r="Y592" i="2"/>
  <c r="X592" i="2"/>
  <c r="W592" i="2"/>
  <c r="V592" i="2"/>
  <c r="U592" i="2"/>
  <c r="T592" i="2"/>
  <c r="AG591" i="2"/>
  <c r="AF591" i="2"/>
  <c r="AE591" i="2"/>
  <c r="AD591" i="2"/>
  <c r="AC591" i="2"/>
  <c r="AB591" i="2"/>
  <c r="AA591" i="2"/>
  <c r="Z591" i="2"/>
  <c r="Y591" i="2"/>
  <c r="X591" i="2"/>
  <c r="W591" i="2"/>
  <c r="V591" i="2"/>
  <c r="U591" i="2"/>
  <c r="T591" i="2"/>
  <c r="AG590" i="2"/>
  <c r="AF590" i="2"/>
  <c r="AE590" i="2"/>
  <c r="AD590" i="2"/>
  <c r="AC590" i="2"/>
  <c r="AB590" i="2"/>
  <c r="AA590" i="2"/>
  <c r="Z590" i="2"/>
  <c r="Y590" i="2"/>
  <c r="X590" i="2"/>
  <c r="W590" i="2"/>
  <c r="V590" i="2"/>
  <c r="U590" i="2"/>
  <c r="T590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T589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T585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T578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AG566" i="2"/>
  <c r="AG567" i="2" s="1"/>
  <c r="AF566" i="2"/>
  <c r="AF567" i="2" s="1"/>
  <c r="AE566" i="2"/>
  <c r="AE567" i="2" s="1"/>
  <c r="AD566" i="2"/>
  <c r="AD567" i="2" s="1"/>
  <c r="AC566" i="2"/>
  <c r="AC567" i="2" s="1"/>
  <c r="AB566" i="2"/>
  <c r="AB567" i="2" s="1"/>
  <c r="AA566" i="2"/>
  <c r="AA567" i="2" s="1"/>
  <c r="Z566" i="2"/>
  <c r="Z567" i="2" s="1"/>
  <c r="Y566" i="2"/>
  <c r="Y567" i="2" s="1"/>
  <c r="X566" i="2"/>
  <c r="X567" i="2" s="1"/>
  <c r="W566" i="2"/>
  <c r="W567" i="2" s="1"/>
  <c r="V566" i="2"/>
  <c r="V567" i="2" s="1"/>
  <c r="U566" i="2"/>
  <c r="U567" i="2" s="1"/>
  <c r="T566" i="2"/>
  <c r="T567" i="2" s="1"/>
  <c r="S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D663" i="2"/>
  <c r="C663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D662" i="2"/>
  <c r="C662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D661" i="2"/>
  <c r="C661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D660" i="2"/>
  <c r="C660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D659" i="2"/>
  <c r="C659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D658" i="2"/>
  <c r="C658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D657" i="2"/>
  <c r="C657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D656" i="2"/>
  <c r="C656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D655" i="2"/>
  <c r="C655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D654" i="2"/>
  <c r="C654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D653" i="2"/>
  <c r="C653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D652" i="2"/>
  <c r="C652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D651" i="2"/>
  <c r="C651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D650" i="2"/>
  <c r="C650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D649" i="2"/>
  <c r="C649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D648" i="2"/>
  <c r="C648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D647" i="2"/>
  <c r="C647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D646" i="2"/>
  <c r="C646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D645" i="2"/>
  <c r="C645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D644" i="2"/>
  <c r="C644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D643" i="2"/>
  <c r="C643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D642" i="2"/>
  <c r="C642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D641" i="2"/>
  <c r="C641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D640" i="2"/>
  <c r="C640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D639" i="2"/>
  <c r="C639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D638" i="2"/>
  <c r="C638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D637" i="2"/>
  <c r="C637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D636" i="2"/>
  <c r="C636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D635" i="2"/>
  <c r="C635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D634" i="2"/>
  <c r="C634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D633" i="2"/>
  <c r="C633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D632" i="2"/>
  <c r="C632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D631" i="2"/>
  <c r="C631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D630" i="2"/>
  <c r="C630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D629" i="2"/>
  <c r="C629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D628" i="2"/>
  <c r="C628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D627" i="2"/>
  <c r="C627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D626" i="2"/>
  <c r="C626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D625" i="2"/>
  <c r="C625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D624" i="2"/>
  <c r="C624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D623" i="2"/>
  <c r="C623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D622" i="2"/>
  <c r="C622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D621" i="2"/>
  <c r="C621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D620" i="2"/>
  <c r="C620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D619" i="2"/>
  <c r="C619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D618" i="2"/>
  <c r="C618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D617" i="2"/>
  <c r="C617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D616" i="2"/>
  <c r="C616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D615" i="2"/>
  <c r="C615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D614" i="2"/>
  <c r="C614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D613" i="2"/>
  <c r="C613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D612" i="2"/>
  <c r="C612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D611" i="2"/>
  <c r="C611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D610" i="2"/>
  <c r="C610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D609" i="2"/>
  <c r="C609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D608" i="2"/>
  <c r="C608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D607" i="2"/>
  <c r="C607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D606" i="2"/>
  <c r="C606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D605" i="2"/>
  <c r="C605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D604" i="2"/>
  <c r="C604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D603" i="2"/>
  <c r="C603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D602" i="2"/>
  <c r="C602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D601" i="2"/>
  <c r="C601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D600" i="2"/>
  <c r="C600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D599" i="2"/>
  <c r="C599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D598" i="2"/>
  <c r="C598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D597" i="2"/>
  <c r="C597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D596" i="2"/>
  <c r="C596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D595" i="2"/>
  <c r="C595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D594" i="2"/>
  <c r="C594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D593" i="2"/>
  <c r="C593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D592" i="2"/>
  <c r="C592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D591" i="2"/>
  <c r="C591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D590" i="2"/>
  <c r="C590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D589" i="2"/>
  <c r="C589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D588" i="2"/>
  <c r="C588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D587" i="2"/>
  <c r="C587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D586" i="2"/>
  <c r="C586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D585" i="2"/>
  <c r="C585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D584" i="2"/>
  <c r="C584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D583" i="2"/>
  <c r="C583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D582" i="2"/>
  <c r="C582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D581" i="2"/>
  <c r="C581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D580" i="2"/>
  <c r="C580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D579" i="2"/>
  <c r="C579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D578" i="2"/>
  <c r="C578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D577" i="2"/>
  <c r="C577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D576" i="2"/>
  <c r="C576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D575" i="2"/>
  <c r="C575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D574" i="2"/>
  <c r="C574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D573" i="2"/>
  <c r="C573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D572" i="2"/>
  <c r="C572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D571" i="2"/>
  <c r="C571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D570" i="2"/>
  <c r="C570" i="2"/>
  <c r="S566" i="2"/>
  <c r="S567" i="2" s="1"/>
  <c r="R566" i="2"/>
  <c r="R567" i="2" s="1"/>
  <c r="Q566" i="2"/>
  <c r="Q567" i="2" s="1"/>
  <c r="P566" i="2"/>
  <c r="P567" i="2" s="1"/>
  <c r="O566" i="2"/>
  <c r="O567" i="2" s="1"/>
  <c r="N566" i="2"/>
  <c r="N567" i="2" s="1"/>
  <c r="M566" i="2"/>
  <c r="M567" i="2" s="1"/>
  <c r="L566" i="2"/>
  <c r="L567" i="2" s="1"/>
  <c r="K566" i="2"/>
  <c r="K567" i="2" s="1"/>
  <c r="J566" i="2"/>
  <c r="J567" i="2" s="1"/>
  <c r="I566" i="2"/>
  <c r="I567" i="2" s="1"/>
  <c r="H566" i="2"/>
  <c r="H567" i="2" s="1"/>
  <c r="G566" i="2"/>
  <c r="G567" i="2" s="1"/>
  <c r="F566" i="2"/>
  <c r="F567" i="2" s="1"/>
  <c r="D566" i="2"/>
  <c r="D567" i="2" s="1"/>
  <c r="C566" i="2"/>
  <c r="E568" i="2" s="1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594" i="2" l="1"/>
  <c r="E606" i="2"/>
  <c r="E584" i="2"/>
  <c r="E605" i="2"/>
  <c r="E613" i="2"/>
  <c r="E634" i="2"/>
  <c r="E573" i="2"/>
  <c r="E576" i="2"/>
  <c r="E588" i="2"/>
  <c r="E612" i="2"/>
  <c r="E618" i="2"/>
  <c r="E624" i="2"/>
  <c r="E636" i="2"/>
  <c r="E657" i="2"/>
  <c r="E660" i="2"/>
  <c r="E663" i="2"/>
  <c r="E608" i="2"/>
  <c r="E641" i="2"/>
  <c r="E644" i="2"/>
  <c r="E650" i="2"/>
  <c r="E656" i="2"/>
  <c r="E662" i="2"/>
  <c r="E589" i="2"/>
  <c r="E616" i="2"/>
  <c r="E622" i="2"/>
  <c r="E598" i="2"/>
  <c r="E601" i="2"/>
  <c r="E604" i="2"/>
  <c r="E610" i="2"/>
  <c r="E637" i="2"/>
  <c r="E640" i="2"/>
  <c r="E643" i="2"/>
  <c r="E658" i="2"/>
  <c r="E661" i="2"/>
  <c r="E591" i="2"/>
  <c r="E597" i="2"/>
  <c r="E600" i="2"/>
  <c r="E627" i="2"/>
  <c r="E630" i="2"/>
  <c r="E639" i="2"/>
  <c r="E632" i="2"/>
  <c r="E595" i="2"/>
  <c r="E607" i="2"/>
  <c r="E619" i="2"/>
  <c r="E625" i="2"/>
  <c r="E628" i="2"/>
  <c r="E631" i="2"/>
  <c r="E570" i="2"/>
  <c r="E582" i="2"/>
  <c r="E646" i="2"/>
  <c r="E652" i="2"/>
  <c r="E655" i="2"/>
  <c r="E615" i="2"/>
  <c r="E645" i="2"/>
  <c r="E651" i="2"/>
  <c r="E654" i="2"/>
  <c r="E578" i="2"/>
  <c r="E587" i="2"/>
  <c r="E593" i="2"/>
  <c r="E596" i="2"/>
  <c r="E599" i="2"/>
  <c r="E623" i="2"/>
  <c r="E614" i="2"/>
  <c r="E617" i="2"/>
  <c r="E626" i="2"/>
  <c r="E629" i="2"/>
  <c r="E647" i="2"/>
  <c r="E571" i="2"/>
  <c r="E577" i="2"/>
  <c r="E580" i="2"/>
  <c r="E583" i="2"/>
  <c r="E586" i="2"/>
  <c r="E659" i="2"/>
  <c r="E579" i="2"/>
  <c r="E633" i="2"/>
  <c r="E567" i="2"/>
  <c r="E585" i="2"/>
  <c r="E620" i="2"/>
  <c r="E642" i="2"/>
  <c r="E648" i="2"/>
  <c r="E572" i="2"/>
  <c r="E575" i="2"/>
  <c r="E581" i="2"/>
  <c r="E635" i="2"/>
  <c r="E603" i="2"/>
  <c r="E638" i="2"/>
  <c r="E590" i="2"/>
  <c r="E609" i="2"/>
  <c r="E574" i="2"/>
  <c r="E653" i="2"/>
  <c r="E602" i="2"/>
  <c r="E621" i="2"/>
  <c r="E592" i="2"/>
  <c r="E611" i="2"/>
  <c r="E649" i="2"/>
  <c r="E566" i="2"/>
  <c r="BQ662" i="1" l="1"/>
  <c r="BQ661" i="1"/>
  <c r="BQ660" i="1"/>
  <c r="BQ659" i="1"/>
  <c r="BQ658" i="1"/>
  <c r="BQ657" i="1"/>
  <c r="BQ656" i="1"/>
  <c r="BQ655" i="1"/>
  <c r="BQ654" i="1"/>
  <c r="BQ653" i="1"/>
  <c r="BQ652" i="1"/>
  <c r="BQ651" i="1"/>
  <c r="BQ650" i="1"/>
  <c r="BQ649" i="1"/>
  <c r="BQ648" i="1"/>
  <c r="BQ647" i="1"/>
  <c r="BQ646" i="1"/>
  <c r="BQ645" i="1"/>
  <c r="BQ644" i="1"/>
  <c r="BQ643" i="1"/>
  <c r="BQ642" i="1"/>
  <c r="BQ641" i="1"/>
  <c r="BQ640" i="1"/>
  <c r="BQ639" i="1"/>
  <c r="BQ638" i="1"/>
  <c r="BQ637" i="1"/>
  <c r="BQ636" i="1"/>
  <c r="BQ635" i="1"/>
  <c r="BQ634" i="1"/>
  <c r="BQ633" i="1"/>
  <c r="BQ632" i="1"/>
  <c r="BQ631" i="1"/>
  <c r="BQ630" i="1"/>
  <c r="BQ629" i="1"/>
  <c r="BQ628" i="1"/>
  <c r="BQ627" i="1"/>
  <c r="BQ626" i="1"/>
  <c r="BQ625" i="1"/>
  <c r="BQ624" i="1"/>
  <c r="BQ623" i="1"/>
  <c r="BQ622" i="1"/>
  <c r="BQ621" i="1"/>
  <c r="BQ620" i="1"/>
  <c r="BQ619" i="1"/>
  <c r="BQ618" i="1"/>
  <c r="BQ617" i="1"/>
  <c r="BQ616" i="1"/>
  <c r="BQ615" i="1"/>
  <c r="BQ614" i="1"/>
  <c r="BQ613" i="1"/>
  <c r="BQ612" i="1"/>
  <c r="BQ611" i="1"/>
  <c r="BQ610" i="1"/>
  <c r="BQ609" i="1"/>
  <c r="BQ608" i="1"/>
  <c r="BQ607" i="1"/>
  <c r="BQ606" i="1"/>
  <c r="BQ605" i="1"/>
  <c r="BQ604" i="1"/>
  <c r="BQ603" i="1"/>
  <c r="BQ602" i="1"/>
  <c r="BQ601" i="1"/>
  <c r="BQ600" i="1"/>
  <c r="BQ599" i="1"/>
  <c r="BQ598" i="1"/>
  <c r="BQ597" i="1"/>
  <c r="BQ596" i="1"/>
  <c r="BQ595" i="1"/>
  <c r="BQ594" i="1"/>
  <c r="BQ593" i="1"/>
  <c r="BQ592" i="1"/>
  <c r="BQ591" i="1"/>
  <c r="BQ590" i="1"/>
  <c r="BQ589" i="1"/>
  <c r="BQ588" i="1"/>
  <c r="BQ587" i="1"/>
  <c r="BQ586" i="1"/>
  <c r="BQ585" i="1"/>
  <c r="BQ584" i="1"/>
  <c r="BQ583" i="1"/>
  <c r="BQ582" i="1"/>
  <c r="BQ581" i="1"/>
  <c r="BQ580" i="1"/>
  <c r="BQ579" i="1"/>
  <c r="BQ578" i="1"/>
  <c r="BQ577" i="1"/>
  <c r="BQ576" i="1"/>
  <c r="BQ575" i="1"/>
  <c r="BQ574" i="1"/>
  <c r="BQ573" i="1"/>
  <c r="BQ572" i="1"/>
  <c r="BQ571" i="1"/>
  <c r="BQ570" i="1"/>
  <c r="BQ569" i="1"/>
  <c r="BQ566" i="1"/>
  <c r="CD662" i="1" l="1"/>
  <c r="CC662" i="1"/>
  <c r="CB662" i="1"/>
  <c r="BZ662" i="1"/>
  <c r="BX662" i="1"/>
  <c r="BV662" i="1"/>
  <c r="BS662" i="1"/>
  <c r="BO662" i="1"/>
  <c r="BL662" i="1"/>
  <c r="CK662" i="1"/>
  <c r="CG662" i="1"/>
  <c r="CF662" i="1"/>
  <c r="BA662" i="1"/>
  <c r="AZ662" i="1"/>
  <c r="AY662" i="1"/>
  <c r="AW662" i="1"/>
  <c r="AT662" i="1"/>
  <c r="AR662" i="1"/>
  <c r="AP662" i="1"/>
  <c r="AN662" i="1"/>
  <c r="AM662" i="1"/>
  <c r="AL662" i="1"/>
  <c r="BI662" i="1"/>
  <c r="BG662" i="1"/>
  <c r="BE662" i="1"/>
  <c r="BC662" i="1"/>
  <c r="Y662" i="1"/>
  <c r="X662" i="1"/>
  <c r="W662" i="1"/>
  <c r="T662" i="1"/>
  <c r="AJ662" i="1"/>
  <c r="AI662" i="1"/>
  <c r="AH662" i="1"/>
  <c r="AF662" i="1"/>
  <c r="S662" i="1"/>
  <c r="F662" i="1"/>
  <c r="D662" i="1"/>
  <c r="C662" i="1"/>
  <c r="CD661" i="1"/>
  <c r="CC661" i="1"/>
  <c r="CB661" i="1"/>
  <c r="BZ661" i="1"/>
  <c r="BX661" i="1"/>
  <c r="BV661" i="1"/>
  <c r="BS661" i="1"/>
  <c r="BO661" i="1"/>
  <c r="BL661" i="1"/>
  <c r="CK661" i="1"/>
  <c r="CG661" i="1"/>
  <c r="CF661" i="1"/>
  <c r="BA661" i="1"/>
  <c r="AZ661" i="1"/>
  <c r="AY661" i="1"/>
  <c r="AW661" i="1"/>
  <c r="AT661" i="1"/>
  <c r="AR661" i="1"/>
  <c r="AP661" i="1"/>
  <c r="AN661" i="1"/>
  <c r="AM661" i="1"/>
  <c r="AL661" i="1"/>
  <c r="BI661" i="1"/>
  <c r="BG661" i="1"/>
  <c r="BE661" i="1"/>
  <c r="BC661" i="1"/>
  <c r="Y661" i="1"/>
  <c r="X661" i="1"/>
  <c r="W661" i="1"/>
  <c r="T661" i="1"/>
  <c r="AJ661" i="1"/>
  <c r="AI661" i="1"/>
  <c r="AH661" i="1"/>
  <c r="AF661" i="1"/>
  <c r="S661" i="1"/>
  <c r="F661" i="1"/>
  <c r="D661" i="1"/>
  <c r="C661" i="1"/>
  <c r="CD660" i="1"/>
  <c r="CC660" i="1"/>
  <c r="CB660" i="1"/>
  <c r="BZ660" i="1"/>
  <c r="BX660" i="1"/>
  <c r="BV660" i="1"/>
  <c r="BS660" i="1"/>
  <c r="BO660" i="1"/>
  <c r="BL660" i="1"/>
  <c r="CK660" i="1"/>
  <c r="CG660" i="1"/>
  <c r="CF660" i="1"/>
  <c r="BA660" i="1"/>
  <c r="AZ660" i="1"/>
  <c r="AY660" i="1"/>
  <c r="AW660" i="1"/>
  <c r="AT660" i="1"/>
  <c r="AR660" i="1"/>
  <c r="AP660" i="1"/>
  <c r="AN660" i="1"/>
  <c r="AM660" i="1"/>
  <c r="AL660" i="1"/>
  <c r="BI660" i="1"/>
  <c r="BG660" i="1"/>
  <c r="BE660" i="1"/>
  <c r="BC660" i="1"/>
  <c r="Y660" i="1"/>
  <c r="X660" i="1"/>
  <c r="W660" i="1"/>
  <c r="T660" i="1"/>
  <c r="AJ660" i="1"/>
  <c r="AI660" i="1"/>
  <c r="AH660" i="1"/>
  <c r="AF660" i="1"/>
  <c r="S660" i="1"/>
  <c r="F660" i="1"/>
  <c r="D660" i="1"/>
  <c r="C660" i="1"/>
  <c r="CD659" i="1"/>
  <c r="CC659" i="1"/>
  <c r="CB659" i="1"/>
  <c r="BZ659" i="1"/>
  <c r="BX659" i="1"/>
  <c r="BV659" i="1"/>
  <c r="BS659" i="1"/>
  <c r="BO659" i="1"/>
  <c r="BL659" i="1"/>
  <c r="CK659" i="1"/>
  <c r="CG659" i="1"/>
  <c r="CF659" i="1"/>
  <c r="BA659" i="1"/>
  <c r="AZ659" i="1"/>
  <c r="AY659" i="1"/>
  <c r="AW659" i="1"/>
  <c r="AT659" i="1"/>
  <c r="AR659" i="1"/>
  <c r="AP659" i="1"/>
  <c r="AN659" i="1"/>
  <c r="AM659" i="1"/>
  <c r="AL659" i="1"/>
  <c r="BI659" i="1"/>
  <c r="BG659" i="1"/>
  <c r="BE659" i="1"/>
  <c r="BC659" i="1"/>
  <c r="Y659" i="1"/>
  <c r="X659" i="1"/>
  <c r="W659" i="1"/>
  <c r="T659" i="1"/>
  <c r="AJ659" i="1"/>
  <c r="AI659" i="1"/>
  <c r="AH659" i="1"/>
  <c r="AF659" i="1"/>
  <c r="S659" i="1"/>
  <c r="F659" i="1"/>
  <c r="D659" i="1"/>
  <c r="C659" i="1"/>
  <c r="CD658" i="1"/>
  <c r="CC658" i="1"/>
  <c r="CB658" i="1"/>
  <c r="BZ658" i="1"/>
  <c r="BX658" i="1"/>
  <c r="BV658" i="1"/>
  <c r="BS658" i="1"/>
  <c r="BO658" i="1"/>
  <c r="BL658" i="1"/>
  <c r="CK658" i="1"/>
  <c r="CG658" i="1"/>
  <c r="CF658" i="1"/>
  <c r="BA658" i="1"/>
  <c r="AZ658" i="1"/>
  <c r="AY658" i="1"/>
  <c r="AW658" i="1"/>
  <c r="AT658" i="1"/>
  <c r="AR658" i="1"/>
  <c r="AP658" i="1"/>
  <c r="AN658" i="1"/>
  <c r="AM658" i="1"/>
  <c r="AL658" i="1"/>
  <c r="BI658" i="1"/>
  <c r="BG658" i="1"/>
  <c r="BE658" i="1"/>
  <c r="BC658" i="1"/>
  <c r="Y658" i="1"/>
  <c r="X658" i="1"/>
  <c r="W658" i="1"/>
  <c r="T658" i="1"/>
  <c r="AJ658" i="1"/>
  <c r="AI658" i="1"/>
  <c r="AH658" i="1"/>
  <c r="AF658" i="1"/>
  <c r="S658" i="1"/>
  <c r="F658" i="1"/>
  <c r="D658" i="1"/>
  <c r="C658" i="1"/>
  <c r="CD657" i="1"/>
  <c r="CC657" i="1"/>
  <c r="CB657" i="1"/>
  <c r="BZ657" i="1"/>
  <c r="BX657" i="1"/>
  <c r="BV657" i="1"/>
  <c r="BS657" i="1"/>
  <c r="BO657" i="1"/>
  <c r="BL657" i="1"/>
  <c r="CK657" i="1"/>
  <c r="CG657" i="1"/>
  <c r="CF657" i="1"/>
  <c r="BA657" i="1"/>
  <c r="AZ657" i="1"/>
  <c r="AY657" i="1"/>
  <c r="AW657" i="1"/>
  <c r="AT657" i="1"/>
  <c r="AR657" i="1"/>
  <c r="AP657" i="1"/>
  <c r="AN657" i="1"/>
  <c r="AM657" i="1"/>
  <c r="AL657" i="1"/>
  <c r="BI657" i="1"/>
  <c r="BG657" i="1"/>
  <c r="BE657" i="1"/>
  <c r="BC657" i="1"/>
  <c r="Y657" i="1"/>
  <c r="X657" i="1"/>
  <c r="W657" i="1"/>
  <c r="T657" i="1"/>
  <c r="AJ657" i="1"/>
  <c r="AI657" i="1"/>
  <c r="AH657" i="1"/>
  <c r="AF657" i="1"/>
  <c r="S657" i="1"/>
  <c r="F657" i="1"/>
  <c r="D657" i="1"/>
  <c r="C657" i="1"/>
  <c r="CD656" i="1"/>
  <c r="CC656" i="1"/>
  <c r="CB656" i="1"/>
  <c r="BZ656" i="1"/>
  <c r="BX656" i="1"/>
  <c r="BV656" i="1"/>
  <c r="BS656" i="1"/>
  <c r="BO656" i="1"/>
  <c r="BL656" i="1"/>
  <c r="CK656" i="1"/>
  <c r="CG656" i="1"/>
  <c r="CF656" i="1"/>
  <c r="BA656" i="1"/>
  <c r="AZ656" i="1"/>
  <c r="AY656" i="1"/>
  <c r="AW656" i="1"/>
  <c r="AT656" i="1"/>
  <c r="AR656" i="1"/>
  <c r="AP656" i="1"/>
  <c r="AN656" i="1"/>
  <c r="AM656" i="1"/>
  <c r="AL656" i="1"/>
  <c r="BI656" i="1"/>
  <c r="BG656" i="1"/>
  <c r="BE656" i="1"/>
  <c r="BC656" i="1"/>
  <c r="Y656" i="1"/>
  <c r="X656" i="1"/>
  <c r="W656" i="1"/>
  <c r="T656" i="1"/>
  <c r="AJ656" i="1"/>
  <c r="AI656" i="1"/>
  <c r="AH656" i="1"/>
  <c r="AF656" i="1"/>
  <c r="S656" i="1"/>
  <c r="F656" i="1"/>
  <c r="D656" i="1"/>
  <c r="C656" i="1"/>
  <c r="CD655" i="1"/>
  <c r="CC655" i="1"/>
  <c r="CB655" i="1"/>
  <c r="BZ655" i="1"/>
  <c r="BX655" i="1"/>
  <c r="BV655" i="1"/>
  <c r="BS655" i="1"/>
  <c r="BO655" i="1"/>
  <c r="BL655" i="1"/>
  <c r="CK655" i="1"/>
  <c r="CG655" i="1"/>
  <c r="CF655" i="1"/>
  <c r="BA655" i="1"/>
  <c r="AZ655" i="1"/>
  <c r="AY655" i="1"/>
  <c r="AW655" i="1"/>
  <c r="AT655" i="1"/>
  <c r="AR655" i="1"/>
  <c r="AP655" i="1"/>
  <c r="AN655" i="1"/>
  <c r="AM655" i="1"/>
  <c r="AL655" i="1"/>
  <c r="BI655" i="1"/>
  <c r="BG655" i="1"/>
  <c r="BE655" i="1"/>
  <c r="BC655" i="1"/>
  <c r="Y655" i="1"/>
  <c r="X655" i="1"/>
  <c r="W655" i="1"/>
  <c r="T655" i="1"/>
  <c r="AJ655" i="1"/>
  <c r="AI655" i="1"/>
  <c r="AH655" i="1"/>
  <c r="AF655" i="1"/>
  <c r="S655" i="1"/>
  <c r="F655" i="1"/>
  <c r="D655" i="1"/>
  <c r="C655" i="1"/>
  <c r="CD654" i="1"/>
  <c r="CC654" i="1"/>
  <c r="CB654" i="1"/>
  <c r="BZ654" i="1"/>
  <c r="BX654" i="1"/>
  <c r="BV654" i="1"/>
  <c r="BS654" i="1"/>
  <c r="BO654" i="1"/>
  <c r="BL654" i="1"/>
  <c r="CK654" i="1"/>
  <c r="CG654" i="1"/>
  <c r="CF654" i="1"/>
  <c r="BA654" i="1"/>
  <c r="AZ654" i="1"/>
  <c r="AY654" i="1"/>
  <c r="AW654" i="1"/>
  <c r="AT654" i="1"/>
  <c r="AR654" i="1"/>
  <c r="AP654" i="1"/>
  <c r="AN654" i="1"/>
  <c r="AM654" i="1"/>
  <c r="AL654" i="1"/>
  <c r="BI654" i="1"/>
  <c r="BG654" i="1"/>
  <c r="BE654" i="1"/>
  <c r="BC654" i="1"/>
  <c r="Y654" i="1"/>
  <c r="X654" i="1"/>
  <c r="W654" i="1"/>
  <c r="T654" i="1"/>
  <c r="AJ654" i="1"/>
  <c r="AI654" i="1"/>
  <c r="AH654" i="1"/>
  <c r="AF654" i="1"/>
  <c r="S654" i="1"/>
  <c r="F654" i="1"/>
  <c r="D654" i="1"/>
  <c r="C654" i="1"/>
  <c r="CD653" i="1"/>
  <c r="CC653" i="1"/>
  <c r="CB653" i="1"/>
  <c r="BZ653" i="1"/>
  <c r="BX653" i="1"/>
  <c r="BV653" i="1"/>
  <c r="BS653" i="1"/>
  <c r="BO653" i="1"/>
  <c r="BL653" i="1"/>
  <c r="CK653" i="1"/>
  <c r="CG653" i="1"/>
  <c r="CF653" i="1"/>
  <c r="BA653" i="1"/>
  <c r="AZ653" i="1"/>
  <c r="AY653" i="1"/>
  <c r="AW653" i="1"/>
  <c r="AT653" i="1"/>
  <c r="AR653" i="1"/>
  <c r="AP653" i="1"/>
  <c r="AN653" i="1"/>
  <c r="AM653" i="1"/>
  <c r="AL653" i="1"/>
  <c r="BI653" i="1"/>
  <c r="BG653" i="1"/>
  <c r="BE653" i="1"/>
  <c r="BC653" i="1"/>
  <c r="Y653" i="1"/>
  <c r="X653" i="1"/>
  <c r="W653" i="1"/>
  <c r="T653" i="1"/>
  <c r="AJ653" i="1"/>
  <c r="AI653" i="1"/>
  <c r="AH653" i="1"/>
  <c r="AF653" i="1"/>
  <c r="S653" i="1"/>
  <c r="F653" i="1"/>
  <c r="D653" i="1"/>
  <c r="C653" i="1"/>
  <c r="CD652" i="1"/>
  <c r="CC652" i="1"/>
  <c r="CB652" i="1"/>
  <c r="BZ652" i="1"/>
  <c r="BX652" i="1"/>
  <c r="BV652" i="1"/>
  <c r="BS652" i="1"/>
  <c r="BO652" i="1"/>
  <c r="BL652" i="1"/>
  <c r="CK652" i="1"/>
  <c r="CG652" i="1"/>
  <c r="CF652" i="1"/>
  <c r="BA652" i="1"/>
  <c r="AZ652" i="1"/>
  <c r="AY652" i="1"/>
  <c r="AW652" i="1"/>
  <c r="AT652" i="1"/>
  <c r="AR652" i="1"/>
  <c r="AP652" i="1"/>
  <c r="AN652" i="1"/>
  <c r="AM652" i="1"/>
  <c r="AL652" i="1"/>
  <c r="BI652" i="1"/>
  <c r="BG652" i="1"/>
  <c r="BE652" i="1"/>
  <c r="BC652" i="1"/>
  <c r="Y652" i="1"/>
  <c r="X652" i="1"/>
  <c r="W652" i="1"/>
  <c r="T652" i="1"/>
  <c r="AJ652" i="1"/>
  <c r="AI652" i="1"/>
  <c r="AH652" i="1"/>
  <c r="AF652" i="1"/>
  <c r="S652" i="1"/>
  <c r="F652" i="1"/>
  <c r="D652" i="1"/>
  <c r="C652" i="1"/>
  <c r="CD651" i="1"/>
  <c r="CC651" i="1"/>
  <c r="CB651" i="1"/>
  <c r="BZ651" i="1"/>
  <c r="BX651" i="1"/>
  <c r="BV651" i="1"/>
  <c r="BS651" i="1"/>
  <c r="BO651" i="1"/>
  <c r="BL651" i="1"/>
  <c r="CK651" i="1"/>
  <c r="CG651" i="1"/>
  <c r="CF651" i="1"/>
  <c r="BA651" i="1"/>
  <c r="AZ651" i="1"/>
  <c r="AY651" i="1"/>
  <c r="AW651" i="1"/>
  <c r="AT651" i="1"/>
  <c r="AR651" i="1"/>
  <c r="AP651" i="1"/>
  <c r="AN651" i="1"/>
  <c r="AM651" i="1"/>
  <c r="AL651" i="1"/>
  <c r="BI651" i="1"/>
  <c r="BG651" i="1"/>
  <c r="BE651" i="1"/>
  <c r="BC651" i="1"/>
  <c r="Y651" i="1"/>
  <c r="X651" i="1"/>
  <c r="W651" i="1"/>
  <c r="T651" i="1"/>
  <c r="AJ651" i="1"/>
  <c r="AI651" i="1"/>
  <c r="AH651" i="1"/>
  <c r="AF651" i="1"/>
  <c r="S651" i="1"/>
  <c r="F651" i="1"/>
  <c r="D651" i="1"/>
  <c r="C651" i="1"/>
  <c r="CD650" i="1"/>
  <c r="CC650" i="1"/>
  <c r="CB650" i="1"/>
  <c r="BZ650" i="1"/>
  <c r="BX650" i="1"/>
  <c r="BV650" i="1"/>
  <c r="BS650" i="1"/>
  <c r="BO650" i="1"/>
  <c r="BL650" i="1"/>
  <c r="CK650" i="1"/>
  <c r="CG650" i="1"/>
  <c r="CF650" i="1"/>
  <c r="BA650" i="1"/>
  <c r="AZ650" i="1"/>
  <c r="AY650" i="1"/>
  <c r="AW650" i="1"/>
  <c r="AT650" i="1"/>
  <c r="AR650" i="1"/>
  <c r="AP650" i="1"/>
  <c r="AN650" i="1"/>
  <c r="AM650" i="1"/>
  <c r="AL650" i="1"/>
  <c r="BI650" i="1"/>
  <c r="BG650" i="1"/>
  <c r="BE650" i="1"/>
  <c r="BC650" i="1"/>
  <c r="Y650" i="1"/>
  <c r="X650" i="1"/>
  <c r="W650" i="1"/>
  <c r="T650" i="1"/>
  <c r="AJ650" i="1"/>
  <c r="AI650" i="1"/>
  <c r="AH650" i="1"/>
  <c r="AF650" i="1"/>
  <c r="S650" i="1"/>
  <c r="F650" i="1"/>
  <c r="D650" i="1"/>
  <c r="C650" i="1"/>
  <c r="CD649" i="1"/>
  <c r="CC649" i="1"/>
  <c r="CB649" i="1"/>
  <c r="BZ649" i="1"/>
  <c r="BX649" i="1"/>
  <c r="BV649" i="1"/>
  <c r="BS649" i="1"/>
  <c r="BO649" i="1"/>
  <c r="BL649" i="1"/>
  <c r="CK649" i="1"/>
  <c r="CG649" i="1"/>
  <c r="CF649" i="1"/>
  <c r="BA649" i="1"/>
  <c r="AZ649" i="1"/>
  <c r="AY649" i="1"/>
  <c r="AW649" i="1"/>
  <c r="AT649" i="1"/>
  <c r="AR649" i="1"/>
  <c r="AP649" i="1"/>
  <c r="AN649" i="1"/>
  <c r="AM649" i="1"/>
  <c r="AL649" i="1"/>
  <c r="BI649" i="1"/>
  <c r="BG649" i="1"/>
  <c r="BE649" i="1"/>
  <c r="BC649" i="1"/>
  <c r="Y649" i="1"/>
  <c r="X649" i="1"/>
  <c r="W649" i="1"/>
  <c r="T649" i="1"/>
  <c r="AJ649" i="1"/>
  <c r="AI649" i="1"/>
  <c r="AH649" i="1"/>
  <c r="AF649" i="1"/>
  <c r="S649" i="1"/>
  <c r="F649" i="1"/>
  <c r="D649" i="1"/>
  <c r="C649" i="1"/>
  <c r="CD648" i="1"/>
  <c r="CC648" i="1"/>
  <c r="CB648" i="1"/>
  <c r="BZ648" i="1"/>
  <c r="BX648" i="1"/>
  <c r="BV648" i="1"/>
  <c r="BS648" i="1"/>
  <c r="BO648" i="1"/>
  <c r="BL648" i="1"/>
  <c r="CK648" i="1"/>
  <c r="CG648" i="1"/>
  <c r="CF648" i="1"/>
  <c r="BA648" i="1"/>
  <c r="AZ648" i="1"/>
  <c r="AY648" i="1"/>
  <c r="AW648" i="1"/>
  <c r="AT648" i="1"/>
  <c r="AR648" i="1"/>
  <c r="AP648" i="1"/>
  <c r="AN648" i="1"/>
  <c r="AM648" i="1"/>
  <c r="AL648" i="1"/>
  <c r="BI648" i="1"/>
  <c r="BG648" i="1"/>
  <c r="BE648" i="1"/>
  <c r="BC648" i="1"/>
  <c r="Y648" i="1"/>
  <c r="X648" i="1"/>
  <c r="W648" i="1"/>
  <c r="T648" i="1"/>
  <c r="AJ648" i="1"/>
  <c r="AI648" i="1"/>
  <c r="AH648" i="1"/>
  <c r="AF648" i="1"/>
  <c r="S648" i="1"/>
  <c r="F648" i="1"/>
  <c r="D648" i="1"/>
  <c r="C648" i="1"/>
  <c r="CD647" i="1"/>
  <c r="CC647" i="1"/>
  <c r="CB647" i="1"/>
  <c r="BZ647" i="1"/>
  <c r="BX647" i="1"/>
  <c r="BV647" i="1"/>
  <c r="BS647" i="1"/>
  <c r="BO647" i="1"/>
  <c r="BL647" i="1"/>
  <c r="CK647" i="1"/>
  <c r="CG647" i="1"/>
  <c r="CF647" i="1"/>
  <c r="BA647" i="1"/>
  <c r="AZ647" i="1"/>
  <c r="AY647" i="1"/>
  <c r="AW647" i="1"/>
  <c r="AT647" i="1"/>
  <c r="AR647" i="1"/>
  <c r="AP647" i="1"/>
  <c r="AN647" i="1"/>
  <c r="AM647" i="1"/>
  <c r="AL647" i="1"/>
  <c r="BI647" i="1"/>
  <c r="BG647" i="1"/>
  <c r="BE647" i="1"/>
  <c r="BC647" i="1"/>
  <c r="Y647" i="1"/>
  <c r="X647" i="1"/>
  <c r="W647" i="1"/>
  <c r="T647" i="1"/>
  <c r="AJ647" i="1"/>
  <c r="AI647" i="1"/>
  <c r="AH647" i="1"/>
  <c r="AF647" i="1"/>
  <c r="S647" i="1"/>
  <c r="F647" i="1"/>
  <c r="D647" i="1"/>
  <c r="C647" i="1"/>
  <c r="CD646" i="1"/>
  <c r="CC646" i="1"/>
  <c r="CB646" i="1"/>
  <c r="BZ646" i="1"/>
  <c r="BX646" i="1"/>
  <c r="BV646" i="1"/>
  <c r="BS646" i="1"/>
  <c r="BO646" i="1"/>
  <c r="BL646" i="1"/>
  <c r="CK646" i="1"/>
  <c r="CG646" i="1"/>
  <c r="CF646" i="1"/>
  <c r="BA646" i="1"/>
  <c r="AZ646" i="1"/>
  <c r="AY646" i="1"/>
  <c r="AW646" i="1"/>
  <c r="AT646" i="1"/>
  <c r="AR646" i="1"/>
  <c r="AP646" i="1"/>
  <c r="AN646" i="1"/>
  <c r="AM646" i="1"/>
  <c r="AL646" i="1"/>
  <c r="BI646" i="1"/>
  <c r="BG646" i="1"/>
  <c r="BE646" i="1"/>
  <c r="BC646" i="1"/>
  <c r="Y646" i="1"/>
  <c r="X646" i="1"/>
  <c r="W646" i="1"/>
  <c r="T646" i="1"/>
  <c r="AJ646" i="1"/>
  <c r="AI646" i="1"/>
  <c r="AH646" i="1"/>
  <c r="AF646" i="1"/>
  <c r="S646" i="1"/>
  <c r="F646" i="1"/>
  <c r="D646" i="1"/>
  <c r="C646" i="1"/>
  <c r="CD645" i="1"/>
  <c r="CC645" i="1"/>
  <c r="CB645" i="1"/>
  <c r="BZ645" i="1"/>
  <c r="BX645" i="1"/>
  <c r="BV645" i="1"/>
  <c r="BS645" i="1"/>
  <c r="BO645" i="1"/>
  <c r="BL645" i="1"/>
  <c r="CK645" i="1"/>
  <c r="CG645" i="1"/>
  <c r="CF645" i="1"/>
  <c r="BA645" i="1"/>
  <c r="AZ645" i="1"/>
  <c r="AY645" i="1"/>
  <c r="AW645" i="1"/>
  <c r="AT645" i="1"/>
  <c r="AR645" i="1"/>
  <c r="AP645" i="1"/>
  <c r="AN645" i="1"/>
  <c r="AM645" i="1"/>
  <c r="AL645" i="1"/>
  <c r="BI645" i="1"/>
  <c r="BG645" i="1"/>
  <c r="BE645" i="1"/>
  <c r="BC645" i="1"/>
  <c r="Y645" i="1"/>
  <c r="X645" i="1"/>
  <c r="W645" i="1"/>
  <c r="T645" i="1"/>
  <c r="AJ645" i="1"/>
  <c r="AI645" i="1"/>
  <c r="AH645" i="1"/>
  <c r="AF645" i="1"/>
  <c r="S645" i="1"/>
  <c r="F645" i="1"/>
  <c r="D645" i="1"/>
  <c r="C645" i="1"/>
  <c r="CD644" i="1"/>
  <c r="CC644" i="1"/>
  <c r="CB644" i="1"/>
  <c r="BZ644" i="1"/>
  <c r="BX644" i="1"/>
  <c r="BV644" i="1"/>
  <c r="BS644" i="1"/>
  <c r="BO644" i="1"/>
  <c r="BL644" i="1"/>
  <c r="CK644" i="1"/>
  <c r="CG644" i="1"/>
  <c r="CF644" i="1"/>
  <c r="BA644" i="1"/>
  <c r="AZ644" i="1"/>
  <c r="AY644" i="1"/>
  <c r="AW644" i="1"/>
  <c r="AT644" i="1"/>
  <c r="AR644" i="1"/>
  <c r="AP644" i="1"/>
  <c r="AN644" i="1"/>
  <c r="AM644" i="1"/>
  <c r="AL644" i="1"/>
  <c r="BI644" i="1"/>
  <c r="BG644" i="1"/>
  <c r="BE644" i="1"/>
  <c r="BC644" i="1"/>
  <c r="Y644" i="1"/>
  <c r="X644" i="1"/>
  <c r="W644" i="1"/>
  <c r="T644" i="1"/>
  <c r="AJ644" i="1"/>
  <c r="AI644" i="1"/>
  <c r="AH644" i="1"/>
  <c r="AF644" i="1"/>
  <c r="S644" i="1"/>
  <c r="F644" i="1"/>
  <c r="D644" i="1"/>
  <c r="C644" i="1"/>
  <c r="CD643" i="1"/>
  <c r="CC643" i="1"/>
  <c r="CB643" i="1"/>
  <c r="BZ643" i="1"/>
  <c r="BX643" i="1"/>
  <c r="BV643" i="1"/>
  <c r="BS643" i="1"/>
  <c r="BO643" i="1"/>
  <c r="BL643" i="1"/>
  <c r="CK643" i="1"/>
  <c r="CG643" i="1"/>
  <c r="CF643" i="1"/>
  <c r="BA643" i="1"/>
  <c r="AZ643" i="1"/>
  <c r="AY643" i="1"/>
  <c r="AW643" i="1"/>
  <c r="AT643" i="1"/>
  <c r="AR643" i="1"/>
  <c r="AP643" i="1"/>
  <c r="AN643" i="1"/>
  <c r="AM643" i="1"/>
  <c r="AL643" i="1"/>
  <c r="BI643" i="1"/>
  <c r="BG643" i="1"/>
  <c r="BE643" i="1"/>
  <c r="BC643" i="1"/>
  <c r="Y643" i="1"/>
  <c r="X643" i="1"/>
  <c r="W643" i="1"/>
  <c r="T643" i="1"/>
  <c r="AJ643" i="1"/>
  <c r="AI643" i="1"/>
  <c r="AH643" i="1"/>
  <c r="AF643" i="1"/>
  <c r="S643" i="1"/>
  <c r="F643" i="1"/>
  <c r="D643" i="1"/>
  <c r="C643" i="1"/>
  <c r="CD642" i="1"/>
  <c r="CC642" i="1"/>
  <c r="CB642" i="1"/>
  <c r="BZ642" i="1"/>
  <c r="BX642" i="1"/>
  <c r="BV642" i="1"/>
  <c r="BS642" i="1"/>
  <c r="BO642" i="1"/>
  <c r="BL642" i="1"/>
  <c r="CK642" i="1"/>
  <c r="CG642" i="1"/>
  <c r="CF642" i="1"/>
  <c r="BA642" i="1"/>
  <c r="AZ642" i="1"/>
  <c r="AY642" i="1"/>
  <c r="AW642" i="1"/>
  <c r="AT642" i="1"/>
  <c r="AR642" i="1"/>
  <c r="AP642" i="1"/>
  <c r="AN642" i="1"/>
  <c r="AM642" i="1"/>
  <c r="AL642" i="1"/>
  <c r="BI642" i="1"/>
  <c r="BG642" i="1"/>
  <c r="BE642" i="1"/>
  <c r="BC642" i="1"/>
  <c r="Y642" i="1"/>
  <c r="X642" i="1"/>
  <c r="W642" i="1"/>
  <c r="T642" i="1"/>
  <c r="AJ642" i="1"/>
  <c r="AI642" i="1"/>
  <c r="AH642" i="1"/>
  <c r="AF642" i="1"/>
  <c r="S642" i="1"/>
  <c r="F642" i="1"/>
  <c r="D642" i="1"/>
  <c r="C642" i="1"/>
  <c r="CD641" i="1"/>
  <c r="CC641" i="1"/>
  <c r="CB641" i="1"/>
  <c r="BZ641" i="1"/>
  <c r="BX641" i="1"/>
  <c r="BV641" i="1"/>
  <c r="BS641" i="1"/>
  <c r="BO641" i="1"/>
  <c r="BL641" i="1"/>
  <c r="CK641" i="1"/>
  <c r="CG641" i="1"/>
  <c r="CF641" i="1"/>
  <c r="BA641" i="1"/>
  <c r="AZ641" i="1"/>
  <c r="AY641" i="1"/>
  <c r="AW641" i="1"/>
  <c r="AT641" i="1"/>
  <c r="AR641" i="1"/>
  <c r="AP641" i="1"/>
  <c r="AN641" i="1"/>
  <c r="AM641" i="1"/>
  <c r="AL641" i="1"/>
  <c r="BI641" i="1"/>
  <c r="BG641" i="1"/>
  <c r="BE641" i="1"/>
  <c r="BC641" i="1"/>
  <c r="Y641" i="1"/>
  <c r="X641" i="1"/>
  <c r="W641" i="1"/>
  <c r="T641" i="1"/>
  <c r="AJ641" i="1"/>
  <c r="AI641" i="1"/>
  <c r="AH641" i="1"/>
  <c r="AF641" i="1"/>
  <c r="S641" i="1"/>
  <c r="F641" i="1"/>
  <c r="D641" i="1"/>
  <c r="C641" i="1"/>
  <c r="CD640" i="1"/>
  <c r="CC640" i="1"/>
  <c r="CB640" i="1"/>
  <c r="BZ640" i="1"/>
  <c r="BX640" i="1"/>
  <c r="BV640" i="1"/>
  <c r="BS640" i="1"/>
  <c r="BO640" i="1"/>
  <c r="BL640" i="1"/>
  <c r="CK640" i="1"/>
  <c r="CG640" i="1"/>
  <c r="CF640" i="1"/>
  <c r="BA640" i="1"/>
  <c r="AZ640" i="1"/>
  <c r="AY640" i="1"/>
  <c r="AW640" i="1"/>
  <c r="AT640" i="1"/>
  <c r="AR640" i="1"/>
  <c r="AP640" i="1"/>
  <c r="AN640" i="1"/>
  <c r="AM640" i="1"/>
  <c r="AL640" i="1"/>
  <c r="BI640" i="1"/>
  <c r="BG640" i="1"/>
  <c r="BE640" i="1"/>
  <c r="BC640" i="1"/>
  <c r="Y640" i="1"/>
  <c r="X640" i="1"/>
  <c r="W640" i="1"/>
  <c r="T640" i="1"/>
  <c r="AJ640" i="1"/>
  <c r="AI640" i="1"/>
  <c r="AH640" i="1"/>
  <c r="AF640" i="1"/>
  <c r="S640" i="1"/>
  <c r="F640" i="1"/>
  <c r="D640" i="1"/>
  <c r="C640" i="1"/>
  <c r="CD639" i="1"/>
  <c r="CC639" i="1"/>
  <c r="CB639" i="1"/>
  <c r="BZ639" i="1"/>
  <c r="BX639" i="1"/>
  <c r="BV639" i="1"/>
  <c r="BS639" i="1"/>
  <c r="BO639" i="1"/>
  <c r="BL639" i="1"/>
  <c r="CK639" i="1"/>
  <c r="CG639" i="1"/>
  <c r="CF639" i="1"/>
  <c r="BA639" i="1"/>
  <c r="AZ639" i="1"/>
  <c r="AY639" i="1"/>
  <c r="AW639" i="1"/>
  <c r="AT639" i="1"/>
  <c r="AR639" i="1"/>
  <c r="AP639" i="1"/>
  <c r="AN639" i="1"/>
  <c r="AM639" i="1"/>
  <c r="AL639" i="1"/>
  <c r="BI639" i="1"/>
  <c r="BG639" i="1"/>
  <c r="BE639" i="1"/>
  <c r="BC639" i="1"/>
  <c r="Y639" i="1"/>
  <c r="X639" i="1"/>
  <c r="W639" i="1"/>
  <c r="T639" i="1"/>
  <c r="AJ639" i="1"/>
  <c r="AI639" i="1"/>
  <c r="AH639" i="1"/>
  <c r="AF639" i="1"/>
  <c r="S639" i="1"/>
  <c r="F639" i="1"/>
  <c r="D639" i="1"/>
  <c r="C639" i="1"/>
  <c r="CD638" i="1"/>
  <c r="CC638" i="1"/>
  <c r="CB638" i="1"/>
  <c r="BZ638" i="1"/>
  <c r="BX638" i="1"/>
  <c r="BV638" i="1"/>
  <c r="BS638" i="1"/>
  <c r="BO638" i="1"/>
  <c r="BL638" i="1"/>
  <c r="CK638" i="1"/>
  <c r="CG638" i="1"/>
  <c r="CF638" i="1"/>
  <c r="BA638" i="1"/>
  <c r="AZ638" i="1"/>
  <c r="AY638" i="1"/>
  <c r="AW638" i="1"/>
  <c r="AT638" i="1"/>
  <c r="AR638" i="1"/>
  <c r="AP638" i="1"/>
  <c r="AN638" i="1"/>
  <c r="AM638" i="1"/>
  <c r="AL638" i="1"/>
  <c r="BI638" i="1"/>
  <c r="BG638" i="1"/>
  <c r="BE638" i="1"/>
  <c r="BC638" i="1"/>
  <c r="Y638" i="1"/>
  <c r="X638" i="1"/>
  <c r="W638" i="1"/>
  <c r="T638" i="1"/>
  <c r="AJ638" i="1"/>
  <c r="AI638" i="1"/>
  <c r="AH638" i="1"/>
  <c r="AF638" i="1"/>
  <c r="S638" i="1"/>
  <c r="F638" i="1"/>
  <c r="D638" i="1"/>
  <c r="C638" i="1"/>
  <c r="CD637" i="1"/>
  <c r="CC637" i="1"/>
  <c r="CB637" i="1"/>
  <c r="BZ637" i="1"/>
  <c r="BX637" i="1"/>
  <c r="BV637" i="1"/>
  <c r="BS637" i="1"/>
  <c r="BO637" i="1"/>
  <c r="BL637" i="1"/>
  <c r="CK637" i="1"/>
  <c r="CG637" i="1"/>
  <c r="CF637" i="1"/>
  <c r="BA637" i="1"/>
  <c r="AZ637" i="1"/>
  <c r="AY637" i="1"/>
  <c r="AW637" i="1"/>
  <c r="AT637" i="1"/>
  <c r="AR637" i="1"/>
  <c r="AP637" i="1"/>
  <c r="AN637" i="1"/>
  <c r="AM637" i="1"/>
  <c r="AL637" i="1"/>
  <c r="BI637" i="1"/>
  <c r="BG637" i="1"/>
  <c r="BE637" i="1"/>
  <c r="BC637" i="1"/>
  <c r="Y637" i="1"/>
  <c r="X637" i="1"/>
  <c r="W637" i="1"/>
  <c r="T637" i="1"/>
  <c r="AJ637" i="1"/>
  <c r="AI637" i="1"/>
  <c r="AH637" i="1"/>
  <c r="AF637" i="1"/>
  <c r="S637" i="1"/>
  <c r="F637" i="1"/>
  <c r="D637" i="1"/>
  <c r="C637" i="1"/>
  <c r="CD636" i="1"/>
  <c r="CC636" i="1"/>
  <c r="CB636" i="1"/>
  <c r="BZ636" i="1"/>
  <c r="BX636" i="1"/>
  <c r="BV636" i="1"/>
  <c r="BS636" i="1"/>
  <c r="BO636" i="1"/>
  <c r="BL636" i="1"/>
  <c r="CK636" i="1"/>
  <c r="CG636" i="1"/>
  <c r="CF636" i="1"/>
  <c r="BA636" i="1"/>
  <c r="AZ636" i="1"/>
  <c r="AY636" i="1"/>
  <c r="AW636" i="1"/>
  <c r="AT636" i="1"/>
  <c r="AR636" i="1"/>
  <c r="AP636" i="1"/>
  <c r="AN636" i="1"/>
  <c r="AM636" i="1"/>
  <c r="AL636" i="1"/>
  <c r="BI636" i="1"/>
  <c r="BG636" i="1"/>
  <c r="BE636" i="1"/>
  <c r="BC636" i="1"/>
  <c r="Y636" i="1"/>
  <c r="X636" i="1"/>
  <c r="W636" i="1"/>
  <c r="T636" i="1"/>
  <c r="AJ636" i="1"/>
  <c r="AI636" i="1"/>
  <c r="AH636" i="1"/>
  <c r="AF636" i="1"/>
  <c r="S636" i="1"/>
  <c r="F636" i="1"/>
  <c r="D636" i="1"/>
  <c r="C636" i="1"/>
  <c r="CD635" i="1"/>
  <c r="CC635" i="1"/>
  <c r="CB635" i="1"/>
  <c r="BZ635" i="1"/>
  <c r="BX635" i="1"/>
  <c r="BV635" i="1"/>
  <c r="BS635" i="1"/>
  <c r="BO635" i="1"/>
  <c r="BL635" i="1"/>
  <c r="CK635" i="1"/>
  <c r="CG635" i="1"/>
  <c r="CF635" i="1"/>
  <c r="BA635" i="1"/>
  <c r="AZ635" i="1"/>
  <c r="AY635" i="1"/>
  <c r="AW635" i="1"/>
  <c r="AT635" i="1"/>
  <c r="AR635" i="1"/>
  <c r="AP635" i="1"/>
  <c r="AN635" i="1"/>
  <c r="AM635" i="1"/>
  <c r="AL635" i="1"/>
  <c r="BI635" i="1"/>
  <c r="BG635" i="1"/>
  <c r="BE635" i="1"/>
  <c r="BC635" i="1"/>
  <c r="Y635" i="1"/>
  <c r="X635" i="1"/>
  <c r="W635" i="1"/>
  <c r="T635" i="1"/>
  <c r="AJ635" i="1"/>
  <c r="AI635" i="1"/>
  <c r="AH635" i="1"/>
  <c r="AF635" i="1"/>
  <c r="S635" i="1"/>
  <c r="F635" i="1"/>
  <c r="D635" i="1"/>
  <c r="C635" i="1"/>
  <c r="CD634" i="1"/>
  <c r="CC634" i="1"/>
  <c r="CB634" i="1"/>
  <c r="BZ634" i="1"/>
  <c r="BX634" i="1"/>
  <c r="BV634" i="1"/>
  <c r="BS634" i="1"/>
  <c r="BO634" i="1"/>
  <c r="BL634" i="1"/>
  <c r="CK634" i="1"/>
  <c r="CG634" i="1"/>
  <c r="CF634" i="1"/>
  <c r="BA634" i="1"/>
  <c r="AZ634" i="1"/>
  <c r="AY634" i="1"/>
  <c r="AW634" i="1"/>
  <c r="AT634" i="1"/>
  <c r="AR634" i="1"/>
  <c r="AP634" i="1"/>
  <c r="AN634" i="1"/>
  <c r="AM634" i="1"/>
  <c r="AL634" i="1"/>
  <c r="BI634" i="1"/>
  <c r="BG634" i="1"/>
  <c r="BE634" i="1"/>
  <c r="BC634" i="1"/>
  <c r="Y634" i="1"/>
  <c r="X634" i="1"/>
  <c r="W634" i="1"/>
  <c r="T634" i="1"/>
  <c r="AJ634" i="1"/>
  <c r="AI634" i="1"/>
  <c r="AH634" i="1"/>
  <c r="AF634" i="1"/>
  <c r="S634" i="1"/>
  <c r="F634" i="1"/>
  <c r="D634" i="1"/>
  <c r="C634" i="1"/>
  <c r="CD633" i="1"/>
  <c r="CC633" i="1"/>
  <c r="CB633" i="1"/>
  <c r="BZ633" i="1"/>
  <c r="BX633" i="1"/>
  <c r="BV633" i="1"/>
  <c r="BS633" i="1"/>
  <c r="BO633" i="1"/>
  <c r="BL633" i="1"/>
  <c r="CK633" i="1"/>
  <c r="CG633" i="1"/>
  <c r="CF633" i="1"/>
  <c r="BA633" i="1"/>
  <c r="AZ633" i="1"/>
  <c r="AY633" i="1"/>
  <c r="AW633" i="1"/>
  <c r="AT633" i="1"/>
  <c r="AR633" i="1"/>
  <c r="AP633" i="1"/>
  <c r="AN633" i="1"/>
  <c r="AM633" i="1"/>
  <c r="AL633" i="1"/>
  <c r="BI633" i="1"/>
  <c r="BG633" i="1"/>
  <c r="BE633" i="1"/>
  <c r="BC633" i="1"/>
  <c r="Y633" i="1"/>
  <c r="X633" i="1"/>
  <c r="W633" i="1"/>
  <c r="T633" i="1"/>
  <c r="AJ633" i="1"/>
  <c r="AI633" i="1"/>
  <c r="AH633" i="1"/>
  <c r="AF633" i="1"/>
  <c r="S633" i="1"/>
  <c r="F633" i="1"/>
  <c r="D633" i="1"/>
  <c r="C633" i="1"/>
  <c r="CD632" i="1"/>
  <c r="CC632" i="1"/>
  <c r="CB632" i="1"/>
  <c r="BZ632" i="1"/>
  <c r="BX632" i="1"/>
  <c r="BV632" i="1"/>
  <c r="BS632" i="1"/>
  <c r="BO632" i="1"/>
  <c r="BL632" i="1"/>
  <c r="CK632" i="1"/>
  <c r="CG632" i="1"/>
  <c r="CF632" i="1"/>
  <c r="BA632" i="1"/>
  <c r="AZ632" i="1"/>
  <c r="AY632" i="1"/>
  <c r="AW632" i="1"/>
  <c r="AT632" i="1"/>
  <c r="AR632" i="1"/>
  <c r="AP632" i="1"/>
  <c r="AN632" i="1"/>
  <c r="AM632" i="1"/>
  <c r="AL632" i="1"/>
  <c r="BI632" i="1"/>
  <c r="BG632" i="1"/>
  <c r="BE632" i="1"/>
  <c r="BC632" i="1"/>
  <c r="Y632" i="1"/>
  <c r="X632" i="1"/>
  <c r="W632" i="1"/>
  <c r="T632" i="1"/>
  <c r="AJ632" i="1"/>
  <c r="AI632" i="1"/>
  <c r="AH632" i="1"/>
  <c r="AF632" i="1"/>
  <c r="S632" i="1"/>
  <c r="F632" i="1"/>
  <c r="D632" i="1"/>
  <c r="C632" i="1"/>
  <c r="CD631" i="1"/>
  <c r="CC631" i="1"/>
  <c r="CB631" i="1"/>
  <c r="BZ631" i="1"/>
  <c r="BX631" i="1"/>
  <c r="BV631" i="1"/>
  <c r="BS631" i="1"/>
  <c r="BO631" i="1"/>
  <c r="BL631" i="1"/>
  <c r="CK631" i="1"/>
  <c r="CG631" i="1"/>
  <c r="CF631" i="1"/>
  <c r="BA631" i="1"/>
  <c r="AZ631" i="1"/>
  <c r="AY631" i="1"/>
  <c r="AW631" i="1"/>
  <c r="AT631" i="1"/>
  <c r="AR631" i="1"/>
  <c r="AP631" i="1"/>
  <c r="AN631" i="1"/>
  <c r="AM631" i="1"/>
  <c r="AL631" i="1"/>
  <c r="BI631" i="1"/>
  <c r="BG631" i="1"/>
  <c r="BE631" i="1"/>
  <c r="BC631" i="1"/>
  <c r="Y631" i="1"/>
  <c r="X631" i="1"/>
  <c r="W631" i="1"/>
  <c r="T631" i="1"/>
  <c r="AJ631" i="1"/>
  <c r="AI631" i="1"/>
  <c r="AH631" i="1"/>
  <c r="AF631" i="1"/>
  <c r="S631" i="1"/>
  <c r="F631" i="1"/>
  <c r="D631" i="1"/>
  <c r="C631" i="1"/>
  <c r="CD630" i="1"/>
  <c r="CC630" i="1"/>
  <c r="CB630" i="1"/>
  <c r="BZ630" i="1"/>
  <c r="BX630" i="1"/>
  <c r="BV630" i="1"/>
  <c r="BS630" i="1"/>
  <c r="BO630" i="1"/>
  <c r="BL630" i="1"/>
  <c r="CK630" i="1"/>
  <c r="CG630" i="1"/>
  <c r="CF630" i="1"/>
  <c r="BA630" i="1"/>
  <c r="AZ630" i="1"/>
  <c r="AY630" i="1"/>
  <c r="AW630" i="1"/>
  <c r="AT630" i="1"/>
  <c r="AR630" i="1"/>
  <c r="AP630" i="1"/>
  <c r="AN630" i="1"/>
  <c r="AM630" i="1"/>
  <c r="AL630" i="1"/>
  <c r="BI630" i="1"/>
  <c r="BG630" i="1"/>
  <c r="BE630" i="1"/>
  <c r="BC630" i="1"/>
  <c r="Y630" i="1"/>
  <c r="X630" i="1"/>
  <c r="W630" i="1"/>
  <c r="T630" i="1"/>
  <c r="AJ630" i="1"/>
  <c r="AI630" i="1"/>
  <c r="AH630" i="1"/>
  <c r="AF630" i="1"/>
  <c r="S630" i="1"/>
  <c r="F630" i="1"/>
  <c r="D630" i="1"/>
  <c r="C630" i="1"/>
  <c r="CD629" i="1"/>
  <c r="CC629" i="1"/>
  <c r="CB629" i="1"/>
  <c r="BZ629" i="1"/>
  <c r="BX629" i="1"/>
  <c r="BV629" i="1"/>
  <c r="BS629" i="1"/>
  <c r="BO629" i="1"/>
  <c r="BL629" i="1"/>
  <c r="CK629" i="1"/>
  <c r="CG629" i="1"/>
  <c r="CF629" i="1"/>
  <c r="BA629" i="1"/>
  <c r="AZ629" i="1"/>
  <c r="AY629" i="1"/>
  <c r="AW629" i="1"/>
  <c r="AT629" i="1"/>
  <c r="AR629" i="1"/>
  <c r="AP629" i="1"/>
  <c r="AN629" i="1"/>
  <c r="AM629" i="1"/>
  <c r="AL629" i="1"/>
  <c r="BI629" i="1"/>
  <c r="BG629" i="1"/>
  <c r="BE629" i="1"/>
  <c r="BC629" i="1"/>
  <c r="Y629" i="1"/>
  <c r="X629" i="1"/>
  <c r="W629" i="1"/>
  <c r="T629" i="1"/>
  <c r="AJ629" i="1"/>
  <c r="AI629" i="1"/>
  <c r="AH629" i="1"/>
  <c r="AF629" i="1"/>
  <c r="S629" i="1"/>
  <c r="F629" i="1"/>
  <c r="D629" i="1"/>
  <c r="C629" i="1"/>
  <c r="CD628" i="1"/>
  <c r="CC628" i="1"/>
  <c r="CB628" i="1"/>
  <c r="BZ628" i="1"/>
  <c r="BX628" i="1"/>
  <c r="BV628" i="1"/>
  <c r="BS628" i="1"/>
  <c r="BO628" i="1"/>
  <c r="BL628" i="1"/>
  <c r="CK628" i="1"/>
  <c r="CG628" i="1"/>
  <c r="CF628" i="1"/>
  <c r="BA628" i="1"/>
  <c r="AZ628" i="1"/>
  <c r="AY628" i="1"/>
  <c r="AW628" i="1"/>
  <c r="AT628" i="1"/>
  <c r="AR628" i="1"/>
  <c r="AP628" i="1"/>
  <c r="AN628" i="1"/>
  <c r="AM628" i="1"/>
  <c r="AL628" i="1"/>
  <c r="BI628" i="1"/>
  <c r="BG628" i="1"/>
  <c r="BE628" i="1"/>
  <c r="BC628" i="1"/>
  <c r="Y628" i="1"/>
  <c r="X628" i="1"/>
  <c r="W628" i="1"/>
  <c r="T628" i="1"/>
  <c r="AJ628" i="1"/>
  <c r="AI628" i="1"/>
  <c r="AH628" i="1"/>
  <c r="AF628" i="1"/>
  <c r="S628" i="1"/>
  <c r="F628" i="1"/>
  <c r="D628" i="1"/>
  <c r="C628" i="1"/>
  <c r="CD627" i="1"/>
  <c r="CC627" i="1"/>
  <c r="CB627" i="1"/>
  <c r="BZ627" i="1"/>
  <c r="BX627" i="1"/>
  <c r="BV627" i="1"/>
  <c r="BS627" i="1"/>
  <c r="BO627" i="1"/>
  <c r="BL627" i="1"/>
  <c r="CK627" i="1"/>
  <c r="CG627" i="1"/>
  <c r="CF627" i="1"/>
  <c r="BA627" i="1"/>
  <c r="AZ627" i="1"/>
  <c r="AY627" i="1"/>
  <c r="AW627" i="1"/>
  <c r="AT627" i="1"/>
  <c r="AR627" i="1"/>
  <c r="AP627" i="1"/>
  <c r="AN627" i="1"/>
  <c r="AM627" i="1"/>
  <c r="AL627" i="1"/>
  <c r="BI627" i="1"/>
  <c r="BG627" i="1"/>
  <c r="BE627" i="1"/>
  <c r="BC627" i="1"/>
  <c r="Y627" i="1"/>
  <c r="X627" i="1"/>
  <c r="W627" i="1"/>
  <c r="T627" i="1"/>
  <c r="AJ627" i="1"/>
  <c r="AI627" i="1"/>
  <c r="AH627" i="1"/>
  <c r="AF627" i="1"/>
  <c r="S627" i="1"/>
  <c r="F627" i="1"/>
  <c r="D627" i="1"/>
  <c r="C627" i="1"/>
  <c r="CD626" i="1"/>
  <c r="CC626" i="1"/>
  <c r="CB626" i="1"/>
  <c r="BZ626" i="1"/>
  <c r="BX626" i="1"/>
  <c r="BV626" i="1"/>
  <c r="BS626" i="1"/>
  <c r="BO626" i="1"/>
  <c r="BL626" i="1"/>
  <c r="CK626" i="1"/>
  <c r="CG626" i="1"/>
  <c r="CF626" i="1"/>
  <c r="BA626" i="1"/>
  <c r="AZ626" i="1"/>
  <c r="AY626" i="1"/>
  <c r="AW626" i="1"/>
  <c r="AT626" i="1"/>
  <c r="AR626" i="1"/>
  <c r="AP626" i="1"/>
  <c r="AN626" i="1"/>
  <c r="AM626" i="1"/>
  <c r="AL626" i="1"/>
  <c r="BI626" i="1"/>
  <c r="BG626" i="1"/>
  <c r="BE626" i="1"/>
  <c r="BC626" i="1"/>
  <c r="Y626" i="1"/>
  <c r="X626" i="1"/>
  <c r="W626" i="1"/>
  <c r="T626" i="1"/>
  <c r="AJ626" i="1"/>
  <c r="AI626" i="1"/>
  <c r="AH626" i="1"/>
  <c r="AF626" i="1"/>
  <c r="S626" i="1"/>
  <c r="F626" i="1"/>
  <c r="D626" i="1"/>
  <c r="C626" i="1"/>
  <c r="CD625" i="1"/>
  <c r="CC625" i="1"/>
  <c r="CB625" i="1"/>
  <c r="BZ625" i="1"/>
  <c r="BX625" i="1"/>
  <c r="BV625" i="1"/>
  <c r="BS625" i="1"/>
  <c r="BO625" i="1"/>
  <c r="BL625" i="1"/>
  <c r="CK625" i="1"/>
  <c r="CG625" i="1"/>
  <c r="CF625" i="1"/>
  <c r="BA625" i="1"/>
  <c r="AZ625" i="1"/>
  <c r="AY625" i="1"/>
  <c r="AW625" i="1"/>
  <c r="AT625" i="1"/>
  <c r="AR625" i="1"/>
  <c r="AP625" i="1"/>
  <c r="AN625" i="1"/>
  <c r="AM625" i="1"/>
  <c r="AL625" i="1"/>
  <c r="BI625" i="1"/>
  <c r="BG625" i="1"/>
  <c r="BE625" i="1"/>
  <c r="BC625" i="1"/>
  <c r="Y625" i="1"/>
  <c r="X625" i="1"/>
  <c r="W625" i="1"/>
  <c r="T625" i="1"/>
  <c r="AJ625" i="1"/>
  <c r="AI625" i="1"/>
  <c r="AH625" i="1"/>
  <c r="AF625" i="1"/>
  <c r="S625" i="1"/>
  <c r="F625" i="1"/>
  <c r="D625" i="1"/>
  <c r="C625" i="1"/>
  <c r="CD624" i="1"/>
  <c r="CC624" i="1"/>
  <c r="CB624" i="1"/>
  <c r="BZ624" i="1"/>
  <c r="BX624" i="1"/>
  <c r="BV624" i="1"/>
  <c r="BS624" i="1"/>
  <c r="BO624" i="1"/>
  <c r="BL624" i="1"/>
  <c r="CK624" i="1"/>
  <c r="CG624" i="1"/>
  <c r="CF624" i="1"/>
  <c r="BA624" i="1"/>
  <c r="AZ624" i="1"/>
  <c r="AY624" i="1"/>
  <c r="AW624" i="1"/>
  <c r="AT624" i="1"/>
  <c r="AR624" i="1"/>
  <c r="AP624" i="1"/>
  <c r="AN624" i="1"/>
  <c r="AM624" i="1"/>
  <c r="AL624" i="1"/>
  <c r="BI624" i="1"/>
  <c r="BG624" i="1"/>
  <c r="BE624" i="1"/>
  <c r="BC624" i="1"/>
  <c r="Y624" i="1"/>
  <c r="X624" i="1"/>
  <c r="W624" i="1"/>
  <c r="T624" i="1"/>
  <c r="AJ624" i="1"/>
  <c r="AI624" i="1"/>
  <c r="AH624" i="1"/>
  <c r="AF624" i="1"/>
  <c r="S624" i="1"/>
  <c r="F624" i="1"/>
  <c r="D624" i="1"/>
  <c r="C624" i="1"/>
  <c r="CD623" i="1"/>
  <c r="CC623" i="1"/>
  <c r="CB623" i="1"/>
  <c r="BZ623" i="1"/>
  <c r="BX623" i="1"/>
  <c r="BV623" i="1"/>
  <c r="BS623" i="1"/>
  <c r="BO623" i="1"/>
  <c r="BL623" i="1"/>
  <c r="CK623" i="1"/>
  <c r="CG623" i="1"/>
  <c r="CF623" i="1"/>
  <c r="BA623" i="1"/>
  <c r="AZ623" i="1"/>
  <c r="AY623" i="1"/>
  <c r="AW623" i="1"/>
  <c r="AT623" i="1"/>
  <c r="AR623" i="1"/>
  <c r="AP623" i="1"/>
  <c r="AN623" i="1"/>
  <c r="AM623" i="1"/>
  <c r="AL623" i="1"/>
  <c r="BI623" i="1"/>
  <c r="BG623" i="1"/>
  <c r="BE623" i="1"/>
  <c r="BC623" i="1"/>
  <c r="Y623" i="1"/>
  <c r="X623" i="1"/>
  <c r="W623" i="1"/>
  <c r="T623" i="1"/>
  <c r="AJ623" i="1"/>
  <c r="AI623" i="1"/>
  <c r="AH623" i="1"/>
  <c r="AF623" i="1"/>
  <c r="S623" i="1"/>
  <c r="F623" i="1"/>
  <c r="D623" i="1"/>
  <c r="C623" i="1"/>
  <c r="CD622" i="1"/>
  <c r="CC622" i="1"/>
  <c r="CB622" i="1"/>
  <c r="BZ622" i="1"/>
  <c r="BX622" i="1"/>
  <c r="BV622" i="1"/>
  <c r="BS622" i="1"/>
  <c r="BO622" i="1"/>
  <c r="BL622" i="1"/>
  <c r="CK622" i="1"/>
  <c r="CG622" i="1"/>
  <c r="CF622" i="1"/>
  <c r="BA622" i="1"/>
  <c r="AZ622" i="1"/>
  <c r="AY622" i="1"/>
  <c r="AW622" i="1"/>
  <c r="AT622" i="1"/>
  <c r="AR622" i="1"/>
  <c r="AP622" i="1"/>
  <c r="AN622" i="1"/>
  <c r="AM622" i="1"/>
  <c r="AL622" i="1"/>
  <c r="BI622" i="1"/>
  <c r="BG622" i="1"/>
  <c r="BE622" i="1"/>
  <c r="BC622" i="1"/>
  <c r="Y622" i="1"/>
  <c r="X622" i="1"/>
  <c r="W622" i="1"/>
  <c r="T622" i="1"/>
  <c r="AJ622" i="1"/>
  <c r="AI622" i="1"/>
  <c r="AH622" i="1"/>
  <c r="AF622" i="1"/>
  <c r="S622" i="1"/>
  <c r="F622" i="1"/>
  <c r="D622" i="1"/>
  <c r="C622" i="1"/>
  <c r="CD621" i="1"/>
  <c r="CC621" i="1"/>
  <c r="CB621" i="1"/>
  <c r="BZ621" i="1"/>
  <c r="BX621" i="1"/>
  <c r="BV621" i="1"/>
  <c r="BS621" i="1"/>
  <c r="BO621" i="1"/>
  <c r="BL621" i="1"/>
  <c r="CK621" i="1"/>
  <c r="CG621" i="1"/>
  <c r="CF621" i="1"/>
  <c r="BA621" i="1"/>
  <c r="AZ621" i="1"/>
  <c r="AY621" i="1"/>
  <c r="AW621" i="1"/>
  <c r="AT621" i="1"/>
  <c r="AR621" i="1"/>
  <c r="AP621" i="1"/>
  <c r="AN621" i="1"/>
  <c r="AM621" i="1"/>
  <c r="AL621" i="1"/>
  <c r="BI621" i="1"/>
  <c r="BG621" i="1"/>
  <c r="BE621" i="1"/>
  <c r="BC621" i="1"/>
  <c r="Y621" i="1"/>
  <c r="X621" i="1"/>
  <c r="W621" i="1"/>
  <c r="T621" i="1"/>
  <c r="AJ621" i="1"/>
  <c r="AI621" i="1"/>
  <c r="AH621" i="1"/>
  <c r="AF621" i="1"/>
  <c r="S621" i="1"/>
  <c r="F621" i="1"/>
  <c r="D621" i="1"/>
  <c r="C621" i="1"/>
  <c r="CD620" i="1"/>
  <c r="CC620" i="1"/>
  <c r="CB620" i="1"/>
  <c r="BZ620" i="1"/>
  <c r="BX620" i="1"/>
  <c r="BV620" i="1"/>
  <c r="BS620" i="1"/>
  <c r="BO620" i="1"/>
  <c r="BL620" i="1"/>
  <c r="CK620" i="1"/>
  <c r="CG620" i="1"/>
  <c r="CF620" i="1"/>
  <c r="BA620" i="1"/>
  <c r="AZ620" i="1"/>
  <c r="AY620" i="1"/>
  <c r="AW620" i="1"/>
  <c r="AT620" i="1"/>
  <c r="AR620" i="1"/>
  <c r="AP620" i="1"/>
  <c r="AN620" i="1"/>
  <c r="AM620" i="1"/>
  <c r="AL620" i="1"/>
  <c r="BI620" i="1"/>
  <c r="BG620" i="1"/>
  <c r="BE620" i="1"/>
  <c r="BC620" i="1"/>
  <c r="Y620" i="1"/>
  <c r="X620" i="1"/>
  <c r="W620" i="1"/>
  <c r="T620" i="1"/>
  <c r="AJ620" i="1"/>
  <c r="AI620" i="1"/>
  <c r="AH620" i="1"/>
  <c r="AF620" i="1"/>
  <c r="S620" i="1"/>
  <c r="F620" i="1"/>
  <c r="D620" i="1"/>
  <c r="C620" i="1"/>
  <c r="CD619" i="1"/>
  <c r="CC619" i="1"/>
  <c r="CB619" i="1"/>
  <c r="BZ619" i="1"/>
  <c r="BX619" i="1"/>
  <c r="BV619" i="1"/>
  <c r="BS619" i="1"/>
  <c r="BO619" i="1"/>
  <c r="BL619" i="1"/>
  <c r="CK619" i="1"/>
  <c r="CG619" i="1"/>
  <c r="CF619" i="1"/>
  <c r="BA619" i="1"/>
  <c r="AZ619" i="1"/>
  <c r="AY619" i="1"/>
  <c r="AW619" i="1"/>
  <c r="AT619" i="1"/>
  <c r="AR619" i="1"/>
  <c r="AP619" i="1"/>
  <c r="AN619" i="1"/>
  <c r="AM619" i="1"/>
  <c r="AL619" i="1"/>
  <c r="BI619" i="1"/>
  <c r="BG619" i="1"/>
  <c r="BE619" i="1"/>
  <c r="BC619" i="1"/>
  <c r="Y619" i="1"/>
  <c r="X619" i="1"/>
  <c r="W619" i="1"/>
  <c r="T619" i="1"/>
  <c r="AJ619" i="1"/>
  <c r="AI619" i="1"/>
  <c r="AH619" i="1"/>
  <c r="AF619" i="1"/>
  <c r="S619" i="1"/>
  <c r="F619" i="1"/>
  <c r="D619" i="1"/>
  <c r="C619" i="1"/>
  <c r="CD618" i="1"/>
  <c r="CC618" i="1"/>
  <c r="CB618" i="1"/>
  <c r="BZ618" i="1"/>
  <c r="BX618" i="1"/>
  <c r="BV618" i="1"/>
  <c r="BS618" i="1"/>
  <c r="BO618" i="1"/>
  <c r="BL618" i="1"/>
  <c r="CK618" i="1"/>
  <c r="CG618" i="1"/>
  <c r="CF618" i="1"/>
  <c r="BA618" i="1"/>
  <c r="AZ618" i="1"/>
  <c r="AY618" i="1"/>
  <c r="AW618" i="1"/>
  <c r="AT618" i="1"/>
  <c r="AR618" i="1"/>
  <c r="AP618" i="1"/>
  <c r="AN618" i="1"/>
  <c r="AM618" i="1"/>
  <c r="AL618" i="1"/>
  <c r="BI618" i="1"/>
  <c r="BG618" i="1"/>
  <c r="BE618" i="1"/>
  <c r="BC618" i="1"/>
  <c r="Y618" i="1"/>
  <c r="X618" i="1"/>
  <c r="W618" i="1"/>
  <c r="T618" i="1"/>
  <c r="AJ618" i="1"/>
  <c r="AI618" i="1"/>
  <c r="AH618" i="1"/>
  <c r="AF618" i="1"/>
  <c r="S618" i="1"/>
  <c r="F618" i="1"/>
  <c r="D618" i="1"/>
  <c r="C618" i="1"/>
  <c r="CD617" i="1"/>
  <c r="CC617" i="1"/>
  <c r="CB617" i="1"/>
  <c r="BZ617" i="1"/>
  <c r="BX617" i="1"/>
  <c r="BV617" i="1"/>
  <c r="BS617" i="1"/>
  <c r="BO617" i="1"/>
  <c r="BL617" i="1"/>
  <c r="CK617" i="1"/>
  <c r="CG617" i="1"/>
  <c r="CF617" i="1"/>
  <c r="BA617" i="1"/>
  <c r="AZ617" i="1"/>
  <c r="AY617" i="1"/>
  <c r="AW617" i="1"/>
  <c r="AT617" i="1"/>
  <c r="AR617" i="1"/>
  <c r="AP617" i="1"/>
  <c r="AN617" i="1"/>
  <c r="AM617" i="1"/>
  <c r="AL617" i="1"/>
  <c r="BI617" i="1"/>
  <c r="BG617" i="1"/>
  <c r="BE617" i="1"/>
  <c r="BC617" i="1"/>
  <c r="Y617" i="1"/>
  <c r="X617" i="1"/>
  <c r="W617" i="1"/>
  <c r="T617" i="1"/>
  <c r="AJ617" i="1"/>
  <c r="AI617" i="1"/>
  <c r="AH617" i="1"/>
  <c r="AF617" i="1"/>
  <c r="S617" i="1"/>
  <c r="F617" i="1"/>
  <c r="D617" i="1"/>
  <c r="C617" i="1"/>
  <c r="CD616" i="1"/>
  <c r="CC616" i="1"/>
  <c r="CB616" i="1"/>
  <c r="BZ616" i="1"/>
  <c r="BX616" i="1"/>
  <c r="BV616" i="1"/>
  <c r="BS616" i="1"/>
  <c r="BO616" i="1"/>
  <c r="BL616" i="1"/>
  <c r="CK616" i="1"/>
  <c r="CG616" i="1"/>
  <c r="CF616" i="1"/>
  <c r="BA616" i="1"/>
  <c r="AZ616" i="1"/>
  <c r="AY616" i="1"/>
  <c r="AW616" i="1"/>
  <c r="AT616" i="1"/>
  <c r="AR616" i="1"/>
  <c r="AP616" i="1"/>
  <c r="AN616" i="1"/>
  <c r="AM616" i="1"/>
  <c r="AL616" i="1"/>
  <c r="BI616" i="1"/>
  <c r="BG616" i="1"/>
  <c r="BE616" i="1"/>
  <c r="BC616" i="1"/>
  <c r="Y616" i="1"/>
  <c r="X616" i="1"/>
  <c r="W616" i="1"/>
  <c r="T616" i="1"/>
  <c r="AJ616" i="1"/>
  <c r="AI616" i="1"/>
  <c r="AH616" i="1"/>
  <c r="AF616" i="1"/>
  <c r="S616" i="1"/>
  <c r="F616" i="1"/>
  <c r="D616" i="1"/>
  <c r="C616" i="1"/>
  <c r="CD615" i="1"/>
  <c r="CC615" i="1"/>
  <c r="CB615" i="1"/>
  <c r="BZ615" i="1"/>
  <c r="BX615" i="1"/>
  <c r="BV615" i="1"/>
  <c r="BS615" i="1"/>
  <c r="BO615" i="1"/>
  <c r="BL615" i="1"/>
  <c r="CK615" i="1"/>
  <c r="CG615" i="1"/>
  <c r="CF615" i="1"/>
  <c r="BA615" i="1"/>
  <c r="AZ615" i="1"/>
  <c r="AY615" i="1"/>
  <c r="AW615" i="1"/>
  <c r="AT615" i="1"/>
  <c r="AR615" i="1"/>
  <c r="AP615" i="1"/>
  <c r="AN615" i="1"/>
  <c r="AM615" i="1"/>
  <c r="AL615" i="1"/>
  <c r="BI615" i="1"/>
  <c r="BG615" i="1"/>
  <c r="BE615" i="1"/>
  <c r="BC615" i="1"/>
  <c r="Y615" i="1"/>
  <c r="X615" i="1"/>
  <c r="W615" i="1"/>
  <c r="T615" i="1"/>
  <c r="AJ615" i="1"/>
  <c r="AI615" i="1"/>
  <c r="AH615" i="1"/>
  <c r="AF615" i="1"/>
  <c r="S615" i="1"/>
  <c r="F615" i="1"/>
  <c r="D615" i="1"/>
  <c r="C615" i="1"/>
  <c r="CD614" i="1"/>
  <c r="CC614" i="1"/>
  <c r="CB614" i="1"/>
  <c r="BZ614" i="1"/>
  <c r="BX614" i="1"/>
  <c r="BV614" i="1"/>
  <c r="BS614" i="1"/>
  <c r="BO614" i="1"/>
  <c r="BL614" i="1"/>
  <c r="CK614" i="1"/>
  <c r="CG614" i="1"/>
  <c r="CF614" i="1"/>
  <c r="BA614" i="1"/>
  <c r="AZ614" i="1"/>
  <c r="AY614" i="1"/>
  <c r="AW614" i="1"/>
  <c r="AT614" i="1"/>
  <c r="AR614" i="1"/>
  <c r="AP614" i="1"/>
  <c r="AN614" i="1"/>
  <c r="AM614" i="1"/>
  <c r="AL614" i="1"/>
  <c r="BI614" i="1"/>
  <c r="BG614" i="1"/>
  <c r="BE614" i="1"/>
  <c r="BC614" i="1"/>
  <c r="Y614" i="1"/>
  <c r="X614" i="1"/>
  <c r="W614" i="1"/>
  <c r="T614" i="1"/>
  <c r="AJ614" i="1"/>
  <c r="AI614" i="1"/>
  <c r="AH614" i="1"/>
  <c r="AF614" i="1"/>
  <c r="S614" i="1"/>
  <c r="F614" i="1"/>
  <c r="D614" i="1"/>
  <c r="C614" i="1"/>
  <c r="CD613" i="1"/>
  <c r="CC613" i="1"/>
  <c r="CB613" i="1"/>
  <c r="BZ613" i="1"/>
  <c r="BX613" i="1"/>
  <c r="BV613" i="1"/>
  <c r="BS613" i="1"/>
  <c r="BO613" i="1"/>
  <c r="BL613" i="1"/>
  <c r="CK613" i="1"/>
  <c r="CG613" i="1"/>
  <c r="CF613" i="1"/>
  <c r="BA613" i="1"/>
  <c r="AZ613" i="1"/>
  <c r="AY613" i="1"/>
  <c r="AW613" i="1"/>
  <c r="AT613" i="1"/>
  <c r="AR613" i="1"/>
  <c r="AP613" i="1"/>
  <c r="AN613" i="1"/>
  <c r="AM613" i="1"/>
  <c r="AL613" i="1"/>
  <c r="BI613" i="1"/>
  <c r="BG613" i="1"/>
  <c r="BE613" i="1"/>
  <c r="BC613" i="1"/>
  <c r="Y613" i="1"/>
  <c r="X613" i="1"/>
  <c r="W613" i="1"/>
  <c r="T613" i="1"/>
  <c r="AJ613" i="1"/>
  <c r="AI613" i="1"/>
  <c r="AH613" i="1"/>
  <c r="AF613" i="1"/>
  <c r="S613" i="1"/>
  <c r="F613" i="1"/>
  <c r="D613" i="1"/>
  <c r="C613" i="1"/>
  <c r="CD612" i="1"/>
  <c r="CC612" i="1"/>
  <c r="CB612" i="1"/>
  <c r="BZ612" i="1"/>
  <c r="BX612" i="1"/>
  <c r="BV612" i="1"/>
  <c r="BS612" i="1"/>
  <c r="BO612" i="1"/>
  <c r="BL612" i="1"/>
  <c r="CK612" i="1"/>
  <c r="CG612" i="1"/>
  <c r="CF612" i="1"/>
  <c r="BA612" i="1"/>
  <c r="AZ612" i="1"/>
  <c r="AY612" i="1"/>
  <c r="AW612" i="1"/>
  <c r="AT612" i="1"/>
  <c r="AR612" i="1"/>
  <c r="AP612" i="1"/>
  <c r="AN612" i="1"/>
  <c r="AM612" i="1"/>
  <c r="AL612" i="1"/>
  <c r="BI612" i="1"/>
  <c r="BG612" i="1"/>
  <c r="BE612" i="1"/>
  <c r="BC612" i="1"/>
  <c r="Y612" i="1"/>
  <c r="X612" i="1"/>
  <c r="W612" i="1"/>
  <c r="T612" i="1"/>
  <c r="AJ612" i="1"/>
  <c r="AI612" i="1"/>
  <c r="AH612" i="1"/>
  <c r="AF612" i="1"/>
  <c r="S612" i="1"/>
  <c r="F612" i="1"/>
  <c r="D612" i="1"/>
  <c r="C612" i="1"/>
  <c r="CD611" i="1"/>
  <c r="CC611" i="1"/>
  <c r="CB611" i="1"/>
  <c r="BZ611" i="1"/>
  <c r="BX611" i="1"/>
  <c r="BV611" i="1"/>
  <c r="BS611" i="1"/>
  <c r="BO611" i="1"/>
  <c r="BL611" i="1"/>
  <c r="CK611" i="1"/>
  <c r="CG611" i="1"/>
  <c r="CF611" i="1"/>
  <c r="BA611" i="1"/>
  <c r="AZ611" i="1"/>
  <c r="AY611" i="1"/>
  <c r="AW611" i="1"/>
  <c r="AT611" i="1"/>
  <c r="AR611" i="1"/>
  <c r="AP611" i="1"/>
  <c r="AN611" i="1"/>
  <c r="AM611" i="1"/>
  <c r="AL611" i="1"/>
  <c r="BI611" i="1"/>
  <c r="BG611" i="1"/>
  <c r="BE611" i="1"/>
  <c r="BC611" i="1"/>
  <c r="Y611" i="1"/>
  <c r="X611" i="1"/>
  <c r="W611" i="1"/>
  <c r="T611" i="1"/>
  <c r="AJ611" i="1"/>
  <c r="AI611" i="1"/>
  <c r="AH611" i="1"/>
  <c r="AF611" i="1"/>
  <c r="S611" i="1"/>
  <c r="F611" i="1"/>
  <c r="D611" i="1"/>
  <c r="C611" i="1"/>
  <c r="CD610" i="1"/>
  <c r="CC610" i="1"/>
  <c r="CB610" i="1"/>
  <c r="BZ610" i="1"/>
  <c r="BX610" i="1"/>
  <c r="BV610" i="1"/>
  <c r="BS610" i="1"/>
  <c r="BO610" i="1"/>
  <c r="BL610" i="1"/>
  <c r="CK610" i="1"/>
  <c r="CG610" i="1"/>
  <c r="CF610" i="1"/>
  <c r="BA610" i="1"/>
  <c r="AZ610" i="1"/>
  <c r="AY610" i="1"/>
  <c r="AW610" i="1"/>
  <c r="AT610" i="1"/>
  <c r="AR610" i="1"/>
  <c r="AP610" i="1"/>
  <c r="AN610" i="1"/>
  <c r="AM610" i="1"/>
  <c r="AL610" i="1"/>
  <c r="BI610" i="1"/>
  <c r="BG610" i="1"/>
  <c r="BE610" i="1"/>
  <c r="BC610" i="1"/>
  <c r="Y610" i="1"/>
  <c r="X610" i="1"/>
  <c r="W610" i="1"/>
  <c r="T610" i="1"/>
  <c r="AJ610" i="1"/>
  <c r="AI610" i="1"/>
  <c r="AH610" i="1"/>
  <c r="AF610" i="1"/>
  <c r="S610" i="1"/>
  <c r="F610" i="1"/>
  <c r="D610" i="1"/>
  <c r="C610" i="1"/>
  <c r="CD609" i="1"/>
  <c r="CC609" i="1"/>
  <c r="CB609" i="1"/>
  <c r="BZ609" i="1"/>
  <c r="BX609" i="1"/>
  <c r="BV609" i="1"/>
  <c r="BS609" i="1"/>
  <c r="BO609" i="1"/>
  <c r="BL609" i="1"/>
  <c r="CK609" i="1"/>
  <c r="CG609" i="1"/>
  <c r="CF609" i="1"/>
  <c r="BA609" i="1"/>
  <c r="AZ609" i="1"/>
  <c r="AY609" i="1"/>
  <c r="AW609" i="1"/>
  <c r="AT609" i="1"/>
  <c r="AR609" i="1"/>
  <c r="AP609" i="1"/>
  <c r="AN609" i="1"/>
  <c r="AM609" i="1"/>
  <c r="AL609" i="1"/>
  <c r="BI609" i="1"/>
  <c r="BG609" i="1"/>
  <c r="BE609" i="1"/>
  <c r="BC609" i="1"/>
  <c r="Y609" i="1"/>
  <c r="X609" i="1"/>
  <c r="W609" i="1"/>
  <c r="T609" i="1"/>
  <c r="AJ609" i="1"/>
  <c r="AI609" i="1"/>
  <c r="AH609" i="1"/>
  <c r="AF609" i="1"/>
  <c r="S609" i="1"/>
  <c r="F609" i="1"/>
  <c r="D609" i="1"/>
  <c r="C609" i="1"/>
  <c r="CD608" i="1"/>
  <c r="CC608" i="1"/>
  <c r="CB608" i="1"/>
  <c r="BZ608" i="1"/>
  <c r="BX608" i="1"/>
  <c r="BV608" i="1"/>
  <c r="BS608" i="1"/>
  <c r="BO608" i="1"/>
  <c r="BL608" i="1"/>
  <c r="CK608" i="1"/>
  <c r="CG608" i="1"/>
  <c r="CF608" i="1"/>
  <c r="BA608" i="1"/>
  <c r="AZ608" i="1"/>
  <c r="AY608" i="1"/>
  <c r="AW608" i="1"/>
  <c r="AT608" i="1"/>
  <c r="AR608" i="1"/>
  <c r="AP608" i="1"/>
  <c r="AN608" i="1"/>
  <c r="AM608" i="1"/>
  <c r="AL608" i="1"/>
  <c r="BI608" i="1"/>
  <c r="BG608" i="1"/>
  <c r="BE608" i="1"/>
  <c r="BC608" i="1"/>
  <c r="Y608" i="1"/>
  <c r="X608" i="1"/>
  <c r="W608" i="1"/>
  <c r="T608" i="1"/>
  <c r="AJ608" i="1"/>
  <c r="AI608" i="1"/>
  <c r="AH608" i="1"/>
  <c r="AF608" i="1"/>
  <c r="S608" i="1"/>
  <c r="F608" i="1"/>
  <c r="D608" i="1"/>
  <c r="C608" i="1"/>
  <c r="CD607" i="1"/>
  <c r="CC607" i="1"/>
  <c r="CB607" i="1"/>
  <c r="BZ607" i="1"/>
  <c r="BX607" i="1"/>
  <c r="BV607" i="1"/>
  <c r="BS607" i="1"/>
  <c r="BO607" i="1"/>
  <c r="BL607" i="1"/>
  <c r="CK607" i="1"/>
  <c r="CG607" i="1"/>
  <c r="CF607" i="1"/>
  <c r="BA607" i="1"/>
  <c r="AZ607" i="1"/>
  <c r="AY607" i="1"/>
  <c r="AW607" i="1"/>
  <c r="AT607" i="1"/>
  <c r="AR607" i="1"/>
  <c r="AP607" i="1"/>
  <c r="AN607" i="1"/>
  <c r="AM607" i="1"/>
  <c r="AL607" i="1"/>
  <c r="BI607" i="1"/>
  <c r="BG607" i="1"/>
  <c r="BE607" i="1"/>
  <c r="BC607" i="1"/>
  <c r="Y607" i="1"/>
  <c r="X607" i="1"/>
  <c r="W607" i="1"/>
  <c r="T607" i="1"/>
  <c r="AJ607" i="1"/>
  <c r="AI607" i="1"/>
  <c r="AH607" i="1"/>
  <c r="AF607" i="1"/>
  <c r="S607" i="1"/>
  <c r="F607" i="1"/>
  <c r="D607" i="1"/>
  <c r="C607" i="1"/>
  <c r="CD606" i="1"/>
  <c r="CC606" i="1"/>
  <c r="CB606" i="1"/>
  <c r="BZ606" i="1"/>
  <c r="BX606" i="1"/>
  <c r="BV606" i="1"/>
  <c r="BS606" i="1"/>
  <c r="BO606" i="1"/>
  <c r="BL606" i="1"/>
  <c r="CK606" i="1"/>
  <c r="CG606" i="1"/>
  <c r="CF606" i="1"/>
  <c r="BA606" i="1"/>
  <c r="AZ606" i="1"/>
  <c r="AY606" i="1"/>
  <c r="AW606" i="1"/>
  <c r="AT606" i="1"/>
  <c r="AR606" i="1"/>
  <c r="AP606" i="1"/>
  <c r="AN606" i="1"/>
  <c r="AM606" i="1"/>
  <c r="AL606" i="1"/>
  <c r="BI606" i="1"/>
  <c r="BG606" i="1"/>
  <c r="BE606" i="1"/>
  <c r="BC606" i="1"/>
  <c r="Y606" i="1"/>
  <c r="X606" i="1"/>
  <c r="W606" i="1"/>
  <c r="T606" i="1"/>
  <c r="AJ606" i="1"/>
  <c r="AI606" i="1"/>
  <c r="AH606" i="1"/>
  <c r="AF606" i="1"/>
  <c r="S606" i="1"/>
  <c r="F606" i="1"/>
  <c r="D606" i="1"/>
  <c r="C606" i="1"/>
  <c r="CD605" i="1"/>
  <c r="CC605" i="1"/>
  <c r="CB605" i="1"/>
  <c r="BZ605" i="1"/>
  <c r="BX605" i="1"/>
  <c r="BV605" i="1"/>
  <c r="BS605" i="1"/>
  <c r="BO605" i="1"/>
  <c r="BL605" i="1"/>
  <c r="CK605" i="1"/>
  <c r="CG605" i="1"/>
  <c r="CF605" i="1"/>
  <c r="BA605" i="1"/>
  <c r="AZ605" i="1"/>
  <c r="AY605" i="1"/>
  <c r="AW605" i="1"/>
  <c r="AT605" i="1"/>
  <c r="AR605" i="1"/>
  <c r="AP605" i="1"/>
  <c r="AN605" i="1"/>
  <c r="AM605" i="1"/>
  <c r="AL605" i="1"/>
  <c r="BI605" i="1"/>
  <c r="BG605" i="1"/>
  <c r="BE605" i="1"/>
  <c r="BC605" i="1"/>
  <c r="Y605" i="1"/>
  <c r="X605" i="1"/>
  <c r="W605" i="1"/>
  <c r="T605" i="1"/>
  <c r="AJ605" i="1"/>
  <c r="AI605" i="1"/>
  <c r="AH605" i="1"/>
  <c r="AF605" i="1"/>
  <c r="S605" i="1"/>
  <c r="F605" i="1"/>
  <c r="D605" i="1"/>
  <c r="C605" i="1"/>
  <c r="CD604" i="1"/>
  <c r="CC604" i="1"/>
  <c r="CB604" i="1"/>
  <c r="BZ604" i="1"/>
  <c r="BX604" i="1"/>
  <c r="BV604" i="1"/>
  <c r="BS604" i="1"/>
  <c r="BO604" i="1"/>
  <c r="BL604" i="1"/>
  <c r="CK604" i="1"/>
  <c r="CG604" i="1"/>
  <c r="CF604" i="1"/>
  <c r="BA604" i="1"/>
  <c r="AZ604" i="1"/>
  <c r="AY604" i="1"/>
  <c r="AW604" i="1"/>
  <c r="AT604" i="1"/>
  <c r="AR604" i="1"/>
  <c r="AP604" i="1"/>
  <c r="AN604" i="1"/>
  <c r="AM604" i="1"/>
  <c r="AL604" i="1"/>
  <c r="BI604" i="1"/>
  <c r="BG604" i="1"/>
  <c r="BE604" i="1"/>
  <c r="BC604" i="1"/>
  <c r="Y604" i="1"/>
  <c r="X604" i="1"/>
  <c r="W604" i="1"/>
  <c r="T604" i="1"/>
  <c r="AJ604" i="1"/>
  <c r="AI604" i="1"/>
  <c r="AH604" i="1"/>
  <c r="AF604" i="1"/>
  <c r="S604" i="1"/>
  <c r="F604" i="1"/>
  <c r="D604" i="1"/>
  <c r="C604" i="1"/>
  <c r="CD603" i="1"/>
  <c r="CC603" i="1"/>
  <c r="CB603" i="1"/>
  <c r="BZ603" i="1"/>
  <c r="BX603" i="1"/>
  <c r="BV603" i="1"/>
  <c r="BS603" i="1"/>
  <c r="BO603" i="1"/>
  <c r="BL603" i="1"/>
  <c r="CK603" i="1"/>
  <c r="CG603" i="1"/>
  <c r="CF603" i="1"/>
  <c r="BA603" i="1"/>
  <c r="AZ603" i="1"/>
  <c r="AY603" i="1"/>
  <c r="AW603" i="1"/>
  <c r="AT603" i="1"/>
  <c r="AR603" i="1"/>
  <c r="AP603" i="1"/>
  <c r="AN603" i="1"/>
  <c r="AM603" i="1"/>
  <c r="AL603" i="1"/>
  <c r="BI603" i="1"/>
  <c r="BG603" i="1"/>
  <c r="BE603" i="1"/>
  <c r="BC603" i="1"/>
  <c r="Y603" i="1"/>
  <c r="X603" i="1"/>
  <c r="W603" i="1"/>
  <c r="T603" i="1"/>
  <c r="AJ603" i="1"/>
  <c r="AI603" i="1"/>
  <c r="AH603" i="1"/>
  <c r="AF603" i="1"/>
  <c r="S603" i="1"/>
  <c r="F603" i="1"/>
  <c r="D603" i="1"/>
  <c r="C603" i="1"/>
  <c r="CD602" i="1"/>
  <c r="CC602" i="1"/>
  <c r="CB602" i="1"/>
  <c r="BZ602" i="1"/>
  <c r="BX602" i="1"/>
  <c r="BV602" i="1"/>
  <c r="BS602" i="1"/>
  <c r="BO602" i="1"/>
  <c r="BL602" i="1"/>
  <c r="CK602" i="1"/>
  <c r="CG602" i="1"/>
  <c r="CF602" i="1"/>
  <c r="BA602" i="1"/>
  <c r="AZ602" i="1"/>
  <c r="AY602" i="1"/>
  <c r="AW602" i="1"/>
  <c r="AT602" i="1"/>
  <c r="AR602" i="1"/>
  <c r="AP602" i="1"/>
  <c r="AN602" i="1"/>
  <c r="AM602" i="1"/>
  <c r="AL602" i="1"/>
  <c r="BI602" i="1"/>
  <c r="BG602" i="1"/>
  <c r="BE602" i="1"/>
  <c r="BC602" i="1"/>
  <c r="Y602" i="1"/>
  <c r="X602" i="1"/>
  <c r="W602" i="1"/>
  <c r="T602" i="1"/>
  <c r="AJ602" i="1"/>
  <c r="AI602" i="1"/>
  <c r="AH602" i="1"/>
  <c r="AF602" i="1"/>
  <c r="S602" i="1"/>
  <c r="F602" i="1"/>
  <c r="D602" i="1"/>
  <c r="C602" i="1"/>
  <c r="CD601" i="1"/>
  <c r="CC601" i="1"/>
  <c r="CB601" i="1"/>
  <c r="BZ601" i="1"/>
  <c r="BX601" i="1"/>
  <c r="BV601" i="1"/>
  <c r="BS601" i="1"/>
  <c r="BO601" i="1"/>
  <c r="BL601" i="1"/>
  <c r="CK601" i="1"/>
  <c r="CG601" i="1"/>
  <c r="CF601" i="1"/>
  <c r="BA601" i="1"/>
  <c r="AZ601" i="1"/>
  <c r="AY601" i="1"/>
  <c r="AW601" i="1"/>
  <c r="AT601" i="1"/>
  <c r="AR601" i="1"/>
  <c r="AP601" i="1"/>
  <c r="AN601" i="1"/>
  <c r="AM601" i="1"/>
  <c r="AL601" i="1"/>
  <c r="BI601" i="1"/>
  <c r="BG601" i="1"/>
  <c r="BE601" i="1"/>
  <c r="BC601" i="1"/>
  <c r="Y601" i="1"/>
  <c r="X601" i="1"/>
  <c r="W601" i="1"/>
  <c r="T601" i="1"/>
  <c r="AJ601" i="1"/>
  <c r="AI601" i="1"/>
  <c r="AH601" i="1"/>
  <c r="AF601" i="1"/>
  <c r="S601" i="1"/>
  <c r="F601" i="1"/>
  <c r="D601" i="1"/>
  <c r="C601" i="1"/>
  <c r="CD600" i="1"/>
  <c r="CC600" i="1"/>
  <c r="CB600" i="1"/>
  <c r="BZ600" i="1"/>
  <c r="BX600" i="1"/>
  <c r="BV600" i="1"/>
  <c r="BS600" i="1"/>
  <c r="BO600" i="1"/>
  <c r="BL600" i="1"/>
  <c r="CK600" i="1"/>
  <c r="CG600" i="1"/>
  <c r="CF600" i="1"/>
  <c r="BA600" i="1"/>
  <c r="AZ600" i="1"/>
  <c r="AY600" i="1"/>
  <c r="AW600" i="1"/>
  <c r="AT600" i="1"/>
  <c r="AR600" i="1"/>
  <c r="AP600" i="1"/>
  <c r="AN600" i="1"/>
  <c r="AM600" i="1"/>
  <c r="AL600" i="1"/>
  <c r="BI600" i="1"/>
  <c r="BG600" i="1"/>
  <c r="BE600" i="1"/>
  <c r="BC600" i="1"/>
  <c r="Y600" i="1"/>
  <c r="X600" i="1"/>
  <c r="W600" i="1"/>
  <c r="T600" i="1"/>
  <c r="AJ600" i="1"/>
  <c r="AI600" i="1"/>
  <c r="AH600" i="1"/>
  <c r="AF600" i="1"/>
  <c r="S600" i="1"/>
  <c r="F600" i="1"/>
  <c r="D600" i="1"/>
  <c r="C600" i="1"/>
  <c r="CD599" i="1"/>
  <c r="CC599" i="1"/>
  <c r="CB599" i="1"/>
  <c r="BZ599" i="1"/>
  <c r="BX599" i="1"/>
  <c r="BV599" i="1"/>
  <c r="BS599" i="1"/>
  <c r="BO599" i="1"/>
  <c r="BL599" i="1"/>
  <c r="CK599" i="1"/>
  <c r="CG599" i="1"/>
  <c r="CF599" i="1"/>
  <c r="BA599" i="1"/>
  <c r="AZ599" i="1"/>
  <c r="AY599" i="1"/>
  <c r="AW599" i="1"/>
  <c r="AT599" i="1"/>
  <c r="AR599" i="1"/>
  <c r="AP599" i="1"/>
  <c r="AN599" i="1"/>
  <c r="AM599" i="1"/>
  <c r="AL599" i="1"/>
  <c r="BI599" i="1"/>
  <c r="BG599" i="1"/>
  <c r="BE599" i="1"/>
  <c r="BC599" i="1"/>
  <c r="Y599" i="1"/>
  <c r="X599" i="1"/>
  <c r="W599" i="1"/>
  <c r="T599" i="1"/>
  <c r="AJ599" i="1"/>
  <c r="AI599" i="1"/>
  <c r="AH599" i="1"/>
  <c r="AF599" i="1"/>
  <c r="S599" i="1"/>
  <c r="F599" i="1"/>
  <c r="D599" i="1"/>
  <c r="C599" i="1"/>
  <c r="CD598" i="1"/>
  <c r="CC598" i="1"/>
  <c r="CB598" i="1"/>
  <c r="BZ598" i="1"/>
  <c r="BX598" i="1"/>
  <c r="BV598" i="1"/>
  <c r="BS598" i="1"/>
  <c r="BO598" i="1"/>
  <c r="BL598" i="1"/>
  <c r="CK598" i="1"/>
  <c r="CG598" i="1"/>
  <c r="CF598" i="1"/>
  <c r="BA598" i="1"/>
  <c r="AZ598" i="1"/>
  <c r="AY598" i="1"/>
  <c r="AW598" i="1"/>
  <c r="AT598" i="1"/>
  <c r="AR598" i="1"/>
  <c r="AP598" i="1"/>
  <c r="AN598" i="1"/>
  <c r="AM598" i="1"/>
  <c r="AL598" i="1"/>
  <c r="BI598" i="1"/>
  <c r="BG598" i="1"/>
  <c r="BE598" i="1"/>
  <c r="BC598" i="1"/>
  <c r="Y598" i="1"/>
  <c r="X598" i="1"/>
  <c r="W598" i="1"/>
  <c r="T598" i="1"/>
  <c r="AJ598" i="1"/>
  <c r="AI598" i="1"/>
  <c r="AH598" i="1"/>
  <c r="AF598" i="1"/>
  <c r="S598" i="1"/>
  <c r="F598" i="1"/>
  <c r="D598" i="1"/>
  <c r="C598" i="1"/>
  <c r="CD597" i="1"/>
  <c r="CC597" i="1"/>
  <c r="CB597" i="1"/>
  <c r="BZ597" i="1"/>
  <c r="BX597" i="1"/>
  <c r="BV597" i="1"/>
  <c r="BS597" i="1"/>
  <c r="BO597" i="1"/>
  <c r="BL597" i="1"/>
  <c r="CK597" i="1"/>
  <c r="CG597" i="1"/>
  <c r="CF597" i="1"/>
  <c r="BA597" i="1"/>
  <c r="AZ597" i="1"/>
  <c r="AY597" i="1"/>
  <c r="AW597" i="1"/>
  <c r="AT597" i="1"/>
  <c r="AR597" i="1"/>
  <c r="AP597" i="1"/>
  <c r="AN597" i="1"/>
  <c r="AM597" i="1"/>
  <c r="AL597" i="1"/>
  <c r="BI597" i="1"/>
  <c r="BG597" i="1"/>
  <c r="BE597" i="1"/>
  <c r="BC597" i="1"/>
  <c r="Y597" i="1"/>
  <c r="X597" i="1"/>
  <c r="W597" i="1"/>
  <c r="T597" i="1"/>
  <c r="AJ597" i="1"/>
  <c r="AI597" i="1"/>
  <c r="AH597" i="1"/>
  <c r="AF597" i="1"/>
  <c r="S597" i="1"/>
  <c r="F597" i="1"/>
  <c r="D597" i="1"/>
  <c r="C597" i="1"/>
  <c r="CD596" i="1"/>
  <c r="CC596" i="1"/>
  <c r="CB596" i="1"/>
  <c r="BZ596" i="1"/>
  <c r="BX596" i="1"/>
  <c r="BV596" i="1"/>
  <c r="BS596" i="1"/>
  <c r="BO596" i="1"/>
  <c r="BL596" i="1"/>
  <c r="CK596" i="1"/>
  <c r="CG596" i="1"/>
  <c r="CF596" i="1"/>
  <c r="BA596" i="1"/>
  <c r="AZ596" i="1"/>
  <c r="AY596" i="1"/>
  <c r="AW596" i="1"/>
  <c r="AT596" i="1"/>
  <c r="AR596" i="1"/>
  <c r="AP596" i="1"/>
  <c r="AN596" i="1"/>
  <c r="AM596" i="1"/>
  <c r="AL596" i="1"/>
  <c r="BI596" i="1"/>
  <c r="BG596" i="1"/>
  <c r="BE596" i="1"/>
  <c r="BC596" i="1"/>
  <c r="Y596" i="1"/>
  <c r="X596" i="1"/>
  <c r="W596" i="1"/>
  <c r="T596" i="1"/>
  <c r="AJ596" i="1"/>
  <c r="AI596" i="1"/>
  <c r="AH596" i="1"/>
  <c r="AF596" i="1"/>
  <c r="S596" i="1"/>
  <c r="F596" i="1"/>
  <c r="D596" i="1"/>
  <c r="C596" i="1"/>
  <c r="CD595" i="1"/>
  <c r="CC595" i="1"/>
  <c r="CB595" i="1"/>
  <c r="BZ595" i="1"/>
  <c r="BX595" i="1"/>
  <c r="BV595" i="1"/>
  <c r="BS595" i="1"/>
  <c r="BO595" i="1"/>
  <c r="BL595" i="1"/>
  <c r="CK595" i="1"/>
  <c r="CG595" i="1"/>
  <c r="CF595" i="1"/>
  <c r="BA595" i="1"/>
  <c r="AZ595" i="1"/>
  <c r="AY595" i="1"/>
  <c r="AW595" i="1"/>
  <c r="AT595" i="1"/>
  <c r="AR595" i="1"/>
  <c r="AP595" i="1"/>
  <c r="AN595" i="1"/>
  <c r="AM595" i="1"/>
  <c r="AL595" i="1"/>
  <c r="BI595" i="1"/>
  <c r="BG595" i="1"/>
  <c r="BE595" i="1"/>
  <c r="BC595" i="1"/>
  <c r="Y595" i="1"/>
  <c r="X595" i="1"/>
  <c r="W595" i="1"/>
  <c r="T595" i="1"/>
  <c r="AJ595" i="1"/>
  <c r="AI595" i="1"/>
  <c r="AH595" i="1"/>
  <c r="AF595" i="1"/>
  <c r="S595" i="1"/>
  <c r="F595" i="1"/>
  <c r="D595" i="1"/>
  <c r="C595" i="1"/>
  <c r="CD594" i="1"/>
  <c r="CC594" i="1"/>
  <c r="CB594" i="1"/>
  <c r="BZ594" i="1"/>
  <c r="BX594" i="1"/>
  <c r="BV594" i="1"/>
  <c r="BS594" i="1"/>
  <c r="BO594" i="1"/>
  <c r="BL594" i="1"/>
  <c r="CK594" i="1"/>
  <c r="CG594" i="1"/>
  <c r="CF594" i="1"/>
  <c r="BA594" i="1"/>
  <c r="AZ594" i="1"/>
  <c r="AY594" i="1"/>
  <c r="AW594" i="1"/>
  <c r="AT594" i="1"/>
  <c r="AR594" i="1"/>
  <c r="AP594" i="1"/>
  <c r="AN594" i="1"/>
  <c r="AM594" i="1"/>
  <c r="AL594" i="1"/>
  <c r="BI594" i="1"/>
  <c r="BG594" i="1"/>
  <c r="BE594" i="1"/>
  <c r="BC594" i="1"/>
  <c r="Y594" i="1"/>
  <c r="X594" i="1"/>
  <c r="W594" i="1"/>
  <c r="T594" i="1"/>
  <c r="AJ594" i="1"/>
  <c r="AI594" i="1"/>
  <c r="AH594" i="1"/>
  <c r="AF594" i="1"/>
  <c r="S594" i="1"/>
  <c r="F594" i="1"/>
  <c r="D594" i="1"/>
  <c r="C594" i="1"/>
  <c r="CD593" i="1"/>
  <c r="CC593" i="1"/>
  <c r="CB593" i="1"/>
  <c r="BZ593" i="1"/>
  <c r="BX593" i="1"/>
  <c r="BV593" i="1"/>
  <c r="BS593" i="1"/>
  <c r="BO593" i="1"/>
  <c r="BL593" i="1"/>
  <c r="CK593" i="1"/>
  <c r="CG593" i="1"/>
  <c r="CF593" i="1"/>
  <c r="BA593" i="1"/>
  <c r="AZ593" i="1"/>
  <c r="AY593" i="1"/>
  <c r="AW593" i="1"/>
  <c r="AT593" i="1"/>
  <c r="AR593" i="1"/>
  <c r="AP593" i="1"/>
  <c r="AN593" i="1"/>
  <c r="AM593" i="1"/>
  <c r="AL593" i="1"/>
  <c r="BI593" i="1"/>
  <c r="BG593" i="1"/>
  <c r="BE593" i="1"/>
  <c r="BC593" i="1"/>
  <c r="Y593" i="1"/>
  <c r="X593" i="1"/>
  <c r="W593" i="1"/>
  <c r="T593" i="1"/>
  <c r="AJ593" i="1"/>
  <c r="AI593" i="1"/>
  <c r="AH593" i="1"/>
  <c r="AF593" i="1"/>
  <c r="S593" i="1"/>
  <c r="F593" i="1"/>
  <c r="D593" i="1"/>
  <c r="C593" i="1"/>
  <c r="CD592" i="1"/>
  <c r="CC592" i="1"/>
  <c r="CB592" i="1"/>
  <c r="BZ592" i="1"/>
  <c r="BX592" i="1"/>
  <c r="BV592" i="1"/>
  <c r="BS592" i="1"/>
  <c r="BO592" i="1"/>
  <c r="BL592" i="1"/>
  <c r="CK592" i="1"/>
  <c r="CG592" i="1"/>
  <c r="CF592" i="1"/>
  <c r="BA592" i="1"/>
  <c r="AZ592" i="1"/>
  <c r="AY592" i="1"/>
  <c r="AW592" i="1"/>
  <c r="AT592" i="1"/>
  <c r="AR592" i="1"/>
  <c r="AP592" i="1"/>
  <c r="AN592" i="1"/>
  <c r="AM592" i="1"/>
  <c r="AL592" i="1"/>
  <c r="BI592" i="1"/>
  <c r="BG592" i="1"/>
  <c r="BE592" i="1"/>
  <c r="BC592" i="1"/>
  <c r="Y592" i="1"/>
  <c r="X592" i="1"/>
  <c r="W592" i="1"/>
  <c r="T592" i="1"/>
  <c r="AJ592" i="1"/>
  <c r="AI592" i="1"/>
  <c r="AH592" i="1"/>
  <c r="AF592" i="1"/>
  <c r="S592" i="1"/>
  <c r="F592" i="1"/>
  <c r="D592" i="1"/>
  <c r="C592" i="1"/>
  <c r="CD591" i="1"/>
  <c r="CC591" i="1"/>
  <c r="CB591" i="1"/>
  <c r="BZ591" i="1"/>
  <c r="BX591" i="1"/>
  <c r="BV591" i="1"/>
  <c r="BS591" i="1"/>
  <c r="BO591" i="1"/>
  <c r="BL591" i="1"/>
  <c r="CK591" i="1"/>
  <c r="CG591" i="1"/>
  <c r="CF591" i="1"/>
  <c r="BA591" i="1"/>
  <c r="AZ591" i="1"/>
  <c r="AY591" i="1"/>
  <c r="AW591" i="1"/>
  <c r="AT591" i="1"/>
  <c r="AR591" i="1"/>
  <c r="AP591" i="1"/>
  <c r="AN591" i="1"/>
  <c r="AM591" i="1"/>
  <c r="AL591" i="1"/>
  <c r="BI591" i="1"/>
  <c r="BG591" i="1"/>
  <c r="BE591" i="1"/>
  <c r="BC591" i="1"/>
  <c r="Y591" i="1"/>
  <c r="X591" i="1"/>
  <c r="W591" i="1"/>
  <c r="T591" i="1"/>
  <c r="AJ591" i="1"/>
  <c r="AI591" i="1"/>
  <c r="AH591" i="1"/>
  <c r="AF591" i="1"/>
  <c r="S591" i="1"/>
  <c r="F591" i="1"/>
  <c r="D591" i="1"/>
  <c r="C591" i="1"/>
  <c r="CD590" i="1"/>
  <c r="CC590" i="1"/>
  <c r="CB590" i="1"/>
  <c r="BZ590" i="1"/>
  <c r="BX590" i="1"/>
  <c r="BV590" i="1"/>
  <c r="BS590" i="1"/>
  <c r="BO590" i="1"/>
  <c r="BL590" i="1"/>
  <c r="CK590" i="1"/>
  <c r="CG590" i="1"/>
  <c r="CF590" i="1"/>
  <c r="BA590" i="1"/>
  <c r="AZ590" i="1"/>
  <c r="AY590" i="1"/>
  <c r="AW590" i="1"/>
  <c r="AT590" i="1"/>
  <c r="AR590" i="1"/>
  <c r="AP590" i="1"/>
  <c r="AN590" i="1"/>
  <c r="AM590" i="1"/>
  <c r="AL590" i="1"/>
  <c r="BI590" i="1"/>
  <c r="BG590" i="1"/>
  <c r="BE590" i="1"/>
  <c r="BC590" i="1"/>
  <c r="Y590" i="1"/>
  <c r="X590" i="1"/>
  <c r="W590" i="1"/>
  <c r="T590" i="1"/>
  <c r="AJ590" i="1"/>
  <c r="AI590" i="1"/>
  <c r="AH590" i="1"/>
  <c r="AF590" i="1"/>
  <c r="S590" i="1"/>
  <c r="F590" i="1"/>
  <c r="D590" i="1"/>
  <c r="C590" i="1"/>
  <c r="CD589" i="1"/>
  <c r="CC589" i="1"/>
  <c r="CB589" i="1"/>
  <c r="BZ589" i="1"/>
  <c r="BX589" i="1"/>
  <c r="BV589" i="1"/>
  <c r="BS589" i="1"/>
  <c r="BO589" i="1"/>
  <c r="BL589" i="1"/>
  <c r="CK589" i="1"/>
  <c r="CG589" i="1"/>
  <c r="CF589" i="1"/>
  <c r="BA589" i="1"/>
  <c r="AZ589" i="1"/>
  <c r="AY589" i="1"/>
  <c r="AW589" i="1"/>
  <c r="AT589" i="1"/>
  <c r="AR589" i="1"/>
  <c r="AP589" i="1"/>
  <c r="AN589" i="1"/>
  <c r="AM589" i="1"/>
  <c r="AL589" i="1"/>
  <c r="BI589" i="1"/>
  <c r="BG589" i="1"/>
  <c r="BE589" i="1"/>
  <c r="BC589" i="1"/>
  <c r="Y589" i="1"/>
  <c r="X589" i="1"/>
  <c r="W589" i="1"/>
  <c r="T589" i="1"/>
  <c r="AJ589" i="1"/>
  <c r="AI589" i="1"/>
  <c r="AH589" i="1"/>
  <c r="AF589" i="1"/>
  <c r="S589" i="1"/>
  <c r="F589" i="1"/>
  <c r="D589" i="1"/>
  <c r="C589" i="1"/>
  <c r="CD588" i="1"/>
  <c r="CC588" i="1"/>
  <c r="CB588" i="1"/>
  <c r="BZ588" i="1"/>
  <c r="BX588" i="1"/>
  <c r="BV588" i="1"/>
  <c r="BS588" i="1"/>
  <c r="BO588" i="1"/>
  <c r="BL588" i="1"/>
  <c r="CK588" i="1"/>
  <c r="CG588" i="1"/>
  <c r="CF588" i="1"/>
  <c r="BA588" i="1"/>
  <c r="AZ588" i="1"/>
  <c r="AY588" i="1"/>
  <c r="AW588" i="1"/>
  <c r="AT588" i="1"/>
  <c r="AR588" i="1"/>
  <c r="AP588" i="1"/>
  <c r="AN588" i="1"/>
  <c r="AM588" i="1"/>
  <c r="AL588" i="1"/>
  <c r="BI588" i="1"/>
  <c r="BG588" i="1"/>
  <c r="BE588" i="1"/>
  <c r="BC588" i="1"/>
  <c r="Y588" i="1"/>
  <c r="X588" i="1"/>
  <c r="W588" i="1"/>
  <c r="T588" i="1"/>
  <c r="AJ588" i="1"/>
  <c r="AI588" i="1"/>
  <c r="AH588" i="1"/>
  <c r="AF588" i="1"/>
  <c r="S588" i="1"/>
  <c r="F588" i="1"/>
  <c r="D588" i="1"/>
  <c r="C588" i="1"/>
  <c r="CD587" i="1"/>
  <c r="CC587" i="1"/>
  <c r="CB587" i="1"/>
  <c r="BZ587" i="1"/>
  <c r="BX587" i="1"/>
  <c r="BV587" i="1"/>
  <c r="BS587" i="1"/>
  <c r="BO587" i="1"/>
  <c r="BL587" i="1"/>
  <c r="CK587" i="1"/>
  <c r="CG587" i="1"/>
  <c r="CF587" i="1"/>
  <c r="BA587" i="1"/>
  <c r="AZ587" i="1"/>
  <c r="AY587" i="1"/>
  <c r="AW587" i="1"/>
  <c r="AT587" i="1"/>
  <c r="AR587" i="1"/>
  <c r="AP587" i="1"/>
  <c r="AN587" i="1"/>
  <c r="AM587" i="1"/>
  <c r="AL587" i="1"/>
  <c r="BI587" i="1"/>
  <c r="BG587" i="1"/>
  <c r="BE587" i="1"/>
  <c r="BC587" i="1"/>
  <c r="Y587" i="1"/>
  <c r="X587" i="1"/>
  <c r="W587" i="1"/>
  <c r="T587" i="1"/>
  <c r="AJ587" i="1"/>
  <c r="AI587" i="1"/>
  <c r="AH587" i="1"/>
  <c r="AF587" i="1"/>
  <c r="S587" i="1"/>
  <c r="F587" i="1"/>
  <c r="D587" i="1"/>
  <c r="C587" i="1"/>
  <c r="CD586" i="1"/>
  <c r="CC586" i="1"/>
  <c r="CB586" i="1"/>
  <c r="BZ586" i="1"/>
  <c r="BX586" i="1"/>
  <c r="BV586" i="1"/>
  <c r="BS586" i="1"/>
  <c r="BO586" i="1"/>
  <c r="BL586" i="1"/>
  <c r="CK586" i="1"/>
  <c r="CG586" i="1"/>
  <c r="CF586" i="1"/>
  <c r="BA586" i="1"/>
  <c r="AZ586" i="1"/>
  <c r="AY586" i="1"/>
  <c r="AW586" i="1"/>
  <c r="AT586" i="1"/>
  <c r="AR586" i="1"/>
  <c r="AP586" i="1"/>
  <c r="AN586" i="1"/>
  <c r="AM586" i="1"/>
  <c r="AL586" i="1"/>
  <c r="BI586" i="1"/>
  <c r="BG586" i="1"/>
  <c r="BE586" i="1"/>
  <c r="BC586" i="1"/>
  <c r="Y586" i="1"/>
  <c r="X586" i="1"/>
  <c r="W586" i="1"/>
  <c r="T586" i="1"/>
  <c r="AJ586" i="1"/>
  <c r="AI586" i="1"/>
  <c r="AH586" i="1"/>
  <c r="AF586" i="1"/>
  <c r="S586" i="1"/>
  <c r="F586" i="1"/>
  <c r="D586" i="1"/>
  <c r="C586" i="1"/>
  <c r="CD585" i="1"/>
  <c r="CC585" i="1"/>
  <c r="CB585" i="1"/>
  <c r="BZ585" i="1"/>
  <c r="BX585" i="1"/>
  <c r="BV585" i="1"/>
  <c r="BS585" i="1"/>
  <c r="BO585" i="1"/>
  <c r="BL585" i="1"/>
  <c r="CK585" i="1"/>
  <c r="CG585" i="1"/>
  <c r="CF585" i="1"/>
  <c r="BA585" i="1"/>
  <c r="AZ585" i="1"/>
  <c r="AY585" i="1"/>
  <c r="AW585" i="1"/>
  <c r="AT585" i="1"/>
  <c r="AR585" i="1"/>
  <c r="AP585" i="1"/>
  <c r="AN585" i="1"/>
  <c r="AM585" i="1"/>
  <c r="AL585" i="1"/>
  <c r="BI585" i="1"/>
  <c r="BG585" i="1"/>
  <c r="BE585" i="1"/>
  <c r="BC585" i="1"/>
  <c r="Y585" i="1"/>
  <c r="X585" i="1"/>
  <c r="W585" i="1"/>
  <c r="T585" i="1"/>
  <c r="AJ585" i="1"/>
  <c r="AI585" i="1"/>
  <c r="AH585" i="1"/>
  <c r="AF585" i="1"/>
  <c r="S585" i="1"/>
  <c r="F585" i="1"/>
  <c r="D585" i="1"/>
  <c r="C585" i="1"/>
  <c r="CD584" i="1"/>
  <c r="CC584" i="1"/>
  <c r="CB584" i="1"/>
  <c r="BZ584" i="1"/>
  <c r="BX584" i="1"/>
  <c r="BV584" i="1"/>
  <c r="BS584" i="1"/>
  <c r="BO584" i="1"/>
  <c r="BL584" i="1"/>
  <c r="CK584" i="1"/>
  <c r="CG584" i="1"/>
  <c r="CF584" i="1"/>
  <c r="BA584" i="1"/>
  <c r="AZ584" i="1"/>
  <c r="AY584" i="1"/>
  <c r="AW584" i="1"/>
  <c r="AT584" i="1"/>
  <c r="AR584" i="1"/>
  <c r="AP584" i="1"/>
  <c r="AN584" i="1"/>
  <c r="AM584" i="1"/>
  <c r="AL584" i="1"/>
  <c r="BI584" i="1"/>
  <c r="BG584" i="1"/>
  <c r="BE584" i="1"/>
  <c r="BC584" i="1"/>
  <c r="Y584" i="1"/>
  <c r="X584" i="1"/>
  <c r="W584" i="1"/>
  <c r="T584" i="1"/>
  <c r="AJ584" i="1"/>
  <c r="AI584" i="1"/>
  <c r="AH584" i="1"/>
  <c r="AF584" i="1"/>
  <c r="S584" i="1"/>
  <c r="F584" i="1"/>
  <c r="D584" i="1"/>
  <c r="C584" i="1"/>
  <c r="CD583" i="1"/>
  <c r="CC583" i="1"/>
  <c r="CB583" i="1"/>
  <c r="BZ583" i="1"/>
  <c r="BX583" i="1"/>
  <c r="BV583" i="1"/>
  <c r="BS583" i="1"/>
  <c r="BO583" i="1"/>
  <c r="BL583" i="1"/>
  <c r="CK583" i="1"/>
  <c r="CG583" i="1"/>
  <c r="CF583" i="1"/>
  <c r="BA583" i="1"/>
  <c r="AZ583" i="1"/>
  <c r="AY583" i="1"/>
  <c r="AW583" i="1"/>
  <c r="AT583" i="1"/>
  <c r="AR583" i="1"/>
  <c r="AP583" i="1"/>
  <c r="AN583" i="1"/>
  <c r="AM583" i="1"/>
  <c r="AL583" i="1"/>
  <c r="BI583" i="1"/>
  <c r="BG583" i="1"/>
  <c r="BE583" i="1"/>
  <c r="BC583" i="1"/>
  <c r="Y583" i="1"/>
  <c r="X583" i="1"/>
  <c r="W583" i="1"/>
  <c r="T583" i="1"/>
  <c r="AJ583" i="1"/>
  <c r="AI583" i="1"/>
  <c r="AH583" i="1"/>
  <c r="AF583" i="1"/>
  <c r="S583" i="1"/>
  <c r="F583" i="1"/>
  <c r="D583" i="1"/>
  <c r="C583" i="1"/>
  <c r="CD582" i="1"/>
  <c r="CC582" i="1"/>
  <c r="CB582" i="1"/>
  <c r="BZ582" i="1"/>
  <c r="BX582" i="1"/>
  <c r="BV582" i="1"/>
  <c r="BS582" i="1"/>
  <c r="BO582" i="1"/>
  <c r="BL582" i="1"/>
  <c r="CK582" i="1"/>
  <c r="CG582" i="1"/>
  <c r="CF582" i="1"/>
  <c r="BA582" i="1"/>
  <c r="AZ582" i="1"/>
  <c r="AY582" i="1"/>
  <c r="AW582" i="1"/>
  <c r="AT582" i="1"/>
  <c r="AR582" i="1"/>
  <c r="AP582" i="1"/>
  <c r="AN582" i="1"/>
  <c r="AM582" i="1"/>
  <c r="AL582" i="1"/>
  <c r="BI582" i="1"/>
  <c r="BG582" i="1"/>
  <c r="BE582" i="1"/>
  <c r="BC582" i="1"/>
  <c r="Y582" i="1"/>
  <c r="X582" i="1"/>
  <c r="W582" i="1"/>
  <c r="T582" i="1"/>
  <c r="AJ582" i="1"/>
  <c r="AI582" i="1"/>
  <c r="AH582" i="1"/>
  <c r="AF582" i="1"/>
  <c r="S582" i="1"/>
  <c r="F582" i="1"/>
  <c r="D582" i="1"/>
  <c r="C582" i="1"/>
  <c r="CD581" i="1"/>
  <c r="CC581" i="1"/>
  <c r="CB581" i="1"/>
  <c r="BZ581" i="1"/>
  <c r="BX581" i="1"/>
  <c r="BV581" i="1"/>
  <c r="BS581" i="1"/>
  <c r="BO581" i="1"/>
  <c r="BL581" i="1"/>
  <c r="CK581" i="1"/>
  <c r="CG581" i="1"/>
  <c r="CF581" i="1"/>
  <c r="BA581" i="1"/>
  <c r="AZ581" i="1"/>
  <c r="AY581" i="1"/>
  <c r="AW581" i="1"/>
  <c r="AT581" i="1"/>
  <c r="AR581" i="1"/>
  <c r="AP581" i="1"/>
  <c r="AN581" i="1"/>
  <c r="AM581" i="1"/>
  <c r="AL581" i="1"/>
  <c r="BI581" i="1"/>
  <c r="BG581" i="1"/>
  <c r="BE581" i="1"/>
  <c r="BC581" i="1"/>
  <c r="Y581" i="1"/>
  <c r="X581" i="1"/>
  <c r="W581" i="1"/>
  <c r="T581" i="1"/>
  <c r="AJ581" i="1"/>
  <c r="AI581" i="1"/>
  <c r="AH581" i="1"/>
  <c r="AF581" i="1"/>
  <c r="S581" i="1"/>
  <c r="F581" i="1"/>
  <c r="D581" i="1"/>
  <c r="C581" i="1"/>
  <c r="CD580" i="1"/>
  <c r="CC580" i="1"/>
  <c r="CB580" i="1"/>
  <c r="BZ580" i="1"/>
  <c r="BX580" i="1"/>
  <c r="BV580" i="1"/>
  <c r="BS580" i="1"/>
  <c r="BO580" i="1"/>
  <c r="BL580" i="1"/>
  <c r="CK580" i="1"/>
  <c r="CG580" i="1"/>
  <c r="CF580" i="1"/>
  <c r="BA580" i="1"/>
  <c r="AZ580" i="1"/>
  <c r="AY580" i="1"/>
  <c r="AW580" i="1"/>
  <c r="AT580" i="1"/>
  <c r="AR580" i="1"/>
  <c r="AP580" i="1"/>
  <c r="AN580" i="1"/>
  <c r="AM580" i="1"/>
  <c r="AL580" i="1"/>
  <c r="BI580" i="1"/>
  <c r="BG580" i="1"/>
  <c r="BE580" i="1"/>
  <c r="BC580" i="1"/>
  <c r="Y580" i="1"/>
  <c r="X580" i="1"/>
  <c r="W580" i="1"/>
  <c r="T580" i="1"/>
  <c r="AJ580" i="1"/>
  <c r="AI580" i="1"/>
  <c r="AH580" i="1"/>
  <c r="AF580" i="1"/>
  <c r="S580" i="1"/>
  <c r="F580" i="1"/>
  <c r="D580" i="1"/>
  <c r="C580" i="1"/>
  <c r="CD579" i="1"/>
  <c r="CC579" i="1"/>
  <c r="CB579" i="1"/>
  <c r="BZ579" i="1"/>
  <c r="BX579" i="1"/>
  <c r="BV579" i="1"/>
  <c r="BS579" i="1"/>
  <c r="BO579" i="1"/>
  <c r="BL579" i="1"/>
  <c r="CK579" i="1"/>
  <c r="CG579" i="1"/>
  <c r="CF579" i="1"/>
  <c r="BA579" i="1"/>
  <c r="AZ579" i="1"/>
  <c r="AY579" i="1"/>
  <c r="AW579" i="1"/>
  <c r="AT579" i="1"/>
  <c r="AR579" i="1"/>
  <c r="AP579" i="1"/>
  <c r="AN579" i="1"/>
  <c r="AM579" i="1"/>
  <c r="AL579" i="1"/>
  <c r="BI579" i="1"/>
  <c r="BG579" i="1"/>
  <c r="BE579" i="1"/>
  <c r="BC579" i="1"/>
  <c r="Y579" i="1"/>
  <c r="X579" i="1"/>
  <c r="W579" i="1"/>
  <c r="T579" i="1"/>
  <c r="AJ579" i="1"/>
  <c r="AI579" i="1"/>
  <c r="AH579" i="1"/>
  <c r="AF579" i="1"/>
  <c r="S579" i="1"/>
  <c r="F579" i="1"/>
  <c r="D579" i="1"/>
  <c r="C579" i="1"/>
  <c r="CD578" i="1"/>
  <c r="CC578" i="1"/>
  <c r="CB578" i="1"/>
  <c r="BZ578" i="1"/>
  <c r="BX578" i="1"/>
  <c r="BV578" i="1"/>
  <c r="BS578" i="1"/>
  <c r="BO578" i="1"/>
  <c r="BL578" i="1"/>
  <c r="CK578" i="1"/>
  <c r="CG578" i="1"/>
  <c r="CF578" i="1"/>
  <c r="BA578" i="1"/>
  <c r="AZ578" i="1"/>
  <c r="AY578" i="1"/>
  <c r="AW578" i="1"/>
  <c r="AT578" i="1"/>
  <c r="AR578" i="1"/>
  <c r="AP578" i="1"/>
  <c r="AN578" i="1"/>
  <c r="AM578" i="1"/>
  <c r="AL578" i="1"/>
  <c r="BI578" i="1"/>
  <c r="BG578" i="1"/>
  <c r="BE578" i="1"/>
  <c r="BC578" i="1"/>
  <c r="Y578" i="1"/>
  <c r="X578" i="1"/>
  <c r="W578" i="1"/>
  <c r="T578" i="1"/>
  <c r="AJ578" i="1"/>
  <c r="AI578" i="1"/>
  <c r="AH578" i="1"/>
  <c r="AF578" i="1"/>
  <c r="S578" i="1"/>
  <c r="F578" i="1"/>
  <c r="D578" i="1"/>
  <c r="C578" i="1"/>
  <c r="CD577" i="1"/>
  <c r="CC577" i="1"/>
  <c r="CB577" i="1"/>
  <c r="BZ577" i="1"/>
  <c r="BX577" i="1"/>
  <c r="BV577" i="1"/>
  <c r="BS577" i="1"/>
  <c r="BO577" i="1"/>
  <c r="BL577" i="1"/>
  <c r="CK577" i="1"/>
  <c r="CG577" i="1"/>
  <c r="CF577" i="1"/>
  <c r="BA577" i="1"/>
  <c r="AZ577" i="1"/>
  <c r="AY577" i="1"/>
  <c r="AW577" i="1"/>
  <c r="AT577" i="1"/>
  <c r="AR577" i="1"/>
  <c r="AP577" i="1"/>
  <c r="AN577" i="1"/>
  <c r="AM577" i="1"/>
  <c r="AL577" i="1"/>
  <c r="BI577" i="1"/>
  <c r="BG577" i="1"/>
  <c r="BE577" i="1"/>
  <c r="BC577" i="1"/>
  <c r="Y577" i="1"/>
  <c r="X577" i="1"/>
  <c r="W577" i="1"/>
  <c r="T577" i="1"/>
  <c r="AJ577" i="1"/>
  <c r="AI577" i="1"/>
  <c r="AH577" i="1"/>
  <c r="AF577" i="1"/>
  <c r="S577" i="1"/>
  <c r="F577" i="1"/>
  <c r="D577" i="1"/>
  <c r="C577" i="1"/>
  <c r="CD576" i="1"/>
  <c r="CC576" i="1"/>
  <c r="CB576" i="1"/>
  <c r="BZ576" i="1"/>
  <c r="BX576" i="1"/>
  <c r="BV576" i="1"/>
  <c r="BS576" i="1"/>
  <c r="BO576" i="1"/>
  <c r="BL576" i="1"/>
  <c r="CK576" i="1"/>
  <c r="CG576" i="1"/>
  <c r="CF576" i="1"/>
  <c r="BA576" i="1"/>
  <c r="AZ576" i="1"/>
  <c r="AY576" i="1"/>
  <c r="AW576" i="1"/>
  <c r="AT576" i="1"/>
  <c r="AR576" i="1"/>
  <c r="AP576" i="1"/>
  <c r="AN576" i="1"/>
  <c r="AM576" i="1"/>
  <c r="AL576" i="1"/>
  <c r="BI576" i="1"/>
  <c r="BG576" i="1"/>
  <c r="BE576" i="1"/>
  <c r="BC576" i="1"/>
  <c r="Y576" i="1"/>
  <c r="X576" i="1"/>
  <c r="W576" i="1"/>
  <c r="T576" i="1"/>
  <c r="AJ576" i="1"/>
  <c r="AI576" i="1"/>
  <c r="AH576" i="1"/>
  <c r="AF576" i="1"/>
  <c r="S576" i="1"/>
  <c r="F576" i="1"/>
  <c r="D576" i="1"/>
  <c r="C576" i="1"/>
  <c r="CD575" i="1"/>
  <c r="CC575" i="1"/>
  <c r="CB575" i="1"/>
  <c r="BZ575" i="1"/>
  <c r="BX575" i="1"/>
  <c r="BV575" i="1"/>
  <c r="BS575" i="1"/>
  <c r="BO575" i="1"/>
  <c r="BL575" i="1"/>
  <c r="CK575" i="1"/>
  <c r="CG575" i="1"/>
  <c r="CF575" i="1"/>
  <c r="BA575" i="1"/>
  <c r="AZ575" i="1"/>
  <c r="AY575" i="1"/>
  <c r="AW575" i="1"/>
  <c r="AT575" i="1"/>
  <c r="AR575" i="1"/>
  <c r="AP575" i="1"/>
  <c r="AN575" i="1"/>
  <c r="AM575" i="1"/>
  <c r="AL575" i="1"/>
  <c r="BI575" i="1"/>
  <c r="BG575" i="1"/>
  <c r="BE575" i="1"/>
  <c r="BC575" i="1"/>
  <c r="Y575" i="1"/>
  <c r="X575" i="1"/>
  <c r="W575" i="1"/>
  <c r="T575" i="1"/>
  <c r="AJ575" i="1"/>
  <c r="AI575" i="1"/>
  <c r="AH575" i="1"/>
  <c r="AF575" i="1"/>
  <c r="S575" i="1"/>
  <c r="F575" i="1"/>
  <c r="D575" i="1"/>
  <c r="C575" i="1"/>
  <c r="CD574" i="1"/>
  <c r="CC574" i="1"/>
  <c r="CB574" i="1"/>
  <c r="BZ574" i="1"/>
  <c r="BX574" i="1"/>
  <c r="BV574" i="1"/>
  <c r="BS574" i="1"/>
  <c r="BO574" i="1"/>
  <c r="BL574" i="1"/>
  <c r="CK574" i="1"/>
  <c r="CG574" i="1"/>
  <c r="CF574" i="1"/>
  <c r="BA574" i="1"/>
  <c r="AZ574" i="1"/>
  <c r="AY574" i="1"/>
  <c r="AW574" i="1"/>
  <c r="AT574" i="1"/>
  <c r="AR574" i="1"/>
  <c r="AP574" i="1"/>
  <c r="AN574" i="1"/>
  <c r="AM574" i="1"/>
  <c r="AL574" i="1"/>
  <c r="BI574" i="1"/>
  <c r="BG574" i="1"/>
  <c r="BE574" i="1"/>
  <c r="BC574" i="1"/>
  <c r="Y574" i="1"/>
  <c r="X574" i="1"/>
  <c r="W574" i="1"/>
  <c r="T574" i="1"/>
  <c r="AJ574" i="1"/>
  <c r="AI574" i="1"/>
  <c r="AH574" i="1"/>
  <c r="AF574" i="1"/>
  <c r="S574" i="1"/>
  <c r="F574" i="1"/>
  <c r="D574" i="1"/>
  <c r="C574" i="1"/>
  <c r="CD573" i="1"/>
  <c r="CC573" i="1"/>
  <c r="CB573" i="1"/>
  <c r="BZ573" i="1"/>
  <c r="BX573" i="1"/>
  <c r="BV573" i="1"/>
  <c r="BS573" i="1"/>
  <c r="BO573" i="1"/>
  <c r="BL573" i="1"/>
  <c r="CK573" i="1"/>
  <c r="CG573" i="1"/>
  <c r="CF573" i="1"/>
  <c r="BA573" i="1"/>
  <c r="AZ573" i="1"/>
  <c r="AY573" i="1"/>
  <c r="AW573" i="1"/>
  <c r="AT573" i="1"/>
  <c r="AR573" i="1"/>
  <c r="AP573" i="1"/>
  <c r="AN573" i="1"/>
  <c r="AM573" i="1"/>
  <c r="AL573" i="1"/>
  <c r="BI573" i="1"/>
  <c r="BG573" i="1"/>
  <c r="BE573" i="1"/>
  <c r="BC573" i="1"/>
  <c r="Y573" i="1"/>
  <c r="X573" i="1"/>
  <c r="W573" i="1"/>
  <c r="T573" i="1"/>
  <c r="AJ573" i="1"/>
  <c r="AI573" i="1"/>
  <c r="AH573" i="1"/>
  <c r="AF573" i="1"/>
  <c r="S573" i="1"/>
  <c r="F573" i="1"/>
  <c r="D573" i="1"/>
  <c r="C573" i="1"/>
  <c r="CD572" i="1"/>
  <c r="CC572" i="1"/>
  <c r="CB572" i="1"/>
  <c r="BZ572" i="1"/>
  <c r="BX572" i="1"/>
  <c r="BV572" i="1"/>
  <c r="BS572" i="1"/>
  <c r="BO572" i="1"/>
  <c r="BL572" i="1"/>
  <c r="CK572" i="1"/>
  <c r="CG572" i="1"/>
  <c r="CF572" i="1"/>
  <c r="BA572" i="1"/>
  <c r="AZ572" i="1"/>
  <c r="AY572" i="1"/>
  <c r="AW572" i="1"/>
  <c r="AT572" i="1"/>
  <c r="AR572" i="1"/>
  <c r="AP572" i="1"/>
  <c r="AN572" i="1"/>
  <c r="AM572" i="1"/>
  <c r="AL572" i="1"/>
  <c r="BI572" i="1"/>
  <c r="BG572" i="1"/>
  <c r="BE572" i="1"/>
  <c r="BC572" i="1"/>
  <c r="Y572" i="1"/>
  <c r="X572" i="1"/>
  <c r="W572" i="1"/>
  <c r="T572" i="1"/>
  <c r="AJ572" i="1"/>
  <c r="AI572" i="1"/>
  <c r="AH572" i="1"/>
  <c r="AF572" i="1"/>
  <c r="S572" i="1"/>
  <c r="F572" i="1"/>
  <c r="D572" i="1"/>
  <c r="C572" i="1"/>
  <c r="CD571" i="1"/>
  <c r="CC571" i="1"/>
  <c r="CB571" i="1"/>
  <c r="BZ571" i="1"/>
  <c r="BX571" i="1"/>
  <c r="BV571" i="1"/>
  <c r="BS571" i="1"/>
  <c r="BO571" i="1"/>
  <c r="BL571" i="1"/>
  <c r="CK571" i="1"/>
  <c r="CG571" i="1"/>
  <c r="CF571" i="1"/>
  <c r="BA571" i="1"/>
  <c r="AZ571" i="1"/>
  <c r="AY571" i="1"/>
  <c r="AW571" i="1"/>
  <c r="AT571" i="1"/>
  <c r="AR571" i="1"/>
  <c r="AP571" i="1"/>
  <c r="AN571" i="1"/>
  <c r="AM571" i="1"/>
  <c r="AL571" i="1"/>
  <c r="BI571" i="1"/>
  <c r="BG571" i="1"/>
  <c r="BE571" i="1"/>
  <c r="BC571" i="1"/>
  <c r="Y571" i="1"/>
  <c r="X571" i="1"/>
  <c r="W571" i="1"/>
  <c r="T571" i="1"/>
  <c r="AJ571" i="1"/>
  <c r="AI571" i="1"/>
  <c r="AH571" i="1"/>
  <c r="AF571" i="1"/>
  <c r="S571" i="1"/>
  <c r="F571" i="1"/>
  <c r="D571" i="1"/>
  <c r="C571" i="1"/>
  <c r="CD570" i="1"/>
  <c r="CC570" i="1"/>
  <c r="CB570" i="1"/>
  <c r="BZ570" i="1"/>
  <c r="BX570" i="1"/>
  <c r="BV570" i="1"/>
  <c r="BS570" i="1"/>
  <c r="BO570" i="1"/>
  <c r="BL570" i="1"/>
  <c r="CK570" i="1"/>
  <c r="CG570" i="1"/>
  <c r="CF570" i="1"/>
  <c r="BA570" i="1"/>
  <c r="AZ570" i="1"/>
  <c r="AY570" i="1"/>
  <c r="AW570" i="1"/>
  <c r="AT570" i="1"/>
  <c r="AR570" i="1"/>
  <c r="AP570" i="1"/>
  <c r="AN570" i="1"/>
  <c r="AM570" i="1"/>
  <c r="AL570" i="1"/>
  <c r="BI570" i="1"/>
  <c r="BG570" i="1"/>
  <c r="BE570" i="1"/>
  <c r="BC570" i="1"/>
  <c r="Y570" i="1"/>
  <c r="X570" i="1"/>
  <c r="W570" i="1"/>
  <c r="T570" i="1"/>
  <c r="AJ570" i="1"/>
  <c r="AI570" i="1"/>
  <c r="AH570" i="1"/>
  <c r="AF570" i="1"/>
  <c r="S570" i="1"/>
  <c r="F570" i="1"/>
  <c r="D570" i="1"/>
  <c r="C570" i="1"/>
  <c r="CD569" i="1"/>
  <c r="CC569" i="1"/>
  <c r="CB569" i="1"/>
  <c r="BZ569" i="1"/>
  <c r="BX569" i="1"/>
  <c r="BV569" i="1"/>
  <c r="BS569" i="1"/>
  <c r="BO569" i="1"/>
  <c r="BL569" i="1"/>
  <c r="CK569" i="1"/>
  <c r="CG569" i="1"/>
  <c r="CF569" i="1"/>
  <c r="BA569" i="1"/>
  <c r="AZ569" i="1"/>
  <c r="AY569" i="1"/>
  <c r="AW569" i="1"/>
  <c r="AT569" i="1"/>
  <c r="AR569" i="1"/>
  <c r="AP569" i="1"/>
  <c r="AN569" i="1"/>
  <c r="AM569" i="1"/>
  <c r="AL569" i="1"/>
  <c r="BI569" i="1"/>
  <c r="BG569" i="1"/>
  <c r="BE569" i="1"/>
  <c r="BC569" i="1"/>
  <c r="Y569" i="1"/>
  <c r="X569" i="1"/>
  <c r="W569" i="1"/>
  <c r="T569" i="1"/>
  <c r="AJ569" i="1"/>
  <c r="AI569" i="1"/>
  <c r="AH569" i="1"/>
  <c r="AF569" i="1"/>
  <c r="S569" i="1"/>
  <c r="F569" i="1"/>
  <c r="D569" i="1"/>
  <c r="C569" i="1"/>
  <c r="CD566" i="1"/>
  <c r="CC566" i="1"/>
  <c r="CB566" i="1"/>
  <c r="BZ566" i="1"/>
  <c r="BX566" i="1"/>
  <c r="BV566" i="1"/>
  <c r="BS566" i="1"/>
  <c r="BO566" i="1"/>
  <c r="BL566" i="1"/>
  <c r="CK566" i="1"/>
  <c r="CG566" i="1"/>
  <c r="CF566" i="1"/>
  <c r="BA566" i="1"/>
  <c r="AZ566" i="1"/>
  <c r="AY566" i="1"/>
  <c r="AW566" i="1"/>
  <c r="AT566" i="1"/>
  <c r="AR566" i="1"/>
  <c r="AP566" i="1"/>
  <c r="AN566" i="1"/>
  <c r="AM566" i="1"/>
  <c r="AL566" i="1"/>
  <c r="BI566" i="1"/>
  <c r="BG566" i="1"/>
  <c r="BE566" i="1"/>
  <c r="BC566" i="1"/>
  <c r="Y565" i="1"/>
  <c r="Y566" i="1" s="1"/>
  <c r="X565" i="1"/>
  <c r="X566" i="1" s="1"/>
  <c r="W565" i="1"/>
  <c r="W566" i="1" s="1"/>
  <c r="T565" i="1"/>
  <c r="T566" i="1" s="1"/>
  <c r="AJ565" i="1"/>
  <c r="AJ566" i="1" s="1"/>
  <c r="AI565" i="1"/>
  <c r="AI566" i="1" s="1"/>
  <c r="AH565" i="1"/>
  <c r="AH566" i="1" s="1"/>
  <c r="AF565" i="1"/>
  <c r="AF566" i="1" s="1"/>
  <c r="S565" i="1"/>
  <c r="S566" i="1" s="1"/>
  <c r="F565" i="1"/>
  <c r="F566" i="1" s="1"/>
  <c r="D565" i="1"/>
  <c r="D566" i="1" s="1"/>
  <c r="C565" i="1"/>
  <c r="E567" i="1" s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566" i="1" l="1"/>
</calcChain>
</file>

<file path=xl/sharedStrings.xml><?xml version="1.0" encoding="utf-8"?>
<sst xmlns="http://schemas.openxmlformats.org/spreadsheetml/2006/main" count="1550" uniqueCount="820">
  <si>
    <t>U.S. Senator</t>
  </si>
  <si>
    <t>Rep to Congress                                       (1st District)</t>
  </si>
  <si>
    <t>Rep to Congress                                                       (8th District)</t>
  </si>
  <si>
    <t>Justice of the Supreme Court                                             (Unexpired term ending             12-31-26)</t>
  </si>
  <si>
    <t>State Senator                                       (8th District)</t>
  </si>
  <si>
    <t>State Rep                                                        (24th District)</t>
  </si>
  <si>
    <t>State Rep                                      (25th District)</t>
  </si>
  <si>
    <t>State Rep                                 (26th District)</t>
  </si>
  <si>
    <t>State Rep                                                                 (27th District)</t>
  </si>
  <si>
    <t>State Rep                                                                                                    (28th District)</t>
  </si>
  <si>
    <t>State Rep                                     (29th District)</t>
  </si>
  <si>
    <t>State Rep                                   (30th District)</t>
  </si>
  <si>
    <t>Prosecuting Attorney</t>
  </si>
  <si>
    <t>Sheriff</t>
  </si>
  <si>
    <t>County Recorder</t>
  </si>
  <si>
    <t>County Treasurer</t>
  </si>
  <si>
    <t>County Engineer</t>
  </si>
  <si>
    <t>Coroner</t>
  </si>
  <si>
    <t>PRC #</t>
  </si>
  <si>
    <t>PRECINCT</t>
  </si>
  <si>
    <t>REGISTERED VOTERS TOTAL</t>
  </si>
  <si>
    <t>BALLOTS CAST TOTAL</t>
  </si>
  <si>
    <t>PERCENT</t>
  </si>
  <si>
    <t>Steve          Simon</t>
  </si>
  <si>
    <t>Bernard     Mundy</t>
  </si>
  <si>
    <t>Virginia       Tallent</t>
  </si>
  <si>
    <t>0101 CIN 1-A</t>
  </si>
  <si>
    <t>0102 CIN 1-B</t>
  </si>
  <si>
    <t>0103 CIN 1-C</t>
  </si>
  <si>
    <t>0104 CIN 1-D</t>
  </si>
  <si>
    <t>0105 CIN 1-E</t>
  </si>
  <si>
    <t>0106 CIN 1-F</t>
  </si>
  <si>
    <t>0107 CIN 1-G</t>
  </si>
  <si>
    <t>0108 CIN 1-H</t>
  </si>
  <si>
    <t>0109 CIN 1-I</t>
  </si>
  <si>
    <t>0110 CIN 1-J</t>
  </si>
  <si>
    <t>0111 CIN 1-K</t>
  </si>
  <si>
    <t>0112 CIN 1-L</t>
  </si>
  <si>
    <t>0113 CIN 1-M</t>
  </si>
  <si>
    <t>0201 CIN 2-A</t>
  </si>
  <si>
    <t>0202 CIN 2-B</t>
  </si>
  <si>
    <t>0203 CIN 2-C</t>
  </si>
  <si>
    <t>0204 CIN 2-D</t>
  </si>
  <si>
    <t>0205 CIN 2-E</t>
  </si>
  <si>
    <t>0206 CIN 2-F</t>
  </si>
  <si>
    <t>0207 CIN 2-G</t>
  </si>
  <si>
    <t>0208 CIN 2-H</t>
  </si>
  <si>
    <t>0209 CIN 2-I</t>
  </si>
  <si>
    <t>0210 CIN 2-J</t>
  </si>
  <si>
    <t>0211 CIN 2-K</t>
  </si>
  <si>
    <t>0301 CIN 3-A</t>
  </si>
  <si>
    <t>0302 CIN 3-B</t>
  </si>
  <si>
    <t>0303 CIN 3-C</t>
  </si>
  <si>
    <t>0304 CIN 3-D</t>
  </si>
  <si>
    <t>0305 CIN 3-E</t>
  </si>
  <si>
    <t>0401 CIN 4-A</t>
  </si>
  <si>
    <t>0402 CIN 4-B</t>
  </si>
  <si>
    <t>0403 CIN 4-C</t>
  </si>
  <si>
    <t>0404 CIN 4-D</t>
  </si>
  <si>
    <t>0405 CIN 4-E</t>
  </si>
  <si>
    <t>0406 CIN 4-F</t>
  </si>
  <si>
    <t>0407 CIN 4-G</t>
  </si>
  <si>
    <t>0408 CIN 4-H</t>
  </si>
  <si>
    <t>0501 CIN 5-A</t>
  </si>
  <si>
    <t>0502 CIN 5-B</t>
  </si>
  <si>
    <t>0503 CIN 5-C</t>
  </si>
  <si>
    <t>0504 CIN 5-D</t>
  </si>
  <si>
    <t>0505 CIN 5-E</t>
  </si>
  <si>
    <t>0506 CIN 5-F</t>
  </si>
  <si>
    <t>0507 CIN 5-G</t>
  </si>
  <si>
    <t>0508 CIN 5-H</t>
  </si>
  <si>
    <t>0509 CIN 5-I</t>
  </si>
  <si>
    <t>0601 CIN 6-A</t>
  </si>
  <si>
    <t>0602 CIN 6-B</t>
  </si>
  <si>
    <t>0603 CIN 6-C</t>
  </si>
  <si>
    <t>0604 CIN 6-D</t>
  </si>
  <si>
    <t>0605 CIN 6-E</t>
  </si>
  <si>
    <t>0701 CIN 7-A</t>
  </si>
  <si>
    <t>0702 CIN 7-B</t>
  </si>
  <si>
    <t>0703 CIN 7-C</t>
  </si>
  <si>
    <t>0704 CIN 7-D</t>
  </si>
  <si>
    <t>0705 CIN 7-E</t>
  </si>
  <si>
    <t>0706 CIN 7-F</t>
  </si>
  <si>
    <t>0707 CIN 7-G</t>
  </si>
  <si>
    <t>0708 CIN 7-H</t>
  </si>
  <si>
    <t>0709 CIN 7-I</t>
  </si>
  <si>
    <t>0710 CIN 7-J</t>
  </si>
  <si>
    <t>0711 CIN 7-K</t>
  </si>
  <si>
    <t>0801 CIN 8-A</t>
  </si>
  <si>
    <t>0802 CIN 8-B</t>
  </si>
  <si>
    <t>0803 CIN 8-C</t>
  </si>
  <si>
    <t>0804 CIN 8-D</t>
  </si>
  <si>
    <t>0901 CIN 9-A</t>
  </si>
  <si>
    <t>0902 CIN 9-B</t>
  </si>
  <si>
    <t>0903 CIN 9-C</t>
  </si>
  <si>
    <t>0904 CIN 9-D</t>
  </si>
  <si>
    <t>1001 CIN 10-A</t>
  </si>
  <si>
    <t>1002 CIN 10-B</t>
  </si>
  <si>
    <t>1003 CIN 10-C</t>
  </si>
  <si>
    <t>1101 CIN 11-A</t>
  </si>
  <si>
    <t>1102 CIN 11-B</t>
  </si>
  <si>
    <t>1103 CIN 11-C</t>
  </si>
  <si>
    <t>1104 CIN 11-D</t>
  </si>
  <si>
    <t>1201 CIN 12-A</t>
  </si>
  <si>
    <t>1202 CIN 12-B</t>
  </si>
  <si>
    <t>1203 CIN 12-C</t>
  </si>
  <si>
    <t>1204 CIN 12-D</t>
  </si>
  <si>
    <t>1205 CIN 12-E</t>
  </si>
  <si>
    <t>1301 CIN 13-A</t>
  </si>
  <si>
    <t>1302 CIN 13-B</t>
  </si>
  <si>
    <t>1303 CIN 13-C</t>
  </si>
  <si>
    <t>1304 CIN 13-D</t>
  </si>
  <si>
    <t>1305 CIN 13-E</t>
  </si>
  <si>
    <t>1306 CIN 13-F</t>
  </si>
  <si>
    <t>1307 CIN 13-G</t>
  </si>
  <si>
    <t>1308 CIN 13-H</t>
  </si>
  <si>
    <t>1401 CIN 14-A</t>
  </si>
  <si>
    <t>1402 CIN 14-B</t>
  </si>
  <si>
    <t>1403 CIN 14-C</t>
  </si>
  <si>
    <t>1404 CIN 14-D</t>
  </si>
  <si>
    <t>1405 CIN 14-E</t>
  </si>
  <si>
    <t>1406 CIN 14-F</t>
  </si>
  <si>
    <t>1407 CIN 14-G</t>
  </si>
  <si>
    <t>1408 CIN 14-H</t>
  </si>
  <si>
    <t>1409 CIN 14-I</t>
  </si>
  <si>
    <t>1501 CIN 15-A</t>
  </si>
  <si>
    <t>1502 CIN 15-B</t>
  </si>
  <si>
    <t>1503 CIN 15-C</t>
  </si>
  <si>
    <t>1504 CIN 15-D</t>
  </si>
  <si>
    <t>1505 CIN 15-E</t>
  </si>
  <si>
    <t>1506 CIN 15-F</t>
  </si>
  <si>
    <t>1507 CIN 15-G</t>
  </si>
  <si>
    <t>1508 CIN 15-H</t>
  </si>
  <si>
    <t>1509 CIN 15-I</t>
  </si>
  <si>
    <t>1510 CIN 15-J</t>
  </si>
  <si>
    <t>1601 CIN 16-A</t>
  </si>
  <si>
    <t>1701 CIN 17-A</t>
  </si>
  <si>
    <t>1702 CIN 17-B</t>
  </si>
  <si>
    <t>1703 CIN 17-C</t>
  </si>
  <si>
    <t>1801 CIN 18-A</t>
  </si>
  <si>
    <t>1802 CIN 18-B</t>
  </si>
  <si>
    <t>1901 CIN 19-A</t>
  </si>
  <si>
    <t>1902 CIN 19-B</t>
  </si>
  <si>
    <t>1903 CIN 19-C</t>
  </si>
  <si>
    <t>1904 CIN 19-D</t>
  </si>
  <si>
    <t>2001 CIN 20-A</t>
  </si>
  <si>
    <t>2002 CIN 20-B</t>
  </si>
  <si>
    <t>2003 CIN 20-C</t>
  </si>
  <si>
    <t>2004 CIN 20-D</t>
  </si>
  <si>
    <t>2005 CIN 20-E</t>
  </si>
  <si>
    <t>2101 CIN 21-A</t>
  </si>
  <si>
    <t>2102 CIN 21-B</t>
  </si>
  <si>
    <t>2103 CIN 21-C</t>
  </si>
  <si>
    <t>2104 CIN 21-D</t>
  </si>
  <si>
    <t>2105 CIN 21-E</t>
  </si>
  <si>
    <t>2201 CIN 22-A</t>
  </si>
  <si>
    <t>2202 CIN 22-B</t>
  </si>
  <si>
    <t>2203 CIN 22-C</t>
  </si>
  <si>
    <t>2301 CIN 23-A</t>
  </si>
  <si>
    <t>2302 CIN 23-B</t>
  </si>
  <si>
    <t>2303 CIN 23-C</t>
  </si>
  <si>
    <t>2304 CIN 23-D</t>
  </si>
  <si>
    <t>2305 CIN 23-E</t>
  </si>
  <si>
    <t>2306 CIN 23-F</t>
  </si>
  <si>
    <t>2307 CIN 23-G</t>
  </si>
  <si>
    <t>2308 CIN 23-H</t>
  </si>
  <si>
    <t>2309 CIN 23-I</t>
  </si>
  <si>
    <t>2310 CIN 23-J</t>
  </si>
  <si>
    <t>2311 CIN 23-K</t>
  </si>
  <si>
    <t>2312 CIN 23-L</t>
  </si>
  <si>
    <t>2313 CIN 23-M</t>
  </si>
  <si>
    <t>2314 CIN 23-N</t>
  </si>
  <si>
    <t>2315 CIN 23-O</t>
  </si>
  <si>
    <t>2316 CIN 23-P</t>
  </si>
  <si>
    <t>2317 CIN 23-Q</t>
  </si>
  <si>
    <t>2318 CIN 23-R</t>
  </si>
  <si>
    <t>2401 CIN 24-A</t>
  </si>
  <si>
    <t>2402 CIN 24-B</t>
  </si>
  <si>
    <t>2403 CIN 24-C</t>
  </si>
  <si>
    <t>2404 CIN 24-D</t>
  </si>
  <si>
    <t>2405 CIN 24-E</t>
  </si>
  <si>
    <t>2406 CIN 24-F</t>
  </si>
  <si>
    <t>2407 CIN 24-G</t>
  </si>
  <si>
    <t>2408 CIN 24-H</t>
  </si>
  <si>
    <t>2409 CIN 24-I</t>
  </si>
  <si>
    <t>2501 CIN 25-A</t>
  </si>
  <si>
    <t>2502 CIN 25-B</t>
  </si>
  <si>
    <t>2503 CIN 25-C</t>
  </si>
  <si>
    <t>2504 CIN 25-D</t>
  </si>
  <si>
    <t>2505 CIN 25-E</t>
  </si>
  <si>
    <t>2506 CIN 25-F</t>
  </si>
  <si>
    <t>2507 CIN 25-G</t>
  </si>
  <si>
    <t>2508 CIN 25-H</t>
  </si>
  <si>
    <t>2509 CIN 25-I</t>
  </si>
  <si>
    <t>2510 CIN 25-J</t>
  </si>
  <si>
    <t>2511 CIN 25-K</t>
  </si>
  <si>
    <t>2512 CIN 25-L</t>
  </si>
  <si>
    <t>2601 CIN 26-A</t>
  </si>
  <si>
    <t>2602 CIN 26-B</t>
  </si>
  <si>
    <t>2603 CIN 26-C</t>
  </si>
  <si>
    <t>2604 CIN 26-D</t>
  </si>
  <si>
    <t>2605 CIN 26-E</t>
  </si>
  <si>
    <t>2606 CIN 26-F</t>
  </si>
  <si>
    <t>2607 CIN 26-G</t>
  </si>
  <si>
    <t>2608 CIN 26-H</t>
  </si>
  <si>
    <t>2609 CIN 26-I</t>
  </si>
  <si>
    <t>2610 CIN 26-J</t>
  </si>
  <si>
    <t>2611 CIN 26-K</t>
  </si>
  <si>
    <t>2612 CIN 26-L</t>
  </si>
  <si>
    <t>2613 CIN 26-M</t>
  </si>
  <si>
    <t>2614 CIN 26-N</t>
  </si>
  <si>
    <t>2615 CIN 26-O</t>
  </si>
  <si>
    <t>2616 CIN 26-P</t>
  </si>
  <si>
    <t>2617 CIN 26-Q</t>
  </si>
  <si>
    <t>2618 CIN 26-R</t>
  </si>
  <si>
    <t>2619 CIN 26-S</t>
  </si>
  <si>
    <t>2811 BLUE 1-A</t>
  </si>
  <si>
    <t>2812 BLUE 1-B</t>
  </si>
  <si>
    <t>2821 BLUE 2-A</t>
  </si>
  <si>
    <t>2822 BLUE 2-B</t>
  </si>
  <si>
    <t>2823 BLUE 2-C</t>
  </si>
  <si>
    <t>2831 BLUE 3-A</t>
  </si>
  <si>
    <t>2832 BLUE 3-B</t>
  </si>
  <si>
    <t>2841 BLUE 4-A</t>
  </si>
  <si>
    <t>2842 BLUE 4-B</t>
  </si>
  <si>
    <t>2851 BLUE 5-A</t>
  </si>
  <si>
    <t>2852 BLUE 5-B</t>
  </si>
  <si>
    <t>2911 CHEV 1-A</t>
  </si>
  <si>
    <t>2921 CHEV 2-A</t>
  </si>
  <si>
    <t>2931 CHEV 3-A</t>
  </si>
  <si>
    <t>2941 CHEV 4-A</t>
  </si>
  <si>
    <t>3111 DR PK 1-A</t>
  </si>
  <si>
    <t>3121 DR PK 2-A</t>
  </si>
  <si>
    <t>3131 DR PK 3-A</t>
  </si>
  <si>
    <t>3141 DR PK 4-A</t>
  </si>
  <si>
    <t>3201 FR PK A</t>
  </si>
  <si>
    <t>3202 FR PK B</t>
  </si>
  <si>
    <t>3203 FR PK C</t>
  </si>
  <si>
    <t>3204 FR PK D</t>
  </si>
  <si>
    <t>3205 FR PK E</t>
  </si>
  <si>
    <t>3206 FR PK F</t>
  </si>
  <si>
    <t>3207 FR PK G</t>
  </si>
  <si>
    <t>3208 FR PK H</t>
  </si>
  <si>
    <t>3209 FR PK I</t>
  </si>
  <si>
    <t>3210 FR PK J</t>
  </si>
  <si>
    <t>3211 FR PK K</t>
  </si>
  <si>
    <t>3212 FR PK L</t>
  </si>
  <si>
    <t>3213 FR PK M</t>
  </si>
  <si>
    <t>3401 HARR A</t>
  </si>
  <si>
    <t>3402 HARR B</t>
  </si>
  <si>
    <t>3403 HARR C</t>
  </si>
  <si>
    <t>3404 HARR D</t>
  </si>
  <si>
    <t>3405 HARR E</t>
  </si>
  <si>
    <t>3406 HARR F</t>
  </si>
  <si>
    <t>3407 HARR G</t>
  </si>
  <si>
    <t>3501 IND HLL A</t>
  </si>
  <si>
    <t>3502 IND HLL B</t>
  </si>
  <si>
    <t>3503 IND HLL C</t>
  </si>
  <si>
    <t>3504 IND HLL D</t>
  </si>
  <si>
    <t>3505 IND HLL E</t>
  </si>
  <si>
    <t>3506 IND HLL F</t>
  </si>
  <si>
    <t>3701 LOVE A</t>
  </si>
  <si>
    <t>3702 LOVE B</t>
  </si>
  <si>
    <t>3703 LOVE C</t>
  </si>
  <si>
    <t>3704 LOVE D</t>
  </si>
  <si>
    <t>3705 LOVE E</t>
  </si>
  <si>
    <t>3706 LOVE F</t>
  </si>
  <si>
    <t>3707 LOVE G</t>
  </si>
  <si>
    <t>3801 MADRA A</t>
  </si>
  <si>
    <t>3802 MADRA B</t>
  </si>
  <si>
    <t>3803 MADRA C</t>
  </si>
  <si>
    <t>3804 MADRA D</t>
  </si>
  <si>
    <t>3805 MADRA E</t>
  </si>
  <si>
    <t>3806 MADRA F</t>
  </si>
  <si>
    <t>3807 MADRA G</t>
  </si>
  <si>
    <t>3808 MADRA H</t>
  </si>
  <si>
    <t>3901 MILF A</t>
  </si>
  <si>
    <t>4001 MONT A</t>
  </si>
  <si>
    <t>4002 MONT B</t>
  </si>
  <si>
    <t>4003 MONT C</t>
  </si>
  <si>
    <t>4004 MONT D</t>
  </si>
  <si>
    <t>4005 MONT E</t>
  </si>
  <si>
    <t>4006 MONT F</t>
  </si>
  <si>
    <t>4007 MONT G</t>
  </si>
  <si>
    <t>4008 MONT H</t>
  </si>
  <si>
    <t>4009 MONT I</t>
  </si>
  <si>
    <t>4111 MTHY 1-A</t>
  </si>
  <si>
    <t>4121 MTHY 2-A</t>
  </si>
  <si>
    <t>4131 MTHY 3-A</t>
  </si>
  <si>
    <t>4141 MTHY 4-A</t>
  </si>
  <si>
    <t>4311 NCH 1-A</t>
  </si>
  <si>
    <t>4312 NCH 1-B</t>
  </si>
  <si>
    <t>4321 NCH 2-A</t>
  </si>
  <si>
    <t>4331 NCH 3-A</t>
  </si>
  <si>
    <t>4341 NCH 4-A</t>
  </si>
  <si>
    <t>4342 NCH 4-B</t>
  </si>
  <si>
    <t>4343 NCH 4-C</t>
  </si>
  <si>
    <t>4411 NORW 1-A</t>
  </si>
  <si>
    <t>4412 NORW 1-B</t>
  </si>
  <si>
    <t>4413 NORW 1-C</t>
  </si>
  <si>
    <t>4421 NORW 2-A</t>
  </si>
  <si>
    <t>4422 NORW 2-B</t>
  </si>
  <si>
    <t>4423 NORW 2-C</t>
  </si>
  <si>
    <t>4431 NORW 3-A</t>
  </si>
  <si>
    <t>4432 NORW 3-B</t>
  </si>
  <si>
    <t>4433 NORW 3-C</t>
  </si>
  <si>
    <t>4441 NORW 4-A</t>
  </si>
  <si>
    <t>4442 NORW 4-B</t>
  </si>
  <si>
    <t>4443 NORW 4-C</t>
  </si>
  <si>
    <t>4611 READ 1-A</t>
  </si>
  <si>
    <t>4612 READ 1-B</t>
  </si>
  <si>
    <t>4621 READ 2-A</t>
  </si>
  <si>
    <t>4622 READ 2-B</t>
  </si>
  <si>
    <t>4631 READ 3-A</t>
  </si>
  <si>
    <t>4632 READ 3-B</t>
  </si>
  <si>
    <t>4641 READ 4-A</t>
  </si>
  <si>
    <t>4642 READ 4-B</t>
  </si>
  <si>
    <t>4911 SHAR 1-A</t>
  </si>
  <si>
    <t>4912 SHAR 1-B</t>
  </si>
  <si>
    <t>4921 SHAR 2-A</t>
  </si>
  <si>
    <t>4931 SHAR 3-A</t>
  </si>
  <si>
    <t>4932 SHAR 3-B</t>
  </si>
  <si>
    <t>4941 SHAR 4-A</t>
  </si>
  <si>
    <t>4942 SHAR 4-B</t>
  </si>
  <si>
    <t>5201 SPDALE A</t>
  </si>
  <si>
    <t>5202 SPDALE B</t>
  </si>
  <si>
    <t>5203 SPDALE C</t>
  </si>
  <si>
    <t>5204 SPDALE D</t>
  </si>
  <si>
    <t>5205 SPDALE E</t>
  </si>
  <si>
    <t>5206 SPDALE F</t>
  </si>
  <si>
    <t>5207 SPDALE G</t>
  </si>
  <si>
    <t>5208 SPDALE H</t>
  </si>
  <si>
    <t>5301 WYOM A</t>
  </si>
  <si>
    <t>5302 WYOM B</t>
  </si>
  <si>
    <t>5303 WYOM C</t>
  </si>
  <si>
    <t>5304 WYOM D</t>
  </si>
  <si>
    <t>5305 WYOM E</t>
  </si>
  <si>
    <t>5501 AMBER A</t>
  </si>
  <si>
    <t>5502 AMBER B</t>
  </si>
  <si>
    <t>5503 AMBER C</t>
  </si>
  <si>
    <t>5504 AMBER D</t>
  </si>
  <si>
    <t>5601 AND A</t>
  </si>
  <si>
    <t>5602 AND B</t>
  </si>
  <si>
    <t>5603 AND C</t>
  </si>
  <si>
    <t>5604 AND D</t>
  </si>
  <si>
    <t>5605 AND E</t>
  </si>
  <si>
    <t>5606 AND F</t>
  </si>
  <si>
    <t>5607 AND G</t>
  </si>
  <si>
    <t>5608 AND H</t>
  </si>
  <si>
    <t>5609 AND I</t>
  </si>
  <si>
    <t>5610 AND J</t>
  </si>
  <si>
    <t>5611 AND K</t>
  </si>
  <si>
    <t>5612 AND L</t>
  </si>
  <si>
    <t>5613 AND M</t>
  </si>
  <si>
    <t>5614 AND N</t>
  </si>
  <si>
    <t>5615 AND O</t>
  </si>
  <si>
    <t>5616 AND P</t>
  </si>
  <si>
    <t>5617 AND Q</t>
  </si>
  <si>
    <t>5618 AND R</t>
  </si>
  <si>
    <t>5619 AND S</t>
  </si>
  <si>
    <t>5620 AND T</t>
  </si>
  <si>
    <t>5621 AND U</t>
  </si>
  <si>
    <t>5622 AND V</t>
  </si>
  <si>
    <t>5623 AND W</t>
  </si>
  <si>
    <t>5624 AND X</t>
  </si>
  <si>
    <t>5625 AND Y</t>
  </si>
  <si>
    <t>5626 AND Z</t>
  </si>
  <si>
    <t>5627 AND AA</t>
  </si>
  <si>
    <t>5628 AND BB</t>
  </si>
  <si>
    <t>5629 AND CC</t>
  </si>
  <si>
    <t>5630 AND DD</t>
  </si>
  <si>
    <t>5631 AND EE</t>
  </si>
  <si>
    <t>5632 AND FF</t>
  </si>
  <si>
    <t>5801 ARLN A</t>
  </si>
  <si>
    <t>5901 COLE A</t>
  </si>
  <si>
    <t>5902 COLE B</t>
  </si>
  <si>
    <t>5903 COLE C</t>
  </si>
  <si>
    <t>5904 COLE D</t>
  </si>
  <si>
    <t>5905 COLE E</t>
  </si>
  <si>
    <t>5906 COLE F</t>
  </si>
  <si>
    <t>5907 COLE G</t>
  </si>
  <si>
    <t>5908 COLE H</t>
  </si>
  <si>
    <t>5909 COLE I</t>
  </si>
  <si>
    <t>5910 COLE J</t>
  </si>
  <si>
    <t>5911 COLE K</t>
  </si>
  <si>
    <t>5912 COLE L</t>
  </si>
  <si>
    <t>5913 COLE M</t>
  </si>
  <si>
    <t>5914 COLE N</t>
  </si>
  <si>
    <t>5915 COLE O</t>
  </si>
  <si>
    <t>5916 COLE P</t>
  </si>
  <si>
    <t>5917 COLE Q</t>
  </si>
  <si>
    <t>5918 COLE R</t>
  </si>
  <si>
    <t>5919 COLE S</t>
  </si>
  <si>
    <t>5920 COLE T</t>
  </si>
  <si>
    <t>5921 COLE U</t>
  </si>
  <si>
    <t>5922 COLE V</t>
  </si>
  <si>
    <t>5923 COLE W</t>
  </si>
  <si>
    <t>5924 COLE X</t>
  </si>
  <si>
    <t>5925 COLE Y</t>
  </si>
  <si>
    <t>5926 COLE Z</t>
  </si>
  <si>
    <t>5927 COLE AA</t>
  </si>
  <si>
    <t>5928 COLE BB</t>
  </si>
  <si>
    <t>5929 COLE CC</t>
  </si>
  <si>
    <t>5930 COLE DD</t>
  </si>
  <si>
    <t>5931 COLE EE</t>
  </si>
  <si>
    <t>5932 COLE FF</t>
  </si>
  <si>
    <t>5933 COLE GG</t>
  </si>
  <si>
    <t>5934 COLE HH</t>
  </si>
  <si>
    <t>5935 COLE II</t>
  </si>
  <si>
    <t>5936 COLE JJ</t>
  </si>
  <si>
    <t>5937 COLE KK</t>
  </si>
  <si>
    <t>5938 COLE LL</t>
  </si>
  <si>
    <t>6201 COLUM A</t>
  </si>
  <si>
    <t>6202 COLUM B</t>
  </si>
  <si>
    <t>6203 COLUM C</t>
  </si>
  <si>
    <t>6204 COLUM D</t>
  </si>
  <si>
    <t>6205 COLUM E</t>
  </si>
  <si>
    <t>6206 COLUM F</t>
  </si>
  <si>
    <t>6207 COLUM G</t>
  </si>
  <si>
    <t>6208 COLUM H</t>
  </si>
  <si>
    <t>6209 COLUM I</t>
  </si>
  <si>
    <t>6401 CROSB A</t>
  </si>
  <si>
    <t>6402 CROSB B</t>
  </si>
  <si>
    <t>6501 DELHI A</t>
  </si>
  <si>
    <t>6502 DELHI B</t>
  </si>
  <si>
    <t>6503 DELHI C</t>
  </si>
  <si>
    <t>6504 DELHI D</t>
  </si>
  <si>
    <t>6505 DELHI E</t>
  </si>
  <si>
    <t>6506 DELHI F</t>
  </si>
  <si>
    <t>6507 DELHI G</t>
  </si>
  <si>
    <t>6508 DELHI H</t>
  </si>
  <si>
    <t>6509 DELHI I</t>
  </si>
  <si>
    <t>6510 DELHI J</t>
  </si>
  <si>
    <t>6511 DELHI K</t>
  </si>
  <si>
    <t>6512 DELHI L</t>
  </si>
  <si>
    <t>6513 DELHI M</t>
  </si>
  <si>
    <t>6514 DELHI N</t>
  </si>
  <si>
    <t>6515 DELHI O</t>
  </si>
  <si>
    <t>6516 DELHI P</t>
  </si>
  <si>
    <t>6517 DELHI Q</t>
  </si>
  <si>
    <t>6518 DELHI R</t>
  </si>
  <si>
    <t>6519 DELHI S</t>
  </si>
  <si>
    <t>6701 ELMW A</t>
  </si>
  <si>
    <t>6801 EVEN A</t>
  </si>
  <si>
    <t>6802 EVEN B</t>
  </si>
  <si>
    <t>6803 EVEN C</t>
  </si>
  <si>
    <t>6901 FAIRFX A</t>
  </si>
  <si>
    <t>7001 GLEN A</t>
  </si>
  <si>
    <t>7002 GLEN B</t>
  </si>
  <si>
    <t>7101 GOLF A</t>
  </si>
  <si>
    <t>7102 GOLF B</t>
  </si>
  <si>
    <t>7301 GREEN A</t>
  </si>
  <si>
    <t>7302 GREEN B</t>
  </si>
  <si>
    <t>7303 GREEN C</t>
  </si>
  <si>
    <t>7304 GREEN D</t>
  </si>
  <si>
    <t>7305 GREEN E</t>
  </si>
  <si>
    <t>7306 GREEN F</t>
  </si>
  <si>
    <t>7307 GREEN G</t>
  </si>
  <si>
    <t>7308 GREEN H</t>
  </si>
  <si>
    <t>7309 GREEN I</t>
  </si>
  <si>
    <t>7310 GREEN J</t>
  </si>
  <si>
    <t>7311 GREEN K</t>
  </si>
  <si>
    <t>7312 GREEN L</t>
  </si>
  <si>
    <t>7313 GREEN M</t>
  </si>
  <si>
    <t>7314 GREEN N</t>
  </si>
  <si>
    <t>7315 GREEN O</t>
  </si>
  <si>
    <t>7316 GREEN P</t>
  </si>
  <si>
    <t>7317 GREEN Q</t>
  </si>
  <si>
    <t>7318 GREEN R</t>
  </si>
  <si>
    <t>7319 GREEN S</t>
  </si>
  <si>
    <t>7320 GREEN T</t>
  </si>
  <si>
    <t>7321 GREEN U</t>
  </si>
  <si>
    <t>7322 GREEN V</t>
  </si>
  <si>
    <t>7323 GREEN W</t>
  </si>
  <si>
    <t>7324 GREEN X</t>
  </si>
  <si>
    <t>7325 GREEN Y</t>
  </si>
  <si>
    <t>7326 GREEN Z</t>
  </si>
  <si>
    <t>7327 GREEN AA</t>
  </si>
  <si>
    <t>7328 GREEN BB</t>
  </si>
  <si>
    <t>7329 GREEN CC</t>
  </si>
  <si>
    <t>7330 GREEN DD</t>
  </si>
  <si>
    <t>7331 GREEN EE</t>
  </si>
  <si>
    <t>7332 GREEN FF</t>
  </si>
  <si>
    <t>7333 GREEN GG</t>
  </si>
  <si>
    <t>7334 GREEN HH</t>
  </si>
  <si>
    <t>7335 GREEN II</t>
  </si>
  <si>
    <t>7336 GREEN JJ</t>
  </si>
  <si>
    <t>7337 GREEN KK</t>
  </si>
  <si>
    <t>7338 GREEN LL</t>
  </si>
  <si>
    <t>7339 GREEN MM</t>
  </si>
  <si>
    <t>7340 GREEN NN</t>
  </si>
  <si>
    <t>7341 GREEN OO</t>
  </si>
  <si>
    <t>7342 GREEN PP</t>
  </si>
  <si>
    <t>7343 GREEN QQ</t>
  </si>
  <si>
    <t>7401 GR HL A</t>
  </si>
  <si>
    <t>7402 GR HL B</t>
  </si>
  <si>
    <t>7403 GR HL C</t>
  </si>
  <si>
    <t>7601 HARR AA</t>
  </si>
  <si>
    <t>7602 HARR BB</t>
  </si>
  <si>
    <t>7603 HARR CC</t>
  </si>
  <si>
    <t>7701 LIN HT A</t>
  </si>
  <si>
    <t>7702 LIN HT B</t>
  </si>
  <si>
    <t>7901 LOCK A</t>
  </si>
  <si>
    <t>7902 LOCK B</t>
  </si>
  <si>
    <t>8001 MARMT A</t>
  </si>
  <si>
    <t>8002 MARMT B</t>
  </si>
  <si>
    <t>8211 ADDY A</t>
  </si>
  <si>
    <t>8221 CLEVE A</t>
  </si>
  <si>
    <t>8222 CLEVE B</t>
  </si>
  <si>
    <t>8231 NO BEND A</t>
  </si>
  <si>
    <t>8301 MIAMI A</t>
  </si>
  <si>
    <t>8302 MIAMI B</t>
  </si>
  <si>
    <t>8303 MIAMI C</t>
  </si>
  <si>
    <t>8304 MIAMI D</t>
  </si>
  <si>
    <t>8305 MIAMI E</t>
  </si>
  <si>
    <t>8306 MIAMI F</t>
  </si>
  <si>
    <t>8307 MIAMI G</t>
  </si>
  <si>
    <t>8308 MIAMI H</t>
  </si>
  <si>
    <t>8401 NEWT A</t>
  </si>
  <si>
    <t>8402 NEWT B</t>
  </si>
  <si>
    <t>8511 ST BN 1-A</t>
  </si>
  <si>
    <t>8521 ST BN 2-A</t>
  </si>
  <si>
    <t>8531 ST BN 3-A</t>
  </si>
  <si>
    <t>8541 ST BN 4-A</t>
  </si>
  <si>
    <t>8601 SILVT A</t>
  </si>
  <si>
    <t>8602 SILVT B</t>
  </si>
  <si>
    <t>8603 SILVT C</t>
  </si>
  <si>
    <t>8701 SPFLD A</t>
  </si>
  <si>
    <t>8702 SPFLD B</t>
  </si>
  <si>
    <t>8703 SPFLD C</t>
  </si>
  <si>
    <t>8704 SPFLD D</t>
  </si>
  <si>
    <t>8705 SPFLD E</t>
  </si>
  <si>
    <t>8706 SPFLD F</t>
  </si>
  <si>
    <t>8707 SPFLD G</t>
  </si>
  <si>
    <t>8708 SPFLD H</t>
  </si>
  <si>
    <t>8709 SPFLD I</t>
  </si>
  <si>
    <t>8710 SPFLD J</t>
  </si>
  <si>
    <t>8711 SPFLD K</t>
  </si>
  <si>
    <t>8712 SPFLD L</t>
  </si>
  <si>
    <t>8713 SPFLD M</t>
  </si>
  <si>
    <t>8714 SPFLD N</t>
  </si>
  <si>
    <t>8715 SPFLD O</t>
  </si>
  <si>
    <t>8716 SPFLD P</t>
  </si>
  <si>
    <t>8717 SPFLD Q</t>
  </si>
  <si>
    <t>8718 SPFLD R</t>
  </si>
  <si>
    <t>8719 SPFLD S</t>
  </si>
  <si>
    <t>8720 SPFLD T</t>
  </si>
  <si>
    <t>8721 SPFLD U</t>
  </si>
  <si>
    <t>8722 SPFLD V</t>
  </si>
  <si>
    <t>8723 SPFLD W</t>
  </si>
  <si>
    <t>8724 SPFLD X</t>
  </si>
  <si>
    <t>8725 SPFLD Y</t>
  </si>
  <si>
    <t>8726 SPFLD Z</t>
  </si>
  <si>
    <t>8727 SPFLD AA</t>
  </si>
  <si>
    <t>8728 SPFLD BB</t>
  </si>
  <si>
    <t>8901 SYCAM A</t>
  </si>
  <si>
    <t>8902 SYCAM B</t>
  </si>
  <si>
    <t>8903 SYCAM C</t>
  </si>
  <si>
    <t>8904 SYCAM D</t>
  </si>
  <si>
    <t>8905 SYCAM E</t>
  </si>
  <si>
    <t>8906 SYCAM F</t>
  </si>
  <si>
    <t>8907 SYCAM G</t>
  </si>
  <si>
    <t>8908 SYCAM H</t>
  </si>
  <si>
    <t>8909 SYCAM I</t>
  </si>
  <si>
    <t>8910 SYCAM J</t>
  </si>
  <si>
    <t>8911 SYCAM K</t>
  </si>
  <si>
    <t>8912 SYCAM L</t>
  </si>
  <si>
    <t>8913 SYCAM M</t>
  </si>
  <si>
    <t>8914 SYCAM N</t>
  </si>
  <si>
    <t>9101 SYMM A</t>
  </si>
  <si>
    <t>9102 SYMM B</t>
  </si>
  <si>
    <t>9103 SYMM C</t>
  </si>
  <si>
    <t>9104 SYMM D</t>
  </si>
  <si>
    <t>9105 SYMM E</t>
  </si>
  <si>
    <t>9106 SYMM F</t>
  </si>
  <si>
    <t>9107 SYMM G</t>
  </si>
  <si>
    <t>9108 SYMM H</t>
  </si>
  <si>
    <t>9109 SYMM I</t>
  </si>
  <si>
    <t>9110 SYMM J</t>
  </si>
  <si>
    <t>9111 SYMM K</t>
  </si>
  <si>
    <t>9112 SYMM L</t>
  </si>
  <si>
    <t>9301 TER PK A</t>
  </si>
  <si>
    <t>9302 TER PK B</t>
  </si>
  <si>
    <t>9501 WHWTR A</t>
  </si>
  <si>
    <t>9502 WHWTR B</t>
  </si>
  <si>
    <t>9503 WHWTR C</t>
  </si>
  <si>
    <t>9701 WOOD A</t>
  </si>
  <si>
    <t>9702 WOOD B</t>
  </si>
  <si>
    <t>TOTAL</t>
  </si>
  <si>
    <t>REGULAR</t>
  </si>
  <si>
    <t>ABSENTEE</t>
  </si>
  <si>
    <t>CINTI CTY -190-</t>
  </si>
  <si>
    <t>WARD 1 -13-</t>
  </si>
  <si>
    <t>WARD 2 -11-</t>
  </si>
  <si>
    <t>WARD 3 -5-</t>
  </si>
  <si>
    <t>WARD 4 -8-</t>
  </si>
  <si>
    <t>WARD 5 -9-</t>
  </si>
  <si>
    <t>WARD 6 -5-</t>
  </si>
  <si>
    <t>WARD 7 -11-</t>
  </si>
  <si>
    <t>WARD 8 -4-</t>
  </si>
  <si>
    <t>WARD 9 -4-</t>
  </si>
  <si>
    <t>WARD 10 -3-</t>
  </si>
  <si>
    <t>WARD 11 -4-</t>
  </si>
  <si>
    <t>WARD 12 -5-</t>
  </si>
  <si>
    <t>WARD 13 -8-</t>
  </si>
  <si>
    <t>WARD 14 -9-</t>
  </si>
  <si>
    <t>WARD 15 -10-</t>
  </si>
  <si>
    <t>WARD 16 -1-</t>
  </si>
  <si>
    <t>WARD 17 -3-</t>
  </si>
  <si>
    <t>WARD 18 -2-</t>
  </si>
  <si>
    <t>WARD 19 -4-</t>
  </si>
  <si>
    <t>WARD 20 -5-</t>
  </si>
  <si>
    <t>WARD 21 -5-</t>
  </si>
  <si>
    <t>WARD 22 -3-</t>
  </si>
  <si>
    <t>WARD 23 -18-</t>
  </si>
  <si>
    <t>WARD 24 -9-</t>
  </si>
  <si>
    <t>WARD 25 -12-</t>
  </si>
  <si>
    <t>WARD 26 -19-</t>
  </si>
  <si>
    <t>BLUE ASH CTY -11-</t>
  </si>
  <si>
    <t>CHEVIOT CTY -4-</t>
  </si>
  <si>
    <t>DEER PK CTY -4-</t>
  </si>
  <si>
    <t>FOR PK CTY -13-</t>
  </si>
  <si>
    <t>HARRISON CTY -7-</t>
  </si>
  <si>
    <t>IND HILL CTY -6-</t>
  </si>
  <si>
    <t>LOVELAND CTY -7-</t>
  </si>
  <si>
    <t>MADEIRA CTY -8-</t>
  </si>
  <si>
    <t>MILFORD CTY -1-</t>
  </si>
  <si>
    <t>MONTGOMERY CTY -9-</t>
  </si>
  <si>
    <t>MT HEALTHY CTY -4-</t>
  </si>
  <si>
    <t>NCH CTY -7-</t>
  </si>
  <si>
    <t>NORWOOD CTY -12-</t>
  </si>
  <si>
    <t>READING CTY -8-</t>
  </si>
  <si>
    <t>SHARONVILLE CTY -7-</t>
  </si>
  <si>
    <t>SPRINGDALE CTY -8-</t>
  </si>
  <si>
    <t>WYOMING CTY -5-</t>
  </si>
  <si>
    <t>ANDERSON TWP -32-</t>
  </si>
  <si>
    <t>COLERAIN TWP -38-</t>
  </si>
  <si>
    <t>COLUMBIA TWP -9-</t>
  </si>
  <si>
    <t>CROSBY TWP -3-</t>
  </si>
  <si>
    <t>DELHI TWP -19-</t>
  </si>
  <si>
    <t>GREEN TWP -43-</t>
  </si>
  <si>
    <t>HARRISON TWP -8-</t>
  </si>
  <si>
    <t>MIAMI TWP -12-</t>
  </si>
  <si>
    <t>SPRINGFIELD TWP -28-</t>
  </si>
  <si>
    <t>SYCAMORE TWP -14-</t>
  </si>
  <si>
    <t>SYMMES TWP -12-</t>
  </si>
  <si>
    <t>WHITEWATER TWP -3-</t>
  </si>
  <si>
    <t>ADDYSTON VIL -1-</t>
  </si>
  <si>
    <t>AMBERLEY VIL -4-</t>
  </si>
  <si>
    <t>ARLINGTON HGTS VIL -1-</t>
  </si>
  <si>
    <t>CLEVES VIL -2-</t>
  </si>
  <si>
    <t>ELMWOOD VIL -1-</t>
  </si>
  <si>
    <t>EVENDALE VIL -3-</t>
  </si>
  <si>
    <t>FAIRFAX VIL -1-</t>
  </si>
  <si>
    <t>GLENDALE VIL -2-</t>
  </si>
  <si>
    <t>GOLF MANOR VIL -2-</t>
  </si>
  <si>
    <t>GREENHILLS VIL -3-</t>
  </si>
  <si>
    <t>LINCOLN HTS VIL -2-</t>
  </si>
  <si>
    <t>LOCKLAND VIL -2-</t>
  </si>
  <si>
    <t>MARIEMONT VIL -2-</t>
  </si>
  <si>
    <t>NEWTOWN VIL -2-</t>
  </si>
  <si>
    <t>NORTH BEND VIL -1-</t>
  </si>
  <si>
    <t>ST BERNARD VIL -4-</t>
  </si>
  <si>
    <t>SILVERTON VIL -3-</t>
  </si>
  <si>
    <t>TERR PK VIL -2-</t>
  </si>
  <si>
    <t>WOODLAWN VIL -2-</t>
  </si>
  <si>
    <t>1ST CONG -393-</t>
  </si>
  <si>
    <t>8TH CONG -168-</t>
  </si>
  <si>
    <t>7TH SENATE -89-</t>
  </si>
  <si>
    <t>8TH SENATE -254-</t>
  </si>
  <si>
    <t>9TH SENATE -219-</t>
  </si>
  <si>
    <t>24TH HOUSE -67-</t>
  </si>
  <si>
    <t>25TH HOUSE -70-</t>
  </si>
  <si>
    <t>26TH HOUSE -82-</t>
  </si>
  <si>
    <t>27TH HOUSE -98-</t>
  </si>
  <si>
    <t>28TH HOUSE -89-</t>
  </si>
  <si>
    <t>29TH HOUSE -77-</t>
  </si>
  <si>
    <t>30TH HOUSE -78-</t>
  </si>
  <si>
    <t>JUDICIAL DIST 1 -54-</t>
  </si>
  <si>
    <t>JUDICIAL DIST 2 -74-</t>
  </si>
  <si>
    <t>JUDICIAL DIST 3 -83-</t>
  </si>
  <si>
    <t>JUDICIAL DIST 4 -87-</t>
  </si>
  <si>
    <t>JUDICIAL DIST 5 -105-</t>
  </si>
  <si>
    <t>JUDICIAL DIST 6 -87-</t>
  </si>
  <si>
    <t>JUDICIAL DIST 7 -72-</t>
  </si>
  <si>
    <t>HAMILTON COUNTY, OHIO                         OFFICIAL RESULTS                                                   PRESIDENTIAL ELECTION                                            NOVEMBER 5, 2024</t>
  </si>
  <si>
    <t>Greg Landsman  (Dem)</t>
  </si>
  <si>
    <t>Michael P. Donnelly  (Dem)</t>
  </si>
  <si>
    <t>Dani       Isaacsohn  (Dem)</t>
  </si>
  <si>
    <t>Denise Driehaus  (Dem)</t>
  </si>
  <si>
    <t>Charmaine McGuffey  (Dem)</t>
  </si>
  <si>
    <t>Lakshmi Kode Sammarco  (Dem)</t>
  </si>
  <si>
    <t>Sherrod    Brown                (Dem)</t>
  </si>
  <si>
    <t>Bernie       Moreno          (Rep)</t>
  </si>
  <si>
    <t>Orlando              Sonza          (Rep)</t>
  </si>
  <si>
    <t>Vanessa Enoch               (Dem)</t>
  </si>
  <si>
    <t>Warren Davidson            (Rep)</t>
  </si>
  <si>
    <t>Megan E. Shanahan  (Rep)</t>
  </si>
  <si>
    <t>Joseph T. Deters               (Rep)</t>
  </si>
  <si>
    <t>Melody J. Stewart          (Dem)</t>
  </si>
  <si>
    <t>Lisa          Forbes           (Dem)</t>
  </si>
  <si>
    <t>Daniel R. Hawkins          (Rep)</t>
  </si>
  <si>
    <t>Judge of the Court of Common Pleas                                                                       (Full term commencing 4-1-25)</t>
  </si>
  <si>
    <t>Eric Beck  (Rep)</t>
  </si>
  <si>
    <t xml:space="preserve">Auditor                         (Unexpired term ending 3/7/27) </t>
  </si>
  <si>
    <t>Jill           Schiller           (Dem)</t>
  </si>
  <si>
    <t>Jessica E. Miranda        (Dem)</t>
  </si>
  <si>
    <t>Scott         Crowley       (Dem)</t>
  </si>
  <si>
    <t>Pavan V. Parikh      (Dem)</t>
  </si>
  <si>
    <t>Connie        Pillich          (Dem)</t>
  </si>
  <si>
    <t>Alicia        Reece           (Dem)</t>
  </si>
  <si>
    <t>Rachel          Baker         (Dem)</t>
  </si>
  <si>
    <t>Sedrick Denson    (Dem)</t>
  </si>
  <si>
    <t>Cecil        Thomas        (Dem)</t>
  </si>
  <si>
    <t>Ty           Hogan       (Dem)</t>
  </si>
  <si>
    <t>Rich           Moore            (Dem)</t>
  </si>
  <si>
    <t>Candace Crouse           (Dem)</t>
  </si>
  <si>
    <t>Marilyn          Zayas          (Dem)</t>
  </si>
  <si>
    <t>Terry         Nestor        (Dem)</t>
  </si>
  <si>
    <t>Judge of the Court of Appeals (1st District)                           (Full term commencing 2-11-25)</t>
  </si>
  <si>
    <t>Judge of the Court of Appeals (1st District)                              (Full term commencing 2-10-25)</t>
  </si>
  <si>
    <t>Judge of the Court of Appeals (1st District)                           (Full term commencing 2-9-25)</t>
  </si>
  <si>
    <t>Justice of the Supreme Court                                             (Full term commencing 1-2-25)</t>
  </si>
  <si>
    <t>Justice of the Supreme Court             (Full term commencing 1-1-25)</t>
  </si>
  <si>
    <t>Judge of the Court of Appeals (1st District)                           (Full term commencing 2-12-25)</t>
  </si>
  <si>
    <t>Sean M. Donovan    (Rep)</t>
  </si>
  <si>
    <t>Stacy          Lefton               (Rep)</t>
  </si>
  <si>
    <t>M. Elizabeth  Polston           (Rep)</t>
  </si>
  <si>
    <t>Robert A. Goering            (Rep)</t>
  </si>
  <si>
    <t>Louis W. Blessing III  (Rep)</t>
  </si>
  <si>
    <t>John           Sess           (Rep)</t>
  </si>
  <si>
    <t>Jim                Berns            (Rep)</t>
  </si>
  <si>
    <t>John            Breadon           (Rep)</t>
  </si>
  <si>
    <t>Curt C. Hartman          (Rep)</t>
  </si>
  <si>
    <t>Karen       Brownlee  (Dem)</t>
  </si>
  <si>
    <t>Jenn          Giroux           (Rep)</t>
  </si>
  <si>
    <t>Cindy          Abrams         (Rep)</t>
  </si>
  <si>
    <t>Joe            Salvato            (Dem)</t>
  </si>
  <si>
    <t>Stefanie A. Hawk           (Dem)</t>
  </si>
  <si>
    <t>Mike              Odioso           (Rep)</t>
  </si>
  <si>
    <t>Katie            Casch</t>
  </si>
  <si>
    <t>Leslie         Ghiz</t>
  </si>
  <si>
    <t>Chris             Lipps</t>
  </si>
  <si>
    <t>Robert C. Winkler</t>
  </si>
  <si>
    <t>Jonathan Pearson      (Rep)</t>
  </si>
  <si>
    <t>Judge of the Court of Common Pleas                                    (Full term commencing 1-1-25)</t>
  </si>
  <si>
    <t>Adam            Koehler             (Rep)</t>
  </si>
  <si>
    <t>Melissa Powers     (Rep)</t>
  </si>
  <si>
    <t>YES</t>
  </si>
  <si>
    <t>NO</t>
  </si>
  <si>
    <t>FOR</t>
  </si>
  <si>
    <t>AGAINST</t>
  </si>
  <si>
    <t>Mary                Hill              (Rep)</t>
  </si>
  <si>
    <t>Jim              Neil            (Rep)</t>
  </si>
  <si>
    <t>David W. Heimbach  (Rep)</t>
  </si>
  <si>
    <t>Jeff                 Baker             (Rep)</t>
  </si>
  <si>
    <t>Tom         Brinkman        (Rep)</t>
  </si>
  <si>
    <t>HAMILTON COUNTY, OHIO                         OFFICIAL ISSUES RESULTS                                                   PRESIDENTIAL ELECTION                                            NOVEMBER 5, 2024</t>
  </si>
  <si>
    <t>County Commissioner                                     (Full term commencing 1-3-25)</t>
  </si>
  <si>
    <t>County Commissioner                                      (Full term commencing 1-2-25)</t>
  </si>
  <si>
    <t>Kyle                Dupler                 (Lib)</t>
  </si>
  <si>
    <t xml:space="preserve">Clerk of the Court                                                of                                                                   Common Pleas </t>
  </si>
  <si>
    <t>Leandro A.           Llambi             (Lib)</t>
  </si>
  <si>
    <t>Andrew            Olding                (Lib)</t>
  </si>
  <si>
    <t>Duncan &amp; Bupp        (Non)</t>
  </si>
  <si>
    <t>Harris &amp; Walz (Dem)</t>
  </si>
  <si>
    <t>Oliver &amp;          ter Maat               (Lib)</t>
  </si>
  <si>
    <t>Sonski &amp; Onak  (Other)</t>
  </si>
  <si>
    <t>Trump &amp; Vance (Rep)</t>
  </si>
  <si>
    <t>Donald            Kissick          (Lib)</t>
  </si>
  <si>
    <t>President and Vice-President</t>
  </si>
  <si>
    <r>
      <rPr>
        <b/>
        <sz val="10"/>
        <rFont val="Arial Narrow"/>
        <family val="2"/>
      </rPr>
      <t>Issue 1</t>
    </r>
    <r>
      <rPr>
        <sz val="10"/>
        <rFont val="Arial Narrow"/>
        <family val="2"/>
      </rPr>
      <t xml:space="preserve">                                 </t>
    </r>
    <r>
      <rPr>
        <b/>
        <sz val="10"/>
        <rFont val="Arial Narrow"/>
        <family val="2"/>
      </rPr>
      <t>State of Ohio</t>
    </r>
    <r>
      <rPr>
        <sz val="10"/>
        <rFont val="Arial Narrow"/>
        <family val="2"/>
      </rPr>
      <t xml:space="preserve">                                   Proposed Constitutional Amendment -            Gerrymandering</t>
    </r>
  </si>
  <si>
    <r>
      <rPr>
        <b/>
        <sz val="10"/>
        <rFont val="Arial Narrow"/>
        <family val="2"/>
      </rPr>
      <t>Issue 3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City of Cincinnati</t>
    </r>
    <r>
      <rPr>
        <sz val="10"/>
        <rFont val="Arial Narrow"/>
        <family val="2"/>
      </rPr>
      <t xml:space="preserve">                                   Local Liquor Option -                     Cin 1-I - Sunday Sale of Wine and Mixed Beverages</t>
    </r>
  </si>
  <si>
    <r>
      <rPr>
        <b/>
        <sz val="10"/>
        <rFont val="Arial Narrow"/>
        <family val="2"/>
      </rPr>
      <t>Issue 2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City of Cheviot</t>
    </r>
    <r>
      <rPr>
        <sz val="10"/>
        <rFont val="Arial Narrow"/>
        <family val="2"/>
      </rPr>
      <t xml:space="preserve">                                   Tax Levy (Renewal) -                 5.61 ml 5yr - Current Expenses</t>
    </r>
  </si>
  <si>
    <r>
      <rPr>
        <b/>
        <sz val="10"/>
        <rFont val="Arial Narrow"/>
        <family val="2"/>
      </rPr>
      <t>Issue 4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City of Cincinnati</t>
    </r>
    <r>
      <rPr>
        <sz val="10"/>
        <rFont val="Arial Narrow"/>
        <family val="2"/>
      </rPr>
      <t xml:space="preserve">                                   Local Liquor Option -                     Cin 2-I - Sunday Sale of Wine and Mixed Beverages</t>
    </r>
  </si>
  <si>
    <r>
      <rPr>
        <b/>
        <sz val="10"/>
        <rFont val="Arial Narrow"/>
        <family val="2"/>
      </rPr>
      <t>Issue 5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City of Cincinnati</t>
    </r>
    <r>
      <rPr>
        <sz val="10"/>
        <rFont val="Arial Narrow"/>
        <family val="2"/>
      </rPr>
      <t xml:space="preserve">                                   Local Liquor Option -                     Cin 6-A - Sunday Sale of Wine and Mixed Beverages</t>
    </r>
  </si>
  <si>
    <r>
      <rPr>
        <b/>
        <sz val="10"/>
        <rFont val="Arial Narrow"/>
        <family val="2"/>
      </rPr>
      <t>Issue 6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City of Cincinnati</t>
    </r>
    <r>
      <rPr>
        <sz val="10"/>
        <rFont val="Arial Narrow"/>
        <family val="2"/>
      </rPr>
      <t xml:space="preserve">                                   Local Liquor Option -                     Cin 20-B - Sale of Beer, Wine and Mixed Beverages</t>
    </r>
  </si>
  <si>
    <r>
      <rPr>
        <b/>
        <sz val="10"/>
        <rFont val="Arial Narrow"/>
        <family val="2"/>
      </rPr>
      <t>Issue 7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City of Cincinnati</t>
    </r>
    <r>
      <rPr>
        <sz val="10"/>
        <rFont val="Arial Narrow"/>
        <family val="2"/>
      </rPr>
      <t xml:space="preserve">                                   Local Liquor Option -                     Cin 20-B - Sunday Sale of Beer, Wine and Mixed Beverages</t>
    </r>
  </si>
  <si>
    <r>
      <rPr>
        <b/>
        <sz val="10"/>
        <rFont val="Arial Narrow"/>
        <family val="2"/>
      </rPr>
      <t>Issue 8</t>
    </r>
    <r>
      <rPr>
        <sz val="10"/>
        <rFont val="Arial Narrow"/>
        <family val="2"/>
      </rPr>
      <t xml:space="preserve">                                 </t>
    </r>
    <r>
      <rPr>
        <b/>
        <sz val="10"/>
        <rFont val="Arial Narrow"/>
        <family val="2"/>
      </rPr>
      <t xml:space="preserve"> City of Indian Hill</t>
    </r>
    <r>
      <rPr>
        <sz val="10"/>
        <rFont val="Arial Narrow"/>
        <family val="2"/>
      </rPr>
      <t xml:space="preserve">                                   Revised Charter Amendments</t>
    </r>
  </si>
  <si>
    <r>
      <rPr>
        <b/>
        <sz val="10"/>
        <rFont val="Arial Narrow"/>
        <family val="2"/>
      </rPr>
      <t>Issue 9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City of Milford</t>
    </r>
    <r>
      <rPr>
        <sz val="10"/>
        <rFont val="Arial Narrow"/>
        <family val="2"/>
      </rPr>
      <t xml:space="preserve">                                   Tax Levy (Renewal) -                 6.6 ml 5yr - Providing Fire/EMS Services</t>
    </r>
  </si>
  <si>
    <r>
      <rPr>
        <b/>
        <sz val="10"/>
        <rFont val="Arial Narrow"/>
        <family val="2"/>
      </rPr>
      <t>Issue 10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City of Norwood</t>
    </r>
    <r>
      <rPr>
        <sz val="10"/>
        <rFont val="Arial Narrow"/>
        <family val="2"/>
      </rPr>
      <t xml:space="preserve">                                   Local Liquor Option -                     Norw 3-A - Sunday Sale of Wine and Mixed Beverages</t>
    </r>
  </si>
  <si>
    <r>
      <rPr>
        <b/>
        <sz val="10"/>
        <rFont val="Arial Narrow"/>
        <family val="2"/>
      </rPr>
      <t>Issue 11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City of Springdale</t>
    </r>
    <r>
      <rPr>
        <sz val="10"/>
        <rFont val="Arial Narrow"/>
        <family val="2"/>
      </rPr>
      <t xml:space="preserve">                                 Local Liquor Option -                     Spdale F - Sunday Sale of Wine and Mixed Beverages</t>
    </r>
  </si>
  <si>
    <r>
      <rPr>
        <b/>
        <sz val="10"/>
        <rFont val="Arial Narrow"/>
        <family val="2"/>
      </rPr>
      <t>Issue 12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Village of Addyston</t>
    </r>
    <r>
      <rPr>
        <sz val="10"/>
        <rFont val="Arial Narrow"/>
        <family val="2"/>
      </rPr>
      <t xml:space="preserve">                         Tax Levy (Renewal) -               2.5 ml 5yr - Providing Emergency Services</t>
    </r>
  </si>
  <si>
    <r>
      <rPr>
        <b/>
        <sz val="10"/>
        <rFont val="Arial Narrow"/>
        <family val="2"/>
      </rPr>
      <t>Issue 13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Village of Glendale</t>
    </r>
    <r>
      <rPr>
        <sz val="10"/>
        <rFont val="Arial Narrow"/>
        <family val="2"/>
      </rPr>
      <t xml:space="preserve">                         Tax Levy (Renewal) -               10 ml 4yr -Current Operating Expenses</t>
    </r>
  </si>
  <si>
    <r>
      <rPr>
        <b/>
        <sz val="10"/>
        <rFont val="Arial Narrow"/>
        <family val="2"/>
      </rPr>
      <t>Issue 14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Village of Golf Manor</t>
    </r>
    <r>
      <rPr>
        <sz val="10"/>
        <rFont val="Arial Narrow"/>
        <family val="2"/>
      </rPr>
      <t xml:space="preserve">                         Tax Levy (Renewal) -                        7 ml 5yr -Current Operating Expenses</t>
    </r>
  </si>
  <si>
    <r>
      <rPr>
        <b/>
        <sz val="10"/>
        <rFont val="Arial Narrow"/>
        <family val="2"/>
      </rPr>
      <t>Issue 15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Village of Greenhills</t>
    </r>
    <r>
      <rPr>
        <sz val="10"/>
        <rFont val="Arial Narrow"/>
        <family val="2"/>
      </rPr>
      <t xml:space="preserve">                         Tax Levy (Renewal) -                        1.5 ml 5yr -Road Improvement</t>
    </r>
  </si>
  <si>
    <t>Ayyadurai &amp; Ellis             (Write-In)</t>
  </si>
  <si>
    <t>Cheng &amp; Waligorski             (Write-In)</t>
  </si>
  <si>
    <t>De la Cruz &amp; Garcia            (Write-In)</t>
  </si>
  <si>
    <t>Fox &amp;     McVay, Jr.             (Write-In)</t>
  </si>
  <si>
    <t>Kienitz &amp;  Johnston             (Write-In)</t>
  </si>
  <si>
    <t>Stephen         Faris           (Write-In)</t>
  </si>
  <si>
    <t>David Allen Pastorious          (Write-In)</t>
  </si>
  <si>
    <t>Nathan           Russell          (Write-In)</t>
  </si>
  <si>
    <t>Tariq       Shabazz          (Write-In)</t>
  </si>
  <si>
    <r>
      <rPr>
        <b/>
        <sz val="10"/>
        <rFont val="Arial Narrow"/>
        <family val="2"/>
      </rPr>
      <t>Issue 19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Village of Woodlawn</t>
    </r>
    <r>
      <rPr>
        <sz val="10"/>
        <rFont val="Arial Narrow"/>
        <family val="2"/>
      </rPr>
      <t xml:space="preserve">                         Tax Levy (Renewal) -                      5 ml 5yr - Providing Fire/EMS Services</t>
    </r>
  </si>
  <si>
    <r>
      <rPr>
        <b/>
        <sz val="10"/>
        <rFont val="Arial Narrow"/>
        <family val="2"/>
      </rPr>
      <t>Issue 18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Village of North Bend</t>
    </r>
    <r>
      <rPr>
        <sz val="10"/>
        <rFont val="Arial Narrow"/>
        <family val="2"/>
      </rPr>
      <t xml:space="preserve">                         Tax Levy (Renewal) -                      2 ml 5yr - Providing Fire/EMS Services</t>
    </r>
  </si>
  <si>
    <r>
      <rPr>
        <b/>
        <sz val="10"/>
        <rFont val="Arial Narrow"/>
        <family val="2"/>
      </rPr>
      <t>Issue 17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Village of North Bend</t>
    </r>
    <r>
      <rPr>
        <sz val="10"/>
        <rFont val="Arial Narrow"/>
        <family val="2"/>
      </rPr>
      <t xml:space="preserve">                         Tax Levy (Renewal) -                       4.79 ml 5yr - Providing Fire/EMS Services</t>
    </r>
  </si>
  <si>
    <r>
      <rPr>
        <b/>
        <sz val="10"/>
        <rFont val="Arial Narrow"/>
        <family val="2"/>
      </rPr>
      <t>Issue 16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Village of Greenhills</t>
    </r>
    <r>
      <rPr>
        <sz val="10"/>
        <rFont val="Arial Narrow"/>
        <family val="2"/>
      </rPr>
      <t xml:space="preserve">                         Tax Levy (Additional) -                       4.9 ml CPT - Providing Fire/EMS Services</t>
    </r>
  </si>
  <si>
    <r>
      <rPr>
        <b/>
        <sz val="10"/>
        <rFont val="Arial Narrow"/>
        <family val="2"/>
      </rPr>
      <t>Issue 20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Village of Woodlawn</t>
    </r>
    <r>
      <rPr>
        <sz val="10"/>
        <rFont val="Arial Narrow"/>
        <family val="2"/>
      </rPr>
      <t xml:space="preserve">                         Revised Charter Amendment</t>
    </r>
  </si>
  <si>
    <r>
      <rPr>
        <b/>
        <sz val="10"/>
        <rFont val="Arial Narrow"/>
        <family val="2"/>
      </rPr>
      <t>Issue 21</t>
    </r>
    <r>
      <rPr>
        <sz val="10"/>
        <rFont val="Arial Narrow"/>
        <family val="2"/>
      </rPr>
      <t xml:space="preserve">                                 Township of Anderson                         Tax Levy (Additional) -                      3.3 ml CPT - Providing Fire/EMS Services</t>
    </r>
  </si>
  <si>
    <r>
      <rPr>
        <b/>
        <sz val="10"/>
        <rFont val="Arial Narrow"/>
        <family val="2"/>
      </rPr>
      <t>Issue 22</t>
    </r>
    <r>
      <rPr>
        <sz val="10"/>
        <rFont val="Arial Narrow"/>
        <family val="2"/>
      </rPr>
      <t xml:space="preserve">                                 Township of Miami                         Tax Levy (Renewal &amp; Increase) -                      6.5 ml 5yr - Providing Fire/EMS and Police Services</t>
    </r>
  </si>
  <si>
    <r>
      <rPr>
        <b/>
        <sz val="10"/>
        <rFont val="Arial Narrow"/>
        <family val="2"/>
      </rPr>
      <t>Issue 23</t>
    </r>
    <r>
      <rPr>
        <sz val="10"/>
        <rFont val="Arial Narrow"/>
        <family val="2"/>
      </rPr>
      <t xml:space="preserve">                                 Township of Miami                         Tax Levy (Renewal) -                      0.5 ml 5yr - Providing Police Protection</t>
    </r>
  </si>
  <si>
    <r>
      <rPr>
        <b/>
        <sz val="10"/>
        <rFont val="Arial Narrow"/>
        <family val="2"/>
      </rPr>
      <t>Issue 24</t>
    </r>
    <r>
      <rPr>
        <sz val="10"/>
        <rFont val="Arial Narrow"/>
        <family val="2"/>
      </rPr>
      <t xml:space="preserve">                                 Township of Springfield                         Tax Levy (Additional) -                      3.5 ml CPT - Providing Fire Service</t>
    </r>
  </si>
  <si>
    <r>
      <rPr>
        <b/>
        <sz val="10"/>
        <rFont val="Arial Narrow"/>
        <family val="2"/>
      </rPr>
      <t>Issue 25</t>
    </r>
    <r>
      <rPr>
        <sz val="10"/>
        <rFont val="Arial Narrow"/>
        <family val="2"/>
      </rPr>
      <t xml:space="preserve">                                 Township of Symmes                         Tax Levy (Additional) -                      0.5 ml 5yr - Providing Parks and Recreation Services</t>
    </r>
  </si>
  <si>
    <r>
      <rPr>
        <b/>
        <sz val="10"/>
        <rFont val="Arial Narrow"/>
        <family val="2"/>
      </rPr>
      <t>Issue 26</t>
    </r>
    <r>
      <rPr>
        <sz val="10"/>
        <rFont val="Arial Narrow"/>
        <family val="2"/>
      </rPr>
      <t xml:space="preserve">                                 Township of Whitewater                         Tax Levy (Additional) -                      4.5 ml CPT - Providing Fire/EMS Services</t>
    </r>
  </si>
  <si>
    <r>
      <rPr>
        <b/>
        <sz val="10"/>
        <rFont val="Arial Narrow"/>
        <family val="2"/>
      </rPr>
      <t>Issue 27                                  Mariemont City School District</t>
    </r>
    <r>
      <rPr>
        <sz val="10"/>
        <rFont val="Arial Narrow"/>
        <family val="2"/>
      </rPr>
      <t xml:space="preserve">                         Tax Levy (Additional) -                 5.95 ml CPT - Current Operating Expenses</t>
    </r>
  </si>
  <si>
    <r>
      <rPr>
        <b/>
        <sz val="10"/>
        <rFont val="Arial Narrow"/>
        <family val="2"/>
      </rPr>
      <t xml:space="preserve">Issue 28                                 Milford Exempted Village School District         </t>
    </r>
    <r>
      <rPr>
        <sz val="10"/>
        <rFont val="Arial Narrow"/>
        <family val="2"/>
      </rPr>
      <t xml:space="preserve">                        Earnings Tax (Additional) -                1% CPT - Current Operating Expenses</t>
    </r>
  </si>
  <si>
    <r>
      <rPr>
        <b/>
        <sz val="10"/>
        <rFont val="Arial Narrow"/>
        <family val="2"/>
      </rPr>
      <t>Issue 29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Mt. Healthy City School District</t>
    </r>
    <r>
      <rPr>
        <sz val="10"/>
        <rFont val="Arial Narrow"/>
        <family val="2"/>
      </rPr>
      <t xml:space="preserve">                                    Tax Levy (Additional) -                3 ml CPT - Current Operating Expenses</t>
    </r>
  </si>
  <si>
    <r>
      <rPr>
        <b/>
        <sz val="10"/>
        <rFont val="Arial Narrow"/>
        <family val="2"/>
      </rPr>
      <t>Issue 31</t>
    </r>
    <r>
      <rPr>
        <sz val="10"/>
        <rFont val="Arial Narrow"/>
        <family val="2"/>
      </rPr>
      <t xml:space="preserve">                                 </t>
    </r>
    <r>
      <rPr>
        <b/>
        <sz val="10"/>
        <rFont val="Arial Narrow"/>
        <family val="2"/>
      </rPr>
      <t>Wyoming City School District</t>
    </r>
    <r>
      <rPr>
        <sz val="10"/>
        <rFont val="Arial Narrow"/>
        <family val="2"/>
      </rPr>
      <t xml:space="preserve">                                                                      Bond Issue (Additional) -                7.98 ml 37yrs - School Construction &amp; Other Facilities &amp; Improvements</t>
    </r>
  </si>
  <si>
    <r>
      <rPr>
        <b/>
        <sz val="10"/>
        <rFont val="Arial Narrow"/>
        <family val="2"/>
      </rPr>
      <t>Issue 30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Princeton City School District</t>
    </r>
    <r>
      <rPr>
        <sz val="10"/>
        <rFont val="Arial Narrow"/>
        <family val="2"/>
      </rPr>
      <t xml:space="preserve">                                                                      Tax Levy (Additional) -                5 ml CPT - Current Operating Expenses</t>
    </r>
  </si>
  <si>
    <r>
      <rPr>
        <b/>
        <sz val="10"/>
        <rFont val="Arial Narrow"/>
        <family val="2"/>
      </rPr>
      <t>Issue 32</t>
    </r>
    <r>
      <rPr>
        <sz val="10"/>
        <rFont val="Arial Narrow"/>
        <family val="2"/>
      </rPr>
      <t xml:space="preserve">                                  </t>
    </r>
    <r>
      <rPr>
        <b/>
        <sz val="10"/>
        <rFont val="Arial Narrow"/>
        <family val="2"/>
      </rPr>
      <t>Anderson Township Park District</t>
    </r>
    <r>
      <rPr>
        <sz val="10"/>
        <rFont val="Arial Narrow"/>
        <family val="2"/>
      </rPr>
      <t xml:space="preserve">                                    Tax Levy (Additional) -                1.9 ml CPT - Defraying the expenses of a Park District</t>
    </r>
  </si>
  <si>
    <r>
      <rPr>
        <b/>
        <sz val="10"/>
        <rFont val="Arial Narrow"/>
        <family val="2"/>
      </rPr>
      <t>Issue 33                                  Columbia Township Waste District</t>
    </r>
    <r>
      <rPr>
        <sz val="10"/>
        <rFont val="Arial Narrow"/>
        <family val="2"/>
      </rPr>
      <t xml:space="preserve">                                     Tax Levy (Renewal) -                 3.5 ml 5yr - Providing for Waste Collection and Disposal</t>
    </r>
  </si>
  <si>
    <r>
      <rPr>
        <b/>
        <sz val="10"/>
        <rFont val="Arial Narrow"/>
        <family val="2"/>
      </rPr>
      <t>Issue 34                                 Hamilton County</t>
    </r>
    <r>
      <rPr>
        <sz val="10"/>
        <rFont val="Arial Narrow"/>
        <family val="2"/>
      </rPr>
      <t xml:space="preserve">                         Tax Levy (Renewal) -                0.34 ml 5yrs - Family Services</t>
    </r>
  </si>
  <si>
    <r>
      <rPr>
        <b/>
        <sz val="10"/>
        <rFont val="Arial Narrow"/>
        <family val="2"/>
      </rPr>
      <t>Issue 35                                 Hamilton County</t>
    </r>
    <r>
      <rPr>
        <sz val="10"/>
        <rFont val="Arial Narrow"/>
        <family val="2"/>
      </rPr>
      <t xml:space="preserve">                         Tax Levy (Renewal) -                4.13 ml 5yrs - Developmental Disabilities</t>
    </r>
  </si>
  <si>
    <t>Bowman &amp; Bowman    (Write-In)</t>
  </si>
  <si>
    <t>Garrity &amp; Ballard             (Write-In)</t>
  </si>
  <si>
    <t>Nalbach &amp; Butts           (Write-In)</t>
  </si>
  <si>
    <t>West &amp; Abdullah          (Write-In)</t>
  </si>
  <si>
    <t>Regina          Collins             (Write-In)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</si>
</sst>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;\-#,##0;0"/>
    <numFmt numFmtId="165" formatCode="[$-10409]#,##0;\-#,##0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Newtext ITC Std"/>
      <family val="3"/>
    </font>
    <font>
      <b/>
      <sz val="10"/>
      <color theme="1"/>
      <name val="Arial Narrow"/>
      <family val="2"/>
    </font>
    <font>
      <b/>
      <sz val="8"/>
      <name val="Arial"/>
      <family val="2"/>
    </font>
    <font>
      <b/>
      <sz val="10"/>
      <color rgb="FF000000"/>
      <name val="Arial Narrow"/>
      <family val="2"/>
    </font>
    <font>
      <sz val="10"/>
      <color indexed="8"/>
      <name val="Arial"/>
      <family val="2"/>
    </font>
    <font>
      <sz val="10"/>
      <color indexed="8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10"/>
      <color indexed="8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sz val="10"/>
      <name val="Newtext ITC Std"/>
      <family val="3"/>
    </font>
    <font>
      <b/>
      <sz val="8"/>
      <name val="Arial Narrow"/>
      <family val="2"/>
    </font>
    <font>
      <sz val="10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0" tint="-0.249977111117893"/>
        <bgColor indexed="64"/>
      </patternFill>
    </fill>
  </fills>
  <borders count="8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>
      <alignment vertical="top"/>
    </xf>
    <xf numFmtId="0" fontId="12" fillId="0" borderId="0">
      <alignment vertical="top"/>
    </xf>
  </cellStyleXfs>
  <cellXfs count="231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2" borderId="0" xfId="0" applyFill="1"/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1" fontId="7" fillId="2" borderId="22" xfId="2" applyNumberFormat="1" applyFont="1" applyFill="1" applyBorder="1" applyAlignment="1">
      <alignment horizontal="center" vertical="center"/>
    </xf>
    <xf numFmtId="0" fontId="7" fillId="2" borderId="22" xfId="2" applyFont="1" applyFill="1" applyBorder="1" applyAlignment="1">
      <alignment vertical="center"/>
    </xf>
    <xf numFmtId="3" fontId="8" fillId="0" borderId="2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0" fontId="7" fillId="3" borderId="23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1" fontId="7" fillId="2" borderId="29" xfId="2" applyNumberFormat="1" applyFont="1" applyFill="1" applyBorder="1" applyAlignment="1">
      <alignment horizontal="center" vertical="center"/>
    </xf>
    <xf numFmtId="0" fontId="7" fillId="2" borderId="29" xfId="2" applyFont="1" applyFill="1" applyBorder="1" applyAlignment="1">
      <alignment vertical="center"/>
    </xf>
    <xf numFmtId="3" fontId="8" fillId="0" borderId="29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164" fontId="7" fillId="0" borderId="32" xfId="1" applyNumberFormat="1" applyFont="1" applyFill="1" applyBorder="1" applyAlignment="1">
      <alignment horizontal="center" vertical="center"/>
    </xf>
    <xf numFmtId="164" fontId="7" fillId="0" borderId="30" xfId="1" applyNumberFormat="1" applyFont="1" applyFill="1" applyBorder="1" applyAlignment="1">
      <alignment horizontal="center" vertical="center"/>
    </xf>
    <xf numFmtId="164" fontId="7" fillId="0" borderId="31" xfId="1" applyNumberFormat="1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3" fontId="8" fillId="0" borderId="32" xfId="0" applyNumberFormat="1" applyFont="1" applyBorder="1" applyAlignment="1">
      <alignment horizontal="center" vertical="center"/>
    </xf>
    <xf numFmtId="3" fontId="8" fillId="0" borderId="30" xfId="0" applyNumberFormat="1" applyFont="1" applyBorder="1" applyAlignment="1">
      <alignment horizontal="center" vertical="center"/>
    </xf>
    <xf numFmtId="3" fontId="8" fillId="0" borderId="31" xfId="0" applyNumberFormat="1" applyFont="1" applyBorder="1" applyAlignment="1">
      <alignment horizontal="center" vertical="center"/>
    </xf>
    <xf numFmtId="3" fontId="9" fillId="0" borderId="32" xfId="0" applyNumberFormat="1" applyFont="1" applyBorder="1" applyAlignment="1">
      <alignment horizontal="center" vertical="center"/>
    </xf>
    <xf numFmtId="3" fontId="9" fillId="0" borderId="33" xfId="0" applyNumberFormat="1" applyFont="1" applyBorder="1" applyAlignment="1">
      <alignment horizontal="center" vertical="center"/>
    </xf>
    <xf numFmtId="3" fontId="9" fillId="0" borderId="30" xfId="0" applyNumberFormat="1" applyFont="1" applyBorder="1" applyAlignment="1">
      <alignment horizontal="center" vertical="center"/>
    </xf>
    <xf numFmtId="3" fontId="9" fillId="0" borderId="29" xfId="0" applyNumberFormat="1" applyFont="1" applyBorder="1" applyAlignment="1">
      <alignment horizontal="center" vertical="center"/>
    </xf>
    <xf numFmtId="3" fontId="9" fillId="0" borderId="31" xfId="0" applyNumberFormat="1" applyFont="1" applyBorder="1" applyAlignment="1">
      <alignment horizontal="center" vertical="center"/>
    </xf>
    <xf numFmtId="1" fontId="7" fillId="2" borderId="35" xfId="2" applyNumberFormat="1" applyFont="1" applyFill="1" applyBorder="1" applyAlignment="1">
      <alignment horizontal="center" vertical="center"/>
    </xf>
    <xf numFmtId="0" fontId="7" fillId="2" borderId="35" xfId="2" applyFont="1" applyFill="1" applyBorder="1" applyAlignment="1">
      <alignment vertical="center"/>
    </xf>
    <xf numFmtId="3" fontId="8" fillId="0" borderId="35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3" fontId="9" fillId="0" borderId="37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3" fontId="9" fillId="0" borderId="11" xfId="0" applyNumberFormat="1" applyFont="1" applyBorder="1" applyAlignment="1">
      <alignment horizontal="center" vertical="center"/>
    </xf>
    <xf numFmtId="3" fontId="9" fillId="0" borderId="38" xfId="0" applyNumberFormat="1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3" fontId="9" fillId="0" borderId="36" xfId="0" applyNumberFormat="1" applyFont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1" fontId="7" fillId="2" borderId="1" xfId="2" applyNumberFormat="1" applyFont="1" applyFill="1" applyBorder="1" applyAlignment="1">
      <alignment horizontal="center" vertical="center"/>
    </xf>
    <xf numFmtId="0" fontId="10" fillId="2" borderId="39" xfId="2" applyFont="1" applyFill="1" applyBorder="1" applyAlignment="1">
      <alignment vertical="center"/>
    </xf>
    <xf numFmtId="3" fontId="11" fillId="0" borderId="39" xfId="0" applyNumberFormat="1" applyFont="1" applyBorder="1" applyAlignment="1">
      <alignment horizontal="center" vertical="center"/>
    </xf>
    <xf numFmtId="3" fontId="10" fillId="0" borderId="39" xfId="0" applyNumberFormat="1" applyFont="1" applyBorder="1" applyAlignment="1">
      <alignment horizontal="center" vertical="center"/>
    </xf>
    <xf numFmtId="10" fontId="10" fillId="3" borderId="4" xfId="0" applyNumberFormat="1" applyFont="1" applyFill="1" applyBorder="1" applyAlignment="1">
      <alignment horizontal="center" vertical="center"/>
    </xf>
    <xf numFmtId="3" fontId="3" fillId="0" borderId="40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 vertical="center"/>
    </xf>
    <xf numFmtId="3" fontId="3" fillId="0" borderId="41" xfId="0" applyNumberFormat="1" applyFont="1" applyBorder="1" applyAlignment="1">
      <alignment horizontal="center" vertical="center"/>
    </xf>
    <xf numFmtId="1" fontId="7" fillId="2" borderId="30" xfId="2" applyNumberFormat="1" applyFont="1" applyFill="1" applyBorder="1" applyAlignment="1">
      <alignment horizontal="center" vertical="center"/>
    </xf>
    <xf numFmtId="0" fontId="10" fillId="2" borderId="29" xfId="2" applyFont="1" applyFill="1" applyBorder="1" applyAlignment="1">
      <alignment vertical="center"/>
    </xf>
    <xf numFmtId="3" fontId="11" fillId="0" borderId="29" xfId="0" applyNumberFormat="1" applyFont="1" applyBorder="1" applyAlignment="1">
      <alignment horizontal="center" vertical="center"/>
    </xf>
    <xf numFmtId="3" fontId="10" fillId="0" borderId="29" xfId="0" applyNumberFormat="1" applyFont="1" applyBorder="1" applyAlignment="1">
      <alignment horizontal="center" vertical="center"/>
    </xf>
    <xf numFmtId="10" fontId="10" fillId="3" borderId="42" xfId="0" applyNumberFormat="1" applyFont="1" applyFill="1" applyBorder="1" applyAlignment="1">
      <alignment horizontal="center" vertical="center"/>
    </xf>
    <xf numFmtId="3" fontId="9" fillId="0" borderId="40" xfId="0" applyNumberFormat="1" applyFont="1" applyBorder="1" applyAlignment="1">
      <alignment horizontal="center" vertical="center"/>
    </xf>
    <xf numFmtId="3" fontId="9" fillId="0" borderId="25" xfId="0" applyNumberFormat="1" applyFont="1" applyBorder="1" applyAlignment="1">
      <alignment horizontal="center" vertical="center"/>
    </xf>
    <xf numFmtId="3" fontId="9" fillId="0" borderId="28" xfId="0" applyNumberFormat="1" applyFont="1" applyBorder="1" applyAlignment="1">
      <alignment horizontal="center" vertical="center"/>
    </xf>
    <xf numFmtId="3" fontId="9" fillId="0" borderId="22" xfId="0" applyNumberFormat="1" applyFont="1" applyBorder="1" applyAlignment="1">
      <alignment horizontal="center" vertical="center"/>
    </xf>
    <xf numFmtId="3" fontId="9" fillId="0" borderId="24" xfId="0" applyNumberFormat="1" applyFont="1" applyBorder="1" applyAlignment="1">
      <alignment horizontal="center" vertical="center"/>
    </xf>
    <xf numFmtId="1" fontId="7" fillId="2" borderId="10" xfId="2" applyNumberFormat="1" applyFont="1" applyFill="1" applyBorder="1" applyAlignment="1">
      <alignment horizontal="center" vertical="center"/>
    </xf>
    <xf numFmtId="0" fontId="10" fillId="2" borderId="43" xfId="2" applyFont="1" applyFill="1" applyBorder="1" applyAlignment="1">
      <alignment vertical="center"/>
    </xf>
    <xf numFmtId="3" fontId="8" fillId="0" borderId="43" xfId="0" applyNumberFormat="1" applyFont="1" applyBorder="1" applyAlignment="1">
      <alignment horizontal="center" vertical="center"/>
    </xf>
    <xf numFmtId="3" fontId="10" fillId="0" borderId="43" xfId="0" applyNumberFormat="1" applyFont="1" applyBorder="1" applyAlignment="1">
      <alignment horizontal="center" vertical="center"/>
    </xf>
    <xf numFmtId="10" fontId="10" fillId="3" borderId="44" xfId="0" applyNumberFormat="1" applyFont="1" applyFill="1" applyBorder="1" applyAlignment="1">
      <alignment horizontal="center" vertical="center"/>
    </xf>
    <xf numFmtId="3" fontId="11" fillId="2" borderId="29" xfId="0" applyNumberFormat="1" applyFont="1" applyFill="1" applyBorder="1" applyAlignment="1">
      <alignment vertical="center"/>
    </xf>
    <xf numFmtId="3" fontId="8" fillId="2" borderId="29" xfId="0" applyNumberFormat="1" applyFont="1" applyFill="1" applyBorder="1" applyAlignment="1">
      <alignment horizontal="center" vertical="center"/>
    </xf>
    <xf numFmtId="10" fontId="7" fillId="3" borderId="42" xfId="0" applyNumberFormat="1" applyFont="1" applyFill="1" applyBorder="1" applyAlignment="1">
      <alignment horizontal="center" vertical="center"/>
    </xf>
    <xf numFmtId="3" fontId="7" fillId="0" borderId="29" xfId="0" applyNumberFormat="1" applyFont="1" applyBorder="1" applyAlignment="1">
      <alignment horizontal="center" vertical="center"/>
    </xf>
    <xf numFmtId="0" fontId="8" fillId="2" borderId="29" xfId="0" applyFont="1" applyFill="1" applyBorder="1" applyAlignment="1">
      <alignment vertical="center"/>
    </xf>
    <xf numFmtId="0" fontId="11" fillId="2" borderId="29" xfId="0" applyFont="1" applyFill="1" applyBorder="1" applyAlignment="1">
      <alignment vertical="center"/>
    </xf>
    <xf numFmtId="3" fontId="7" fillId="2" borderId="29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3" fontId="9" fillId="0" borderId="42" xfId="0" applyNumberFormat="1" applyFont="1" applyBorder="1" applyAlignment="1">
      <alignment horizontal="center" vertical="center"/>
    </xf>
    <xf numFmtId="0" fontId="11" fillId="3" borderId="29" xfId="0" applyFont="1" applyFill="1" applyBorder="1" applyAlignment="1">
      <alignment vertical="center"/>
    </xf>
    <xf numFmtId="1" fontId="7" fillId="2" borderId="29" xfId="0" applyNumberFormat="1" applyFont="1" applyFill="1" applyBorder="1" applyAlignment="1">
      <alignment horizontal="center" vertical="center"/>
    </xf>
    <xf numFmtId="3" fontId="7" fillId="0" borderId="45" xfId="0" applyNumberFormat="1" applyFont="1" applyBorder="1" applyAlignment="1">
      <alignment horizontal="center" vertical="center"/>
    </xf>
    <xf numFmtId="3" fontId="7" fillId="2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3" fontId="7" fillId="2" borderId="11" xfId="0" applyNumberFormat="1" applyFont="1" applyFill="1" applyBorder="1" applyAlignment="1">
      <alignment horizontal="center" vertical="center"/>
    </xf>
    <xf numFmtId="10" fontId="7" fillId="3" borderId="12" xfId="0" applyNumberFormat="1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3" fontId="3" fillId="0" borderId="48" xfId="0" applyNumberFormat="1" applyFont="1" applyBorder="1" applyAlignment="1">
      <alignment horizontal="center" vertical="center"/>
    </xf>
    <xf numFmtId="3" fontId="9" fillId="0" borderId="49" xfId="0" applyNumberFormat="1" applyFont="1" applyBorder="1" applyAlignment="1">
      <alignment horizontal="center" vertical="center"/>
    </xf>
    <xf numFmtId="3" fontId="9" fillId="0" borderId="50" xfId="0" applyNumberFormat="1" applyFont="1" applyBorder="1" applyAlignment="1">
      <alignment horizontal="center" vertical="center"/>
    </xf>
    <xf numFmtId="3" fontId="9" fillId="0" borderId="51" xfId="0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164" fontId="7" fillId="0" borderId="42" xfId="1" applyNumberFormat="1" applyFont="1" applyFill="1" applyBorder="1" applyAlignment="1">
      <alignment horizontal="center" vertical="center"/>
    </xf>
    <xf numFmtId="3" fontId="8" fillId="0" borderId="4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9" fillId="0" borderId="23" xfId="0" applyNumberFormat="1" applyFont="1" applyBorder="1" applyAlignment="1">
      <alignment horizontal="center" vertical="center"/>
    </xf>
    <xf numFmtId="164" fontId="7" fillId="0" borderId="51" xfId="1" applyNumberFormat="1" applyFont="1" applyFill="1" applyBorder="1" applyAlignment="1">
      <alignment horizontal="center" vertical="center"/>
    </xf>
    <xf numFmtId="3" fontId="8" fillId="0" borderId="51" xfId="0" applyNumberFormat="1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2" borderId="53" xfId="0" applyFill="1" applyBorder="1"/>
    <xf numFmtId="0" fontId="5" fillId="0" borderId="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3" fontId="8" fillId="0" borderId="27" xfId="0" applyNumberFormat="1" applyFont="1" applyBorder="1" applyAlignment="1">
      <alignment horizontal="center" vertical="center"/>
    </xf>
    <xf numFmtId="3" fontId="9" fillId="0" borderId="54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4" fillId="2" borderId="15" xfId="3" applyFont="1" applyFill="1" applyBorder="1" applyAlignment="1">
      <alignment horizontal="center" vertical="center" wrapText="1"/>
    </xf>
    <xf numFmtId="0" fontId="14" fillId="2" borderId="6" xfId="3" applyFont="1" applyFill="1" applyBorder="1" applyAlignment="1">
      <alignment horizontal="center" vertical="center" wrapText="1"/>
    </xf>
    <xf numFmtId="0" fontId="14" fillId="2" borderId="7" xfId="3" applyFont="1" applyFill="1" applyBorder="1" applyAlignment="1">
      <alignment horizontal="center" vertical="center"/>
    </xf>
    <xf numFmtId="0" fontId="3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165" fontId="15" fillId="0" borderId="22" xfId="0" applyNumberFormat="1" applyFont="1" applyBorder="1" applyAlignment="1">
      <alignment horizontal="center" vertical="center" wrapText="1" readingOrder="1"/>
    </xf>
    <xf numFmtId="10" fontId="7" fillId="0" borderId="3" xfId="0" applyNumberFormat="1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10" fontId="7" fillId="0" borderId="42" xfId="0" applyNumberFormat="1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3" fontId="9" fillId="0" borderId="35" xfId="0" applyNumberFormat="1" applyFont="1" applyBorder="1" applyAlignment="1">
      <alignment horizontal="center" vertical="center"/>
    </xf>
    <xf numFmtId="10" fontId="7" fillId="0" borderId="56" xfId="0" applyNumberFormat="1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3" fontId="11" fillId="0" borderId="55" xfId="0" applyNumberFormat="1" applyFont="1" applyBorder="1" applyAlignment="1">
      <alignment horizontal="center" vertical="center"/>
    </xf>
    <xf numFmtId="10" fontId="10" fillId="0" borderId="67" xfId="0" applyNumberFormat="1" applyFont="1" applyBorder="1" applyAlignment="1">
      <alignment horizontal="center" vertical="center"/>
    </xf>
    <xf numFmtId="3" fontId="3" fillId="0" borderId="68" xfId="0" applyNumberFormat="1" applyFont="1" applyBorder="1" applyAlignment="1">
      <alignment horizontal="center" vertical="center"/>
    </xf>
    <xf numFmtId="3" fontId="3" fillId="0" borderId="69" xfId="0" applyNumberFormat="1" applyFont="1" applyBorder="1" applyAlignment="1">
      <alignment horizontal="center" vertical="center"/>
    </xf>
    <xf numFmtId="3" fontId="3" fillId="0" borderId="70" xfId="0" applyNumberFormat="1" applyFont="1" applyBorder="1" applyAlignment="1">
      <alignment horizontal="center" vertical="center"/>
    </xf>
    <xf numFmtId="0" fontId="10" fillId="2" borderId="22" xfId="2" applyFont="1" applyFill="1" applyBorder="1" applyAlignment="1">
      <alignment vertical="center"/>
    </xf>
    <xf numFmtId="3" fontId="11" fillId="0" borderId="22" xfId="0" applyNumberFormat="1" applyFont="1" applyBorder="1" applyAlignment="1">
      <alignment horizontal="center" vertical="center"/>
    </xf>
    <xf numFmtId="10" fontId="10" fillId="0" borderId="71" xfId="0" applyNumberFormat="1" applyFont="1" applyBorder="1" applyAlignment="1">
      <alignment horizontal="center" vertical="center"/>
    </xf>
    <xf numFmtId="3" fontId="9" fillId="0" borderId="72" xfId="0" applyNumberFormat="1" applyFont="1" applyBorder="1" applyAlignment="1">
      <alignment horizontal="center" vertical="center"/>
    </xf>
    <xf numFmtId="3" fontId="9" fillId="0" borderId="73" xfId="0" applyNumberFormat="1" applyFont="1" applyBorder="1" applyAlignment="1">
      <alignment horizontal="center" vertical="center"/>
    </xf>
    <xf numFmtId="3" fontId="9" fillId="0" borderId="74" xfId="0" applyNumberFormat="1" applyFont="1" applyBorder="1" applyAlignment="1">
      <alignment horizontal="center" vertical="center"/>
    </xf>
    <xf numFmtId="3" fontId="11" fillId="0" borderId="43" xfId="0" applyNumberFormat="1" applyFont="1" applyBorder="1" applyAlignment="1">
      <alignment horizontal="center" vertical="center"/>
    </xf>
    <xf numFmtId="10" fontId="10" fillId="0" borderId="75" xfId="0" applyNumberFormat="1" applyFont="1" applyBorder="1" applyAlignment="1">
      <alignment horizontal="center" vertical="center"/>
    </xf>
    <xf numFmtId="3" fontId="9" fillId="0" borderId="76" xfId="0" applyNumberFormat="1" applyFont="1" applyBorder="1" applyAlignment="1">
      <alignment horizontal="center" vertical="center"/>
    </xf>
    <xf numFmtId="3" fontId="9" fillId="0" borderId="77" xfId="0" applyNumberFormat="1" applyFont="1" applyBorder="1" applyAlignment="1">
      <alignment horizontal="center" vertical="center"/>
    </xf>
    <xf numFmtId="3" fontId="9" fillId="0" borderId="19" xfId="0" applyNumberFormat="1" applyFont="1" applyBorder="1" applyAlignment="1">
      <alignment horizontal="center" vertical="center"/>
    </xf>
    <xf numFmtId="3" fontId="9" fillId="0" borderId="18" xfId="0" applyNumberFormat="1" applyFont="1" applyBorder="1" applyAlignment="1">
      <alignment horizontal="center" vertical="center"/>
    </xf>
    <xf numFmtId="10" fontId="7" fillId="0" borderId="23" xfId="0" applyNumberFormat="1" applyFont="1" applyBorder="1" applyAlignment="1">
      <alignment horizontal="center" vertical="center"/>
    </xf>
    <xf numFmtId="3" fontId="0" fillId="0" borderId="74" xfId="0" applyNumberFormat="1" applyBorder="1" applyAlignment="1">
      <alignment horizontal="center" vertical="center"/>
    </xf>
    <xf numFmtId="3" fontId="0" fillId="0" borderId="73" xfId="0" applyNumberFormat="1" applyBorder="1" applyAlignment="1">
      <alignment horizontal="center" vertical="center"/>
    </xf>
    <xf numFmtId="3" fontId="9" fillId="0" borderId="60" xfId="0" applyNumberFormat="1" applyFont="1" applyBorder="1" applyAlignment="1">
      <alignment horizontal="center" vertical="center"/>
    </xf>
    <xf numFmtId="3" fontId="9" fillId="0" borderId="61" xfId="0" applyNumberFormat="1" applyFont="1" applyBorder="1" applyAlignment="1">
      <alignment horizontal="center" vertical="center"/>
    </xf>
    <xf numFmtId="3" fontId="7" fillId="0" borderId="29" xfId="0" applyNumberFormat="1" applyFont="1" applyBorder="1" applyAlignment="1" applyProtection="1">
      <alignment horizontal="center" vertical="center"/>
      <protection locked="0"/>
    </xf>
    <xf numFmtId="3" fontId="7" fillId="0" borderId="11" xfId="0" applyNumberFormat="1" applyFont="1" applyBorder="1" applyAlignment="1">
      <alignment horizontal="center" vertical="center"/>
    </xf>
    <xf numFmtId="10" fontId="7" fillId="0" borderId="12" xfId="0" applyNumberFormat="1" applyFont="1" applyBorder="1" applyAlignment="1">
      <alignment horizontal="center" vertical="center"/>
    </xf>
    <xf numFmtId="3" fontId="9" fillId="0" borderId="78" xfId="0" applyNumberFormat="1" applyFont="1" applyBorder="1" applyAlignment="1">
      <alignment horizontal="center" vertical="center"/>
    </xf>
    <xf numFmtId="3" fontId="9" fillId="0" borderId="79" xfId="0" applyNumberFormat="1" applyFont="1" applyBorder="1" applyAlignment="1">
      <alignment horizontal="center" vertical="center"/>
    </xf>
    <xf numFmtId="0" fontId="12" fillId="0" borderId="0" xfId="3" applyAlignment="1">
      <alignment horizontal="center" vertical="center"/>
    </xf>
    <xf numFmtId="0" fontId="12" fillId="0" borderId="0" xfId="3" applyAlignment="1">
      <alignment vertical="center"/>
    </xf>
    <xf numFmtId="0" fontId="12" fillId="2" borderId="0" xfId="3" applyFill="1" applyAlignment="1">
      <alignment vertical="center"/>
    </xf>
    <xf numFmtId="1" fontId="7" fillId="0" borderId="22" xfId="2" applyNumberFormat="1" applyFont="1" applyBorder="1" applyAlignment="1">
      <alignment horizontal="center" vertical="center"/>
    </xf>
    <xf numFmtId="0" fontId="7" fillId="0" borderId="22" xfId="2" applyFont="1" applyBorder="1" applyAlignment="1">
      <alignment vertical="center"/>
    </xf>
    <xf numFmtId="1" fontId="7" fillId="0" borderId="29" xfId="2" applyNumberFormat="1" applyFont="1" applyBorder="1" applyAlignment="1">
      <alignment horizontal="center" vertical="center"/>
    </xf>
    <xf numFmtId="0" fontId="7" fillId="0" borderId="29" xfId="2" applyFont="1" applyBorder="1" applyAlignment="1">
      <alignment vertical="center"/>
    </xf>
    <xf numFmtId="1" fontId="7" fillId="0" borderId="35" xfId="2" applyNumberFormat="1" applyFont="1" applyBorder="1" applyAlignment="1">
      <alignment horizontal="center" vertical="center"/>
    </xf>
    <xf numFmtId="0" fontId="7" fillId="0" borderId="35" xfId="2" applyFont="1" applyBorder="1" applyAlignment="1">
      <alignment vertical="center"/>
    </xf>
    <xf numFmtId="3" fontId="11" fillId="0" borderId="66" xfId="0" applyNumberFormat="1" applyFont="1" applyBorder="1" applyAlignment="1">
      <alignment vertical="center"/>
    </xf>
    <xf numFmtId="3" fontId="11" fillId="0" borderId="55" xfId="0" applyNumberFormat="1" applyFont="1" applyBorder="1" applyAlignment="1">
      <alignment vertical="center"/>
    </xf>
    <xf numFmtId="3" fontId="11" fillId="0" borderId="53" xfId="0" applyNumberFormat="1" applyFont="1" applyBorder="1" applyAlignment="1">
      <alignment vertical="center"/>
    </xf>
    <xf numFmtId="3" fontId="11" fillId="0" borderId="50" xfId="0" applyNumberFormat="1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9" fillId="0" borderId="8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8" fillId="0" borderId="12" xfId="3" applyFont="1" applyBorder="1" applyAlignment="1">
      <alignment horizontal="center" vertical="center" wrapText="1"/>
    </xf>
    <xf numFmtId="0" fontId="8" fillId="0" borderId="48" xfId="3" applyFont="1" applyBorder="1" applyAlignment="1">
      <alignment horizontal="center" vertical="center" wrapText="1"/>
    </xf>
    <xf numFmtId="0" fontId="8" fillId="0" borderId="50" xfId="3" applyFont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13" fillId="2" borderId="2" xfId="3" applyFont="1" applyFill="1" applyBorder="1" applyAlignment="1">
      <alignment vertical="center" wrapText="1"/>
    </xf>
    <xf numFmtId="0" fontId="13" fillId="2" borderId="3" xfId="3" applyFont="1" applyFill="1" applyBorder="1" applyAlignment="1">
      <alignment vertical="center" wrapText="1"/>
    </xf>
    <xf numFmtId="0" fontId="13" fillId="2" borderId="10" xfId="3" applyFont="1" applyFill="1" applyBorder="1" applyAlignment="1">
      <alignment vertical="center" wrapText="1"/>
    </xf>
    <xf numFmtId="0" fontId="13" fillId="2" borderId="11" xfId="3" applyFont="1" applyFill="1" applyBorder="1" applyAlignment="1">
      <alignment vertical="center" wrapText="1"/>
    </xf>
    <xf numFmtId="0" fontId="13" fillId="2" borderId="12" xfId="3" applyFont="1" applyFill="1" applyBorder="1" applyAlignment="1">
      <alignment vertical="center" wrapText="1"/>
    </xf>
  </cellXfs>
  <cellStyles count="4">
    <cellStyle name="Comma" xfId="1" builtinId="3"/>
    <cellStyle name="Normal" xfId="0" builtinId="0"/>
    <cellStyle name="Normal 3" xfId="2" xr:uid="{ED639A29-485B-4B48-BB6A-13F812B187B1}"/>
    <cellStyle name="Normal 4" xfId="3" xr:uid="{D29421E0-E450-4CF2-9DEB-2C8C35CC4F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C07C-9EE2-413A-885E-4B1DE3386793}">
  <sheetPr>
    <tabColor rgb="FF00B0F0"/>
  </sheetPr>
  <dimension ref="A1:CK663"/>
  <sheetViews>
    <sheetView tabSelected="1" zoomScaleNormal="100" workbookViewId="0">
      <pane xSplit="6340" ySplit="3660" topLeftCell="F3"/>
      <selection sqref="A1:E1"/>
      <selection pane="topRight" activeCell="AV3" sqref="AV3"/>
      <selection pane="bottomLeft" activeCell="B3" sqref="B3"/>
      <selection pane="bottomRight" activeCell="BB565" sqref="BB565"/>
    </sheetView>
  </sheetViews>
  <sheetFormatPr defaultColWidth="9.1796875" defaultRowHeight="12.5" x14ac:dyDescent="0.25"/>
  <cols>
    <col min="1" max="1" width="5.81640625" style="4" customWidth="1"/>
    <col min="2" max="2" width="19.36328125" style="4" bestFit="1" customWidth="1"/>
    <col min="3" max="3" width="10.453125" style="4" customWidth="1"/>
    <col min="4" max="5" width="9.1796875" style="4"/>
    <col min="6" max="89" width="11.54296875" style="4" customWidth="1"/>
    <col min="90" max="16384" width="9.1796875" style="4"/>
  </cols>
  <sheetData>
    <row r="1" spans="1:89" ht="130.5" customHeight="1" thickTop="1" thickBot="1" x14ac:dyDescent="0.3">
      <c r="A1" s="213" t="s">
        <v>685</v>
      </c>
      <c r="B1" s="214"/>
      <c r="C1" s="214"/>
      <c r="D1" s="214"/>
      <c r="E1" s="215"/>
      <c r="F1" s="216" t="s">
        <v>770</v>
      </c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8"/>
      <c r="T1" s="205" t="s">
        <v>723</v>
      </c>
      <c r="U1" s="206"/>
      <c r="V1" s="205" t="s">
        <v>722</v>
      </c>
      <c r="W1" s="206"/>
      <c r="X1" s="205" t="s">
        <v>3</v>
      </c>
      <c r="Y1" s="206"/>
      <c r="Z1" s="211" t="s">
        <v>0</v>
      </c>
      <c r="AA1" s="217"/>
      <c r="AB1" s="217"/>
      <c r="AC1" s="217"/>
      <c r="AD1" s="217"/>
      <c r="AE1" s="217"/>
      <c r="AF1" s="212"/>
      <c r="AG1" s="211" t="s">
        <v>1</v>
      </c>
      <c r="AH1" s="212"/>
      <c r="AI1" s="211" t="s">
        <v>2</v>
      </c>
      <c r="AJ1" s="212"/>
      <c r="AK1" s="211" t="s">
        <v>4</v>
      </c>
      <c r="AL1" s="212"/>
      <c r="AM1" s="205" t="s">
        <v>5</v>
      </c>
      <c r="AN1" s="206"/>
      <c r="AO1" s="205" t="s">
        <v>6</v>
      </c>
      <c r="AP1" s="206"/>
      <c r="AQ1" s="205" t="s">
        <v>7</v>
      </c>
      <c r="AR1" s="206"/>
      <c r="AS1" s="205" t="s">
        <v>8</v>
      </c>
      <c r="AT1" s="206"/>
      <c r="AU1" s="205" t="s">
        <v>9</v>
      </c>
      <c r="AV1" s="210"/>
      <c r="AW1" s="206"/>
      <c r="AX1" s="205" t="s">
        <v>10</v>
      </c>
      <c r="AY1" s="206"/>
      <c r="AZ1" s="205" t="s">
        <v>11</v>
      </c>
      <c r="BA1" s="206"/>
      <c r="BB1" s="205" t="s">
        <v>721</v>
      </c>
      <c r="BC1" s="206"/>
      <c r="BD1" s="205" t="s">
        <v>720</v>
      </c>
      <c r="BE1" s="206"/>
      <c r="BF1" s="207" t="s">
        <v>719</v>
      </c>
      <c r="BG1" s="209"/>
      <c r="BH1" s="207" t="s">
        <v>724</v>
      </c>
      <c r="BI1" s="209"/>
      <c r="BJ1" s="207" t="s">
        <v>759</v>
      </c>
      <c r="BK1" s="208"/>
      <c r="BL1" s="209"/>
      <c r="BM1" s="205" t="s">
        <v>758</v>
      </c>
      <c r="BN1" s="210"/>
      <c r="BO1" s="206"/>
      <c r="BP1" s="205" t="s">
        <v>704</v>
      </c>
      <c r="BQ1" s="206"/>
      <c r="BR1" s="207" t="s">
        <v>12</v>
      </c>
      <c r="BS1" s="209"/>
      <c r="BT1" s="207" t="s">
        <v>761</v>
      </c>
      <c r="BU1" s="208"/>
      <c r="BV1" s="209"/>
      <c r="BW1" s="205" t="s">
        <v>13</v>
      </c>
      <c r="BX1" s="206"/>
      <c r="BY1" s="205" t="s">
        <v>14</v>
      </c>
      <c r="BZ1" s="206"/>
      <c r="CA1" s="207" t="s">
        <v>15</v>
      </c>
      <c r="CB1" s="209"/>
      <c r="CC1" s="3" t="s">
        <v>16</v>
      </c>
      <c r="CD1" s="202" t="s">
        <v>17</v>
      </c>
      <c r="CE1" s="207" t="s">
        <v>745</v>
      </c>
      <c r="CF1" s="209"/>
      <c r="CG1" s="205" t="s">
        <v>702</v>
      </c>
      <c r="CH1" s="210"/>
      <c r="CI1" s="210"/>
      <c r="CJ1" s="210"/>
      <c r="CK1" s="206"/>
    </row>
    <row r="2" spans="1:89" customFormat="1" ht="40" thickTop="1" thickBot="1" x14ac:dyDescent="0.3">
      <c r="A2" s="5" t="s">
        <v>18</v>
      </c>
      <c r="B2" s="6" t="s">
        <v>19</v>
      </c>
      <c r="C2" s="7" t="s">
        <v>20</v>
      </c>
      <c r="D2" s="5" t="s">
        <v>21</v>
      </c>
      <c r="E2" s="8" t="s">
        <v>22</v>
      </c>
      <c r="F2" s="201" t="s">
        <v>786</v>
      </c>
      <c r="G2" s="201" t="s">
        <v>815</v>
      </c>
      <c r="H2" s="201" t="s">
        <v>787</v>
      </c>
      <c r="I2" s="201" t="s">
        <v>788</v>
      </c>
      <c r="J2" s="201" t="s">
        <v>764</v>
      </c>
      <c r="K2" s="201" t="s">
        <v>789</v>
      </c>
      <c r="L2" s="204" t="s">
        <v>816</v>
      </c>
      <c r="M2" s="201" t="s">
        <v>765</v>
      </c>
      <c r="N2" s="201" t="s">
        <v>790</v>
      </c>
      <c r="O2" s="201" t="s">
        <v>817</v>
      </c>
      <c r="P2" s="201" t="s">
        <v>766</v>
      </c>
      <c r="Q2" s="201" t="s">
        <v>767</v>
      </c>
      <c r="R2" s="203" t="s">
        <v>768</v>
      </c>
      <c r="S2" s="113" t="s">
        <v>818</v>
      </c>
      <c r="T2" s="13" t="s">
        <v>687</v>
      </c>
      <c r="U2" s="113" t="s">
        <v>697</v>
      </c>
      <c r="V2" s="13" t="s">
        <v>698</v>
      </c>
      <c r="W2" s="135" t="s">
        <v>699</v>
      </c>
      <c r="X2" s="14" t="s">
        <v>700</v>
      </c>
      <c r="Y2" s="113" t="s">
        <v>701</v>
      </c>
      <c r="Z2" s="9" t="s">
        <v>692</v>
      </c>
      <c r="AA2" s="204" t="s">
        <v>791</v>
      </c>
      <c r="AB2" s="201" t="s">
        <v>769</v>
      </c>
      <c r="AC2" s="13" t="s">
        <v>693</v>
      </c>
      <c r="AD2" s="201" t="s">
        <v>792</v>
      </c>
      <c r="AE2" s="201" t="s">
        <v>793</v>
      </c>
      <c r="AF2" s="113" t="s">
        <v>794</v>
      </c>
      <c r="AG2" s="9" t="s">
        <v>686</v>
      </c>
      <c r="AH2" s="11" t="s">
        <v>694</v>
      </c>
      <c r="AI2" s="13" t="s">
        <v>696</v>
      </c>
      <c r="AJ2" s="113" t="s">
        <v>695</v>
      </c>
      <c r="AK2" s="13" t="s">
        <v>729</v>
      </c>
      <c r="AL2" s="113" t="s">
        <v>714</v>
      </c>
      <c r="AM2" s="133" t="s">
        <v>688</v>
      </c>
      <c r="AN2" s="12" t="s">
        <v>730</v>
      </c>
      <c r="AO2" s="136" t="s">
        <v>731</v>
      </c>
      <c r="AP2" s="113" t="s">
        <v>713</v>
      </c>
      <c r="AQ2" s="9" t="s">
        <v>732</v>
      </c>
      <c r="AR2" s="13" t="s">
        <v>712</v>
      </c>
      <c r="AS2" s="1" t="s">
        <v>711</v>
      </c>
      <c r="AT2" s="135" t="s">
        <v>733</v>
      </c>
      <c r="AU2" s="133" t="s">
        <v>734</v>
      </c>
      <c r="AV2" s="12" t="s">
        <v>819</v>
      </c>
      <c r="AW2" s="113" t="s">
        <v>735</v>
      </c>
      <c r="AX2" s="125" t="s">
        <v>736</v>
      </c>
      <c r="AY2" s="113" t="s">
        <v>737</v>
      </c>
      <c r="AZ2" s="125" t="s">
        <v>738</v>
      </c>
      <c r="BA2" s="113" t="s">
        <v>739</v>
      </c>
      <c r="BB2" s="125" t="s">
        <v>725</v>
      </c>
      <c r="BC2" s="113" t="s">
        <v>718</v>
      </c>
      <c r="BD2" s="125" t="s">
        <v>726</v>
      </c>
      <c r="BE2" s="113" t="s">
        <v>717</v>
      </c>
      <c r="BF2" s="1" t="s">
        <v>716</v>
      </c>
      <c r="BG2" s="113" t="s">
        <v>727</v>
      </c>
      <c r="BH2" s="1" t="s">
        <v>728</v>
      </c>
      <c r="BI2" s="113" t="s">
        <v>715</v>
      </c>
      <c r="BJ2" s="133" t="s">
        <v>760</v>
      </c>
      <c r="BK2" s="134" t="s">
        <v>744</v>
      </c>
      <c r="BL2" s="124" t="s">
        <v>710</v>
      </c>
      <c r="BM2" s="133" t="s">
        <v>689</v>
      </c>
      <c r="BN2" s="134" t="s">
        <v>746</v>
      </c>
      <c r="BO2" s="11" t="s">
        <v>762</v>
      </c>
      <c r="BP2" s="9" t="s">
        <v>756</v>
      </c>
      <c r="BQ2" s="11" t="s">
        <v>706</v>
      </c>
      <c r="BR2" s="9" t="s">
        <v>709</v>
      </c>
      <c r="BS2" s="2" t="s">
        <v>747</v>
      </c>
      <c r="BT2" s="9" t="s">
        <v>752</v>
      </c>
      <c r="BU2" s="201" t="s">
        <v>763</v>
      </c>
      <c r="BV2" s="2" t="s">
        <v>708</v>
      </c>
      <c r="BW2" s="13" t="s">
        <v>690</v>
      </c>
      <c r="BX2" s="113" t="s">
        <v>753</v>
      </c>
      <c r="BY2" s="13" t="s">
        <v>707</v>
      </c>
      <c r="BZ2" s="113" t="s">
        <v>754</v>
      </c>
      <c r="CA2" s="1" t="s">
        <v>755</v>
      </c>
      <c r="CB2" s="113" t="s">
        <v>705</v>
      </c>
      <c r="CC2" s="11" t="s">
        <v>703</v>
      </c>
      <c r="CD2" s="10" t="s">
        <v>691</v>
      </c>
      <c r="CE2" s="9" t="s">
        <v>740</v>
      </c>
      <c r="CF2" s="124" t="s">
        <v>23</v>
      </c>
      <c r="CG2" s="12" t="s">
        <v>741</v>
      </c>
      <c r="CH2" s="134" t="s">
        <v>742</v>
      </c>
      <c r="CI2" s="12" t="s">
        <v>24</v>
      </c>
      <c r="CJ2" s="134" t="s">
        <v>25</v>
      </c>
      <c r="CK2" s="15" t="s">
        <v>743</v>
      </c>
    </row>
    <row r="3" spans="1:89" ht="13.5" thickTop="1" x14ac:dyDescent="0.25">
      <c r="A3" s="16">
        <v>101</v>
      </c>
      <c r="B3" s="17" t="s">
        <v>26</v>
      </c>
      <c r="C3" s="18">
        <v>344</v>
      </c>
      <c r="D3" s="19">
        <v>266</v>
      </c>
      <c r="E3" s="20">
        <f>SUM(D3/C3)</f>
        <v>0.77325581395348841</v>
      </c>
      <c r="F3" s="21">
        <v>0</v>
      </c>
      <c r="G3" s="110">
        <v>0</v>
      </c>
      <c r="H3" s="110">
        <v>0</v>
      </c>
      <c r="I3" s="110">
        <v>0</v>
      </c>
      <c r="J3" s="110">
        <v>0</v>
      </c>
      <c r="K3" s="110">
        <v>0</v>
      </c>
      <c r="L3" s="110">
        <v>0</v>
      </c>
      <c r="M3" s="110">
        <v>95</v>
      </c>
      <c r="N3" s="110">
        <v>0</v>
      </c>
      <c r="O3" s="110">
        <v>0</v>
      </c>
      <c r="P3" s="25">
        <v>0</v>
      </c>
      <c r="Q3" s="25">
        <v>0</v>
      </c>
      <c r="R3" s="25">
        <v>168</v>
      </c>
      <c r="S3" s="22">
        <v>0</v>
      </c>
      <c r="T3" s="21">
        <v>92</v>
      </c>
      <c r="U3" s="26">
        <v>168</v>
      </c>
      <c r="V3" s="21">
        <v>169</v>
      </c>
      <c r="W3" s="26">
        <v>93</v>
      </c>
      <c r="X3" s="21">
        <v>92</v>
      </c>
      <c r="Y3" s="22">
        <v>165</v>
      </c>
      <c r="Z3" s="110">
        <v>93</v>
      </c>
      <c r="AA3" s="25">
        <v>0</v>
      </c>
      <c r="AB3" s="25">
        <v>10</v>
      </c>
      <c r="AC3" s="25">
        <v>159</v>
      </c>
      <c r="AD3" s="25">
        <v>0</v>
      </c>
      <c r="AE3" s="104">
        <v>0</v>
      </c>
      <c r="AF3" s="114">
        <v>0</v>
      </c>
      <c r="AG3" s="110">
        <v>100</v>
      </c>
      <c r="AH3" s="26">
        <v>153</v>
      </c>
      <c r="AI3" s="21"/>
      <c r="AJ3" s="23"/>
      <c r="AK3" s="21"/>
      <c r="AL3" s="26"/>
      <c r="AM3" s="21"/>
      <c r="AN3" s="114"/>
      <c r="AO3" s="110"/>
      <c r="AP3" s="26"/>
      <c r="AQ3" s="21">
        <v>161</v>
      </c>
      <c r="AR3" s="114">
        <v>91</v>
      </c>
      <c r="AS3" s="23"/>
      <c r="AT3" s="114"/>
      <c r="AU3" s="21"/>
      <c r="AV3" s="110"/>
      <c r="AW3" s="110"/>
      <c r="AX3" s="21"/>
      <c r="AY3" s="26"/>
      <c r="AZ3" s="21"/>
      <c r="BA3" s="114"/>
      <c r="BB3" s="21">
        <v>162</v>
      </c>
      <c r="BC3" s="22">
        <v>89</v>
      </c>
      <c r="BD3" s="21">
        <v>163</v>
      </c>
      <c r="BE3" s="114">
        <v>89</v>
      </c>
      <c r="BF3" s="110">
        <v>87</v>
      </c>
      <c r="BG3" s="26">
        <v>163</v>
      </c>
      <c r="BH3" s="21">
        <v>168</v>
      </c>
      <c r="BI3" s="26">
        <v>86</v>
      </c>
      <c r="BJ3" s="110">
        <v>11</v>
      </c>
      <c r="BK3" s="104">
        <v>146</v>
      </c>
      <c r="BL3" s="114">
        <v>96</v>
      </c>
      <c r="BM3" s="110">
        <v>90</v>
      </c>
      <c r="BN3" s="25">
        <v>153</v>
      </c>
      <c r="BO3" s="26">
        <v>9</v>
      </c>
      <c r="BP3" s="21">
        <v>169</v>
      </c>
      <c r="BQ3" s="26">
        <v>84</v>
      </c>
      <c r="BR3" s="21">
        <v>79</v>
      </c>
      <c r="BS3" s="26">
        <v>177</v>
      </c>
      <c r="BT3" s="21">
        <v>154</v>
      </c>
      <c r="BU3" s="104">
        <v>16</v>
      </c>
      <c r="BV3" s="114">
        <v>79</v>
      </c>
      <c r="BW3" s="110">
        <v>105</v>
      </c>
      <c r="BX3" s="26">
        <v>156</v>
      </c>
      <c r="BY3" s="21">
        <v>93</v>
      </c>
      <c r="BZ3" s="26">
        <v>155</v>
      </c>
      <c r="CA3" s="110">
        <v>159</v>
      </c>
      <c r="CB3" s="26">
        <v>91</v>
      </c>
      <c r="CC3" s="23">
        <v>190</v>
      </c>
      <c r="CD3" s="24">
        <v>173</v>
      </c>
      <c r="CE3" s="110">
        <v>136</v>
      </c>
      <c r="CF3" s="126">
        <v>83</v>
      </c>
      <c r="CG3" s="21">
        <v>68</v>
      </c>
      <c r="CH3" s="25">
        <v>66</v>
      </c>
      <c r="CI3" s="25">
        <v>56</v>
      </c>
      <c r="CJ3" s="104">
        <v>65</v>
      </c>
      <c r="CK3" s="114">
        <v>143</v>
      </c>
    </row>
    <row r="4" spans="1:89" ht="13" x14ac:dyDescent="0.25">
      <c r="A4" s="27">
        <v>102</v>
      </c>
      <c r="B4" s="28" t="s">
        <v>27</v>
      </c>
      <c r="C4" s="29">
        <v>1358</v>
      </c>
      <c r="D4" s="30">
        <v>1065</v>
      </c>
      <c r="E4" s="20">
        <f t="shared" ref="E4:E67" si="0">SUM(D4/C4)</f>
        <v>0.78424153166421207</v>
      </c>
      <c r="F4" s="31">
        <v>0</v>
      </c>
      <c r="G4" s="111">
        <v>0</v>
      </c>
      <c r="H4" s="111">
        <v>0</v>
      </c>
      <c r="I4" s="111">
        <v>0</v>
      </c>
      <c r="J4" s="111">
        <v>3</v>
      </c>
      <c r="K4" s="111">
        <v>0</v>
      </c>
      <c r="L4" s="111">
        <v>0</v>
      </c>
      <c r="M4" s="111">
        <v>669</v>
      </c>
      <c r="N4" s="111">
        <v>0</v>
      </c>
      <c r="O4" s="111">
        <v>0</v>
      </c>
      <c r="P4" s="35">
        <v>9</v>
      </c>
      <c r="Q4" s="35">
        <v>7</v>
      </c>
      <c r="R4" s="35">
        <v>360</v>
      </c>
      <c r="S4" s="32">
        <v>0</v>
      </c>
      <c r="T4" s="31">
        <v>644</v>
      </c>
      <c r="U4" s="32">
        <v>389</v>
      </c>
      <c r="V4" s="31">
        <v>410</v>
      </c>
      <c r="W4" s="32">
        <v>628</v>
      </c>
      <c r="X4" s="31">
        <v>648</v>
      </c>
      <c r="Y4" s="32">
        <v>373</v>
      </c>
      <c r="Z4" s="111">
        <v>686</v>
      </c>
      <c r="AA4" s="35">
        <v>0</v>
      </c>
      <c r="AB4" s="35">
        <v>32</v>
      </c>
      <c r="AC4" s="35">
        <v>328</v>
      </c>
      <c r="AD4" s="35">
        <v>0</v>
      </c>
      <c r="AE4" s="33">
        <v>0</v>
      </c>
      <c r="AF4" s="115">
        <v>0</v>
      </c>
      <c r="AG4" s="111">
        <v>689</v>
      </c>
      <c r="AH4" s="32">
        <v>340</v>
      </c>
      <c r="AI4" s="31"/>
      <c r="AJ4" s="33"/>
      <c r="AK4" s="31"/>
      <c r="AL4" s="32"/>
      <c r="AM4" s="31"/>
      <c r="AN4" s="115"/>
      <c r="AO4" s="111"/>
      <c r="AP4" s="32"/>
      <c r="AQ4" s="31">
        <v>365</v>
      </c>
      <c r="AR4" s="115">
        <v>634</v>
      </c>
      <c r="AS4" s="111"/>
      <c r="AT4" s="32"/>
      <c r="AU4" s="31"/>
      <c r="AV4" s="111"/>
      <c r="AW4" s="111"/>
      <c r="AX4" s="31"/>
      <c r="AY4" s="32"/>
      <c r="AZ4" s="31"/>
      <c r="BA4" s="115"/>
      <c r="BB4" s="31">
        <v>395</v>
      </c>
      <c r="BC4" s="32">
        <v>605</v>
      </c>
      <c r="BD4" s="31">
        <v>363</v>
      </c>
      <c r="BE4" s="115">
        <v>631</v>
      </c>
      <c r="BF4" s="111">
        <v>625</v>
      </c>
      <c r="BG4" s="32">
        <v>368</v>
      </c>
      <c r="BH4" s="31">
        <v>404</v>
      </c>
      <c r="BI4" s="32">
        <v>594</v>
      </c>
      <c r="BJ4" s="111">
        <v>40</v>
      </c>
      <c r="BK4" s="33">
        <v>340</v>
      </c>
      <c r="BL4" s="115">
        <v>628</v>
      </c>
      <c r="BM4" s="111">
        <v>641</v>
      </c>
      <c r="BN4" s="35">
        <v>335</v>
      </c>
      <c r="BO4" s="32">
        <v>34</v>
      </c>
      <c r="BP4" s="31">
        <v>401</v>
      </c>
      <c r="BQ4" s="32">
        <v>609</v>
      </c>
      <c r="BR4" s="31">
        <v>583</v>
      </c>
      <c r="BS4" s="32">
        <v>434</v>
      </c>
      <c r="BT4" s="31">
        <v>356</v>
      </c>
      <c r="BU4" s="33">
        <v>46</v>
      </c>
      <c r="BV4" s="115">
        <v>603</v>
      </c>
      <c r="BW4" s="111">
        <v>643</v>
      </c>
      <c r="BX4" s="32">
        <v>377</v>
      </c>
      <c r="BY4" s="31">
        <v>634</v>
      </c>
      <c r="BZ4" s="32">
        <v>351</v>
      </c>
      <c r="CA4" s="111">
        <v>365</v>
      </c>
      <c r="CB4" s="32">
        <v>630</v>
      </c>
      <c r="CC4" s="33">
        <v>609</v>
      </c>
      <c r="CD4" s="34">
        <v>806</v>
      </c>
      <c r="CE4" s="111">
        <v>375</v>
      </c>
      <c r="CF4" s="42">
        <v>504</v>
      </c>
      <c r="CG4" s="31">
        <v>248</v>
      </c>
      <c r="CH4" s="35">
        <v>190</v>
      </c>
      <c r="CI4" s="35">
        <v>411</v>
      </c>
      <c r="CJ4" s="35">
        <v>456</v>
      </c>
      <c r="CK4" s="32">
        <v>349</v>
      </c>
    </row>
    <row r="5" spans="1:89" ht="13" x14ac:dyDescent="0.25">
      <c r="A5" s="27">
        <v>103</v>
      </c>
      <c r="B5" s="28" t="s">
        <v>28</v>
      </c>
      <c r="C5" s="29">
        <v>1209</v>
      </c>
      <c r="D5" s="30">
        <v>807</v>
      </c>
      <c r="E5" s="20">
        <f t="shared" si="0"/>
        <v>0.66749379652605456</v>
      </c>
      <c r="F5" s="31">
        <v>0</v>
      </c>
      <c r="G5" s="111">
        <v>0</v>
      </c>
      <c r="H5" s="111">
        <v>0</v>
      </c>
      <c r="I5" s="111">
        <v>1</v>
      </c>
      <c r="J5" s="111">
        <v>0</v>
      </c>
      <c r="K5" s="111">
        <v>0</v>
      </c>
      <c r="L5" s="111">
        <v>0</v>
      </c>
      <c r="M5" s="111">
        <v>530</v>
      </c>
      <c r="N5" s="111">
        <v>0</v>
      </c>
      <c r="O5" s="111">
        <v>0</v>
      </c>
      <c r="P5" s="35">
        <v>1</v>
      </c>
      <c r="Q5" s="35">
        <v>2</v>
      </c>
      <c r="R5" s="35">
        <v>260</v>
      </c>
      <c r="S5" s="32">
        <v>0</v>
      </c>
      <c r="T5" s="31">
        <v>511</v>
      </c>
      <c r="U5" s="32">
        <v>267</v>
      </c>
      <c r="V5" s="31">
        <v>289</v>
      </c>
      <c r="W5" s="32">
        <v>490</v>
      </c>
      <c r="X5" s="31">
        <v>519</v>
      </c>
      <c r="Y5" s="32">
        <v>248</v>
      </c>
      <c r="Z5" s="111">
        <v>538</v>
      </c>
      <c r="AA5" s="35">
        <v>0</v>
      </c>
      <c r="AB5" s="35">
        <v>26</v>
      </c>
      <c r="AC5" s="35">
        <v>228</v>
      </c>
      <c r="AD5" s="35">
        <v>0</v>
      </c>
      <c r="AE5" s="33">
        <v>0</v>
      </c>
      <c r="AF5" s="115">
        <v>0</v>
      </c>
      <c r="AG5" s="111">
        <v>539</v>
      </c>
      <c r="AH5" s="32">
        <v>242</v>
      </c>
      <c r="AI5" s="31"/>
      <c r="AJ5" s="33"/>
      <c r="AK5" s="31"/>
      <c r="AL5" s="32"/>
      <c r="AM5" s="31"/>
      <c r="AN5" s="115"/>
      <c r="AO5" s="111"/>
      <c r="AP5" s="32"/>
      <c r="AQ5" s="31">
        <v>262</v>
      </c>
      <c r="AR5" s="115">
        <v>501</v>
      </c>
      <c r="AS5" s="111"/>
      <c r="AT5" s="32"/>
      <c r="AU5" s="31"/>
      <c r="AV5" s="111"/>
      <c r="AW5" s="111"/>
      <c r="AX5" s="31"/>
      <c r="AY5" s="32"/>
      <c r="AZ5" s="31"/>
      <c r="BA5" s="115"/>
      <c r="BB5" s="31">
        <v>261</v>
      </c>
      <c r="BC5" s="32">
        <v>495</v>
      </c>
      <c r="BD5" s="31">
        <v>244</v>
      </c>
      <c r="BE5" s="115">
        <v>506</v>
      </c>
      <c r="BF5" s="111">
        <v>500</v>
      </c>
      <c r="BG5" s="32">
        <v>249</v>
      </c>
      <c r="BH5" s="31">
        <v>268</v>
      </c>
      <c r="BI5" s="32">
        <v>484</v>
      </c>
      <c r="BJ5" s="111">
        <v>45</v>
      </c>
      <c r="BK5" s="33">
        <v>214</v>
      </c>
      <c r="BL5" s="115">
        <v>501</v>
      </c>
      <c r="BM5" s="111">
        <v>510</v>
      </c>
      <c r="BN5" s="35">
        <v>222</v>
      </c>
      <c r="BO5" s="32">
        <v>30</v>
      </c>
      <c r="BP5" s="31">
        <v>271</v>
      </c>
      <c r="BQ5" s="32">
        <v>488</v>
      </c>
      <c r="BR5" s="31">
        <v>469</v>
      </c>
      <c r="BS5" s="32">
        <v>287</v>
      </c>
      <c r="BT5" s="31">
        <v>228</v>
      </c>
      <c r="BU5" s="33">
        <v>37</v>
      </c>
      <c r="BV5" s="115">
        <v>487</v>
      </c>
      <c r="BW5" s="111">
        <v>522</v>
      </c>
      <c r="BX5" s="32">
        <v>250</v>
      </c>
      <c r="BY5" s="31">
        <v>519</v>
      </c>
      <c r="BZ5" s="32">
        <v>229</v>
      </c>
      <c r="CA5" s="111">
        <v>252</v>
      </c>
      <c r="CB5" s="32">
        <v>505</v>
      </c>
      <c r="CC5" s="33">
        <v>446</v>
      </c>
      <c r="CD5" s="34">
        <v>626</v>
      </c>
      <c r="CE5" s="111">
        <v>280</v>
      </c>
      <c r="CF5" s="42">
        <v>370</v>
      </c>
      <c r="CG5" s="31">
        <v>179</v>
      </c>
      <c r="CH5" s="35">
        <v>115</v>
      </c>
      <c r="CI5" s="35">
        <v>300</v>
      </c>
      <c r="CJ5" s="35">
        <v>363</v>
      </c>
      <c r="CK5" s="32">
        <v>240</v>
      </c>
    </row>
    <row r="6" spans="1:89" ht="13" x14ac:dyDescent="0.25">
      <c r="A6" s="27">
        <v>104</v>
      </c>
      <c r="B6" s="28" t="s">
        <v>29</v>
      </c>
      <c r="C6" s="29">
        <v>871</v>
      </c>
      <c r="D6" s="30">
        <v>628</v>
      </c>
      <c r="E6" s="20">
        <f t="shared" si="0"/>
        <v>0.72101033295063144</v>
      </c>
      <c r="F6" s="31">
        <v>0</v>
      </c>
      <c r="G6" s="111">
        <v>0</v>
      </c>
      <c r="H6" s="111">
        <v>0</v>
      </c>
      <c r="I6" s="111">
        <v>0</v>
      </c>
      <c r="J6" s="111">
        <v>0</v>
      </c>
      <c r="K6" s="111">
        <v>0</v>
      </c>
      <c r="L6" s="111">
        <v>0</v>
      </c>
      <c r="M6" s="111">
        <v>390</v>
      </c>
      <c r="N6" s="111">
        <v>0</v>
      </c>
      <c r="O6" s="111">
        <v>0</v>
      </c>
      <c r="P6" s="35">
        <v>1</v>
      </c>
      <c r="Q6" s="35">
        <v>1</v>
      </c>
      <c r="R6" s="35">
        <v>228</v>
      </c>
      <c r="S6" s="32">
        <v>0</v>
      </c>
      <c r="T6" s="31">
        <v>377</v>
      </c>
      <c r="U6" s="32">
        <v>238</v>
      </c>
      <c r="V6" s="31">
        <v>246</v>
      </c>
      <c r="W6" s="32">
        <v>362</v>
      </c>
      <c r="X6" s="31">
        <v>376</v>
      </c>
      <c r="Y6" s="32">
        <v>231</v>
      </c>
      <c r="Z6" s="111">
        <v>397</v>
      </c>
      <c r="AA6" s="35">
        <v>0</v>
      </c>
      <c r="AB6" s="35">
        <v>21</v>
      </c>
      <c r="AC6" s="35">
        <v>202</v>
      </c>
      <c r="AD6" s="35">
        <v>0</v>
      </c>
      <c r="AE6" s="33">
        <v>0</v>
      </c>
      <c r="AF6" s="115">
        <v>0</v>
      </c>
      <c r="AG6" s="111">
        <v>382</v>
      </c>
      <c r="AH6" s="32">
        <v>224</v>
      </c>
      <c r="AI6" s="31"/>
      <c r="AJ6" s="33"/>
      <c r="AK6" s="31"/>
      <c r="AL6" s="32"/>
      <c r="AM6" s="31"/>
      <c r="AN6" s="115"/>
      <c r="AO6" s="111"/>
      <c r="AP6" s="32"/>
      <c r="AQ6" s="31">
        <v>229</v>
      </c>
      <c r="AR6" s="115">
        <v>367</v>
      </c>
      <c r="AS6" s="111"/>
      <c r="AT6" s="32"/>
      <c r="AU6" s="31"/>
      <c r="AV6" s="111"/>
      <c r="AW6" s="111"/>
      <c r="AX6" s="31"/>
      <c r="AY6" s="32"/>
      <c r="AZ6" s="31"/>
      <c r="BA6" s="115"/>
      <c r="BB6" s="31">
        <v>240</v>
      </c>
      <c r="BC6" s="32">
        <v>360</v>
      </c>
      <c r="BD6" s="31">
        <v>231</v>
      </c>
      <c r="BE6" s="115">
        <v>362</v>
      </c>
      <c r="BF6" s="111">
        <v>367</v>
      </c>
      <c r="BG6" s="32">
        <v>225</v>
      </c>
      <c r="BH6" s="31">
        <v>244</v>
      </c>
      <c r="BI6" s="32">
        <v>350</v>
      </c>
      <c r="BJ6" s="111">
        <v>36</v>
      </c>
      <c r="BK6" s="33">
        <v>207</v>
      </c>
      <c r="BL6" s="115">
        <v>355</v>
      </c>
      <c r="BM6" s="111">
        <v>358</v>
      </c>
      <c r="BN6" s="35">
        <v>211</v>
      </c>
      <c r="BO6" s="32">
        <v>32</v>
      </c>
      <c r="BP6" s="31">
        <v>241</v>
      </c>
      <c r="BQ6" s="32">
        <v>351</v>
      </c>
      <c r="BR6" s="31">
        <v>345</v>
      </c>
      <c r="BS6" s="32">
        <v>258</v>
      </c>
      <c r="BT6" s="31">
        <v>216</v>
      </c>
      <c r="BU6" s="33">
        <v>32</v>
      </c>
      <c r="BV6" s="115">
        <v>345</v>
      </c>
      <c r="BW6" s="111">
        <v>363</v>
      </c>
      <c r="BX6" s="32">
        <v>237</v>
      </c>
      <c r="BY6" s="31">
        <v>372</v>
      </c>
      <c r="BZ6" s="32">
        <v>213</v>
      </c>
      <c r="CA6" s="111">
        <v>218</v>
      </c>
      <c r="CB6" s="32">
        <v>371</v>
      </c>
      <c r="CC6" s="33">
        <v>365</v>
      </c>
      <c r="CD6" s="34">
        <v>467</v>
      </c>
      <c r="CE6" s="111">
        <v>221</v>
      </c>
      <c r="CF6" s="42">
        <v>275</v>
      </c>
      <c r="CG6" s="31">
        <v>147</v>
      </c>
      <c r="CH6" s="35">
        <v>129</v>
      </c>
      <c r="CI6" s="35">
        <v>226</v>
      </c>
      <c r="CJ6" s="35">
        <v>266</v>
      </c>
      <c r="CK6" s="32">
        <v>184</v>
      </c>
    </row>
    <row r="7" spans="1:89" ht="13" x14ac:dyDescent="0.25">
      <c r="A7" s="27">
        <v>105</v>
      </c>
      <c r="B7" s="28" t="s">
        <v>30</v>
      </c>
      <c r="C7" s="29">
        <v>1309</v>
      </c>
      <c r="D7" s="30">
        <v>889</v>
      </c>
      <c r="E7" s="20">
        <f t="shared" si="0"/>
        <v>0.67914438502673802</v>
      </c>
      <c r="F7" s="31">
        <v>0</v>
      </c>
      <c r="G7" s="111">
        <v>0</v>
      </c>
      <c r="H7" s="111">
        <v>0</v>
      </c>
      <c r="I7" s="111">
        <v>0</v>
      </c>
      <c r="J7" s="111">
        <v>1</v>
      </c>
      <c r="K7" s="111">
        <v>0</v>
      </c>
      <c r="L7" s="111">
        <v>0</v>
      </c>
      <c r="M7" s="111">
        <v>599</v>
      </c>
      <c r="N7" s="111">
        <v>0</v>
      </c>
      <c r="O7" s="111">
        <v>0</v>
      </c>
      <c r="P7" s="35">
        <v>4</v>
      </c>
      <c r="Q7" s="35">
        <v>1</v>
      </c>
      <c r="R7" s="35">
        <v>271</v>
      </c>
      <c r="S7" s="32">
        <v>0</v>
      </c>
      <c r="T7" s="31">
        <v>567</v>
      </c>
      <c r="U7" s="32">
        <v>277</v>
      </c>
      <c r="V7" s="31">
        <v>298</v>
      </c>
      <c r="W7" s="32">
        <v>548</v>
      </c>
      <c r="X7" s="31">
        <v>573</v>
      </c>
      <c r="Y7" s="32">
        <v>264</v>
      </c>
      <c r="Z7" s="111">
        <v>598</v>
      </c>
      <c r="AA7" s="35">
        <v>0</v>
      </c>
      <c r="AB7" s="35">
        <v>35</v>
      </c>
      <c r="AC7" s="35">
        <v>239</v>
      </c>
      <c r="AD7" s="35">
        <v>0</v>
      </c>
      <c r="AE7" s="33">
        <v>0</v>
      </c>
      <c r="AF7" s="115">
        <v>1</v>
      </c>
      <c r="AG7" s="111">
        <v>614</v>
      </c>
      <c r="AH7" s="32">
        <v>241</v>
      </c>
      <c r="AI7" s="31"/>
      <c r="AJ7" s="33"/>
      <c r="AK7" s="31"/>
      <c r="AL7" s="32"/>
      <c r="AM7" s="31"/>
      <c r="AN7" s="115"/>
      <c r="AO7" s="111"/>
      <c r="AP7" s="32"/>
      <c r="AQ7" s="31">
        <v>265</v>
      </c>
      <c r="AR7" s="115">
        <v>575</v>
      </c>
      <c r="AS7" s="111"/>
      <c r="AT7" s="32"/>
      <c r="AU7" s="31"/>
      <c r="AV7" s="111"/>
      <c r="AW7" s="111"/>
      <c r="AX7" s="31"/>
      <c r="AY7" s="32"/>
      <c r="AZ7" s="31"/>
      <c r="BA7" s="115"/>
      <c r="BB7" s="31">
        <v>274</v>
      </c>
      <c r="BC7" s="32">
        <v>555</v>
      </c>
      <c r="BD7" s="31">
        <v>266</v>
      </c>
      <c r="BE7" s="115">
        <v>557</v>
      </c>
      <c r="BF7" s="111">
        <v>549</v>
      </c>
      <c r="BG7" s="32">
        <v>276</v>
      </c>
      <c r="BH7" s="31">
        <v>294</v>
      </c>
      <c r="BI7" s="32">
        <v>533</v>
      </c>
      <c r="BJ7" s="111">
        <v>40</v>
      </c>
      <c r="BK7" s="33">
        <v>242</v>
      </c>
      <c r="BL7" s="115">
        <v>560</v>
      </c>
      <c r="BM7" s="111">
        <v>553</v>
      </c>
      <c r="BN7" s="35">
        <v>237</v>
      </c>
      <c r="BO7" s="32">
        <v>42</v>
      </c>
      <c r="BP7" s="31">
        <v>288</v>
      </c>
      <c r="BQ7" s="32">
        <v>547</v>
      </c>
      <c r="BR7" s="31">
        <v>528</v>
      </c>
      <c r="BS7" s="32">
        <v>309</v>
      </c>
      <c r="BT7" s="31">
        <v>242</v>
      </c>
      <c r="BU7" s="33">
        <v>44</v>
      </c>
      <c r="BV7" s="115">
        <v>547</v>
      </c>
      <c r="BW7" s="111">
        <v>584</v>
      </c>
      <c r="BX7" s="32">
        <v>272</v>
      </c>
      <c r="BY7" s="31">
        <v>575</v>
      </c>
      <c r="BZ7" s="32">
        <v>253</v>
      </c>
      <c r="CA7" s="111">
        <v>268</v>
      </c>
      <c r="CB7" s="32">
        <v>568</v>
      </c>
      <c r="CC7" s="33">
        <v>503</v>
      </c>
      <c r="CD7" s="34">
        <v>702</v>
      </c>
      <c r="CE7" s="111">
        <v>378</v>
      </c>
      <c r="CF7" s="42">
        <v>338</v>
      </c>
      <c r="CG7" s="31">
        <v>241</v>
      </c>
      <c r="CH7" s="35">
        <v>132</v>
      </c>
      <c r="CI7" s="35">
        <v>293</v>
      </c>
      <c r="CJ7" s="35">
        <v>366</v>
      </c>
      <c r="CK7" s="32">
        <v>273</v>
      </c>
    </row>
    <row r="8" spans="1:89" ht="13" x14ac:dyDescent="0.25">
      <c r="A8" s="27">
        <v>106</v>
      </c>
      <c r="B8" s="28" t="s">
        <v>31</v>
      </c>
      <c r="C8" s="29">
        <v>1209</v>
      </c>
      <c r="D8" s="30">
        <v>932</v>
      </c>
      <c r="E8" s="20">
        <f t="shared" si="0"/>
        <v>0.77088502894954503</v>
      </c>
      <c r="F8" s="31">
        <v>0</v>
      </c>
      <c r="G8" s="111">
        <v>0</v>
      </c>
      <c r="H8" s="111">
        <v>0</v>
      </c>
      <c r="I8" s="111">
        <v>0</v>
      </c>
      <c r="J8" s="111">
        <v>1</v>
      </c>
      <c r="K8" s="111">
        <v>0</v>
      </c>
      <c r="L8" s="111">
        <v>0</v>
      </c>
      <c r="M8" s="111">
        <v>583</v>
      </c>
      <c r="N8" s="111">
        <v>0</v>
      </c>
      <c r="O8" s="111">
        <v>0</v>
      </c>
      <c r="P8" s="35">
        <v>7</v>
      </c>
      <c r="Q8" s="35">
        <v>2</v>
      </c>
      <c r="R8" s="35">
        <v>327</v>
      </c>
      <c r="S8" s="32">
        <v>0</v>
      </c>
      <c r="T8" s="31">
        <v>546</v>
      </c>
      <c r="U8" s="32">
        <v>354</v>
      </c>
      <c r="V8" s="31">
        <v>379</v>
      </c>
      <c r="W8" s="32">
        <v>519</v>
      </c>
      <c r="X8" s="31">
        <v>555</v>
      </c>
      <c r="Y8" s="32">
        <v>322</v>
      </c>
      <c r="Z8" s="111">
        <v>591</v>
      </c>
      <c r="AA8" s="35">
        <v>0</v>
      </c>
      <c r="AB8" s="35">
        <v>26</v>
      </c>
      <c r="AC8" s="35">
        <v>295</v>
      </c>
      <c r="AD8" s="35">
        <v>0</v>
      </c>
      <c r="AE8" s="33">
        <v>0</v>
      </c>
      <c r="AF8" s="115">
        <v>0</v>
      </c>
      <c r="AG8" s="111">
        <v>592</v>
      </c>
      <c r="AH8" s="32">
        <v>304</v>
      </c>
      <c r="AI8" s="31"/>
      <c r="AJ8" s="33"/>
      <c r="AK8" s="31"/>
      <c r="AL8" s="32"/>
      <c r="AM8" s="31"/>
      <c r="AN8" s="115"/>
      <c r="AO8" s="111"/>
      <c r="AP8" s="32"/>
      <c r="AQ8" s="31">
        <v>329</v>
      </c>
      <c r="AR8" s="115">
        <v>535</v>
      </c>
      <c r="AS8" s="111"/>
      <c r="AT8" s="32"/>
      <c r="AU8" s="31"/>
      <c r="AV8" s="111"/>
      <c r="AW8" s="111"/>
      <c r="AX8" s="31"/>
      <c r="AY8" s="32"/>
      <c r="AZ8" s="31"/>
      <c r="BA8" s="115"/>
      <c r="BB8" s="31">
        <v>331</v>
      </c>
      <c r="BC8" s="32">
        <v>539</v>
      </c>
      <c r="BD8" s="31">
        <v>326</v>
      </c>
      <c r="BE8" s="115">
        <v>543</v>
      </c>
      <c r="BF8" s="111">
        <v>529</v>
      </c>
      <c r="BG8" s="32">
        <v>329</v>
      </c>
      <c r="BH8" s="31">
        <v>368</v>
      </c>
      <c r="BI8" s="32">
        <v>498</v>
      </c>
      <c r="BJ8" s="111">
        <v>41</v>
      </c>
      <c r="BK8" s="33">
        <v>292</v>
      </c>
      <c r="BL8" s="115">
        <v>540</v>
      </c>
      <c r="BM8" s="111">
        <v>547</v>
      </c>
      <c r="BN8" s="35">
        <v>285</v>
      </c>
      <c r="BO8" s="32">
        <v>38</v>
      </c>
      <c r="BP8" s="31">
        <v>357</v>
      </c>
      <c r="BQ8" s="32">
        <v>516</v>
      </c>
      <c r="BR8" s="31">
        <v>501</v>
      </c>
      <c r="BS8" s="32">
        <v>374</v>
      </c>
      <c r="BT8" s="31">
        <v>308</v>
      </c>
      <c r="BU8" s="33">
        <v>37</v>
      </c>
      <c r="BV8" s="115">
        <v>520</v>
      </c>
      <c r="BW8" s="111">
        <v>569</v>
      </c>
      <c r="BX8" s="32">
        <v>316</v>
      </c>
      <c r="BY8" s="31">
        <v>541</v>
      </c>
      <c r="BZ8" s="32">
        <v>316</v>
      </c>
      <c r="CA8" s="111">
        <v>313</v>
      </c>
      <c r="CB8" s="32">
        <v>548</v>
      </c>
      <c r="CC8" s="33">
        <v>481</v>
      </c>
      <c r="CD8" s="34">
        <v>653</v>
      </c>
      <c r="CE8" s="111">
        <v>336</v>
      </c>
      <c r="CF8" s="42">
        <v>370</v>
      </c>
      <c r="CG8" s="31">
        <v>254</v>
      </c>
      <c r="CH8" s="35">
        <v>160</v>
      </c>
      <c r="CI8" s="35">
        <v>312</v>
      </c>
      <c r="CJ8" s="35">
        <v>363</v>
      </c>
      <c r="CK8" s="32">
        <v>304</v>
      </c>
    </row>
    <row r="9" spans="1:89" ht="13" x14ac:dyDescent="0.25">
      <c r="A9" s="27">
        <v>107</v>
      </c>
      <c r="B9" s="28" t="s">
        <v>32</v>
      </c>
      <c r="C9" s="29">
        <v>1008</v>
      </c>
      <c r="D9" s="30">
        <v>752</v>
      </c>
      <c r="E9" s="20">
        <f t="shared" si="0"/>
        <v>0.74603174603174605</v>
      </c>
      <c r="F9" s="31">
        <v>0</v>
      </c>
      <c r="G9" s="111">
        <v>0</v>
      </c>
      <c r="H9" s="111">
        <v>0</v>
      </c>
      <c r="I9" s="111">
        <v>2</v>
      </c>
      <c r="J9" s="111">
        <v>0</v>
      </c>
      <c r="K9" s="111">
        <v>0</v>
      </c>
      <c r="L9" s="111">
        <v>0</v>
      </c>
      <c r="M9" s="111">
        <v>444</v>
      </c>
      <c r="N9" s="111">
        <v>0</v>
      </c>
      <c r="O9" s="111">
        <v>0</v>
      </c>
      <c r="P9" s="35">
        <v>2</v>
      </c>
      <c r="Q9" s="35">
        <v>4</v>
      </c>
      <c r="R9" s="35">
        <v>286</v>
      </c>
      <c r="S9" s="32">
        <v>0</v>
      </c>
      <c r="T9" s="31">
        <v>428</v>
      </c>
      <c r="U9" s="32">
        <v>296</v>
      </c>
      <c r="V9" s="31">
        <v>312</v>
      </c>
      <c r="W9" s="32">
        <v>414</v>
      </c>
      <c r="X9" s="31">
        <v>419</v>
      </c>
      <c r="Y9" s="32">
        <v>291</v>
      </c>
      <c r="Z9" s="111">
        <v>450</v>
      </c>
      <c r="AA9" s="35">
        <v>0</v>
      </c>
      <c r="AB9" s="35">
        <v>32</v>
      </c>
      <c r="AC9" s="35">
        <v>256</v>
      </c>
      <c r="AD9" s="35">
        <v>0</v>
      </c>
      <c r="AE9" s="33">
        <v>0</v>
      </c>
      <c r="AF9" s="115">
        <v>1</v>
      </c>
      <c r="AG9" s="111">
        <v>461</v>
      </c>
      <c r="AH9" s="32">
        <v>265</v>
      </c>
      <c r="AI9" s="31"/>
      <c r="AJ9" s="33"/>
      <c r="AK9" s="31"/>
      <c r="AL9" s="32"/>
      <c r="AM9" s="31"/>
      <c r="AN9" s="115"/>
      <c r="AO9" s="111"/>
      <c r="AP9" s="32"/>
      <c r="AQ9" s="31">
        <v>286</v>
      </c>
      <c r="AR9" s="115">
        <v>418</v>
      </c>
      <c r="AS9" s="111"/>
      <c r="AT9" s="32"/>
      <c r="AU9" s="31"/>
      <c r="AV9" s="111"/>
      <c r="AW9" s="111"/>
      <c r="AX9" s="31"/>
      <c r="AY9" s="32"/>
      <c r="AZ9" s="31"/>
      <c r="BA9" s="115"/>
      <c r="BB9" s="31">
        <v>296</v>
      </c>
      <c r="BC9" s="32">
        <v>407</v>
      </c>
      <c r="BD9" s="31">
        <v>282</v>
      </c>
      <c r="BE9" s="115">
        <v>415</v>
      </c>
      <c r="BF9" s="111">
        <v>405</v>
      </c>
      <c r="BG9" s="32">
        <v>290</v>
      </c>
      <c r="BH9" s="31">
        <v>309</v>
      </c>
      <c r="BI9" s="32">
        <v>387</v>
      </c>
      <c r="BJ9" s="111">
        <v>43</v>
      </c>
      <c r="BK9" s="33">
        <v>248</v>
      </c>
      <c r="BL9" s="115">
        <v>412</v>
      </c>
      <c r="BM9" s="111">
        <v>428</v>
      </c>
      <c r="BN9" s="35">
        <v>248</v>
      </c>
      <c r="BO9" s="32">
        <v>29</v>
      </c>
      <c r="BP9" s="31">
        <v>303</v>
      </c>
      <c r="BQ9" s="32">
        <v>402</v>
      </c>
      <c r="BR9" s="31">
        <v>391</v>
      </c>
      <c r="BS9" s="32">
        <v>327</v>
      </c>
      <c r="BT9" s="31">
        <v>262</v>
      </c>
      <c r="BU9" s="33">
        <v>43</v>
      </c>
      <c r="BV9" s="115">
        <v>396</v>
      </c>
      <c r="BW9" s="111">
        <v>441</v>
      </c>
      <c r="BX9" s="32">
        <v>274</v>
      </c>
      <c r="BY9" s="31">
        <v>419</v>
      </c>
      <c r="BZ9" s="32">
        <v>277</v>
      </c>
      <c r="CA9" s="111">
        <v>275</v>
      </c>
      <c r="CB9" s="32">
        <v>425</v>
      </c>
      <c r="CC9" s="33">
        <v>429</v>
      </c>
      <c r="CD9" s="34">
        <v>549</v>
      </c>
      <c r="CE9" s="111">
        <v>308</v>
      </c>
      <c r="CF9" s="42">
        <v>279</v>
      </c>
      <c r="CG9" s="31">
        <v>160</v>
      </c>
      <c r="CH9" s="35">
        <v>148</v>
      </c>
      <c r="CI9" s="35">
        <v>258</v>
      </c>
      <c r="CJ9" s="35">
        <v>299</v>
      </c>
      <c r="CK9" s="32">
        <v>243</v>
      </c>
    </row>
    <row r="10" spans="1:89" ht="13" x14ac:dyDescent="0.25">
      <c r="A10" s="27">
        <v>108</v>
      </c>
      <c r="B10" s="28" t="s">
        <v>33</v>
      </c>
      <c r="C10" s="29">
        <v>712</v>
      </c>
      <c r="D10" s="30">
        <v>556</v>
      </c>
      <c r="E10" s="20">
        <f t="shared" si="0"/>
        <v>0.7808988764044944</v>
      </c>
      <c r="F10" s="31">
        <v>0</v>
      </c>
      <c r="G10" s="111">
        <v>0</v>
      </c>
      <c r="H10" s="111">
        <v>0</v>
      </c>
      <c r="I10" s="111">
        <v>0</v>
      </c>
      <c r="J10" s="111">
        <v>1</v>
      </c>
      <c r="K10" s="111">
        <v>0</v>
      </c>
      <c r="L10" s="111">
        <v>0</v>
      </c>
      <c r="M10" s="111">
        <v>333</v>
      </c>
      <c r="N10" s="111">
        <v>0</v>
      </c>
      <c r="O10" s="111">
        <v>0</v>
      </c>
      <c r="P10" s="35">
        <v>9</v>
      </c>
      <c r="Q10" s="35">
        <v>0</v>
      </c>
      <c r="R10" s="35">
        <v>200</v>
      </c>
      <c r="S10" s="32">
        <v>1</v>
      </c>
      <c r="T10" s="31">
        <v>313</v>
      </c>
      <c r="U10" s="32">
        <v>227</v>
      </c>
      <c r="V10" s="31">
        <v>233</v>
      </c>
      <c r="W10" s="32">
        <v>305</v>
      </c>
      <c r="X10" s="31">
        <v>322</v>
      </c>
      <c r="Y10" s="32">
        <v>213</v>
      </c>
      <c r="Z10" s="111">
        <v>337</v>
      </c>
      <c r="AA10" s="35">
        <v>0</v>
      </c>
      <c r="AB10" s="35">
        <v>15</v>
      </c>
      <c r="AC10" s="35">
        <v>194</v>
      </c>
      <c r="AD10" s="35">
        <v>0</v>
      </c>
      <c r="AE10" s="33">
        <v>0</v>
      </c>
      <c r="AF10" s="115">
        <v>0</v>
      </c>
      <c r="AG10" s="111">
        <v>337</v>
      </c>
      <c r="AH10" s="32">
        <v>202</v>
      </c>
      <c r="AI10" s="31"/>
      <c r="AJ10" s="33"/>
      <c r="AK10" s="31"/>
      <c r="AL10" s="32"/>
      <c r="AM10" s="31"/>
      <c r="AN10" s="115"/>
      <c r="AO10" s="111"/>
      <c r="AP10" s="32"/>
      <c r="AQ10" s="31">
        <v>213</v>
      </c>
      <c r="AR10" s="115">
        <v>309</v>
      </c>
      <c r="AS10" s="111"/>
      <c r="AT10" s="32"/>
      <c r="AU10" s="31"/>
      <c r="AV10" s="111"/>
      <c r="AW10" s="111"/>
      <c r="AX10" s="31"/>
      <c r="AY10" s="32"/>
      <c r="AZ10" s="31"/>
      <c r="BA10" s="115"/>
      <c r="BB10" s="31">
        <v>218</v>
      </c>
      <c r="BC10" s="32">
        <v>300</v>
      </c>
      <c r="BD10" s="31">
        <v>217</v>
      </c>
      <c r="BE10" s="115">
        <v>300</v>
      </c>
      <c r="BF10" s="111">
        <v>296</v>
      </c>
      <c r="BG10" s="32">
        <v>220</v>
      </c>
      <c r="BH10" s="31">
        <v>231</v>
      </c>
      <c r="BI10" s="32">
        <v>290</v>
      </c>
      <c r="BJ10" s="111">
        <v>31</v>
      </c>
      <c r="BK10" s="33">
        <v>199</v>
      </c>
      <c r="BL10" s="115">
        <v>292</v>
      </c>
      <c r="BM10" s="111">
        <v>300</v>
      </c>
      <c r="BN10" s="35">
        <v>200</v>
      </c>
      <c r="BO10" s="32">
        <v>24</v>
      </c>
      <c r="BP10" s="31">
        <v>227</v>
      </c>
      <c r="BQ10" s="32">
        <v>292</v>
      </c>
      <c r="BR10" s="31">
        <v>273</v>
      </c>
      <c r="BS10" s="32">
        <v>254</v>
      </c>
      <c r="BT10" s="31">
        <v>195</v>
      </c>
      <c r="BU10" s="33">
        <v>27</v>
      </c>
      <c r="BV10" s="115">
        <v>300</v>
      </c>
      <c r="BW10" s="111">
        <v>313</v>
      </c>
      <c r="BX10" s="32">
        <v>214</v>
      </c>
      <c r="BY10" s="31">
        <v>295</v>
      </c>
      <c r="BZ10" s="32">
        <v>217</v>
      </c>
      <c r="CA10" s="111">
        <v>225</v>
      </c>
      <c r="CB10" s="32">
        <v>297</v>
      </c>
      <c r="CC10" s="33">
        <v>333</v>
      </c>
      <c r="CD10" s="34">
        <v>389</v>
      </c>
      <c r="CE10" s="111">
        <v>216</v>
      </c>
      <c r="CF10" s="42">
        <v>228</v>
      </c>
      <c r="CG10" s="31">
        <v>133</v>
      </c>
      <c r="CH10" s="35">
        <v>119</v>
      </c>
      <c r="CI10" s="35">
        <v>198</v>
      </c>
      <c r="CJ10" s="35">
        <v>223</v>
      </c>
      <c r="CK10" s="32">
        <v>165</v>
      </c>
    </row>
    <row r="11" spans="1:89" ht="13" x14ac:dyDescent="0.25">
      <c r="A11" s="27">
        <v>109</v>
      </c>
      <c r="B11" s="28" t="s">
        <v>34</v>
      </c>
      <c r="C11" s="29">
        <v>1188</v>
      </c>
      <c r="D11" s="30">
        <v>906</v>
      </c>
      <c r="E11" s="20">
        <f t="shared" si="0"/>
        <v>0.76262626262626265</v>
      </c>
      <c r="F11" s="31">
        <v>0</v>
      </c>
      <c r="G11" s="111">
        <v>0</v>
      </c>
      <c r="H11" s="111">
        <v>0</v>
      </c>
      <c r="I11" s="111">
        <v>2</v>
      </c>
      <c r="J11" s="111">
        <v>0</v>
      </c>
      <c r="K11" s="111">
        <v>0</v>
      </c>
      <c r="L11" s="111">
        <v>0</v>
      </c>
      <c r="M11" s="111">
        <v>522</v>
      </c>
      <c r="N11" s="111">
        <v>0</v>
      </c>
      <c r="O11" s="111">
        <v>0</v>
      </c>
      <c r="P11" s="35">
        <v>4</v>
      </c>
      <c r="Q11" s="35">
        <v>5</v>
      </c>
      <c r="R11" s="35">
        <v>361</v>
      </c>
      <c r="S11" s="32">
        <v>1</v>
      </c>
      <c r="T11" s="31">
        <v>510</v>
      </c>
      <c r="U11" s="32">
        <v>370</v>
      </c>
      <c r="V11" s="31">
        <v>388</v>
      </c>
      <c r="W11" s="32">
        <v>492</v>
      </c>
      <c r="X11" s="31">
        <v>507</v>
      </c>
      <c r="Y11" s="32">
        <v>355</v>
      </c>
      <c r="Z11" s="111">
        <v>535</v>
      </c>
      <c r="AA11" s="35">
        <v>0</v>
      </c>
      <c r="AB11" s="35">
        <v>32</v>
      </c>
      <c r="AC11" s="35">
        <v>329</v>
      </c>
      <c r="AD11" s="35">
        <v>0</v>
      </c>
      <c r="AE11" s="33">
        <v>0</v>
      </c>
      <c r="AF11" s="115">
        <v>0</v>
      </c>
      <c r="AG11" s="111">
        <v>536</v>
      </c>
      <c r="AH11" s="32">
        <v>345</v>
      </c>
      <c r="AI11" s="31"/>
      <c r="AJ11" s="33"/>
      <c r="AK11" s="31"/>
      <c r="AL11" s="32"/>
      <c r="AM11" s="31"/>
      <c r="AN11" s="115"/>
      <c r="AO11" s="111"/>
      <c r="AP11" s="32"/>
      <c r="AQ11" s="31">
        <v>361</v>
      </c>
      <c r="AR11" s="115">
        <v>492</v>
      </c>
      <c r="AS11" s="111"/>
      <c r="AT11" s="32"/>
      <c r="AU11" s="31"/>
      <c r="AV11" s="111"/>
      <c r="AW11" s="111"/>
      <c r="AX11" s="31"/>
      <c r="AY11" s="32"/>
      <c r="AZ11" s="31"/>
      <c r="BA11" s="115"/>
      <c r="BB11" s="31">
        <v>367</v>
      </c>
      <c r="BC11" s="32">
        <v>479</v>
      </c>
      <c r="BD11" s="31">
        <v>346</v>
      </c>
      <c r="BE11" s="115">
        <v>499</v>
      </c>
      <c r="BF11" s="111">
        <v>495</v>
      </c>
      <c r="BG11" s="32">
        <v>351</v>
      </c>
      <c r="BH11" s="31">
        <v>386</v>
      </c>
      <c r="BI11" s="32">
        <v>463</v>
      </c>
      <c r="BJ11" s="111">
        <v>54</v>
      </c>
      <c r="BK11" s="33">
        <v>326</v>
      </c>
      <c r="BL11" s="115">
        <v>474</v>
      </c>
      <c r="BM11" s="111">
        <v>489</v>
      </c>
      <c r="BN11" s="35">
        <v>319</v>
      </c>
      <c r="BO11" s="32">
        <v>45</v>
      </c>
      <c r="BP11" s="31">
        <v>391</v>
      </c>
      <c r="BQ11" s="32">
        <v>459</v>
      </c>
      <c r="BR11" s="31">
        <v>460</v>
      </c>
      <c r="BS11" s="32">
        <v>397</v>
      </c>
      <c r="BT11" s="31">
        <v>333</v>
      </c>
      <c r="BU11" s="33">
        <v>48</v>
      </c>
      <c r="BV11" s="115">
        <v>466</v>
      </c>
      <c r="BW11" s="111">
        <v>498</v>
      </c>
      <c r="BX11" s="32">
        <v>368</v>
      </c>
      <c r="BY11" s="31">
        <v>492</v>
      </c>
      <c r="BZ11" s="32">
        <v>349</v>
      </c>
      <c r="CA11" s="111">
        <v>358</v>
      </c>
      <c r="CB11" s="32">
        <v>493</v>
      </c>
      <c r="CC11" s="33">
        <v>552</v>
      </c>
      <c r="CD11" s="34">
        <v>669</v>
      </c>
      <c r="CE11" s="111">
        <v>357</v>
      </c>
      <c r="CF11" s="42">
        <v>359</v>
      </c>
      <c r="CG11" s="31">
        <v>217</v>
      </c>
      <c r="CH11" s="35">
        <v>157</v>
      </c>
      <c r="CI11" s="35">
        <v>299</v>
      </c>
      <c r="CJ11" s="35">
        <v>353</v>
      </c>
      <c r="CK11" s="32">
        <v>315</v>
      </c>
    </row>
    <row r="12" spans="1:89" ht="13" x14ac:dyDescent="0.25">
      <c r="A12" s="27">
        <v>110</v>
      </c>
      <c r="B12" s="28" t="s">
        <v>35</v>
      </c>
      <c r="C12" s="29">
        <v>1270</v>
      </c>
      <c r="D12" s="30">
        <v>887</v>
      </c>
      <c r="E12" s="20">
        <f t="shared" si="0"/>
        <v>0.69842519685039373</v>
      </c>
      <c r="F12" s="31">
        <v>0</v>
      </c>
      <c r="G12" s="111">
        <v>0</v>
      </c>
      <c r="H12" s="111">
        <v>0</v>
      </c>
      <c r="I12" s="111">
        <v>0</v>
      </c>
      <c r="J12" s="111">
        <v>0</v>
      </c>
      <c r="K12" s="111">
        <v>0</v>
      </c>
      <c r="L12" s="111">
        <v>0</v>
      </c>
      <c r="M12" s="111">
        <v>553</v>
      </c>
      <c r="N12" s="111">
        <v>0</v>
      </c>
      <c r="O12" s="111">
        <v>0</v>
      </c>
      <c r="P12" s="35">
        <v>6</v>
      </c>
      <c r="Q12" s="35">
        <v>0</v>
      </c>
      <c r="R12" s="35">
        <v>308</v>
      </c>
      <c r="S12" s="32">
        <v>0</v>
      </c>
      <c r="T12" s="31">
        <v>513</v>
      </c>
      <c r="U12" s="32">
        <v>334</v>
      </c>
      <c r="V12" s="31">
        <v>350</v>
      </c>
      <c r="W12" s="32">
        <v>500</v>
      </c>
      <c r="X12" s="31">
        <v>522</v>
      </c>
      <c r="Y12" s="32">
        <v>313</v>
      </c>
      <c r="Z12" s="111">
        <v>545</v>
      </c>
      <c r="AA12" s="35">
        <v>0</v>
      </c>
      <c r="AB12" s="35">
        <v>30</v>
      </c>
      <c r="AC12" s="35">
        <v>296</v>
      </c>
      <c r="AD12" s="35">
        <v>0</v>
      </c>
      <c r="AE12" s="33">
        <v>0</v>
      </c>
      <c r="AF12" s="115">
        <v>0</v>
      </c>
      <c r="AG12" s="111">
        <v>542</v>
      </c>
      <c r="AH12" s="32">
        <v>300</v>
      </c>
      <c r="AI12" s="31"/>
      <c r="AJ12" s="33"/>
      <c r="AK12" s="31"/>
      <c r="AL12" s="32"/>
      <c r="AM12" s="31"/>
      <c r="AN12" s="115"/>
      <c r="AO12" s="111"/>
      <c r="AP12" s="32"/>
      <c r="AQ12" s="31">
        <v>319</v>
      </c>
      <c r="AR12" s="115">
        <v>508</v>
      </c>
      <c r="AS12" s="111"/>
      <c r="AT12" s="32"/>
      <c r="AU12" s="31"/>
      <c r="AV12" s="111"/>
      <c r="AW12" s="111"/>
      <c r="AX12" s="31"/>
      <c r="AY12" s="32"/>
      <c r="AZ12" s="31"/>
      <c r="BA12" s="115"/>
      <c r="BB12" s="31">
        <v>333</v>
      </c>
      <c r="BC12" s="32">
        <v>491</v>
      </c>
      <c r="BD12" s="31">
        <v>321</v>
      </c>
      <c r="BE12" s="115">
        <v>497</v>
      </c>
      <c r="BF12" s="111">
        <v>484</v>
      </c>
      <c r="BG12" s="32">
        <v>334</v>
      </c>
      <c r="BH12" s="31">
        <v>354</v>
      </c>
      <c r="BI12" s="32">
        <v>464</v>
      </c>
      <c r="BJ12" s="111">
        <v>35</v>
      </c>
      <c r="BK12" s="33">
        <v>314</v>
      </c>
      <c r="BL12" s="115">
        <v>466</v>
      </c>
      <c r="BM12" s="111">
        <v>494</v>
      </c>
      <c r="BN12" s="35">
        <v>297</v>
      </c>
      <c r="BO12" s="32">
        <v>29</v>
      </c>
      <c r="BP12" s="31">
        <v>330</v>
      </c>
      <c r="BQ12" s="32">
        <v>479</v>
      </c>
      <c r="BR12" s="31">
        <v>439</v>
      </c>
      <c r="BS12" s="32">
        <v>385</v>
      </c>
      <c r="BT12" s="31">
        <v>299</v>
      </c>
      <c r="BU12" s="33">
        <v>34</v>
      </c>
      <c r="BV12" s="115">
        <v>473</v>
      </c>
      <c r="BW12" s="111">
        <v>514</v>
      </c>
      <c r="BX12" s="32">
        <v>317</v>
      </c>
      <c r="BY12" s="31">
        <v>492</v>
      </c>
      <c r="BZ12" s="32">
        <v>304</v>
      </c>
      <c r="CA12" s="111">
        <v>312</v>
      </c>
      <c r="CB12" s="32">
        <v>491</v>
      </c>
      <c r="CC12" s="33">
        <v>504</v>
      </c>
      <c r="CD12" s="34">
        <v>623</v>
      </c>
      <c r="CE12" s="111">
        <v>349</v>
      </c>
      <c r="CF12" s="42">
        <v>317</v>
      </c>
      <c r="CG12" s="31">
        <v>241</v>
      </c>
      <c r="CH12" s="35">
        <v>171</v>
      </c>
      <c r="CI12" s="35">
        <v>275</v>
      </c>
      <c r="CJ12" s="35">
        <v>326</v>
      </c>
      <c r="CK12" s="32">
        <v>277</v>
      </c>
    </row>
    <row r="13" spans="1:89" ht="13" x14ac:dyDescent="0.25">
      <c r="A13" s="27">
        <v>111</v>
      </c>
      <c r="B13" s="28" t="s">
        <v>36</v>
      </c>
      <c r="C13" s="29">
        <v>1246</v>
      </c>
      <c r="D13" s="30">
        <v>796</v>
      </c>
      <c r="E13" s="20">
        <f t="shared" si="0"/>
        <v>0.6388443017656501</v>
      </c>
      <c r="F13" s="31">
        <v>0</v>
      </c>
      <c r="G13" s="111">
        <v>0</v>
      </c>
      <c r="H13" s="111">
        <v>0</v>
      </c>
      <c r="I13" s="111">
        <v>0</v>
      </c>
      <c r="J13" s="111">
        <v>5</v>
      </c>
      <c r="K13" s="111">
        <v>0</v>
      </c>
      <c r="L13" s="111">
        <v>0</v>
      </c>
      <c r="M13" s="111">
        <v>523</v>
      </c>
      <c r="N13" s="111">
        <v>0</v>
      </c>
      <c r="O13" s="111">
        <v>0</v>
      </c>
      <c r="P13" s="35">
        <v>4</v>
      </c>
      <c r="Q13" s="35">
        <v>1</v>
      </c>
      <c r="R13" s="35">
        <v>254</v>
      </c>
      <c r="S13" s="32">
        <v>2</v>
      </c>
      <c r="T13" s="31">
        <v>514</v>
      </c>
      <c r="U13" s="32">
        <v>258</v>
      </c>
      <c r="V13" s="31">
        <v>266</v>
      </c>
      <c r="W13" s="32">
        <v>504</v>
      </c>
      <c r="X13" s="31">
        <v>524</v>
      </c>
      <c r="Y13" s="32">
        <v>235</v>
      </c>
      <c r="Z13" s="111">
        <v>522</v>
      </c>
      <c r="AA13" s="35">
        <v>0</v>
      </c>
      <c r="AB13" s="35">
        <v>35</v>
      </c>
      <c r="AC13" s="35">
        <v>231</v>
      </c>
      <c r="AD13" s="35">
        <v>0</v>
      </c>
      <c r="AE13" s="33">
        <v>0</v>
      </c>
      <c r="AF13" s="115">
        <v>0</v>
      </c>
      <c r="AG13" s="111">
        <v>530</v>
      </c>
      <c r="AH13" s="32">
        <v>235</v>
      </c>
      <c r="AI13" s="31"/>
      <c r="AJ13" s="33"/>
      <c r="AK13" s="31"/>
      <c r="AL13" s="32"/>
      <c r="AM13" s="31"/>
      <c r="AN13" s="115"/>
      <c r="AO13" s="111"/>
      <c r="AP13" s="32"/>
      <c r="AQ13" s="31">
        <v>237</v>
      </c>
      <c r="AR13" s="115">
        <v>517</v>
      </c>
      <c r="AS13" s="111"/>
      <c r="AT13" s="32"/>
      <c r="AU13" s="31"/>
      <c r="AV13" s="111"/>
      <c r="AW13" s="111"/>
      <c r="AX13" s="31"/>
      <c r="AY13" s="32"/>
      <c r="AZ13" s="31"/>
      <c r="BA13" s="115"/>
      <c r="BB13" s="31">
        <v>247</v>
      </c>
      <c r="BC13" s="32">
        <v>502</v>
      </c>
      <c r="BD13" s="31">
        <v>243</v>
      </c>
      <c r="BE13" s="115">
        <v>506</v>
      </c>
      <c r="BF13" s="111">
        <v>498</v>
      </c>
      <c r="BG13" s="32">
        <v>243</v>
      </c>
      <c r="BH13" s="31">
        <v>255</v>
      </c>
      <c r="BI13" s="32">
        <v>494</v>
      </c>
      <c r="BJ13" s="111">
        <v>40</v>
      </c>
      <c r="BK13" s="33">
        <v>219</v>
      </c>
      <c r="BL13" s="115">
        <v>495</v>
      </c>
      <c r="BM13" s="111">
        <v>502</v>
      </c>
      <c r="BN13" s="35">
        <v>228</v>
      </c>
      <c r="BO13" s="32">
        <v>26</v>
      </c>
      <c r="BP13" s="31">
        <v>250</v>
      </c>
      <c r="BQ13" s="32">
        <v>497</v>
      </c>
      <c r="BR13" s="31">
        <v>473</v>
      </c>
      <c r="BS13" s="32">
        <v>286</v>
      </c>
      <c r="BT13" s="31">
        <v>226</v>
      </c>
      <c r="BU13" s="33">
        <v>35</v>
      </c>
      <c r="BV13" s="115">
        <v>484</v>
      </c>
      <c r="BW13" s="111">
        <v>513</v>
      </c>
      <c r="BX13" s="32">
        <v>253</v>
      </c>
      <c r="BY13" s="31">
        <v>520</v>
      </c>
      <c r="BZ13" s="32">
        <v>224</v>
      </c>
      <c r="CA13" s="111">
        <v>242</v>
      </c>
      <c r="CB13" s="32">
        <v>504</v>
      </c>
      <c r="CC13" s="33">
        <v>440</v>
      </c>
      <c r="CD13" s="34">
        <v>613</v>
      </c>
      <c r="CE13" s="111">
        <v>308</v>
      </c>
      <c r="CF13" s="42">
        <v>341</v>
      </c>
      <c r="CG13" s="31">
        <v>184</v>
      </c>
      <c r="CH13" s="35">
        <v>124</v>
      </c>
      <c r="CI13" s="35">
        <v>292</v>
      </c>
      <c r="CJ13" s="35">
        <v>356</v>
      </c>
      <c r="CK13" s="32">
        <v>224</v>
      </c>
    </row>
    <row r="14" spans="1:89" ht="13" x14ac:dyDescent="0.25">
      <c r="A14" s="27">
        <v>112</v>
      </c>
      <c r="B14" s="28" t="s">
        <v>37</v>
      </c>
      <c r="C14" s="29">
        <v>716</v>
      </c>
      <c r="D14" s="30">
        <v>574</v>
      </c>
      <c r="E14" s="20">
        <f t="shared" si="0"/>
        <v>0.8016759776536313</v>
      </c>
      <c r="F14" s="31">
        <v>0</v>
      </c>
      <c r="G14" s="111">
        <v>0</v>
      </c>
      <c r="H14" s="111">
        <v>0</v>
      </c>
      <c r="I14" s="111">
        <v>1</v>
      </c>
      <c r="J14" s="111">
        <v>2</v>
      </c>
      <c r="K14" s="111">
        <v>0</v>
      </c>
      <c r="L14" s="111">
        <v>0</v>
      </c>
      <c r="M14" s="111">
        <v>326</v>
      </c>
      <c r="N14" s="111">
        <v>0</v>
      </c>
      <c r="O14" s="111">
        <v>0</v>
      </c>
      <c r="P14" s="35">
        <v>3</v>
      </c>
      <c r="Q14" s="35">
        <v>0</v>
      </c>
      <c r="R14" s="35">
        <v>237</v>
      </c>
      <c r="S14" s="32">
        <v>0</v>
      </c>
      <c r="T14" s="31">
        <v>290</v>
      </c>
      <c r="U14" s="32">
        <v>261</v>
      </c>
      <c r="V14" s="31">
        <v>267</v>
      </c>
      <c r="W14" s="32">
        <v>290</v>
      </c>
      <c r="X14" s="31">
        <v>296</v>
      </c>
      <c r="Y14" s="32">
        <v>251</v>
      </c>
      <c r="Z14" s="111">
        <v>315</v>
      </c>
      <c r="AA14" s="35">
        <v>0</v>
      </c>
      <c r="AB14" s="35">
        <v>27</v>
      </c>
      <c r="AC14" s="35">
        <v>217</v>
      </c>
      <c r="AD14" s="35">
        <v>0</v>
      </c>
      <c r="AE14" s="33">
        <v>0</v>
      </c>
      <c r="AF14" s="115">
        <v>0</v>
      </c>
      <c r="AG14" s="111">
        <v>320</v>
      </c>
      <c r="AH14" s="32">
        <v>233</v>
      </c>
      <c r="AI14" s="31"/>
      <c r="AJ14" s="33"/>
      <c r="AK14" s="31"/>
      <c r="AL14" s="32"/>
      <c r="AM14" s="31"/>
      <c r="AN14" s="115"/>
      <c r="AO14" s="111"/>
      <c r="AP14" s="32"/>
      <c r="AQ14" s="31">
        <v>242</v>
      </c>
      <c r="AR14" s="115">
        <v>286</v>
      </c>
      <c r="AS14" s="111"/>
      <c r="AT14" s="32"/>
      <c r="AU14" s="31"/>
      <c r="AV14" s="111"/>
      <c r="AW14" s="111"/>
      <c r="AX14" s="31"/>
      <c r="AY14" s="32"/>
      <c r="AZ14" s="31"/>
      <c r="BA14" s="115"/>
      <c r="BB14" s="31">
        <v>251</v>
      </c>
      <c r="BC14" s="32">
        <v>281</v>
      </c>
      <c r="BD14" s="31">
        <v>238</v>
      </c>
      <c r="BE14" s="115">
        <v>286</v>
      </c>
      <c r="BF14" s="111">
        <v>283</v>
      </c>
      <c r="BG14" s="32">
        <v>244</v>
      </c>
      <c r="BH14" s="31">
        <v>266</v>
      </c>
      <c r="BI14" s="32">
        <v>265</v>
      </c>
      <c r="BJ14" s="111">
        <v>30</v>
      </c>
      <c r="BK14" s="33">
        <v>223</v>
      </c>
      <c r="BL14" s="115">
        <v>287</v>
      </c>
      <c r="BM14" s="111">
        <v>296</v>
      </c>
      <c r="BN14" s="35">
        <v>213</v>
      </c>
      <c r="BO14" s="32">
        <v>27</v>
      </c>
      <c r="BP14" s="31">
        <v>257</v>
      </c>
      <c r="BQ14" s="32">
        <v>279</v>
      </c>
      <c r="BR14" s="31">
        <v>258</v>
      </c>
      <c r="BS14" s="32">
        <v>281</v>
      </c>
      <c r="BT14" s="31">
        <v>230</v>
      </c>
      <c r="BU14" s="33">
        <v>15</v>
      </c>
      <c r="BV14" s="115">
        <v>284</v>
      </c>
      <c r="BW14" s="111">
        <v>297</v>
      </c>
      <c r="BX14" s="32">
        <v>244</v>
      </c>
      <c r="BY14" s="31">
        <v>292</v>
      </c>
      <c r="BZ14" s="32">
        <v>235</v>
      </c>
      <c r="CA14" s="111">
        <v>230</v>
      </c>
      <c r="CB14" s="32">
        <v>299</v>
      </c>
      <c r="CC14" s="33">
        <v>351</v>
      </c>
      <c r="CD14" s="34">
        <v>402</v>
      </c>
      <c r="CE14" s="111">
        <v>236</v>
      </c>
      <c r="CF14" s="42">
        <v>217</v>
      </c>
      <c r="CG14" s="31">
        <v>165</v>
      </c>
      <c r="CH14" s="35">
        <v>118</v>
      </c>
      <c r="CI14" s="35">
        <v>168</v>
      </c>
      <c r="CJ14" s="35">
        <v>217</v>
      </c>
      <c r="CK14" s="32">
        <v>205</v>
      </c>
    </row>
    <row r="15" spans="1:89" ht="13" x14ac:dyDescent="0.25">
      <c r="A15" s="27">
        <v>113</v>
      </c>
      <c r="B15" s="28" t="s">
        <v>38</v>
      </c>
      <c r="C15" s="29">
        <v>1017</v>
      </c>
      <c r="D15" s="30">
        <v>778</v>
      </c>
      <c r="E15" s="20">
        <f t="shared" si="0"/>
        <v>0.76499508357915436</v>
      </c>
      <c r="F15" s="31">
        <v>0</v>
      </c>
      <c r="G15" s="111">
        <v>0</v>
      </c>
      <c r="H15" s="111">
        <v>0</v>
      </c>
      <c r="I15" s="111">
        <v>1</v>
      </c>
      <c r="J15" s="111">
        <v>3</v>
      </c>
      <c r="K15" s="111">
        <v>0</v>
      </c>
      <c r="L15" s="111">
        <v>0</v>
      </c>
      <c r="M15" s="111">
        <v>463</v>
      </c>
      <c r="N15" s="111">
        <v>0</v>
      </c>
      <c r="O15" s="111">
        <v>0</v>
      </c>
      <c r="P15" s="35">
        <v>6</v>
      </c>
      <c r="Q15" s="35">
        <v>0</v>
      </c>
      <c r="R15" s="35">
        <v>288</v>
      </c>
      <c r="S15" s="32">
        <v>0</v>
      </c>
      <c r="T15" s="31">
        <v>427</v>
      </c>
      <c r="U15" s="32">
        <v>321</v>
      </c>
      <c r="V15" s="31">
        <v>343</v>
      </c>
      <c r="W15" s="32">
        <v>409</v>
      </c>
      <c r="X15" s="31">
        <v>436</v>
      </c>
      <c r="Y15" s="32">
        <v>298</v>
      </c>
      <c r="Z15" s="111">
        <v>475</v>
      </c>
      <c r="AA15" s="35">
        <v>0</v>
      </c>
      <c r="AB15" s="35">
        <v>17</v>
      </c>
      <c r="AC15" s="35">
        <v>275</v>
      </c>
      <c r="AD15" s="35">
        <v>0</v>
      </c>
      <c r="AE15" s="33">
        <v>0</v>
      </c>
      <c r="AF15" s="115">
        <v>0</v>
      </c>
      <c r="AG15" s="111">
        <v>462</v>
      </c>
      <c r="AH15" s="32">
        <v>281</v>
      </c>
      <c r="AI15" s="31"/>
      <c r="AJ15" s="33"/>
      <c r="AK15" s="31"/>
      <c r="AL15" s="32"/>
      <c r="AM15" s="31"/>
      <c r="AN15" s="115"/>
      <c r="AO15" s="111"/>
      <c r="AP15" s="32"/>
      <c r="AQ15" s="31">
        <v>312</v>
      </c>
      <c r="AR15" s="115">
        <v>415</v>
      </c>
      <c r="AS15" s="111"/>
      <c r="AT15" s="32"/>
      <c r="AU15" s="31"/>
      <c r="AV15" s="111"/>
      <c r="AW15" s="111"/>
      <c r="AX15" s="31"/>
      <c r="AY15" s="32"/>
      <c r="AZ15" s="31"/>
      <c r="BA15" s="115"/>
      <c r="BB15" s="31">
        <v>308</v>
      </c>
      <c r="BC15" s="32">
        <v>420</v>
      </c>
      <c r="BD15" s="31">
        <v>313</v>
      </c>
      <c r="BE15" s="115">
        <v>407</v>
      </c>
      <c r="BF15" s="111">
        <v>395</v>
      </c>
      <c r="BG15" s="32">
        <v>321</v>
      </c>
      <c r="BH15" s="31">
        <v>348</v>
      </c>
      <c r="BI15" s="32">
        <v>374</v>
      </c>
      <c r="BJ15" s="111">
        <v>34</v>
      </c>
      <c r="BK15" s="33">
        <v>303</v>
      </c>
      <c r="BL15" s="115">
        <v>389</v>
      </c>
      <c r="BM15" s="111">
        <v>437</v>
      </c>
      <c r="BN15" s="35">
        <v>277</v>
      </c>
      <c r="BO15" s="32">
        <v>19</v>
      </c>
      <c r="BP15" s="31">
        <v>325</v>
      </c>
      <c r="BQ15" s="32">
        <v>404</v>
      </c>
      <c r="BR15" s="31">
        <v>380</v>
      </c>
      <c r="BS15" s="32">
        <v>359</v>
      </c>
      <c r="BT15" s="31">
        <v>296</v>
      </c>
      <c r="BU15" s="33">
        <v>31</v>
      </c>
      <c r="BV15" s="115">
        <v>390</v>
      </c>
      <c r="BW15" s="111">
        <v>436</v>
      </c>
      <c r="BX15" s="32">
        <v>306</v>
      </c>
      <c r="BY15" s="31">
        <v>419</v>
      </c>
      <c r="BZ15" s="32">
        <v>284</v>
      </c>
      <c r="CA15" s="111">
        <v>298</v>
      </c>
      <c r="CB15" s="32">
        <v>424</v>
      </c>
      <c r="CC15" s="33">
        <v>473</v>
      </c>
      <c r="CD15" s="34">
        <v>542</v>
      </c>
      <c r="CE15" s="111">
        <v>304</v>
      </c>
      <c r="CF15" s="42">
        <v>287</v>
      </c>
      <c r="CG15" s="31">
        <v>225</v>
      </c>
      <c r="CH15" s="35">
        <v>182</v>
      </c>
      <c r="CI15" s="35">
        <v>241</v>
      </c>
      <c r="CJ15" s="35">
        <v>274</v>
      </c>
      <c r="CK15" s="32">
        <v>249</v>
      </c>
    </row>
    <row r="16" spans="1:89" ht="13" x14ac:dyDescent="0.25">
      <c r="A16" s="27">
        <v>201</v>
      </c>
      <c r="B16" s="28" t="s">
        <v>39</v>
      </c>
      <c r="C16" s="29">
        <v>1487</v>
      </c>
      <c r="D16" s="30">
        <v>964</v>
      </c>
      <c r="E16" s="20">
        <f t="shared" si="0"/>
        <v>0.64828513786146602</v>
      </c>
      <c r="F16" s="31">
        <v>0</v>
      </c>
      <c r="G16" s="111">
        <v>0</v>
      </c>
      <c r="H16" s="111">
        <v>0</v>
      </c>
      <c r="I16" s="111">
        <v>0</v>
      </c>
      <c r="J16" s="111">
        <v>1</v>
      </c>
      <c r="K16" s="111">
        <v>0</v>
      </c>
      <c r="L16" s="111">
        <v>0</v>
      </c>
      <c r="M16" s="111">
        <v>715</v>
      </c>
      <c r="N16" s="111">
        <v>0</v>
      </c>
      <c r="O16" s="111">
        <v>0</v>
      </c>
      <c r="P16" s="35">
        <v>5</v>
      </c>
      <c r="Q16" s="35">
        <v>2</v>
      </c>
      <c r="R16" s="35">
        <v>231</v>
      </c>
      <c r="S16" s="32">
        <v>0</v>
      </c>
      <c r="T16" s="31">
        <v>668</v>
      </c>
      <c r="U16" s="32">
        <v>246</v>
      </c>
      <c r="V16" s="31">
        <v>241</v>
      </c>
      <c r="W16" s="32">
        <v>681</v>
      </c>
      <c r="X16" s="31">
        <v>683</v>
      </c>
      <c r="Y16" s="32">
        <v>220</v>
      </c>
      <c r="Z16" s="111">
        <v>705</v>
      </c>
      <c r="AA16" s="35">
        <v>0</v>
      </c>
      <c r="AB16" s="35">
        <v>33</v>
      </c>
      <c r="AC16" s="35">
        <v>199</v>
      </c>
      <c r="AD16" s="35">
        <v>0</v>
      </c>
      <c r="AE16" s="33">
        <v>0</v>
      </c>
      <c r="AF16" s="115">
        <v>0</v>
      </c>
      <c r="AG16" s="111">
        <v>705</v>
      </c>
      <c r="AH16" s="32">
        <v>219</v>
      </c>
      <c r="AI16" s="31"/>
      <c r="AJ16" s="33"/>
      <c r="AK16" s="31"/>
      <c r="AL16" s="32"/>
      <c r="AM16" s="31"/>
      <c r="AN16" s="115"/>
      <c r="AO16" s="111"/>
      <c r="AP16" s="32"/>
      <c r="AQ16" s="31">
        <v>229</v>
      </c>
      <c r="AR16" s="115">
        <v>667</v>
      </c>
      <c r="AS16" s="111"/>
      <c r="AT16" s="32"/>
      <c r="AU16" s="31"/>
      <c r="AV16" s="111"/>
      <c r="AW16" s="111"/>
      <c r="AX16" s="31"/>
      <c r="AY16" s="32"/>
      <c r="AZ16" s="31"/>
      <c r="BA16" s="115"/>
      <c r="BB16" s="31">
        <v>226</v>
      </c>
      <c r="BC16" s="32">
        <v>663</v>
      </c>
      <c r="BD16" s="31">
        <v>224</v>
      </c>
      <c r="BE16" s="115">
        <v>661</v>
      </c>
      <c r="BF16" s="111">
        <v>661</v>
      </c>
      <c r="BG16" s="32">
        <v>231</v>
      </c>
      <c r="BH16" s="31">
        <v>229</v>
      </c>
      <c r="BI16" s="32">
        <v>653</v>
      </c>
      <c r="BJ16" s="111">
        <v>36</v>
      </c>
      <c r="BK16" s="33">
        <v>199</v>
      </c>
      <c r="BL16" s="115">
        <v>668</v>
      </c>
      <c r="BM16" s="111">
        <v>667</v>
      </c>
      <c r="BN16" s="35">
        <v>200</v>
      </c>
      <c r="BO16" s="32">
        <v>29</v>
      </c>
      <c r="BP16" s="31">
        <v>222</v>
      </c>
      <c r="BQ16" s="32">
        <v>662</v>
      </c>
      <c r="BR16" s="31">
        <v>622</v>
      </c>
      <c r="BS16" s="32">
        <v>266</v>
      </c>
      <c r="BT16" s="31">
        <v>205</v>
      </c>
      <c r="BU16" s="33">
        <v>38</v>
      </c>
      <c r="BV16" s="115">
        <v>649</v>
      </c>
      <c r="BW16" s="111">
        <v>663</v>
      </c>
      <c r="BX16" s="32">
        <v>240</v>
      </c>
      <c r="BY16" s="31">
        <v>663</v>
      </c>
      <c r="BZ16" s="32">
        <v>216</v>
      </c>
      <c r="CA16" s="111">
        <v>223</v>
      </c>
      <c r="CB16" s="32">
        <v>661</v>
      </c>
      <c r="CC16" s="33">
        <v>451</v>
      </c>
      <c r="CD16" s="34">
        <v>773</v>
      </c>
      <c r="CE16" s="111">
        <v>311</v>
      </c>
      <c r="CF16" s="42">
        <v>440</v>
      </c>
      <c r="CG16" s="31">
        <v>207</v>
      </c>
      <c r="CH16" s="35">
        <v>106</v>
      </c>
      <c r="CI16" s="35">
        <v>428</v>
      </c>
      <c r="CJ16" s="35">
        <v>459</v>
      </c>
      <c r="CK16" s="32">
        <v>226</v>
      </c>
    </row>
    <row r="17" spans="1:89" ht="13" x14ac:dyDescent="0.25">
      <c r="A17" s="27">
        <v>202</v>
      </c>
      <c r="B17" s="28" t="s">
        <v>40</v>
      </c>
      <c r="C17" s="29">
        <v>1732</v>
      </c>
      <c r="D17" s="30">
        <v>1118</v>
      </c>
      <c r="E17" s="20">
        <f t="shared" si="0"/>
        <v>0.64549653579676669</v>
      </c>
      <c r="F17" s="31">
        <v>0</v>
      </c>
      <c r="G17" s="111">
        <v>0</v>
      </c>
      <c r="H17" s="111">
        <v>0</v>
      </c>
      <c r="I17" s="111">
        <v>1</v>
      </c>
      <c r="J17" s="111">
        <v>3</v>
      </c>
      <c r="K17" s="111">
        <v>0</v>
      </c>
      <c r="L17" s="111">
        <v>0</v>
      </c>
      <c r="M17" s="111">
        <v>848</v>
      </c>
      <c r="N17" s="111">
        <v>0</v>
      </c>
      <c r="O17" s="111">
        <v>0</v>
      </c>
      <c r="P17" s="35">
        <v>9</v>
      </c>
      <c r="Q17" s="35">
        <v>1</v>
      </c>
      <c r="R17" s="35">
        <v>237</v>
      </c>
      <c r="S17" s="32">
        <v>0</v>
      </c>
      <c r="T17" s="31">
        <v>825</v>
      </c>
      <c r="U17" s="32">
        <v>250</v>
      </c>
      <c r="V17" s="31">
        <v>265</v>
      </c>
      <c r="W17" s="32">
        <v>811</v>
      </c>
      <c r="X17" s="31">
        <v>827</v>
      </c>
      <c r="Y17" s="32">
        <v>229</v>
      </c>
      <c r="Z17" s="111">
        <v>856</v>
      </c>
      <c r="AA17" s="35">
        <v>0</v>
      </c>
      <c r="AB17" s="35">
        <v>26</v>
      </c>
      <c r="AC17" s="35">
        <v>221</v>
      </c>
      <c r="AD17" s="35">
        <v>0</v>
      </c>
      <c r="AE17" s="33">
        <v>0</v>
      </c>
      <c r="AF17" s="115">
        <v>0</v>
      </c>
      <c r="AG17" s="111">
        <v>849</v>
      </c>
      <c r="AH17" s="32">
        <v>221</v>
      </c>
      <c r="AI17" s="31"/>
      <c r="AJ17" s="33"/>
      <c r="AK17" s="31"/>
      <c r="AL17" s="32"/>
      <c r="AM17" s="31"/>
      <c r="AN17" s="115"/>
      <c r="AO17" s="111"/>
      <c r="AP17" s="32"/>
      <c r="AQ17" s="31">
        <v>230</v>
      </c>
      <c r="AR17" s="115">
        <v>823</v>
      </c>
      <c r="AS17" s="111"/>
      <c r="AT17" s="32"/>
      <c r="AU17" s="31"/>
      <c r="AV17" s="111"/>
      <c r="AW17" s="111"/>
      <c r="AX17" s="31"/>
      <c r="AY17" s="32"/>
      <c r="AZ17" s="31"/>
      <c r="BA17" s="115"/>
      <c r="BB17" s="31">
        <v>234</v>
      </c>
      <c r="BC17" s="32">
        <v>809</v>
      </c>
      <c r="BD17" s="31">
        <v>243</v>
      </c>
      <c r="BE17" s="115">
        <v>799</v>
      </c>
      <c r="BF17" s="111">
        <v>808</v>
      </c>
      <c r="BG17" s="32">
        <v>230</v>
      </c>
      <c r="BH17" s="31">
        <v>269</v>
      </c>
      <c r="BI17" s="32">
        <v>779</v>
      </c>
      <c r="BJ17" s="111">
        <v>35</v>
      </c>
      <c r="BK17" s="33">
        <v>213</v>
      </c>
      <c r="BL17" s="115">
        <v>809</v>
      </c>
      <c r="BM17" s="111">
        <v>795</v>
      </c>
      <c r="BN17" s="35">
        <v>223</v>
      </c>
      <c r="BO17" s="32">
        <v>28</v>
      </c>
      <c r="BP17" s="31">
        <v>234</v>
      </c>
      <c r="BQ17" s="32">
        <v>804</v>
      </c>
      <c r="BR17" s="31">
        <v>768</v>
      </c>
      <c r="BS17" s="32">
        <v>283</v>
      </c>
      <c r="BT17" s="31">
        <v>230</v>
      </c>
      <c r="BU17" s="33">
        <v>38</v>
      </c>
      <c r="BV17" s="115">
        <v>778</v>
      </c>
      <c r="BW17" s="111">
        <v>821</v>
      </c>
      <c r="BX17" s="32">
        <v>246</v>
      </c>
      <c r="BY17" s="31">
        <v>806</v>
      </c>
      <c r="BZ17" s="32">
        <v>226</v>
      </c>
      <c r="CA17" s="111">
        <v>233</v>
      </c>
      <c r="CB17" s="32">
        <v>810</v>
      </c>
      <c r="CC17" s="33">
        <v>463</v>
      </c>
      <c r="CD17" s="34">
        <v>914</v>
      </c>
      <c r="CE17" s="111">
        <v>363</v>
      </c>
      <c r="CF17" s="42">
        <v>529</v>
      </c>
      <c r="CG17" s="31">
        <v>239</v>
      </c>
      <c r="CH17" s="35">
        <v>103</v>
      </c>
      <c r="CI17" s="35">
        <v>509</v>
      </c>
      <c r="CJ17" s="35">
        <v>518</v>
      </c>
      <c r="CK17" s="32">
        <v>264</v>
      </c>
    </row>
    <row r="18" spans="1:89" ht="13" x14ac:dyDescent="0.25">
      <c r="A18" s="27">
        <v>203</v>
      </c>
      <c r="B18" s="28" t="s">
        <v>41</v>
      </c>
      <c r="C18" s="29">
        <v>1369</v>
      </c>
      <c r="D18" s="30">
        <v>891</v>
      </c>
      <c r="E18" s="20">
        <f t="shared" si="0"/>
        <v>0.65084002921840756</v>
      </c>
      <c r="F18" s="31">
        <v>0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  <c r="L18" s="111">
        <v>0</v>
      </c>
      <c r="M18" s="111">
        <v>623</v>
      </c>
      <c r="N18" s="111">
        <v>0</v>
      </c>
      <c r="O18" s="111">
        <v>0</v>
      </c>
      <c r="P18" s="35">
        <v>10</v>
      </c>
      <c r="Q18" s="35">
        <v>1</v>
      </c>
      <c r="R18" s="35">
        <v>247</v>
      </c>
      <c r="S18" s="32">
        <v>0</v>
      </c>
      <c r="T18" s="31">
        <v>596</v>
      </c>
      <c r="U18" s="32">
        <v>252</v>
      </c>
      <c r="V18" s="31">
        <v>262</v>
      </c>
      <c r="W18" s="32">
        <v>588</v>
      </c>
      <c r="X18" s="31">
        <v>596</v>
      </c>
      <c r="Y18" s="32">
        <v>250</v>
      </c>
      <c r="Z18" s="111">
        <v>624</v>
      </c>
      <c r="AA18" s="35">
        <v>0</v>
      </c>
      <c r="AB18" s="35">
        <v>30</v>
      </c>
      <c r="AC18" s="35">
        <v>221</v>
      </c>
      <c r="AD18" s="35">
        <v>0</v>
      </c>
      <c r="AE18" s="33">
        <v>0</v>
      </c>
      <c r="AF18" s="115">
        <v>0</v>
      </c>
      <c r="AG18" s="111">
        <v>596</v>
      </c>
      <c r="AH18" s="32">
        <v>253</v>
      </c>
      <c r="AI18" s="31"/>
      <c r="AJ18" s="33"/>
      <c r="AK18" s="31"/>
      <c r="AL18" s="32"/>
      <c r="AM18" s="31"/>
      <c r="AN18" s="115"/>
      <c r="AO18" s="111"/>
      <c r="AP18" s="32"/>
      <c r="AQ18" s="31">
        <v>259</v>
      </c>
      <c r="AR18" s="115">
        <v>575</v>
      </c>
      <c r="AS18" s="111"/>
      <c r="AT18" s="32"/>
      <c r="AU18" s="31"/>
      <c r="AV18" s="111"/>
      <c r="AW18" s="111"/>
      <c r="AX18" s="31"/>
      <c r="AY18" s="32"/>
      <c r="AZ18" s="31"/>
      <c r="BA18" s="115"/>
      <c r="BB18" s="31">
        <v>250</v>
      </c>
      <c r="BC18" s="32">
        <v>576</v>
      </c>
      <c r="BD18" s="31">
        <v>253</v>
      </c>
      <c r="BE18" s="115">
        <v>571</v>
      </c>
      <c r="BF18" s="111">
        <v>573</v>
      </c>
      <c r="BG18" s="32">
        <v>248</v>
      </c>
      <c r="BH18" s="31">
        <v>267</v>
      </c>
      <c r="BI18" s="32">
        <v>554</v>
      </c>
      <c r="BJ18" s="111">
        <v>43</v>
      </c>
      <c r="BK18" s="33">
        <v>224</v>
      </c>
      <c r="BL18" s="115">
        <v>559</v>
      </c>
      <c r="BM18" s="111">
        <v>558</v>
      </c>
      <c r="BN18" s="35">
        <v>230</v>
      </c>
      <c r="BO18" s="32">
        <v>35</v>
      </c>
      <c r="BP18" s="31">
        <v>252</v>
      </c>
      <c r="BQ18" s="32">
        <v>567</v>
      </c>
      <c r="BR18" s="31">
        <v>545</v>
      </c>
      <c r="BS18" s="32">
        <v>278</v>
      </c>
      <c r="BT18" s="31">
        <v>228</v>
      </c>
      <c r="BU18" s="33">
        <v>41</v>
      </c>
      <c r="BV18" s="115">
        <v>552</v>
      </c>
      <c r="BW18" s="111">
        <v>573</v>
      </c>
      <c r="BX18" s="32">
        <v>257</v>
      </c>
      <c r="BY18" s="31">
        <v>574</v>
      </c>
      <c r="BZ18" s="32">
        <v>239</v>
      </c>
      <c r="CA18" s="111">
        <v>254</v>
      </c>
      <c r="CB18" s="32">
        <v>564</v>
      </c>
      <c r="CC18" s="33">
        <v>503</v>
      </c>
      <c r="CD18" s="34">
        <v>674</v>
      </c>
      <c r="CE18" s="111">
        <v>302</v>
      </c>
      <c r="CF18" s="42">
        <v>381</v>
      </c>
      <c r="CG18" s="31">
        <v>196</v>
      </c>
      <c r="CH18" s="35">
        <v>120</v>
      </c>
      <c r="CI18" s="35">
        <v>324</v>
      </c>
      <c r="CJ18" s="35">
        <v>404</v>
      </c>
      <c r="CK18" s="32">
        <v>173</v>
      </c>
    </row>
    <row r="19" spans="1:89" ht="13" x14ac:dyDescent="0.25">
      <c r="A19" s="27">
        <v>204</v>
      </c>
      <c r="B19" s="28" t="s">
        <v>42</v>
      </c>
      <c r="C19" s="29">
        <v>1399</v>
      </c>
      <c r="D19" s="30">
        <v>1000</v>
      </c>
      <c r="E19" s="20">
        <f t="shared" si="0"/>
        <v>0.71479628305932807</v>
      </c>
      <c r="F19" s="31">
        <v>0</v>
      </c>
      <c r="G19" s="111">
        <v>0</v>
      </c>
      <c r="H19" s="111">
        <v>0</v>
      </c>
      <c r="I19" s="111">
        <v>0</v>
      </c>
      <c r="J19" s="111">
        <v>4</v>
      </c>
      <c r="K19" s="111">
        <v>0</v>
      </c>
      <c r="L19" s="111">
        <v>0</v>
      </c>
      <c r="M19" s="111">
        <v>711</v>
      </c>
      <c r="N19" s="111">
        <v>0</v>
      </c>
      <c r="O19" s="111">
        <v>0</v>
      </c>
      <c r="P19" s="35">
        <v>8</v>
      </c>
      <c r="Q19" s="35">
        <v>3</v>
      </c>
      <c r="R19" s="35">
        <v>257</v>
      </c>
      <c r="S19" s="32">
        <v>1</v>
      </c>
      <c r="T19" s="31">
        <v>697</v>
      </c>
      <c r="U19" s="32">
        <v>265</v>
      </c>
      <c r="V19" s="31">
        <v>281</v>
      </c>
      <c r="W19" s="32">
        <v>683</v>
      </c>
      <c r="X19" s="31">
        <v>703</v>
      </c>
      <c r="Y19" s="32">
        <v>248</v>
      </c>
      <c r="Z19" s="111">
        <v>711</v>
      </c>
      <c r="AA19" s="35">
        <v>0</v>
      </c>
      <c r="AB19" s="35">
        <v>38</v>
      </c>
      <c r="AC19" s="35">
        <v>230</v>
      </c>
      <c r="AD19" s="35">
        <v>0</v>
      </c>
      <c r="AE19" s="33">
        <v>0</v>
      </c>
      <c r="AF19" s="115">
        <v>0</v>
      </c>
      <c r="AG19" s="111">
        <v>727</v>
      </c>
      <c r="AH19" s="32">
        <v>238</v>
      </c>
      <c r="AI19" s="31"/>
      <c r="AJ19" s="33"/>
      <c r="AK19" s="31"/>
      <c r="AL19" s="32"/>
      <c r="AM19" s="31"/>
      <c r="AN19" s="115"/>
      <c r="AO19" s="111"/>
      <c r="AP19" s="32"/>
      <c r="AQ19" s="31">
        <v>252</v>
      </c>
      <c r="AR19" s="115">
        <v>692</v>
      </c>
      <c r="AS19" s="111"/>
      <c r="AT19" s="32"/>
      <c r="AU19" s="31"/>
      <c r="AV19" s="111"/>
      <c r="AW19" s="111"/>
      <c r="AX19" s="31"/>
      <c r="AY19" s="32"/>
      <c r="AZ19" s="31"/>
      <c r="BA19" s="115"/>
      <c r="BB19" s="31">
        <v>273</v>
      </c>
      <c r="BC19" s="32">
        <v>666</v>
      </c>
      <c r="BD19" s="31">
        <v>258</v>
      </c>
      <c r="BE19" s="115">
        <v>686</v>
      </c>
      <c r="BF19" s="111">
        <v>680</v>
      </c>
      <c r="BG19" s="32">
        <v>255</v>
      </c>
      <c r="BH19" s="31">
        <v>292</v>
      </c>
      <c r="BI19" s="32">
        <v>640</v>
      </c>
      <c r="BJ19" s="111">
        <v>52</v>
      </c>
      <c r="BK19" s="33">
        <v>231</v>
      </c>
      <c r="BL19" s="115">
        <v>670</v>
      </c>
      <c r="BM19" s="111">
        <v>669</v>
      </c>
      <c r="BN19" s="35">
        <v>239</v>
      </c>
      <c r="BO19" s="32">
        <v>39</v>
      </c>
      <c r="BP19" s="31">
        <v>272</v>
      </c>
      <c r="BQ19" s="32">
        <v>672</v>
      </c>
      <c r="BR19" s="31">
        <v>647</v>
      </c>
      <c r="BS19" s="32">
        <v>304</v>
      </c>
      <c r="BT19" s="31">
        <v>232</v>
      </c>
      <c r="BU19" s="33">
        <v>50</v>
      </c>
      <c r="BV19" s="115">
        <v>658</v>
      </c>
      <c r="BW19" s="111">
        <v>699</v>
      </c>
      <c r="BX19" s="32">
        <v>257</v>
      </c>
      <c r="BY19" s="31">
        <v>677</v>
      </c>
      <c r="BZ19" s="32">
        <v>247</v>
      </c>
      <c r="CA19" s="111">
        <v>245</v>
      </c>
      <c r="CB19" s="32">
        <v>691</v>
      </c>
      <c r="CC19" s="33">
        <v>495</v>
      </c>
      <c r="CD19" s="34">
        <v>792</v>
      </c>
      <c r="CE19" s="111">
        <v>362</v>
      </c>
      <c r="CF19" s="42">
        <v>449</v>
      </c>
      <c r="CG19" s="31">
        <v>210</v>
      </c>
      <c r="CH19" s="35">
        <v>143</v>
      </c>
      <c r="CI19" s="35">
        <v>430</v>
      </c>
      <c r="CJ19" s="35">
        <v>492</v>
      </c>
      <c r="CK19" s="32">
        <v>239</v>
      </c>
    </row>
    <row r="20" spans="1:89" ht="13" x14ac:dyDescent="0.25">
      <c r="A20" s="27">
        <v>205</v>
      </c>
      <c r="B20" s="28" t="s">
        <v>43</v>
      </c>
      <c r="C20" s="29">
        <v>1314</v>
      </c>
      <c r="D20" s="30">
        <v>989</v>
      </c>
      <c r="E20" s="20">
        <f t="shared" si="0"/>
        <v>0.75266362252663621</v>
      </c>
      <c r="F20" s="31">
        <v>0</v>
      </c>
      <c r="G20" s="111">
        <v>0</v>
      </c>
      <c r="H20" s="111">
        <v>0</v>
      </c>
      <c r="I20" s="111">
        <v>0</v>
      </c>
      <c r="J20" s="111">
        <v>1</v>
      </c>
      <c r="K20" s="111">
        <v>0</v>
      </c>
      <c r="L20" s="111">
        <v>0</v>
      </c>
      <c r="M20" s="111">
        <v>611</v>
      </c>
      <c r="N20" s="111">
        <v>0</v>
      </c>
      <c r="O20" s="111">
        <v>0</v>
      </c>
      <c r="P20" s="35">
        <v>8</v>
      </c>
      <c r="Q20" s="35">
        <v>1</v>
      </c>
      <c r="R20" s="35">
        <v>344</v>
      </c>
      <c r="S20" s="32">
        <v>0</v>
      </c>
      <c r="T20" s="31">
        <v>550</v>
      </c>
      <c r="U20" s="32">
        <v>403</v>
      </c>
      <c r="V20" s="31">
        <v>405</v>
      </c>
      <c r="W20" s="32">
        <v>552</v>
      </c>
      <c r="X20" s="31">
        <v>557</v>
      </c>
      <c r="Y20" s="32">
        <v>382</v>
      </c>
      <c r="Z20" s="111">
        <v>601</v>
      </c>
      <c r="AA20" s="35">
        <v>0</v>
      </c>
      <c r="AB20" s="35">
        <v>23</v>
      </c>
      <c r="AC20" s="35">
        <v>338</v>
      </c>
      <c r="AD20" s="35">
        <v>0</v>
      </c>
      <c r="AE20" s="33">
        <v>0</v>
      </c>
      <c r="AF20" s="115">
        <v>1</v>
      </c>
      <c r="AG20" s="111">
        <v>589</v>
      </c>
      <c r="AH20" s="32">
        <v>359</v>
      </c>
      <c r="AI20" s="31"/>
      <c r="AJ20" s="33"/>
      <c r="AK20" s="31"/>
      <c r="AL20" s="32"/>
      <c r="AM20" s="31"/>
      <c r="AN20" s="115"/>
      <c r="AO20" s="111"/>
      <c r="AP20" s="32"/>
      <c r="AQ20" s="31">
        <v>380</v>
      </c>
      <c r="AR20" s="115">
        <v>542</v>
      </c>
      <c r="AS20" s="111"/>
      <c r="AT20" s="32"/>
      <c r="AU20" s="31"/>
      <c r="AV20" s="111"/>
      <c r="AW20" s="111"/>
      <c r="AX20" s="31"/>
      <c r="AY20" s="32"/>
      <c r="AZ20" s="31"/>
      <c r="BA20" s="115"/>
      <c r="BB20" s="31">
        <v>389</v>
      </c>
      <c r="BC20" s="32">
        <v>528</v>
      </c>
      <c r="BD20" s="31">
        <v>381</v>
      </c>
      <c r="BE20" s="115">
        <v>539</v>
      </c>
      <c r="BF20" s="111">
        <v>540</v>
      </c>
      <c r="BG20" s="32">
        <v>378</v>
      </c>
      <c r="BH20" s="31">
        <v>424</v>
      </c>
      <c r="BI20" s="32">
        <v>491</v>
      </c>
      <c r="BJ20" s="111">
        <v>41</v>
      </c>
      <c r="BK20" s="33">
        <v>355</v>
      </c>
      <c r="BL20" s="115">
        <v>533</v>
      </c>
      <c r="BM20" s="111">
        <v>550</v>
      </c>
      <c r="BN20" s="35">
        <v>349</v>
      </c>
      <c r="BO20" s="32">
        <v>34</v>
      </c>
      <c r="BP20" s="31">
        <v>388</v>
      </c>
      <c r="BQ20" s="32">
        <v>535</v>
      </c>
      <c r="BR20" s="31">
        <v>504</v>
      </c>
      <c r="BS20" s="32">
        <v>430</v>
      </c>
      <c r="BT20" s="31">
        <v>364</v>
      </c>
      <c r="BU20" s="33">
        <v>41</v>
      </c>
      <c r="BV20" s="115">
        <v>518</v>
      </c>
      <c r="BW20" s="111">
        <v>557</v>
      </c>
      <c r="BX20" s="32">
        <v>394</v>
      </c>
      <c r="BY20" s="31">
        <v>543</v>
      </c>
      <c r="BZ20" s="32">
        <v>367</v>
      </c>
      <c r="CA20" s="111">
        <v>383</v>
      </c>
      <c r="CB20" s="32">
        <v>549</v>
      </c>
      <c r="CC20" s="33">
        <v>619</v>
      </c>
      <c r="CD20" s="34">
        <v>722</v>
      </c>
      <c r="CE20" s="111">
        <v>381</v>
      </c>
      <c r="CF20" s="42">
        <v>432</v>
      </c>
      <c r="CG20" s="31">
        <v>251</v>
      </c>
      <c r="CH20" s="35">
        <v>197</v>
      </c>
      <c r="CI20" s="35">
        <v>343</v>
      </c>
      <c r="CJ20" s="35">
        <v>397</v>
      </c>
      <c r="CK20" s="32">
        <v>321</v>
      </c>
    </row>
    <row r="21" spans="1:89" ht="13" x14ac:dyDescent="0.25">
      <c r="A21" s="27">
        <v>206</v>
      </c>
      <c r="B21" s="28" t="s">
        <v>44</v>
      </c>
      <c r="C21" s="29">
        <v>1487</v>
      </c>
      <c r="D21" s="30">
        <v>1024</v>
      </c>
      <c r="E21" s="20">
        <f t="shared" si="0"/>
        <v>0.6886348352387357</v>
      </c>
      <c r="F21" s="31">
        <v>0</v>
      </c>
      <c r="G21" s="111">
        <v>0</v>
      </c>
      <c r="H21" s="111">
        <v>0</v>
      </c>
      <c r="I21" s="111">
        <v>1</v>
      </c>
      <c r="J21" s="111">
        <v>5</v>
      </c>
      <c r="K21" s="111">
        <v>0</v>
      </c>
      <c r="L21" s="111">
        <v>0</v>
      </c>
      <c r="M21" s="111">
        <v>797</v>
      </c>
      <c r="N21" s="111">
        <v>0</v>
      </c>
      <c r="O21" s="111">
        <v>0</v>
      </c>
      <c r="P21" s="35">
        <v>6</v>
      </c>
      <c r="Q21" s="35">
        <v>2</v>
      </c>
      <c r="R21" s="35">
        <v>207</v>
      </c>
      <c r="S21" s="32">
        <v>0</v>
      </c>
      <c r="T21" s="31">
        <v>792</v>
      </c>
      <c r="U21" s="32">
        <v>202</v>
      </c>
      <c r="V21" s="31">
        <v>209</v>
      </c>
      <c r="W21" s="32">
        <v>784</v>
      </c>
      <c r="X21" s="31">
        <v>784</v>
      </c>
      <c r="Y21" s="32">
        <v>196</v>
      </c>
      <c r="Z21" s="111">
        <v>802</v>
      </c>
      <c r="AA21" s="35">
        <v>0</v>
      </c>
      <c r="AB21" s="35">
        <v>38</v>
      </c>
      <c r="AC21" s="35">
        <v>161</v>
      </c>
      <c r="AD21" s="35">
        <v>0</v>
      </c>
      <c r="AE21" s="33">
        <v>0</v>
      </c>
      <c r="AF21" s="115">
        <v>1</v>
      </c>
      <c r="AG21" s="111">
        <v>790</v>
      </c>
      <c r="AH21" s="32">
        <v>187</v>
      </c>
      <c r="AI21" s="31"/>
      <c r="AJ21" s="33"/>
      <c r="AK21" s="31"/>
      <c r="AL21" s="32"/>
      <c r="AM21" s="31"/>
      <c r="AN21" s="115"/>
      <c r="AO21" s="111"/>
      <c r="AP21" s="32"/>
      <c r="AQ21" s="31">
        <v>185</v>
      </c>
      <c r="AR21" s="115">
        <v>793</v>
      </c>
      <c r="AS21" s="111"/>
      <c r="AT21" s="32"/>
      <c r="AU21" s="31"/>
      <c r="AV21" s="111"/>
      <c r="AW21" s="111"/>
      <c r="AX21" s="31"/>
      <c r="AY21" s="32"/>
      <c r="AZ21" s="31"/>
      <c r="BA21" s="115"/>
      <c r="BB21" s="31">
        <v>198</v>
      </c>
      <c r="BC21" s="32">
        <v>768</v>
      </c>
      <c r="BD21" s="31">
        <v>189</v>
      </c>
      <c r="BE21" s="115">
        <v>775</v>
      </c>
      <c r="BF21" s="111">
        <v>769</v>
      </c>
      <c r="BG21" s="32">
        <v>191</v>
      </c>
      <c r="BH21" s="31">
        <v>203</v>
      </c>
      <c r="BI21" s="32">
        <v>756</v>
      </c>
      <c r="BJ21" s="111">
        <v>47</v>
      </c>
      <c r="BK21" s="33">
        <v>167</v>
      </c>
      <c r="BL21" s="115">
        <v>765</v>
      </c>
      <c r="BM21" s="111">
        <v>762</v>
      </c>
      <c r="BN21" s="35">
        <v>171</v>
      </c>
      <c r="BO21" s="32">
        <v>38</v>
      </c>
      <c r="BP21" s="31">
        <v>194</v>
      </c>
      <c r="BQ21" s="32">
        <v>773</v>
      </c>
      <c r="BR21" s="31">
        <v>732</v>
      </c>
      <c r="BS21" s="32">
        <v>232</v>
      </c>
      <c r="BT21" s="31">
        <v>172</v>
      </c>
      <c r="BU21" s="33">
        <v>49</v>
      </c>
      <c r="BV21" s="115">
        <v>738</v>
      </c>
      <c r="BW21" s="111">
        <v>795</v>
      </c>
      <c r="BX21" s="32">
        <v>191</v>
      </c>
      <c r="BY21" s="31">
        <v>778</v>
      </c>
      <c r="BZ21" s="32">
        <v>177</v>
      </c>
      <c r="CA21" s="111">
        <v>190</v>
      </c>
      <c r="CB21" s="32">
        <v>773</v>
      </c>
      <c r="CC21" s="33">
        <v>432</v>
      </c>
      <c r="CD21" s="34">
        <v>863</v>
      </c>
      <c r="CE21" s="111">
        <v>336</v>
      </c>
      <c r="CF21" s="42">
        <v>500</v>
      </c>
      <c r="CG21" s="31">
        <v>223</v>
      </c>
      <c r="CH21" s="35">
        <v>96</v>
      </c>
      <c r="CI21" s="35">
        <v>490</v>
      </c>
      <c r="CJ21" s="35">
        <v>565</v>
      </c>
      <c r="CK21" s="32">
        <v>194</v>
      </c>
    </row>
    <row r="22" spans="1:89" ht="13" x14ac:dyDescent="0.25">
      <c r="A22" s="27">
        <v>207</v>
      </c>
      <c r="B22" s="28" t="s">
        <v>45</v>
      </c>
      <c r="C22" s="29">
        <v>1303</v>
      </c>
      <c r="D22" s="30">
        <v>928</v>
      </c>
      <c r="E22" s="20">
        <f t="shared" si="0"/>
        <v>0.71220260936300839</v>
      </c>
      <c r="F22" s="31">
        <v>0</v>
      </c>
      <c r="G22" s="111">
        <v>0</v>
      </c>
      <c r="H22" s="111">
        <v>0</v>
      </c>
      <c r="I22" s="111">
        <v>1</v>
      </c>
      <c r="J22" s="111">
        <v>1</v>
      </c>
      <c r="K22" s="111">
        <v>0</v>
      </c>
      <c r="L22" s="111">
        <v>0</v>
      </c>
      <c r="M22" s="111">
        <v>603</v>
      </c>
      <c r="N22" s="111">
        <v>0</v>
      </c>
      <c r="O22" s="111">
        <v>0</v>
      </c>
      <c r="P22" s="35">
        <v>2</v>
      </c>
      <c r="Q22" s="35">
        <v>2</v>
      </c>
      <c r="R22" s="35">
        <v>302</v>
      </c>
      <c r="S22" s="32">
        <v>0</v>
      </c>
      <c r="T22" s="31">
        <v>541</v>
      </c>
      <c r="U22" s="32">
        <v>365</v>
      </c>
      <c r="V22" s="31">
        <v>371</v>
      </c>
      <c r="W22" s="32">
        <v>529</v>
      </c>
      <c r="X22" s="31">
        <v>556</v>
      </c>
      <c r="Y22" s="32">
        <v>333</v>
      </c>
      <c r="Z22" s="111">
        <v>596</v>
      </c>
      <c r="AA22" s="35">
        <v>0</v>
      </c>
      <c r="AB22" s="35">
        <v>11</v>
      </c>
      <c r="AC22" s="35">
        <v>303</v>
      </c>
      <c r="AD22" s="35">
        <v>0</v>
      </c>
      <c r="AE22" s="33">
        <v>0</v>
      </c>
      <c r="AF22" s="115">
        <v>0</v>
      </c>
      <c r="AG22" s="111">
        <v>584</v>
      </c>
      <c r="AH22" s="32">
        <v>310</v>
      </c>
      <c r="AI22" s="31"/>
      <c r="AJ22" s="33"/>
      <c r="AK22" s="31"/>
      <c r="AL22" s="32"/>
      <c r="AM22" s="31"/>
      <c r="AN22" s="115"/>
      <c r="AO22" s="111"/>
      <c r="AP22" s="32"/>
      <c r="AQ22" s="31">
        <v>329</v>
      </c>
      <c r="AR22" s="115">
        <v>543</v>
      </c>
      <c r="AS22" s="111"/>
      <c r="AT22" s="32"/>
      <c r="AU22" s="31"/>
      <c r="AV22" s="111"/>
      <c r="AW22" s="111"/>
      <c r="AX22" s="31"/>
      <c r="AY22" s="32"/>
      <c r="AZ22" s="31"/>
      <c r="BA22" s="115"/>
      <c r="BB22" s="31">
        <v>339</v>
      </c>
      <c r="BC22" s="32">
        <v>537</v>
      </c>
      <c r="BD22" s="31">
        <v>319</v>
      </c>
      <c r="BE22" s="115">
        <v>556</v>
      </c>
      <c r="BF22" s="111">
        <v>541</v>
      </c>
      <c r="BG22" s="32">
        <v>329</v>
      </c>
      <c r="BH22" s="31">
        <v>370</v>
      </c>
      <c r="BI22" s="32">
        <v>506</v>
      </c>
      <c r="BJ22" s="111">
        <v>29</v>
      </c>
      <c r="BK22" s="33">
        <v>316</v>
      </c>
      <c r="BL22" s="115">
        <v>538</v>
      </c>
      <c r="BM22" s="111">
        <v>545</v>
      </c>
      <c r="BN22" s="35">
        <v>311</v>
      </c>
      <c r="BO22" s="32">
        <v>27</v>
      </c>
      <c r="BP22" s="31">
        <v>352</v>
      </c>
      <c r="BQ22" s="32">
        <v>526</v>
      </c>
      <c r="BR22" s="31">
        <v>488</v>
      </c>
      <c r="BS22" s="32">
        <v>390</v>
      </c>
      <c r="BT22" s="31">
        <v>322</v>
      </c>
      <c r="BU22" s="33">
        <v>33</v>
      </c>
      <c r="BV22" s="115">
        <v>518</v>
      </c>
      <c r="BW22" s="111">
        <v>568</v>
      </c>
      <c r="BX22" s="32">
        <v>318</v>
      </c>
      <c r="BY22" s="31">
        <v>544</v>
      </c>
      <c r="BZ22" s="32">
        <v>318</v>
      </c>
      <c r="CA22" s="111">
        <v>326</v>
      </c>
      <c r="CB22" s="32">
        <v>543</v>
      </c>
      <c r="CC22" s="33">
        <v>527</v>
      </c>
      <c r="CD22" s="34">
        <v>702</v>
      </c>
      <c r="CE22" s="111">
        <v>352</v>
      </c>
      <c r="CF22" s="42">
        <v>393</v>
      </c>
      <c r="CG22" s="31">
        <v>251</v>
      </c>
      <c r="CH22" s="35">
        <v>154</v>
      </c>
      <c r="CI22" s="35">
        <v>312</v>
      </c>
      <c r="CJ22" s="35">
        <v>376</v>
      </c>
      <c r="CK22" s="32">
        <v>316</v>
      </c>
    </row>
    <row r="23" spans="1:89" ht="13" x14ac:dyDescent="0.25">
      <c r="A23" s="27">
        <v>208</v>
      </c>
      <c r="B23" s="28" t="s">
        <v>46</v>
      </c>
      <c r="C23" s="29">
        <v>983</v>
      </c>
      <c r="D23" s="30">
        <v>626</v>
      </c>
      <c r="E23" s="20">
        <f t="shared" si="0"/>
        <v>0.63682604272634791</v>
      </c>
      <c r="F23" s="31">
        <v>0</v>
      </c>
      <c r="G23" s="111">
        <v>0</v>
      </c>
      <c r="H23" s="111">
        <v>0</v>
      </c>
      <c r="I23" s="111">
        <v>1</v>
      </c>
      <c r="J23" s="111">
        <v>0</v>
      </c>
      <c r="K23" s="111">
        <v>0</v>
      </c>
      <c r="L23" s="111">
        <v>0</v>
      </c>
      <c r="M23" s="111">
        <v>471</v>
      </c>
      <c r="N23" s="111">
        <v>0</v>
      </c>
      <c r="O23" s="111">
        <v>0</v>
      </c>
      <c r="P23" s="35">
        <v>6</v>
      </c>
      <c r="Q23" s="35">
        <v>2</v>
      </c>
      <c r="R23" s="35">
        <v>139</v>
      </c>
      <c r="S23" s="32">
        <v>0</v>
      </c>
      <c r="T23" s="31">
        <v>466</v>
      </c>
      <c r="U23" s="32">
        <v>143</v>
      </c>
      <c r="V23" s="31">
        <v>147</v>
      </c>
      <c r="W23" s="32">
        <v>461</v>
      </c>
      <c r="X23" s="31">
        <v>467</v>
      </c>
      <c r="Y23" s="32">
        <v>136</v>
      </c>
      <c r="Z23" s="111">
        <v>466</v>
      </c>
      <c r="AA23" s="35">
        <v>0</v>
      </c>
      <c r="AB23" s="35">
        <v>26</v>
      </c>
      <c r="AC23" s="35">
        <v>121</v>
      </c>
      <c r="AD23" s="35">
        <v>0</v>
      </c>
      <c r="AE23" s="33">
        <v>0</v>
      </c>
      <c r="AF23" s="115">
        <v>0</v>
      </c>
      <c r="AG23" s="111">
        <v>477</v>
      </c>
      <c r="AH23" s="32">
        <v>123</v>
      </c>
      <c r="AI23" s="31"/>
      <c r="AJ23" s="33"/>
      <c r="AK23" s="31"/>
      <c r="AL23" s="32"/>
      <c r="AM23" s="31"/>
      <c r="AN23" s="115"/>
      <c r="AO23" s="111"/>
      <c r="AP23" s="32"/>
      <c r="AQ23" s="31">
        <v>128</v>
      </c>
      <c r="AR23" s="115">
        <v>463</v>
      </c>
      <c r="AS23" s="111"/>
      <c r="AT23" s="32"/>
      <c r="AU23" s="31"/>
      <c r="AV23" s="111"/>
      <c r="AW23" s="111"/>
      <c r="AX23" s="31"/>
      <c r="AY23" s="32"/>
      <c r="AZ23" s="31"/>
      <c r="BA23" s="115"/>
      <c r="BB23" s="31">
        <v>135</v>
      </c>
      <c r="BC23" s="32">
        <v>454</v>
      </c>
      <c r="BD23" s="31">
        <v>130</v>
      </c>
      <c r="BE23" s="115">
        <v>456</v>
      </c>
      <c r="BF23" s="111">
        <v>449</v>
      </c>
      <c r="BG23" s="32">
        <v>134</v>
      </c>
      <c r="BH23" s="31">
        <v>137</v>
      </c>
      <c r="BI23" s="32">
        <v>445</v>
      </c>
      <c r="BJ23" s="111">
        <v>43</v>
      </c>
      <c r="BK23" s="33">
        <v>105</v>
      </c>
      <c r="BL23" s="115">
        <v>447</v>
      </c>
      <c r="BM23" s="111">
        <v>443</v>
      </c>
      <c r="BN23" s="35">
        <v>113</v>
      </c>
      <c r="BO23" s="32">
        <v>36</v>
      </c>
      <c r="BP23" s="31">
        <v>134</v>
      </c>
      <c r="BQ23" s="32">
        <v>449</v>
      </c>
      <c r="BR23" s="31">
        <v>434</v>
      </c>
      <c r="BS23" s="32">
        <v>155</v>
      </c>
      <c r="BT23" s="31">
        <v>117</v>
      </c>
      <c r="BU23" s="33">
        <v>37</v>
      </c>
      <c r="BV23" s="115">
        <v>433</v>
      </c>
      <c r="BW23" s="111">
        <v>469</v>
      </c>
      <c r="BX23" s="32">
        <v>130</v>
      </c>
      <c r="BY23" s="31">
        <v>455</v>
      </c>
      <c r="BZ23" s="32">
        <v>122</v>
      </c>
      <c r="CA23" s="111">
        <v>140</v>
      </c>
      <c r="CB23" s="32">
        <v>443</v>
      </c>
      <c r="CC23" s="33">
        <v>304</v>
      </c>
      <c r="CD23" s="34">
        <v>501</v>
      </c>
      <c r="CE23" s="111">
        <v>226</v>
      </c>
      <c r="CF23" s="42">
        <v>264</v>
      </c>
      <c r="CG23" s="31">
        <v>168</v>
      </c>
      <c r="CH23" s="35">
        <v>92</v>
      </c>
      <c r="CI23" s="35">
        <v>239</v>
      </c>
      <c r="CJ23" s="35">
        <v>275</v>
      </c>
      <c r="CK23" s="32">
        <v>122</v>
      </c>
    </row>
    <row r="24" spans="1:89" ht="13" x14ac:dyDescent="0.25">
      <c r="A24" s="27">
        <v>209</v>
      </c>
      <c r="B24" s="28" t="s">
        <v>47</v>
      </c>
      <c r="C24" s="29">
        <v>1222</v>
      </c>
      <c r="D24" s="30">
        <v>873</v>
      </c>
      <c r="E24" s="20">
        <f t="shared" si="0"/>
        <v>0.71440261865793786</v>
      </c>
      <c r="F24" s="31">
        <v>0</v>
      </c>
      <c r="G24" s="111">
        <v>0</v>
      </c>
      <c r="H24" s="111">
        <v>0</v>
      </c>
      <c r="I24" s="111">
        <v>0</v>
      </c>
      <c r="J24" s="111">
        <v>2</v>
      </c>
      <c r="K24" s="111">
        <v>0</v>
      </c>
      <c r="L24" s="111">
        <v>0</v>
      </c>
      <c r="M24" s="111">
        <v>630</v>
      </c>
      <c r="N24" s="111">
        <v>0</v>
      </c>
      <c r="O24" s="111">
        <v>0</v>
      </c>
      <c r="P24" s="35">
        <v>4</v>
      </c>
      <c r="Q24" s="35">
        <v>0</v>
      </c>
      <c r="R24" s="35">
        <v>230</v>
      </c>
      <c r="S24" s="32">
        <v>0</v>
      </c>
      <c r="T24" s="31">
        <v>614</v>
      </c>
      <c r="U24" s="32">
        <v>228</v>
      </c>
      <c r="V24" s="31">
        <v>230</v>
      </c>
      <c r="W24" s="32">
        <v>617</v>
      </c>
      <c r="X24" s="31">
        <v>626</v>
      </c>
      <c r="Y24" s="32">
        <v>209</v>
      </c>
      <c r="Z24" s="111">
        <v>633</v>
      </c>
      <c r="AA24" s="35">
        <v>0</v>
      </c>
      <c r="AB24" s="35">
        <v>20</v>
      </c>
      <c r="AC24" s="35">
        <v>203</v>
      </c>
      <c r="AD24" s="35">
        <v>0</v>
      </c>
      <c r="AE24" s="33">
        <v>0</v>
      </c>
      <c r="AF24" s="115">
        <v>0</v>
      </c>
      <c r="AG24" s="111">
        <v>634</v>
      </c>
      <c r="AH24" s="32">
        <v>205</v>
      </c>
      <c r="AI24" s="31"/>
      <c r="AJ24" s="33"/>
      <c r="AK24" s="31"/>
      <c r="AL24" s="32"/>
      <c r="AM24" s="31"/>
      <c r="AN24" s="115"/>
      <c r="AO24" s="111"/>
      <c r="AP24" s="32"/>
      <c r="AQ24" s="31">
        <v>213</v>
      </c>
      <c r="AR24" s="115">
        <v>614</v>
      </c>
      <c r="AS24" s="111"/>
      <c r="AT24" s="32"/>
      <c r="AU24" s="31"/>
      <c r="AV24" s="111"/>
      <c r="AW24" s="111"/>
      <c r="AX24" s="31"/>
      <c r="AY24" s="32"/>
      <c r="AZ24" s="31"/>
      <c r="BA24" s="115"/>
      <c r="BB24" s="31">
        <v>219</v>
      </c>
      <c r="BC24" s="32">
        <v>610</v>
      </c>
      <c r="BD24" s="31">
        <v>213</v>
      </c>
      <c r="BE24" s="115">
        <v>617</v>
      </c>
      <c r="BF24" s="111">
        <v>607</v>
      </c>
      <c r="BG24" s="32">
        <v>219</v>
      </c>
      <c r="BH24" s="31">
        <v>226</v>
      </c>
      <c r="BI24" s="32">
        <v>600</v>
      </c>
      <c r="BJ24" s="111">
        <v>28</v>
      </c>
      <c r="BK24" s="33">
        <v>196</v>
      </c>
      <c r="BL24" s="115">
        <v>613</v>
      </c>
      <c r="BM24" s="111">
        <v>612</v>
      </c>
      <c r="BN24" s="35">
        <v>201</v>
      </c>
      <c r="BO24" s="32">
        <v>20</v>
      </c>
      <c r="BP24" s="31">
        <v>214</v>
      </c>
      <c r="BQ24" s="32">
        <v>617</v>
      </c>
      <c r="BR24" s="31">
        <v>569</v>
      </c>
      <c r="BS24" s="32">
        <v>263</v>
      </c>
      <c r="BT24" s="31">
        <v>204</v>
      </c>
      <c r="BU24" s="33">
        <v>35</v>
      </c>
      <c r="BV24" s="115">
        <v>588</v>
      </c>
      <c r="BW24" s="111">
        <v>617</v>
      </c>
      <c r="BX24" s="32">
        <v>217</v>
      </c>
      <c r="BY24" s="31">
        <v>621</v>
      </c>
      <c r="BZ24" s="32">
        <v>194</v>
      </c>
      <c r="CA24" s="111">
        <v>203</v>
      </c>
      <c r="CB24" s="32">
        <v>623</v>
      </c>
      <c r="CC24" s="33">
        <v>423</v>
      </c>
      <c r="CD24" s="34">
        <v>704</v>
      </c>
      <c r="CE24" s="111">
        <v>307</v>
      </c>
      <c r="CF24" s="42">
        <v>400</v>
      </c>
      <c r="CG24" s="31">
        <v>176</v>
      </c>
      <c r="CH24" s="35">
        <v>113</v>
      </c>
      <c r="CI24" s="35">
        <v>370</v>
      </c>
      <c r="CJ24" s="35">
        <v>400</v>
      </c>
      <c r="CK24" s="32">
        <v>183</v>
      </c>
    </row>
    <row r="25" spans="1:89" ht="13" x14ac:dyDescent="0.25">
      <c r="A25" s="27">
        <v>210</v>
      </c>
      <c r="B25" s="28" t="s">
        <v>48</v>
      </c>
      <c r="C25" s="29">
        <v>1391</v>
      </c>
      <c r="D25" s="30">
        <v>994</v>
      </c>
      <c r="E25" s="20">
        <f t="shared" si="0"/>
        <v>0.71459381739755568</v>
      </c>
      <c r="F25" s="31">
        <v>0</v>
      </c>
      <c r="G25" s="111">
        <v>0</v>
      </c>
      <c r="H25" s="111">
        <v>0</v>
      </c>
      <c r="I25" s="111">
        <v>1</v>
      </c>
      <c r="J25" s="111">
        <v>0</v>
      </c>
      <c r="K25" s="111">
        <v>0</v>
      </c>
      <c r="L25" s="111">
        <v>0</v>
      </c>
      <c r="M25" s="111">
        <v>683</v>
      </c>
      <c r="N25" s="111">
        <v>0</v>
      </c>
      <c r="O25" s="111">
        <v>0</v>
      </c>
      <c r="P25" s="35">
        <v>4</v>
      </c>
      <c r="Q25" s="35">
        <v>0</v>
      </c>
      <c r="R25" s="35">
        <v>296</v>
      </c>
      <c r="S25" s="32">
        <v>0</v>
      </c>
      <c r="T25" s="31">
        <v>655</v>
      </c>
      <c r="U25" s="32">
        <v>301</v>
      </c>
      <c r="V25" s="31">
        <v>316</v>
      </c>
      <c r="W25" s="32">
        <v>643</v>
      </c>
      <c r="X25" s="31">
        <v>652</v>
      </c>
      <c r="Y25" s="32">
        <v>291</v>
      </c>
      <c r="Z25" s="111">
        <v>683</v>
      </c>
      <c r="AA25" s="35">
        <v>0</v>
      </c>
      <c r="AB25" s="35">
        <v>23</v>
      </c>
      <c r="AC25" s="35">
        <v>268</v>
      </c>
      <c r="AD25" s="35">
        <v>0</v>
      </c>
      <c r="AE25" s="33">
        <v>0</v>
      </c>
      <c r="AF25" s="115">
        <v>0</v>
      </c>
      <c r="AG25" s="111">
        <v>673</v>
      </c>
      <c r="AH25" s="32">
        <v>276</v>
      </c>
      <c r="AI25" s="31"/>
      <c r="AJ25" s="33"/>
      <c r="AK25" s="31"/>
      <c r="AL25" s="32"/>
      <c r="AM25" s="31"/>
      <c r="AN25" s="115"/>
      <c r="AO25" s="111"/>
      <c r="AP25" s="32"/>
      <c r="AQ25" s="31">
        <v>293</v>
      </c>
      <c r="AR25" s="115">
        <v>629</v>
      </c>
      <c r="AS25" s="111"/>
      <c r="AT25" s="32"/>
      <c r="AU25" s="31"/>
      <c r="AV25" s="111"/>
      <c r="AW25" s="111"/>
      <c r="AX25" s="31"/>
      <c r="AY25" s="32"/>
      <c r="AZ25" s="31"/>
      <c r="BA25" s="115"/>
      <c r="BB25" s="31">
        <v>294</v>
      </c>
      <c r="BC25" s="32">
        <v>620</v>
      </c>
      <c r="BD25" s="31">
        <v>279</v>
      </c>
      <c r="BE25" s="115">
        <v>631</v>
      </c>
      <c r="BF25" s="111">
        <v>622</v>
      </c>
      <c r="BG25" s="32">
        <v>288</v>
      </c>
      <c r="BH25" s="31">
        <v>310</v>
      </c>
      <c r="BI25" s="32">
        <v>601</v>
      </c>
      <c r="BJ25" s="111">
        <v>31</v>
      </c>
      <c r="BK25" s="33">
        <v>262</v>
      </c>
      <c r="BL25" s="115">
        <v>628</v>
      </c>
      <c r="BM25" s="111">
        <v>616</v>
      </c>
      <c r="BN25" s="35">
        <v>274</v>
      </c>
      <c r="BO25" s="32">
        <v>29</v>
      </c>
      <c r="BP25" s="31">
        <v>293</v>
      </c>
      <c r="BQ25" s="32">
        <v>620</v>
      </c>
      <c r="BR25" s="31">
        <v>583</v>
      </c>
      <c r="BS25" s="32">
        <v>337</v>
      </c>
      <c r="BT25" s="31">
        <v>265</v>
      </c>
      <c r="BU25" s="33">
        <v>35</v>
      </c>
      <c r="BV25" s="115">
        <v>611</v>
      </c>
      <c r="BW25" s="111">
        <v>630</v>
      </c>
      <c r="BX25" s="32">
        <v>302</v>
      </c>
      <c r="BY25" s="31">
        <v>619</v>
      </c>
      <c r="BZ25" s="32">
        <v>283</v>
      </c>
      <c r="CA25" s="111">
        <v>296</v>
      </c>
      <c r="CB25" s="32">
        <v>616</v>
      </c>
      <c r="CC25" s="33">
        <v>532</v>
      </c>
      <c r="CD25" s="34">
        <v>749</v>
      </c>
      <c r="CE25" s="111">
        <v>340</v>
      </c>
      <c r="CF25" s="42">
        <v>418</v>
      </c>
      <c r="CG25" s="31">
        <v>210</v>
      </c>
      <c r="CH25" s="35">
        <v>126</v>
      </c>
      <c r="CI25" s="35">
        <v>389</v>
      </c>
      <c r="CJ25" s="35">
        <v>443</v>
      </c>
      <c r="CK25" s="32">
        <v>231</v>
      </c>
    </row>
    <row r="26" spans="1:89" ht="13" x14ac:dyDescent="0.25">
      <c r="A26" s="27">
        <v>211</v>
      </c>
      <c r="B26" s="28" t="s">
        <v>49</v>
      </c>
      <c r="C26" s="29">
        <v>1456</v>
      </c>
      <c r="D26" s="30">
        <v>1043</v>
      </c>
      <c r="E26" s="20">
        <f t="shared" si="0"/>
        <v>0.71634615384615385</v>
      </c>
      <c r="F26" s="31">
        <v>0</v>
      </c>
      <c r="G26" s="111">
        <v>0</v>
      </c>
      <c r="H26" s="111">
        <v>0</v>
      </c>
      <c r="I26" s="111">
        <v>0</v>
      </c>
      <c r="J26" s="111">
        <v>1</v>
      </c>
      <c r="K26" s="111">
        <v>0</v>
      </c>
      <c r="L26" s="111">
        <v>0</v>
      </c>
      <c r="M26" s="111">
        <v>735</v>
      </c>
      <c r="N26" s="111">
        <v>0</v>
      </c>
      <c r="O26" s="111">
        <v>0</v>
      </c>
      <c r="P26" s="35">
        <v>7</v>
      </c>
      <c r="Q26" s="35">
        <v>9</v>
      </c>
      <c r="R26" s="35">
        <v>278</v>
      </c>
      <c r="S26" s="32">
        <v>1</v>
      </c>
      <c r="T26" s="31">
        <v>691</v>
      </c>
      <c r="U26" s="32">
        <v>297</v>
      </c>
      <c r="V26" s="31">
        <v>319</v>
      </c>
      <c r="W26" s="32">
        <v>676</v>
      </c>
      <c r="X26" s="31">
        <v>688</v>
      </c>
      <c r="Y26" s="32">
        <v>289</v>
      </c>
      <c r="Z26" s="111">
        <v>728</v>
      </c>
      <c r="AA26" s="35">
        <v>0</v>
      </c>
      <c r="AB26" s="35">
        <v>29</v>
      </c>
      <c r="AC26" s="35">
        <v>260</v>
      </c>
      <c r="AD26" s="35">
        <v>0</v>
      </c>
      <c r="AE26" s="33">
        <v>0</v>
      </c>
      <c r="AF26" s="115">
        <v>0</v>
      </c>
      <c r="AG26" s="111">
        <v>707</v>
      </c>
      <c r="AH26" s="32">
        <v>284</v>
      </c>
      <c r="AI26" s="31"/>
      <c r="AJ26" s="33"/>
      <c r="AK26" s="31"/>
      <c r="AL26" s="32"/>
      <c r="AM26" s="31"/>
      <c r="AN26" s="115"/>
      <c r="AO26" s="111"/>
      <c r="AP26" s="32"/>
      <c r="AQ26" s="31">
        <v>289</v>
      </c>
      <c r="AR26" s="115">
        <v>683</v>
      </c>
      <c r="AS26" s="111"/>
      <c r="AT26" s="32"/>
      <c r="AU26" s="31"/>
      <c r="AV26" s="111"/>
      <c r="AW26" s="111"/>
      <c r="AX26" s="31"/>
      <c r="AY26" s="32"/>
      <c r="AZ26" s="31"/>
      <c r="BA26" s="115"/>
      <c r="BB26" s="31">
        <v>286</v>
      </c>
      <c r="BC26" s="32">
        <v>682</v>
      </c>
      <c r="BD26" s="31">
        <v>277</v>
      </c>
      <c r="BE26" s="115">
        <v>692</v>
      </c>
      <c r="BF26" s="111">
        <v>685</v>
      </c>
      <c r="BG26" s="32">
        <v>276</v>
      </c>
      <c r="BH26" s="31">
        <v>316</v>
      </c>
      <c r="BI26" s="32">
        <v>653</v>
      </c>
      <c r="BJ26" s="111">
        <v>39</v>
      </c>
      <c r="BK26" s="33">
        <v>272</v>
      </c>
      <c r="BL26" s="115">
        <v>670</v>
      </c>
      <c r="BM26" s="111">
        <v>679</v>
      </c>
      <c r="BN26" s="35">
        <v>263</v>
      </c>
      <c r="BO26" s="32">
        <v>32</v>
      </c>
      <c r="BP26" s="31">
        <v>297</v>
      </c>
      <c r="BQ26" s="32">
        <v>664</v>
      </c>
      <c r="BR26" s="31">
        <v>627</v>
      </c>
      <c r="BS26" s="32">
        <v>351</v>
      </c>
      <c r="BT26" s="31">
        <v>275</v>
      </c>
      <c r="BU26" s="33">
        <v>32</v>
      </c>
      <c r="BV26" s="115">
        <v>656</v>
      </c>
      <c r="BW26" s="111">
        <v>676</v>
      </c>
      <c r="BX26" s="32">
        <v>298</v>
      </c>
      <c r="BY26" s="31">
        <v>674</v>
      </c>
      <c r="BZ26" s="32">
        <v>279</v>
      </c>
      <c r="CA26" s="111">
        <v>294</v>
      </c>
      <c r="CB26" s="32">
        <v>666</v>
      </c>
      <c r="CC26" s="33">
        <v>525</v>
      </c>
      <c r="CD26" s="34">
        <v>790</v>
      </c>
      <c r="CE26" s="111">
        <v>346</v>
      </c>
      <c r="CF26" s="42">
        <v>487</v>
      </c>
      <c r="CG26" s="31">
        <v>238</v>
      </c>
      <c r="CH26" s="35">
        <v>138</v>
      </c>
      <c r="CI26" s="35">
        <v>414</v>
      </c>
      <c r="CJ26" s="35">
        <v>490</v>
      </c>
      <c r="CK26" s="32">
        <v>263</v>
      </c>
    </row>
    <row r="27" spans="1:89" ht="13" x14ac:dyDescent="0.25">
      <c r="A27" s="27">
        <v>301</v>
      </c>
      <c r="B27" s="28" t="s">
        <v>50</v>
      </c>
      <c r="C27" s="29">
        <v>1398</v>
      </c>
      <c r="D27" s="30">
        <v>717</v>
      </c>
      <c r="E27" s="20">
        <f t="shared" si="0"/>
        <v>0.51287553648068673</v>
      </c>
      <c r="F27" s="31">
        <v>0</v>
      </c>
      <c r="G27" s="111">
        <v>0</v>
      </c>
      <c r="H27" s="111">
        <v>0</v>
      </c>
      <c r="I27" s="111">
        <v>0</v>
      </c>
      <c r="J27" s="111">
        <v>1</v>
      </c>
      <c r="K27" s="111">
        <v>0</v>
      </c>
      <c r="L27" s="111">
        <v>0</v>
      </c>
      <c r="M27" s="111">
        <v>652</v>
      </c>
      <c r="N27" s="111">
        <v>0</v>
      </c>
      <c r="O27" s="111">
        <v>0</v>
      </c>
      <c r="P27" s="35">
        <v>3</v>
      </c>
      <c r="Q27" s="35">
        <v>0</v>
      </c>
      <c r="R27" s="35">
        <v>53</v>
      </c>
      <c r="S27" s="32">
        <v>0</v>
      </c>
      <c r="T27" s="37">
        <v>635</v>
      </c>
      <c r="U27" s="38">
        <v>53</v>
      </c>
      <c r="V27" s="37">
        <v>66</v>
      </c>
      <c r="W27" s="32">
        <v>628</v>
      </c>
      <c r="X27" s="31">
        <v>616</v>
      </c>
      <c r="Y27" s="32">
        <v>50</v>
      </c>
      <c r="Z27" s="111">
        <v>642</v>
      </c>
      <c r="AA27" s="35">
        <v>0</v>
      </c>
      <c r="AB27" s="35">
        <v>18</v>
      </c>
      <c r="AC27" s="35">
        <v>41</v>
      </c>
      <c r="AD27" s="35">
        <v>0</v>
      </c>
      <c r="AE27" s="33">
        <v>0</v>
      </c>
      <c r="AF27" s="116">
        <v>0</v>
      </c>
      <c r="AG27" s="120">
        <v>634</v>
      </c>
      <c r="AH27" s="38">
        <v>58</v>
      </c>
      <c r="AI27" s="37"/>
      <c r="AJ27" s="36"/>
      <c r="AK27" s="37"/>
      <c r="AL27" s="38"/>
      <c r="AM27" s="37"/>
      <c r="AN27" s="116"/>
      <c r="AO27" s="120"/>
      <c r="AP27" s="38"/>
      <c r="AQ27" s="37">
        <v>48</v>
      </c>
      <c r="AR27" s="116">
        <v>640</v>
      </c>
      <c r="AS27" s="120"/>
      <c r="AT27" s="38"/>
      <c r="AU27" s="37"/>
      <c r="AV27" s="120"/>
      <c r="AW27" s="120"/>
      <c r="AX27" s="37"/>
      <c r="AY27" s="38"/>
      <c r="AZ27" s="37"/>
      <c r="BA27" s="116"/>
      <c r="BB27" s="31">
        <v>44</v>
      </c>
      <c r="BC27" s="32">
        <v>629</v>
      </c>
      <c r="BD27" s="31">
        <v>42</v>
      </c>
      <c r="BE27" s="116">
        <v>637</v>
      </c>
      <c r="BF27" s="120">
        <v>623</v>
      </c>
      <c r="BG27" s="38">
        <v>45</v>
      </c>
      <c r="BH27" s="37">
        <v>56</v>
      </c>
      <c r="BI27" s="38">
        <v>611</v>
      </c>
      <c r="BJ27" s="111">
        <v>22</v>
      </c>
      <c r="BK27" s="33">
        <v>35</v>
      </c>
      <c r="BL27" s="115">
        <v>631</v>
      </c>
      <c r="BM27" s="111">
        <v>617</v>
      </c>
      <c r="BN27" s="35">
        <v>37</v>
      </c>
      <c r="BO27" s="32">
        <v>21</v>
      </c>
      <c r="BP27" s="31">
        <v>45</v>
      </c>
      <c r="BQ27" s="32">
        <v>623</v>
      </c>
      <c r="BR27" s="31">
        <v>605</v>
      </c>
      <c r="BS27" s="32">
        <v>66</v>
      </c>
      <c r="BT27" s="31">
        <v>37</v>
      </c>
      <c r="BU27" s="33">
        <v>28</v>
      </c>
      <c r="BV27" s="115">
        <v>609</v>
      </c>
      <c r="BW27" s="111">
        <v>632</v>
      </c>
      <c r="BX27" s="32">
        <v>54</v>
      </c>
      <c r="BY27" s="31">
        <v>621</v>
      </c>
      <c r="BZ27" s="32">
        <v>40</v>
      </c>
      <c r="CA27" s="111">
        <v>42</v>
      </c>
      <c r="CB27" s="32">
        <v>635</v>
      </c>
      <c r="CC27" s="33">
        <v>199</v>
      </c>
      <c r="CD27" s="34">
        <v>627</v>
      </c>
      <c r="CE27" s="120">
        <v>218</v>
      </c>
      <c r="CF27" s="38">
        <v>358</v>
      </c>
      <c r="CG27" s="31">
        <v>150</v>
      </c>
      <c r="CH27" s="35">
        <v>43</v>
      </c>
      <c r="CI27" s="35">
        <v>368</v>
      </c>
      <c r="CJ27" s="35">
        <v>352</v>
      </c>
      <c r="CK27" s="32">
        <v>119</v>
      </c>
    </row>
    <row r="28" spans="1:89" ht="13" x14ac:dyDescent="0.25">
      <c r="A28" s="27">
        <v>302</v>
      </c>
      <c r="B28" s="28" t="s">
        <v>51</v>
      </c>
      <c r="C28" s="29">
        <v>862</v>
      </c>
      <c r="D28" s="30">
        <v>607</v>
      </c>
      <c r="E28" s="20">
        <f t="shared" si="0"/>
        <v>0.70417633410672853</v>
      </c>
      <c r="F28" s="31">
        <v>0</v>
      </c>
      <c r="G28" s="111">
        <v>0</v>
      </c>
      <c r="H28" s="111">
        <v>0</v>
      </c>
      <c r="I28" s="111">
        <v>0</v>
      </c>
      <c r="J28" s="111">
        <v>0</v>
      </c>
      <c r="K28" s="111">
        <v>0</v>
      </c>
      <c r="L28" s="111">
        <v>0</v>
      </c>
      <c r="M28" s="111">
        <v>484</v>
      </c>
      <c r="N28" s="111">
        <v>0</v>
      </c>
      <c r="O28" s="111">
        <v>0</v>
      </c>
      <c r="P28" s="35">
        <v>9</v>
      </c>
      <c r="Q28" s="35">
        <v>1</v>
      </c>
      <c r="R28" s="35">
        <v>104</v>
      </c>
      <c r="S28" s="32">
        <v>0</v>
      </c>
      <c r="T28" s="31">
        <v>469</v>
      </c>
      <c r="U28" s="32">
        <v>130</v>
      </c>
      <c r="V28" s="31">
        <v>128</v>
      </c>
      <c r="W28" s="32">
        <v>467</v>
      </c>
      <c r="X28" s="31">
        <v>468</v>
      </c>
      <c r="Y28" s="32">
        <v>122</v>
      </c>
      <c r="Z28" s="111">
        <v>480</v>
      </c>
      <c r="AA28" s="35">
        <v>0</v>
      </c>
      <c r="AB28" s="35">
        <v>14</v>
      </c>
      <c r="AC28" s="35">
        <v>105</v>
      </c>
      <c r="AD28" s="35">
        <v>0</v>
      </c>
      <c r="AE28" s="33">
        <v>0</v>
      </c>
      <c r="AF28" s="115">
        <v>1</v>
      </c>
      <c r="AG28" s="111">
        <v>480</v>
      </c>
      <c r="AH28" s="32">
        <v>109</v>
      </c>
      <c r="AI28" s="31"/>
      <c r="AJ28" s="33"/>
      <c r="AK28" s="31"/>
      <c r="AL28" s="32"/>
      <c r="AM28" s="31"/>
      <c r="AN28" s="115"/>
      <c r="AO28" s="111"/>
      <c r="AP28" s="32"/>
      <c r="AQ28" s="31">
        <v>114</v>
      </c>
      <c r="AR28" s="115">
        <v>467</v>
      </c>
      <c r="AS28" s="111"/>
      <c r="AT28" s="32"/>
      <c r="AU28" s="31"/>
      <c r="AV28" s="111"/>
      <c r="AW28" s="111"/>
      <c r="AX28" s="31"/>
      <c r="AY28" s="32"/>
      <c r="AZ28" s="31"/>
      <c r="BA28" s="115"/>
      <c r="BB28" s="31">
        <v>124</v>
      </c>
      <c r="BC28" s="32">
        <v>461</v>
      </c>
      <c r="BD28" s="31">
        <v>118</v>
      </c>
      <c r="BE28" s="115">
        <v>462</v>
      </c>
      <c r="BF28" s="111">
        <v>457</v>
      </c>
      <c r="BG28" s="32">
        <v>121</v>
      </c>
      <c r="BH28" s="31">
        <v>130</v>
      </c>
      <c r="BI28" s="32">
        <v>449</v>
      </c>
      <c r="BJ28" s="111">
        <v>23</v>
      </c>
      <c r="BK28" s="33">
        <v>124</v>
      </c>
      <c r="BL28" s="115">
        <v>440</v>
      </c>
      <c r="BM28" s="111">
        <v>462</v>
      </c>
      <c r="BN28" s="35">
        <v>108</v>
      </c>
      <c r="BO28" s="32">
        <v>15</v>
      </c>
      <c r="BP28" s="31">
        <v>126</v>
      </c>
      <c r="BQ28" s="32">
        <v>463</v>
      </c>
      <c r="BR28" s="31">
        <v>444</v>
      </c>
      <c r="BS28" s="32">
        <v>138</v>
      </c>
      <c r="BT28" s="31">
        <v>106</v>
      </c>
      <c r="BU28" s="33">
        <v>23</v>
      </c>
      <c r="BV28" s="115">
        <v>449</v>
      </c>
      <c r="BW28" s="111">
        <v>466</v>
      </c>
      <c r="BX28" s="32">
        <v>120</v>
      </c>
      <c r="BY28" s="31">
        <v>454</v>
      </c>
      <c r="BZ28" s="32">
        <v>119</v>
      </c>
      <c r="CA28" s="111">
        <v>114</v>
      </c>
      <c r="CB28" s="32">
        <v>466</v>
      </c>
      <c r="CC28" s="33">
        <v>265</v>
      </c>
      <c r="CD28" s="34">
        <v>491</v>
      </c>
      <c r="CE28" s="111">
        <v>166</v>
      </c>
      <c r="CF28" s="42">
        <v>337</v>
      </c>
      <c r="CG28" s="31">
        <v>144</v>
      </c>
      <c r="CH28" s="35">
        <v>56</v>
      </c>
      <c r="CI28" s="35">
        <v>294</v>
      </c>
      <c r="CJ28" s="35">
        <v>309</v>
      </c>
      <c r="CK28" s="32">
        <v>129</v>
      </c>
    </row>
    <row r="29" spans="1:89" ht="13" x14ac:dyDescent="0.25">
      <c r="A29" s="27">
        <v>303</v>
      </c>
      <c r="B29" s="28" t="s">
        <v>52</v>
      </c>
      <c r="C29" s="29">
        <v>1138</v>
      </c>
      <c r="D29" s="30">
        <v>822</v>
      </c>
      <c r="E29" s="20">
        <f t="shared" si="0"/>
        <v>0.72231985940246046</v>
      </c>
      <c r="F29" s="31">
        <v>0</v>
      </c>
      <c r="G29" s="111">
        <v>0</v>
      </c>
      <c r="H29" s="111">
        <v>0</v>
      </c>
      <c r="I29" s="111">
        <v>0</v>
      </c>
      <c r="J29" s="111">
        <v>1</v>
      </c>
      <c r="K29" s="111">
        <v>0</v>
      </c>
      <c r="L29" s="111">
        <v>0</v>
      </c>
      <c r="M29" s="111">
        <v>587</v>
      </c>
      <c r="N29" s="111">
        <v>0</v>
      </c>
      <c r="O29" s="111">
        <v>0</v>
      </c>
      <c r="P29" s="35">
        <v>6</v>
      </c>
      <c r="Q29" s="35">
        <v>2</v>
      </c>
      <c r="R29" s="35">
        <v>212</v>
      </c>
      <c r="S29" s="32">
        <v>0</v>
      </c>
      <c r="T29" s="31">
        <v>553</v>
      </c>
      <c r="U29" s="32">
        <v>242</v>
      </c>
      <c r="V29" s="31">
        <v>258</v>
      </c>
      <c r="W29" s="32">
        <v>539</v>
      </c>
      <c r="X29" s="31">
        <v>562</v>
      </c>
      <c r="Y29" s="32">
        <v>222</v>
      </c>
      <c r="Z29" s="111">
        <v>583</v>
      </c>
      <c r="AA29" s="35">
        <v>0</v>
      </c>
      <c r="AB29" s="35">
        <v>25</v>
      </c>
      <c r="AC29" s="35">
        <v>199</v>
      </c>
      <c r="AD29" s="35">
        <v>0</v>
      </c>
      <c r="AE29" s="33">
        <v>0</v>
      </c>
      <c r="AF29" s="115">
        <v>0</v>
      </c>
      <c r="AG29" s="111">
        <v>591</v>
      </c>
      <c r="AH29" s="32">
        <v>206</v>
      </c>
      <c r="AI29" s="31"/>
      <c r="AJ29" s="33"/>
      <c r="AK29" s="31"/>
      <c r="AL29" s="32"/>
      <c r="AM29" s="31"/>
      <c r="AN29" s="115"/>
      <c r="AO29" s="111"/>
      <c r="AP29" s="32"/>
      <c r="AQ29" s="31">
        <v>217</v>
      </c>
      <c r="AR29" s="115">
        <v>556</v>
      </c>
      <c r="AS29" s="111"/>
      <c r="AT29" s="32"/>
      <c r="AU29" s="31"/>
      <c r="AV29" s="111"/>
      <c r="AW29" s="111"/>
      <c r="AX29" s="31"/>
      <c r="AY29" s="32"/>
      <c r="AZ29" s="31"/>
      <c r="BA29" s="115"/>
      <c r="BB29" s="31">
        <v>236</v>
      </c>
      <c r="BC29" s="32">
        <v>530</v>
      </c>
      <c r="BD29" s="31">
        <v>232</v>
      </c>
      <c r="BE29" s="115">
        <v>538</v>
      </c>
      <c r="BF29" s="111">
        <v>543</v>
      </c>
      <c r="BG29" s="32">
        <v>222</v>
      </c>
      <c r="BH29" s="31">
        <v>248</v>
      </c>
      <c r="BI29" s="32">
        <v>517</v>
      </c>
      <c r="BJ29" s="111">
        <v>46</v>
      </c>
      <c r="BK29" s="33">
        <v>198</v>
      </c>
      <c r="BL29" s="115">
        <v>539</v>
      </c>
      <c r="BM29" s="111">
        <v>550</v>
      </c>
      <c r="BN29" s="35">
        <v>201</v>
      </c>
      <c r="BO29" s="32">
        <v>30</v>
      </c>
      <c r="BP29" s="31">
        <v>224</v>
      </c>
      <c r="BQ29" s="32">
        <v>548</v>
      </c>
      <c r="BR29" s="31">
        <v>514</v>
      </c>
      <c r="BS29" s="32">
        <v>265</v>
      </c>
      <c r="BT29" s="31">
        <v>211</v>
      </c>
      <c r="BU29" s="33">
        <v>32</v>
      </c>
      <c r="BV29" s="115">
        <v>527</v>
      </c>
      <c r="BW29" s="111">
        <v>563</v>
      </c>
      <c r="BX29" s="32">
        <v>224</v>
      </c>
      <c r="BY29" s="31">
        <v>550</v>
      </c>
      <c r="BZ29" s="32">
        <v>213</v>
      </c>
      <c r="CA29" s="111">
        <v>225</v>
      </c>
      <c r="CB29" s="32">
        <v>547</v>
      </c>
      <c r="CC29" s="33">
        <v>379</v>
      </c>
      <c r="CD29" s="34">
        <v>639</v>
      </c>
      <c r="CE29" s="111">
        <v>291</v>
      </c>
      <c r="CF29" s="42">
        <v>361</v>
      </c>
      <c r="CG29" s="31">
        <v>175</v>
      </c>
      <c r="CH29" s="35">
        <v>126</v>
      </c>
      <c r="CI29" s="35">
        <v>332</v>
      </c>
      <c r="CJ29" s="35">
        <v>364</v>
      </c>
      <c r="CK29" s="32">
        <v>222</v>
      </c>
    </row>
    <row r="30" spans="1:89" ht="13" x14ac:dyDescent="0.25">
      <c r="A30" s="27">
        <v>304</v>
      </c>
      <c r="B30" s="28" t="s">
        <v>53</v>
      </c>
      <c r="C30" s="29">
        <v>1517</v>
      </c>
      <c r="D30" s="30">
        <v>814</v>
      </c>
      <c r="E30" s="20">
        <f t="shared" si="0"/>
        <v>0.53658536585365857</v>
      </c>
      <c r="F30" s="31">
        <v>0</v>
      </c>
      <c r="G30" s="111">
        <v>0</v>
      </c>
      <c r="H30" s="111">
        <v>0</v>
      </c>
      <c r="I30" s="111">
        <v>0</v>
      </c>
      <c r="J30" s="111">
        <v>0</v>
      </c>
      <c r="K30" s="111">
        <v>0</v>
      </c>
      <c r="L30" s="111">
        <v>0</v>
      </c>
      <c r="M30" s="111">
        <v>705</v>
      </c>
      <c r="N30" s="111">
        <v>0</v>
      </c>
      <c r="O30" s="111">
        <v>0</v>
      </c>
      <c r="P30" s="35">
        <v>2</v>
      </c>
      <c r="Q30" s="35">
        <v>3</v>
      </c>
      <c r="R30" s="35">
        <v>88</v>
      </c>
      <c r="S30" s="32">
        <v>1</v>
      </c>
      <c r="T30" s="37">
        <v>683</v>
      </c>
      <c r="U30" s="38">
        <v>97</v>
      </c>
      <c r="V30" s="37">
        <v>105</v>
      </c>
      <c r="W30" s="32">
        <v>680</v>
      </c>
      <c r="X30" s="31">
        <v>689</v>
      </c>
      <c r="Y30" s="32">
        <v>89</v>
      </c>
      <c r="Z30" s="111">
        <v>699</v>
      </c>
      <c r="AA30" s="35">
        <v>0</v>
      </c>
      <c r="AB30" s="35">
        <v>30</v>
      </c>
      <c r="AC30" s="35">
        <v>69</v>
      </c>
      <c r="AD30" s="35">
        <v>0</v>
      </c>
      <c r="AE30" s="33">
        <v>0</v>
      </c>
      <c r="AF30" s="116">
        <v>0</v>
      </c>
      <c r="AG30" s="120">
        <v>682</v>
      </c>
      <c r="AH30" s="38">
        <v>97</v>
      </c>
      <c r="AI30" s="37"/>
      <c r="AJ30" s="36"/>
      <c r="AK30" s="37"/>
      <c r="AL30" s="38"/>
      <c r="AM30" s="37"/>
      <c r="AN30" s="116"/>
      <c r="AO30" s="120"/>
      <c r="AP30" s="38"/>
      <c r="AQ30" s="37">
        <v>90</v>
      </c>
      <c r="AR30" s="116">
        <v>688</v>
      </c>
      <c r="AS30" s="120"/>
      <c r="AT30" s="38"/>
      <c r="AU30" s="37"/>
      <c r="AV30" s="120"/>
      <c r="AW30" s="120"/>
      <c r="AX30" s="37"/>
      <c r="AY30" s="38"/>
      <c r="AZ30" s="37"/>
      <c r="BA30" s="116"/>
      <c r="BB30" s="31">
        <v>101</v>
      </c>
      <c r="BC30" s="32">
        <v>665</v>
      </c>
      <c r="BD30" s="31">
        <v>85</v>
      </c>
      <c r="BE30" s="116">
        <v>678</v>
      </c>
      <c r="BF30" s="120">
        <v>669</v>
      </c>
      <c r="BG30" s="38">
        <v>88</v>
      </c>
      <c r="BH30" s="37">
        <v>90</v>
      </c>
      <c r="BI30" s="38">
        <v>667</v>
      </c>
      <c r="BJ30" s="111">
        <v>41</v>
      </c>
      <c r="BK30" s="33">
        <v>75</v>
      </c>
      <c r="BL30" s="115">
        <v>670</v>
      </c>
      <c r="BM30" s="111">
        <v>658</v>
      </c>
      <c r="BN30" s="35">
        <v>76</v>
      </c>
      <c r="BO30" s="32">
        <v>30</v>
      </c>
      <c r="BP30" s="31">
        <v>92</v>
      </c>
      <c r="BQ30" s="32">
        <v>667</v>
      </c>
      <c r="BR30" s="31">
        <v>645</v>
      </c>
      <c r="BS30" s="32">
        <v>117</v>
      </c>
      <c r="BT30" s="31">
        <v>88</v>
      </c>
      <c r="BU30" s="33">
        <v>37</v>
      </c>
      <c r="BV30" s="115">
        <v>640</v>
      </c>
      <c r="BW30" s="111">
        <v>686</v>
      </c>
      <c r="BX30" s="32">
        <v>96</v>
      </c>
      <c r="BY30" s="31">
        <v>667</v>
      </c>
      <c r="BZ30" s="32">
        <v>86</v>
      </c>
      <c r="CA30" s="111">
        <v>97</v>
      </c>
      <c r="CB30" s="32">
        <v>666</v>
      </c>
      <c r="CC30" s="33">
        <v>312</v>
      </c>
      <c r="CD30" s="34">
        <v>708</v>
      </c>
      <c r="CE30" s="120">
        <v>240</v>
      </c>
      <c r="CF30" s="38">
        <v>419</v>
      </c>
      <c r="CG30" s="31">
        <v>136</v>
      </c>
      <c r="CH30" s="35">
        <v>53</v>
      </c>
      <c r="CI30" s="35">
        <v>391</v>
      </c>
      <c r="CJ30" s="35">
        <v>425</v>
      </c>
      <c r="CK30" s="32">
        <v>132</v>
      </c>
    </row>
    <row r="31" spans="1:89" ht="13" x14ac:dyDescent="0.25">
      <c r="A31" s="27">
        <v>305</v>
      </c>
      <c r="B31" s="28" t="s">
        <v>54</v>
      </c>
      <c r="C31" s="29">
        <v>1373</v>
      </c>
      <c r="D31" s="30">
        <v>797</v>
      </c>
      <c r="E31" s="20">
        <f t="shared" si="0"/>
        <v>0.58048069919883472</v>
      </c>
      <c r="F31" s="31">
        <v>0</v>
      </c>
      <c r="G31" s="111">
        <v>0</v>
      </c>
      <c r="H31" s="111">
        <v>0</v>
      </c>
      <c r="I31" s="111">
        <v>0</v>
      </c>
      <c r="J31" s="111">
        <v>5</v>
      </c>
      <c r="K31" s="111">
        <v>0</v>
      </c>
      <c r="L31" s="111">
        <v>0</v>
      </c>
      <c r="M31" s="111">
        <v>679</v>
      </c>
      <c r="N31" s="111">
        <v>0</v>
      </c>
      <c r="O31" s="111">
        <v>0</v>
      </c>
      <c r="P31" s="35">
        <v>5</v>
      </c>
      <c r="Q31" s="35">
        <v>2</v>
      </c>
      <c r="R31" s="35">
        <v>87</v>
      </c>
      <c r="S31" s="32">
        <v>2</v>
      </c>
      <c r="T31" s="37">
        <v>672</v>
      </c>
      <c r="U31" s="38">
        <v>91</v>
      </c>
      <c r="V31" s="37">
        <v>99</v>
      </c>
      <c r="W31" s="32">
        <v>669</v>
      </c>
      <c r="X31" s="31">
        <v>675</v>
      </c>
      <c r="Y31" s="32">
        <v>79</v>
      </c>
      <c r="Z31" s="111">
        <v>671</v>
      </c>
      <c r="AA31" s="35">
        <v>0</v>
      </c>
      <c r="AB31" s="35">
        <v>34</v>
      </c>
      <c r="AC31" s="35">
        <v>77</v>
      </c>
      <c r="AD31" s="35">
        <v>0</v>
      </c>
      <c r="AE31" s="33">
        <v>0</v>
      </c>
      <c r="AF31" s="116">
        <v>0</v>
      </c>
      <c r="AG31" s="120">
        <v>680</v>
      </c>
      <c r="AH31" s="38">
        <v>82</v>
      </c>
      <c r="AI31" s="37"/>
      <c r="AJ31" s="36"/>
      <c r="AK31" s="37"/>
      <c r="AL31" s="38"/>
      <c r="AM31" s="37"/>
      <c r="AN31" s="116"/>
      <c r="AO31" s="120"/>
      <c r="AP31" s="38"/>
      <c r="AQ31" s="37">
        <v>90</v>
      </c>
      <c r="AR31" s="116">
        <v>669</v>
      </c>
      <c r="AS31" s="120"/>
      <c r="AT31" s="38"/>
      <c r="AU31" s="37"/>
      <c r="AV31" s="120"/>
      <c r="AW31" s="120"/>
      <c r="AX31" s="37"/>
      <c r="AY31" s="38"/>
      <c r="AZ31" s="37"/>
      <c r="BA31" s="116"/>
      <c r="BB31" s="31">
        <v>83</v>
      </c>
      <c r="BC31" s="32">
        <v>667</v>
      </c>
      <c r="BD31" s="31">
        <v>86</v>
      </c>
      <c r="BE31" s="116">
        <v>669</v>
      </c>
      <c r="BF31" s="120">
        <v>672</v>
      </c>
      <c r="BG31" s="38">
        <v>78</v>
      </c>
      <c r="BH31" s="37">
        <v>93</v>
      </c>
      <c r="BI31" s="38">
        <v>645</v>
      </c>
      <c r="BJ31" s="111">
        <v>24</v>
      </c>
      <c r="BK31" s="33">
        <v>60</v>
      </c>
      <c r="BL31" s="115">
        <v>685</v>
      </c>
      <c r="BM31" s="111">
        <v>656</v>
      </c>
      <c r="BN31" s="35">
        <v>67</v>
      </c>
      <c r="BO31" s="32">
        <v>29</v>
      </c>
      <c r="BP31" s="31">
        <v>84</v>
      </c>
      <c r="BQ31" s="32">
        <v>664</v>
      </c>
      <c r="BR31" s="31">
        <v>641</v>
      </c>
      <c r="BS31" s="32">
        <v>113</v>
      </c>
      <c r="BT31" s="31">
        <v>72</v>
      </c>
      <c r="BU31" s="33">
        <v>37</v>
      </c>
      <c r="BV31" s="115">
        <v>637</v>
      </c>
      <c r="BW31" s="111">
        <v>679</v>
      </c>
      <c r="BX31" s="32">
        <v>84</v>
      </c>
      <c r="BY31" s="31">
        <v>662</v>
      </c>
      <c r="BZ31" s="32">
        <v>77</v>
      </c>
      <c r="CA31" s="111">
        <v>82</v>
      </c>
      <c r="CB31" s="32">
        <v>665</v>
      </c>
      <c r="CC31" s="33">
        <v>250</v>
      </c>
      <c r="CD31" s="34">
        <v>686</v>
      </c>
      <c r="CE31" s="120">
        <v>243</v>
      </c>
      <c r="CF31" s="38">
        <v>384</v>
      </c>
      <c r="CG31" s="31">
        <v>171</v>
      </c>
      <c r="CH31" s="35">
        <v>64</v>
      </c>
      <c r="CI31" s="35">
        <v>379</v>
      </c>
      <c r="CJ31" s="35">
        <v>407</v>
      </c>
      <c r="CK31" s="32">
        <v>137</v>
      </c>
    </row>
    <row r="32" spans="1:89" ht="13" x14ac:dyDescent="0.25">
      <c r="A32" s="27">
        <v>401</v>
      </c>
      <c r="B32" s="28" t="s">
        <v>55</v>
      </c>
      <c r="C32" s="29">
        <v>961</v>
      </c>
      <c r="D32" s="30">
        <v>766</v>
      </c>
      <c r="E32" s="20">
        <f t="shared" si="0"/>
        <v>0.7970863683662851</v>
      </c>
      <c r="F32" s="31">
        <v>0</v>
      </c>
      <c r="G32" s="111">
        <v>0</v>
      </c>
      <c r="H32" s="111">
        <v>0</v>
      </c>
      <c r="I32" s="111">
        <v>1</v>
      </c>
      <c r="J32" s="111">
        <v>1</v>
      </c>
      <c r="K32" s="111">
        <v>0</v>
      </c>
      <c r="L32" s="111">
        <v>0</v>
      </c>
      <c r="M32" s="111">
        <v>557</v>
      </c>
      <c r="N32" s="111">
        <v>0</v>
      </c>
      <c r="O32" s="111">
        <v>0</v>
      </c>
      <c r="P32" s="35">
        <v>5</v>
      </c>
      <c r="Q32" s="35">
        <v>1</v>
      </c>
      <c r="R32" s="35">
        <v>189</v>
      </c>
      <c r="S32" s="32">
        <v>0</v>
      </c>
      <c r="T32" s="31">
        <v>515</v>
      </c>
      <c r="U32" s="32">
        <v>219</v>
      </c>
      <c r="V32" s="31">
        <v>231</v>
      </c>
      <c r="W32" s="32">
        <v>509</v>
      </c>
      <c r="X32" s="31">
        <v>522</v>
      </c>
      <c r="Y32" s="32">
        <v>192</v>
      </c>
      <c r="Z32" s="111">
        <v>565</v>
      </c>
      <c r="AA32" s="35">
        <v>0</v>
      </c>
      <c r="AB32" s="35">
        <v>15</v>
      </c>
      <c r="AC32" s="35">
        <v>174</v>
      </c>
      <c r="AD32" s="35">
        <v>0</v>
      </c>
      <c r="AE32" s="33">
        <v>0</v>
      </c>
      <c r="AF32" s="115">
        <v>0</v>
      </c>
      <c r="AG32" s="111">
        <v>544</v>
      </c>
      <c r="AH32" s="32">
        <v>190</v>
      </c>
      <c r="AI32" s="31"/>
      <c r="AJ32" s="33"/>
      <c r="AK32" s="31"/>
      <c r="AL32" s="32"/>
      <c r="AM32" s="31"/>
      <c r="AN32" s="115"/>
      <c r="AO32" s="111"/>
      <c r="AP32" s="32"/>
      <c r="AQ32" s="31">
        <v>198</v>
      </c>
      <c r="AR32" s="115">
        <v>509</v>
      </c>
      <c r="AS32" s="111"/>
      <c r="AT32" s="32"/>
      <c r="AU32" s="31"/>
      <c r="AV32" s="111"/>
      <c r="AW32" s="111"/>
      <c r="AX32" s="31"/>
      <c r="AY32" s="32"/>
      <c r="AZ32" s="31"/>
      <c r="BA32" s="115"/>
      <c r="BB32" s="31">
        <v>202</v>
      </c>
      <c r="BC32" s="32">
        <v>503</v>
      </c>
      <c r="BD32" s="31">
        <v>201</v>
      </c>
      <c r="BE32" s="115">
        <v>504</v>
      </c>
      <c r="BF32" s="111">
        <v>501</v>
      </c>
      <c r="BG32" s="32">
        <v>205</v>
      </c>
      <c r="BH32" s="31">
        <v>211</v>
      </c>
      <c r="BI32" s="32">
        <v>495</v>
      </c>
      <c r="BJ32" s="111">
        <v>29</v>
      </c>
      <c r="BK32" s="33">
        <v>194</v>
      </c>
      <c r="BL32" s="115">
        <v>485</v>
      </c>
      <c r="BM32" s="111">
        <v>519</v>
      </c>
      <c r="BN32" s="35">
        <v>182</v>
      </c>
      <c r="BO32" s="32">
        <v>17</v>
      </c>
      <c r="BP32" s="31">
        <v>209</v>
      </c>
      <c r="BQ32" s="32">
        <v>501</v>
      </c>
      <c r="BR32" s="31">
        <v>488</v>
      </c>
      <c r="BS32" s="32">
        <v>238</v>
      </c>
      <c r="BT32" s="31">
        <v>188</v>
      </c>
      <c r="BU32" s="33">
        <v>21</v>
      </c>
      <c r="BV32" s="115">
        <v>496</v>
      </c>
      <c r="BW32" s="111">
        <v>522</v>
      </c>
      <c r="BX32" s="32">
        <v>200</v>
      </c>
      <c r="BY32" s="31">
        <v>491</v>
      </c>
      <c r="BZ32" s="32">
        <v>190</v>
      </c>
      <c r="CA32" s="111">
        <v>191</v>
      </c>
      <c r="CB32" s="32">
        <v>517</v>
      </c>
      <c r="CC32" s="33">
        <v>358</v>
      </c>
      <c r="CD32" s="34">
        <v>570</v>
      </c>
      <c r="CE32" s="111">
        <v>236</v>
      </c>
      <c r="CF32" s="42">
        <v>342</v>
      </c>
      <c r="CG32" s="31">
        <v>164</v>
      </c>
      <c r="CH32" s="35">
        <v>120</v>
      </c>
      <c r="CI32" s="35">
        <v>292</v>
      </c>
      <c r="CJ32" s="35">
        <v>343</v>
      </c>
      <c r="CK32" s="32">
        <v>209</v>
      </c>
    </row>
    <row r="33" spans="1:89" ht="13" x14ac:dyDescent="0.25">
      <c r="A33" s="27">
        <v>402</v>
      </c>
      <c r="B33" s="28" t="s">
        <v>56</v>
      </c>
      <c r="C33" s="29">
        <v>1059</v>
      </c>
      <c r="D33" s="30">
        <v>845</v>
      </c>
      <c r="E33" s="20">
        <f t="shared" si="0"/>
        <v>0.79792256846081211</v>
      </c>
      <c r="F33" s="31">
        <v>0</v>
      </c>
      <c r="G33" s="111">
        <v>0</v>
      </c>
      <c r="H33" s="111">
        <v>0</v>
      </c>
      <c r="I33" s="111">
        <v>1</v>
      </c>
      <c r="J33" s="111">
        <v>1</v>
      </c>
      <c r="K33" s="111">
        <v>0</v>
      </c>
      <c r="L33" s="111">
        <v>0</v>
      </c>
      <c r="M33" s="111">
        <v>618</v>
      </c>
      <c r="N33" s="111">
        <v>0</v>
      </c>
      <c r="O33" s="111">
        <v>0</v>
      </c>
      <c r="P33" s="35">
        <v>7</v>
      </c>
      <c r="Q33" s="35">
        <v>0</v>
      </c>
      <c r="R33" s="35">
        <v>205</v>
      </c>
      <c r="S33" s="32">
        <v>0</v>
      </c>
      <c r="T33" s="31">
        <v>574</v>
      </c>
      <c r="U33" s="32">
        <v>244</v>
      </c>
      <c r="V33" s="31">
        <v>241</v>
      </c>
      <c r="W33" s="32">
        <v>581</v>
      </c>
      <c r="X33" s="31">
        <v>589</v>
      </c>
      <c r="Y33" s="32">
        <v>221</v>
      </c>
      <c r="Z33" s="111">
        <v>608</v>
      </c>
      <c r="AA33" s="35">
        <v>0</v>
      </c>
      <c r="AB33" s="35">
        <v>19</v>
      </c>
      <c r="AC33" s="35">
        <v>200</v>
      </c>
      <c r="AD33" s="35">
        <v>0</v>
      </c>
      <c r="AE33" s="33">
        <v>0</v>
      </c>
      <c r="AF33" s="115">
        <v>0</v>
      </c>
      <c r="AG33" s="111">
        <v>604</v>
      </c>
      <c r="AH33" s="32">
        <v>218</v>
      </c>
      <c r="AI33" s="31"/>
      <c r="AJ33" s="33"/>
      <c r="AK33" s="31"/>
      <c r="AL33" s="32"/>
      <c r="AM33" s="31"/>
      <c r="AN33" s="115"/>
      <c r="AO33" s="111"/>
      <c r="AP33" s="32"/>
      <c r="AQ33" s="31">
        <v>227</v>
      </c>
      <c r="AR33" s="115">
        <v>575</v>
      </c>
      <c r="AS33" s="111"/>
      <c r="AT33" s="32"/>
      <c r="AU33" s="31"/>
      <c r="AV33" s="111"/>
      <c r="AW33" s="111"/>
      <c r="AX33" s="31"/>
      <c r="AY33" s="32"/>
      <c r="AZ33" s="31"/>
      <c r="BA33" s="115"/>
      <c r="BB33" s="31">
        <v>230</v>
      </c>
      <c r="BC33" s="32">
        <v>565</v>
      </c>
      <c r="BD33" s="31">
        <v>215</v>
      </c>
      <c r="BE33" s="115">
        <v>576</v>
      </c>
      <c r="BF33" s="111">
        <v>568</v>
      </c>
      <c r="BG33" s="32">
        <v>221</v>
      </c>
      <c r="BH33" s="31">
        <v>256</v>
      </c>
      <c r="BI33" s="32">
        <v>535</v>
      </c>
      <c r="BJ33" s="111">
        <v>50</v>
      </c>
      <c r="BK33" s="33">
        <v>204</v>
      </c>
      <c r="BL33" s="115">
        <v>546</v>
      </c>
      <c r="BM33" s="111">
        <v>569</v>
      </c>
      <c r="BN33" s="35">
        <v>197</v>
      </c>
      <c r="BO33" s="32">
        <v>35</v>
      </c>
      <c r="BP33" s="31">
        <v>242</v>
      </c>
      <c r="BQ33" s="32">
        <v>550</v>
      </c>
      <c r="BR33" s="31">
        <v>521</v>
      </c>
      <c r="BS33" s="32">
        <v>285</v>
      </c>
      <c r="BT33" s="31">
        <v>202</v>
      </c>
      <c r="BU33" s="33">
        <v>39</v>
      </c>
      <c r="BV33" s="115">
        <v>549</v>
      </c>
      <c r="BW33" s="111">
        <v>568</v>
      </c>
      <c r="BX33" s="32">
        <v>235</v>
      </c>
      <c r="BY33" s="31">
        <v>556</v>
      </c>
      <c r="BZ33" s="32">
        <v>221</v>
      </c>
      <c r="CA33" s="111">
        <v>216</v>
      </c>
      <c r="CB33" s="32">
        <v>571</v>
      </c>
      <c r="CC33" s="33">
        <v>441</v>
      </c>
      <c r="CD33" s="34">
        <v>638</v>
      </c>
      <c r="CE33" s="111">
        <v>281</v>
      </c>
      <c r="CF33" s="42">
        <v>383</v>
      </c>
      <c r="CG33" s="31">
        <v>182</v>
      </c>
      <c r="CH33" s="35">
        <v>138</v>
      </c>
      <c r="CI33" s="35">
        <v>351</v>
      </c>
      <c r="CJ33" s="35">
        <v>415</v>
      </c>
      <c r="CK33" s="32">
        <v>203</v>
      </c>
    </row>
    <row r="34" spans="1:89" ht="13" x14ac:dyDescent="0.25">
      <c r="A34" s="27">
        <v>403</v>
      </c>
      <c r="B34" s="28" t="s">
        <v>57</v>
      </c>
      <c r="C34" s="29">
        <v>928</v>
      </c>
      <c r="D34" s="30">
        <v>648</v>
      </c>
      <c r="E34" s="20">
        <f t="shared" si="0"/>
        <v>0.69827586206896552</v>
      </c>
      <c r="F34" s="31">
        <v>0</v>
      </c>
      <c r="G34" s="111">
        <v>0</v>
      </c>
      <c r="H34" s="111">
        <v>0</v>
      </c>
      <c r="I34" s="111">
        <v>1</v>
      </c>
      <c r="J34" s="111">
        <v>2</v>
      </c>
      <c r="K34" s="111">
        <v>0</v>
      </c>
      <c r="L34" s="111">
        <v>0</v>
      </c>
      <c r="M34" s="111">
        <v>474</v>
      </c>
      <c r="N34" s="111">
        <v>0</v>
      </c>
      <c r="O34" s="111">
        <v>0</v>
      </c>
      <c r="P34" s="35">
        <v>7</v>
      </c>
      <c r="Q34" s="35">
        <v>1</v>
      </c>
      <c r="R34" s="35">
        <v>147</v>
      </c>
      <c r="S34" s="32">
        <v>0</v>
      </c>
      <c r="T34" s="31">
        <v>451</v>
      </c>
      <c r="U34" s="32">
        <v>184</v>
      </c>
      <c r="V34" s="31">
        <v>183</v>
      </c>
      <c r="W34" s="32">
        <v>451</v>
      </c>
      <c r="X34" s="31">
        <v>453</v>
      </c>
      <c r="Y34" s="32">
        <v>173</v>
      </c>
      <c r="Z34" s="111">
        <v>479</v>
      </c>
      <c r="AA34" s="35">
        <v>0</v>
      </c>
      <c r="AB34" s="35">
        <v>14</v>
      </c>
      <c r="AC34" s="35">
        <v>143</v>
      </c>
      <c r="AD34" s="35">
        <v>0</v>
      </c>
      <c r="AE34" s="33">
        <v>0</v>
      </c>
      <c r="AF34" s="115">
        <v>0</v>
      </c>
      <c r="AG34" s="111">
        <v>460</v>
      </c>
      <c r="AH34" s="32">
        <v>167</v>
      </c>
      <c r="AI34" s="31"/>
      <c r="AJ34" s="33"/>
      <c r="AK34" s="31"/>
      <c r="AL34" s="32"/>
      <c r="AM34" s="31"/>
      <c r="AN34" s="115"/>
      <c r="AO34" s="111"/>
      <c r="AP34" s="32"/>
      <c r="AQ34" s="31">
        <v>168</v>
      </c>
      <c r="AR34" s="115">
        <v>443</v>
      </c>
      <c r="AS34" s="111"/>
      <c r="AT34" s="32"/>
      <c r="AU34" s="31"/>
      <c r="AV34" s="111"/>
      <c r="AW34" s="111"/>
      <c r="AX34" s="31"/>
      <c r="AY34" s="32"/>
      <c r="AZ34" s="31"/>
      <c r="BA34" s="115"/>
      <c r="BB34" s="31">
        <v>175</v>
      </c>
      <c r="BC34" s="32">
        <v>431</v>
      </c>
      <c r="BD34" s="31">
        <v>168</v>
      </c>
      <c r="BE34" s="115">
        <v>441</v>
      </c>
      <c r="BF34" s="111">
        <v>444</v>
      </c>
      <c r="BG34" s="32">
        <v>161</v>
      </c>
      <c r="BH34" s="31">
        <v>186</v>
      </c>
      <c r="BI34" s="32">
        <v>419</v>
      </c>
      <c r="BJ34" s="111">
        <v>20</v>
      </c>
      <c r="BK34" s="33">
        <v>170</v>
      </c>
      <c r="BL34" s="115">
        <v>421</v>
      </c>
      <c r="BM34" s="111">
        <v>442</v>
      </c>
      <c r="BN34" s="35">
        <v>155</v>
      </c>
      <c r="BO34" s="32">
        <v>15</v>
      </c>
      <c r="BP34" s="31">
        <v>185</v>
      </c>
      <c r="BQ34" s="32">
        <v>422</v>
      </c>
      <c r="BR34" s="31">
        <v>407</v>
      </c>
      <c r="BS34" s="32">
        <v>208</v>
      </c>
      <c r="BT34" s="31">
        <v>157</v>
      </c>
      <c r="BU34" s="33">
        <v>26</v>
      </c>
      <c r="BV34" s="115">
        <v>426</v>
      </c>
      <c r="BW34" s="111">
        <v>440</v>
      </c>
      <c r="BX34" s="32">
        <v>179</v>
      </c>
      <c r="BY34" s="31">
        <v>425</v>
      </c>
      <c r="BZ34" s="32">
        <v>168</v>
      </c>
      <c r="CA34" s="111">
        <v>169</v>
      </c>
      <c r="CB34" s="32">
        <v>436</v>
      </c>
      <c r="CC34" s="33">
        <v>318</v>
      </c>
      <c r="CD34" s="34">
        <v>509</v>
      </c>
      <c r="CE34" s="111">
        <v>206</v>
      </c>
      <c r="CF34" s="42">
        <v>320</v>
      </c>
      <c r="CG34" s="31">
        <v>112</v>
      </c>
      <c r="CH34" s="35">
        <v>115</v>
      </c>
      <c r="CI34" s="35">
        <v>308</v>
      </c>
      <c r="CJ34" s="35">
        <v>350</v>
      </c>
      <c r="CK34" s="32">
        <v>148</v>
      </c>
    </row>
    <row r="35" spans="1:89" ht="13" x14ac:dyDescent="0.25">
      <c r="A35" s="27">
        <v>404</v>
      </c>
      <c r="B35" s="28" t="s">
        <v>58</v>
      </c>
      <c r="C35" s="29">
        <v>1252</v>
      </c>
      <c r="D35" s="30">
        <v>961</v>
      </c>
      <c r="E35" s="20">
        <f t="shared" si="0"/>
        <v>0.76757188498402551</v>
      </c>
      <c r="F35" s="31">
        <v>0</v>
      </c>
      <c r="G35" s="111">
        <v>0</v>
      </c>
      <c r="H35" s="111">
        <v>0</v>
      </c>
      <c r="I35" s="111">
        <v>0</v>
      </c>
      <c r="J35" s="111">
        <v>0</v>
      </c>
      <c r="K35" s="111">
        <v>0</v>
      </c>
      <c r="L35" s="111">
        <v>0</v>
      </c>
      <c r="M35" s="111">
        <v>667</v>
      </c>
      <c r="N35" s="111">
        <v>0</v>
      </c>
      <c r="O35" s="111">
        <v>0</v>
      </c>
      <c r="P35" s="35">
        <v>6</v>
      </c>
      <c r="Q35" s="35">
        <v>1</v>
      </c>
      <c r="R35" s="35">
        <v>274</v>
      </c>
      <c r="S35" s="32">
        <v>0</v>
      </c>
      <c r="T35" s="31">
        <v>609</v>
      </c>
      <c r="U35" s="32">
        <v>321</v>
      </c>
      <c r="V35" s="31">
        <v>321</v>
      </c>
      <c r="W35" s="32">
        <v>610</v>
      </c>
      <c r="X35" s="31">
        <v>631</v>
      </c>
      <c r="Y35" s="32">
        <v>282</v>
      </c>
      <c r="Z35" s="111">
        <v>673</v>
      </c>
      <c r="AA35" s="35">
        <v>0</v>
      </c>
      <c r="AB35" s="35">
        <v>21</v>
      </c>
      <c r="AC35" s="35">
        <v>255</v>
      </c>
      <c r="AD35" s="35">
        <v>0</v>
      </c>
      <c r="AE35" s="33">
        <v>0</v>
      </c>
      <c r="AF35" s="115">
        <v>0</v>
      </c>
      <c r="AG35" s="111">
        <v>669</v>
      </c>
      <c r="AH35" s="32">
        <v>271</v>
      </c>
      <c r="AI35" s="31"/>
      <c r="AJ35" s="33"/>
      <c r="AK35" s="31"/>
      <c r="AL35" s="32"/>
      <c r="AM35" s="31"/>
      <c r="AN35" s="115"/>
      <c r="AO35" s="111"/>
      <c r="AP35" s="32"/>
      <c r="AQ35" s="31">
        <v>288</v>
      </c>
      <c r="AR35" s="115">
        <v>614</v>
      </c>
      <c r="AS35" s="111"/>
      <c r="AT35" s="32"/>
      <c r="AU35" s="31"/>
      <c r="AV35" s="111"/>
      <c r="AW35" s="111"/>
      <c r="AX35" s="31"/>
      <c r="AY35" s="32"/>
      <c r="AZ35" s="31"/>
      <c r="BA35" s="115"/>
      <c r="BB35" s="31">
        <v>292</v>
      </c>
      <c r="BC35" s="32">
        <v>600</v>
      </c>
      <c r="BD35" s="31">
        <v>293</v>
      </c>
      <c r="BE35" s="115">
        <v>597</v>
      </c>
      <c r="BF35" s="111">
        <v>592</v>
      </c>
      <c r="BG35" s="32">
        <v>300</v>
      </c>
      <c r="BH35" s="31">
        <v>316</v>
      </c>
      <c r="BI35" s="32">
        <v>569</v>
      </c>
      <c r="BJ35" s="111">
        <v>42</v>
      </c>
      <c r="BK35" s="33">
        <v>271</v>
      </c>
      <c r="BL35" s="115">
        <v>584</v>
      </c>
      <c r="BM35" s="111">
        <v>601</v>
      </c>
      <c r="BN35" s="35">
        <v>259</v>
      </c>
      <c r="BO35" s="32">
        <v>32</v>
      </c>
      <c r="BP35" s="31">
        <v>308</v>
      </c>
      <c r="BQ35" s="32">
        <v>585</v>
      </c>
      <c r="BR35" s="31">
        <v>556</v>
      </c>
      <c r="BS35" s="32">
        <v>348</v>
      </c>
      <c r="BT35" s="31">
        <v>264</v>
      </c>
      <c r="BU35" s="33">
        <v>33</v>
      </c>
      <c r="BV35" s="115">
        <v>589</v>
      </c>
      <c r="BW35" s="111">
        <v>612</v>
      </c>
      <c r="BX35" s="32">
        <v>299</v>
      </c>
      <c r="BY35" s="31">
        <v>599</v>
      </c>
      <c r="BZ35" s="32">
        <v>278</v>
      </c>
      <c r="CA35" s="111">
        <v>288</v>
      </c>
      <c r="CB35" s="32">
        <v>603</v>
      </c>
      <c r="CC35" s="33">
        <v>520</v>
      </c>
      <c r="CD35" s="34">
        <v>727</v>
      </c>
      <c r="CE35" s="111">
        <v>323</v>
      </c>
      <c r="CF35" s="42">
        <v>415</v>
      </c>
      <c r="CG35" s="31">
        <v>233</v>
      </c>
      <c r="CH35" s="35">
        <v>137</v>
      </c>
      <c r="CI35" s="35">
        <v>380</v>
      </c>
      <c r="CJ35" s="35">
        <v>427</v>
      </c>
      <c r="CK35" s="32">
        <v>248</v>
      </c>
    </row>
    <row r="36" spans="1:89" ht="13" x14ac:dyDescent="0.25">
      <c r="A36" s="27">
        <v>405</v>
      </c>
      <c r="B36" s="28" t="s">
        <v>59</v>
      </c>
      <c r="C36" s="29">
        <v>1223</v>
      </c>
      <c r="D36" s="30">
        <v>886</v>
      </c>
      <c r="E36" s="20">
        <f t="shared" si="0"/>
        <v>0.72444807849550286</v>
      </c>
      <c r="F36" s="31">
        <v>0</v>
      </c>
      <c r="G36" s="111">
        <v>0</v>
      </c>
      <c r="H36" s="111">
        <v>0</v>
      </c>
      <c r="I36" s="111">
        <v>0</v>
      </c>
      <c r="J36" s="111">
        <v>2</v>
      </c>
      <c r="K36" s="111">
        <v>0</v>
      </c>
      <c r="L36" s="111">
        <v>0</v>
      </c>
      <c r="M36" s="111">
        <v>609</v>
      </c>
      <c r="N36" s="111">
        <v>0</v>
      </c>
      <c r="O36" s="111">
        <v>0</v>
      </c>
      <c r="P36" s="35">
        <v>6</v>
      </c>
      <c r="Q36" s="35">
        <v>3</v>
      </c>
      <c r="R36" s="35">
        <v>252</v>
      </c>
      <c r="S36" s="32">
        <v>0</v>
      </c>
      <c r="T36" s="31">
        <v>567</v>
      </c>
      <c r="U36" s="32">
        <v>288</v>
      </c>
      <c r="V36" s="31">
        <v>293</v>
      </c>
      <c r="W36" s="32">
        <v>564</v>
      </c>
      <c r="X36" s="31">
        <v>573</v>
      </c>
      <c r="Y36" s="32">
        <v>271</v>
      </c>
      <c r="Z36" s="111">
        <v>604</v>
      </c>
      <c r="AA36" s="35">
        <v>0</v>
      </c>
      <c r="AB36" s="35">
        <v>27</v>
      </c>
      <c r="AC36" s="35">
        <v>241</v>
      </c>
      <c r="AD36" s="35">
        <v>0</v>
      </c>
      <c r="AE36" s="33">
        <v>0</v>
      </c>
      <c r="AF36" s="115">
        <v>0</v>
      </c>
      <c r="AG36" s="111">
        <v>608</v>
      </c>
      <c r="AH36" s="32">
        <v>255</v>
      </c>
      <c r="AI36" s="31"/>
      <c r="AJ36" s="33"/>
      <c r="AK36" s="31"/>
      <c r="AL36" s="32"/>
      <c r="AM36" s="31"/>
      <c r="AN36" s="115"/>
      <c r="AO36" s="111"/>
      <c r="AP36" s="32"/>
      <c r="AQ36" s="31">
        <v>263</v>
      </c>
      <c r="AR36" s="115">
        <v>561</v>
      </c>
      <c r="AS36" s="111"/>
      <c r="AT36" s="32"/>
      <c r="AU36" s="31"/>
      <c r="AV36" s="111"/>
      <c r="AW36" s="111"/>
      <c r="AX36" s="31"/>
      <c r="AY36" s="32"/>
      <c r="AZ36" s="31"/>
      <c r="BA36" s="115"/>
      <c r="BB36" s="31">
        <v>272</v>
      </c>
      <c r="BC36" s="32">
        <v>539</v>
      </c>
      <c r="BD36" s="31">
        <v>265</v>
      </c>
      <c r="BE36" s="115">
        <v>548</v>
      </c>
      <c r="BF36" s="111">
        <v>529</v>
      </c>
      <c r="BG36" s="32">
        <v>273</v>
      </c>
      <c r="BH36" s="31">
        <v>283</v>
      </c>
      <c r="BI36" s="32">
        <v>530</v>
      </c>
      <c r="BJ36" s="111">
        <v>42</v>
      </c>
      <c r="BK36" s="33">
        <v>240</v>
      </c>
      <c r="BL36" s="115">
        <v>537</v>
      </c>
      <c r="BM36" s="111">
        <v>547</v>
      </c>
      <c r="BN36" s="35">
        <v>246</v>
      </c>
      <c r="BO36" s="32">
        <v>32</v>
      </c>
      <c r="BP36" s="31">
        <v>265</v>
      </c>
      <c r="BQ36" s="32">
        <v>549</v>
      </c>
      <c r="BR36" s="31">
        <v>514</v>
      </c>
      <c r="BS36" s="32">
        <v>315</v>
      </c>
      <c r="BT36" s="31">
        <v>242</v>
      </c>
      <c r="BU36" s="33">
        <v>37</v>
      </c>
      <c r="BV36" s="115">
        <v>525</v>
      </c>
      <c r="BW36" s="111">
        <v>557</v>
      </c>
      <c r="BX36" s="32">
        <v>277</v>
      </c>
      <c r="BY36" s="31">
        <v>551</v>
      </c>
      <c r="BZ36" s="32">
        <v>249</v>
      </c>
      <c r="CA36" s="111">
        <v>266</v>
      </c>
      <c r="CB36" s="32">
        <v>542</v>
      </c>
      <c r="CC36" s="33">
        <v>476</v>
      </c>
      <c r="CD36" s="34">
        <v>631</v>
      </c>
      <c r="CE36" s="111">
        <v>309</v>
      </c>
      <c r="CF36" s="42">
        <v>359</v>
      </c>
      <c r="CG36" s="31">
        <v>220</v>
      </c>
      <c r="CH36" s="35">
        <v>147</v>
      </c>
      <c r="CI36" s="35">
        <v>312</v>
      </c>
      <c r="CJ36" s="35">
        <v>373</v>
      </c>
      <c r="CK36" s="32">
        <v>234</v>
      </c>
    </row>
    <row r="37" spans="1:89" ht="13" x14ac:dyDescent="0.25">
      <c r="A37" s="27">
        <v>406</v>
      </c>
      <c r="B37" s="28" t="s">
        <v>60</v>
      </c>
      <c r="C37" s="29">
        <v>1104</v>
      </c>
      <c r="D37" s="30">
        <v>818</v>
      </c>
      <c r="E37" s="20">
        <f t="shared" si="0"/>
        <v>0.74094202898550721</v>
      </c>
      <c r="F37" s="31">
        <v>0</v>
      </c>
      <c r="G37" s="111">
        <v>0</v>
      </c>
      <c r="H37" s="111">
        <v>0</v>
      </c>
      <c r="I37" s="111">
        <v>1</v>
      </c>
      <c r="J37" s="111">
        <v>0</v>
      </c>
      <c r="K37" s="111">
        <v>0</v>
      </c>
      <c r="L37" s="111">
        <v>0</v>
      </c>
      <c r="M37" s="111">
        <v>532</v>
      </c>
      <c r="N37" s="111">
        <v>0</v>
      </c>
      <c r="O37" s="111">
        <v>0</v>
      </c>
      <c r="P37" s="35">
        <v>5</v>
      </c>
      <c r="Q37" s="35">
        <v>3</v>
      </c>
      <c r="R37" s="35">
        <v>254</v>
      </c>
      <c r="S37" s="32">
        <v>0</v>
      </c>
      <c r="T37" s="31">
        <v>479</v>
      </c>
      <c r="U37" s="32">
        <v>296</v>
      </c>
      <c r="V37" s="31">
        <v>310</v>
      </c>
      <c r="W37" s="32">
        <v>472</v>
      </c>
      <c r="X37" s="31">
        <v>490</v>
      </c>
      <c r="Y37" s="32">
        <v>275</v>
      </c>
      <c r="Z37" s="111">
        <v>526</v>
      </c>
      <c r="AA37" s="35">
        <v>0</v>
      </c>
      <c r="AB37" s="35">
        <v>19</v>
      </c>
      <c r="AC37" s="35">
        <v>243</v>
      </c>
      <c r="AD37" s="35">
        <v>0</v>
      </c>
      <c r="AE37" s="33">
        <v>0</v>
      </c>
      <c r="AF37" s="115">
        <v>0</v>
      </c>
      <c r="AG37" s="111">
        <v>519</v>
      </c>
      <c r="AH37" s="32">
        <v>255</v>
      </c>
      <c r="AI37" s="31"/>
      <c r="AJ37" s="33"/>
      <c r="AK37" s="31"/>
      <c r="AL37" s="32"/>
      <c r="AM37" s="31"/>
      <c r="AN37" s="115"/>
      <c r="AO37" s="111"/>
      <c r="AP37" s="32"/>
      <c r="AQ37" s="31">
        <v>274</v>
      </c>
      <c r="AR37" s="115">
        <v>481</v>
      </c>
      <c r="AS37" s="111"/>
      <c r="AT37" s="32"/>
      <c r="AU37" s="31"/>
      <c r="AV37" s="111"/>
      <c r="AW37" s="111"/>
      <c r="AX37" s="31"/>
      <c r="AY37" s="32"/>
      <c r="AZ37" s="31"/>
      <c r="BA37" s="115"/>
      <c r="BB37" s="31">
        <v>298</v>
      </c>
      <c r="BC37" s="32">
        <v>466</v>
      </c>
      <c r="BD37" s="31">
        <v>282</v>
      </c>
      <c r="BE37" s="115">
        <v>479</v>
      </c>
      <c r="BF37" s="111">
        <v>477</v>
      </c>
      <c r="BG37" s="32">
        <v>283</v>
      </c>
      <c r="BH37" s="31">
        <v>299</v>
      </c>
      <c r="BI37" s="32">
        <v>461</v>
      </c>
      <c r="BJ37" s="111">
        <v>32</v>
      </c>
      <c r="BK37" s="33">
        <v>271</v>
      </c>
      <c r="BL37" s="115">
        <v>455</v>
      </c>
      <c r="BM37" s="111">
        <v>492</v>
      </c>
      <c r="BN37" s="35">
        <v>250</v>
      </c>
      <c r="BO37" s="32">
        <v>20</v>
      </c>
      <c r="BP37" s="31">
        <v>282</v>
      </c>
      <c r="BQ37" s="32">
        <v>469</v>
      </c>
      <c r="BR37" s="31">
        <v>442</v>
      </c>
      <c r="BS37" s="32">
        <v>319</v>
      </c>
      <c r="BT37" s="31">
        <v>266</v>
      </c>
      <c r="BU37" s="33">
        <v>25</v>
      </c>
      <c r="BV37" s="115">
        <v>459</v>
      </c>
      <c r="BW37" s="111">
        <v>472</v>
      </c>
      <c r="BX37" s="32">
        <v>289</v>
      </c>
      <c r="BY37" s="31">
        <v>476</v>
      </c>
      <c r="BZ37" s="32">
        <v>268</v>
      </c>
      <c r="CA37" s="111">
        <v>278</v>
      </c>
      <c r="CB37" s="32">
        <v>473</v>
      </c>
      <c r="CC37" s="33">
        <v>458</v>
      </c>
      <c r="CD37" s="34">
        <v>584</v>
      </c>
      <c r="CE37" s="111">
        <v>277</v>
      </c>
      <c r="CF37" s="42">
        <v>372</v>
      </c>
      <c r="CG37" s="31">
        <v>182</v>
      </c>
      <c r="CH37" s="35">
        <v>141</v>
      </c>
      <c r="CI37" s="35">
        <v>316</v>
      </c>
      <c r="CJ37" s="35">
        <v>337</v>
      </c>
      <c r="CK37" s="32">
        <v>247</v>
      </c>
    </row>
    <row r="38" spans="1:89" ht="13" x14ac:dyDescent="0.25">
      <c r="A38" s="27">
        <v>407</v>
      </c>
      <c r="B38" s="28" t="s">
        <v>61</v>
      </c>
      <c r="C38" s="29">
        <v>1288</v>
      </c>
      <c r="D38" s="30">
        <v>1023</v>
      </c>
      <c r="E38" s="20">
        <f t="shared" si="0"/>
        <v>0.79425465838509313</v>
      </c>
      <c r="F38" s="31">
        <v>0</v>
      </c>
      <c r="G38" s="111">
        <v>0</v>
      </c>
      <c r="H38" s="111">
        <v>0</v>
      </c>
      <c r="I38" s="111">
        <v>0</v>
      </c>
      <c r="J38" s="111">
        <v>4</v>
      </c>
      <c r="K38" s="111">
        <v>0</v>
      </c>
      <c r="L38" s="111">
        <v>0</v>
      </c>
      <c r="M38" s="111">
        <v>642</v>
      </c>
      <c r="N38" s="111">
        <v>0</v>
      </c>
      <c r="O38" s="111">
        <v>0</v>
      </c>
      <c r="P38" s="35">
        <v>10</v>
      </c>
      <c r="Q38" s="35">
        <v>2</v>
      </c>
      <c r="R38" s="35">
        <v>341</v>
      </c>
      <c r="S38" s="32">
        <v>0</v>
      </c>
      <c r="T38" s="31">
        <v>588</v>
      </c>
      <c r="U38" s="32">
        <v>404</v>
      </c>
      <c r="V38" s="31">
        <v>416</v>
      </c>
      <c r="W38" s="32">
        <v>574</v>
      </c>
      <c r="X38" s="31">
        <v>592</v>
      </c>
      <c r="Y38" s="32">
        <v>378</v>
      </c>
      <c r="Z38" s="111">
        <v>648</v>
      </c>
      <c r="AA38" s="35">
        <v>0</v>
      </c>
      <c r="AB38" s="35">
        <v>15</v>
      </c>
      <c r="AC38" s="35">
        <v>352</v>
      </c>
      <c r="AD38" s="35">
        <v>0</v>
      </c>
      <c r="AE38" s="33">
        <v>0</v>
      </c>
      <c r="AF38" s="115">
        <v>0</v>
      </c>
      <c r="AG38" s="111">
        <v>636</v>
      </c>
      <c r="AH38" s="32">
        <v>367</v>
      </c>
      <c r="AI38" s="31"/>
      <c r="AJ38" s="33"/>
      <c r="AK38" s="31"/>
      <c r="AL38" s="32"/>
      <c r="AM38" s="31"/>
      <c r="AN38" s="115"/>
      <c r="AO38" s="111"/>
      <c r="AP38" s="32"/>
      <c r="AQ38" s="31">
        <v>390</v>
      </c>
      <c r="AR38" s="115">
        <v>574</v>
      </c>
      <c r="AS38" s="111"/>
      <c r="AT38" s="32"/>
      <c r="AU38" s="31"/>
      <c r="AV38" s="111"/>
      <c r="AW38" s="111"/>
      <c r="AX38" s="31"/>
      <c r="AY38" s="32"/>
      <c r="AZ38" s="31"/>
      <c r="BA38" s="115"/>
      <c r="BB38" s="31">
        <v>399</v>
      </c>
      <c r="BC38" s="32">
        <v>563</v>
      </c>
      <c r="BD38" s="31">
        <v>378</v>
      </c>
      <c r="BE38" s="115">
        <v>579</v>
      </c>
      <c r="BF38" s="111">
        <v>562</v>
      </c>
      <c r="BG38" s="32">
        <v>386</v>
      </c>
      <c r="BH38" s="31">
        <v>426</v>
      </c>
      <c r="BI38" s="32">
        <v>529</v>
      </c>
      <c r="BJ38" s="111">
        <v>29</v>
      </c>
      <c r="BK38" s="33">
        <v>376</v>
      </c>
      <c r="BL38" s="115">
        <v>559</v>
      </c>
      <c r="BM38" s="111">
        <v>594</v>
      </c>
      <c r="BN38" s="35">
        <v>356</v>
      </c>
      <c r="BO38" s="32">
        <v>22</v>
      </c>
      <c r="BP38" s="31">
        <v>401</v>
      </c>
      <c r="BQ38" s="32">
        <v>560</v>
      </c>
      <c r="BR38" s="31">
        <v>509</v>
      </c>
      <c r="BS38" s="32">
        <v>463</v>
      </c>
      <c r="BT38" s="31">
        <v>355</v>
      </c>
      <c r="BU38" s="33">
        <v>26</v>
      </c>
      <c r="BV38" s="115">
        <v>569</v>
      </c>
      <c r="BW38" s="111">
        <v>585</v>
      </c>
      <c r="BX38" s="32">
        <v>393</v>
      </c>
      <c r="BY38" s="31">
        <v>574</v>
      </c>
      <c r="BZ38" s="32">
        <v>357</v>
      </c>
      <c r="CA38" s="111">
        <v>367</v>
      </c>
      <c r="CB38" s="32">
        <v>585</v>
      </c>
      <c r="CC38" s="33">
        <v>616</v>
      </c>
      <c r="CD38" s="34">
        <v>745</v>
      </c>
      <c r="CE38" s="111">
        <v>390</v>
      </c>
      <c r="CF38" s="42">
        <v>422</v>
      </c>
      <c r="CG38" s="31">
        <v>267</v>
      </c>
      <c r="CH38" s="35">
        <v>225</v>
      </c>
      <c r="CI38" s="35">
        <v>360</v>
      </c>
      <c r="CJ38" s="35">
        <v>416</v>
      </c>
      <c r="CK38" s="32">
        <v>351</v>
      </c>
    </row>
    <row r="39" spans="1:89" ht="13" x14ac:dyDescent="0.25">
      <c r="A39" s="27">
        <v>408</v>
      </c>
      <c r="B39" s="28" t="s">
        <v>62</v>
      </c>
      <c r="C39" s="29">
        <v>1501</v>
      </c>
      <c r="D39" s="30">
        <v>1113</v>
      </c>
      <c r="E39" s="20">
        <f t="shared" si="0"/>
        <v>0.74150566289140574</v>
      </c>
      <c r="F39" s="31">
        <v>0</v>
      </c>
      <c r="G39" s="111">
        <v>0</v>
      </c>
      <c r="H39" s="111">
        <v>0</v>
      </c>
      <c r="I39" s="111">
        <v>2</v>
      </c>
      <c r="J39" s="111">
        <v>1</v>
      </c>
      <c r="K39" s="111">
        <v>0</v>
      </c>
      <c r="L39" s="111">
        <v>0</v>
      </c>
      <c r="M39" s="111">
        <v>758</v>
      </c>
      <c r="N39" s="111">
        <v>0</v>
      </c>
      <c r="O39" s="111">
        <v>0</v>
      </c>
      <c r="P39" s="35">
        <v>14</v>
      </c>
      <c r="Q39" s="35">
        <v>4</v>
      </c>
      <c r="R39" s="35">
        <v>314</v>
      </c>
      <c r="S39" s="32">
        <v>0</v>
      </c>
      <c r="T39" s="31">
        <v>705</v>
      </c>
      <c r="U39" s="32">
        <v>362</v>
      </c>
      <c r="V39" s="31">
        <v>379</v>
      </c>
      <c r="W39" s="32">
        <v>688</v>
      </c>
      <c r="X39" s="31">
        <v>710</v>
      </c>
      <c r="Y39" s="32">
        <v>343</v>
      </c>
      <c r="Z39" s="111">
        <v>743</v>
      </c>
      <c r="AA39" s="35">
        <v>0</v>
      </c>
      <c r="AB39" s="35">
        <v>31</v>
      </c>
      <c r="AC39" s="35">
        <v>315</v>
      </c>
      <c r="AD39" s="35">
        <v>0</v>
      </c>
      <c r="AE39" s="33">
        <v>0</v>
      </c>
      <c r="AF39" s="115">
        <v>0</v>
      </c>
      <c r="AG39" s="111">
        <v>744</v>
      </c>
      <c r="AH39" s="32">
        <v>328</v>
      </c>
      <c r="AI39" s="31"/>
      <c r="AJ39" s="33"/>
      <c r="AK39" s="31"/>
      <c r="AL39" s="32"/>
      <c r="AM39" s="31"/>
      <c r="AN39" s="115"/>
      <c r="AO39" s="111"/>
      <c r="AP39" s="32"/>
      <c r="AQ39" s="31">
        <v>339</v>
      </c>
      <c r="AR39" s="115">
        <v>698</v>
      </c>
      <c r="AS39" s="111"/>
      <c r="AT39" s="32"/>
      <c r="AU39" s="31"/>
      <c r="AV39" s="111"/>
      <c r="AW39" s="111"/>
      <c r="AX39" s="31"/>
      <c r="AY39" s="32"/>
      <c r="AZ39" s="31"/>
      <c r="BA39" s="115"/>
      <c r="BB39" s="31">
        <v>357</v>
      </c>
      <c r="BC39" s="32">
        <v>675</v>
      </c>
      <c r="BD39" s="31">
        <v>343</v>
      </c>
      <c r="BE39" s="115">
        <v>689</v>
      </c>
      <c r="BF39" s="111">
        <v>683</v>
      </c>
      <c r="BG39" s="32">
        <v>344</v>
      </c>
      <c r="BH39" s="31">
        <v>374</v>
      </c>
      <c r="BI39" s="32">
        <v>651</v>
      </c>
      <c r="BJ39" s="111">
        <v>44</v>
      </c>
      <c r="BK39" s="33">
        <v>311</v>
      </c>
      <c r="BL39" s="115">
        <v>681</v>
      </c>
      <c r="BM39" s="111">
        <v>693</v>
      </c>
      <c r="BN39" s="35">
        <v>311</v>
      </c>
      <c r="BO39" s="32">
        <v>35</v>
      </c>
      <c r="BP39" s="31">
        <v>341</v>
      </c>
      <c r="BQ39" s="32">
        <v>686</v>
      </c>
      <c r="BR39" s="31">
        <v>633</v>
      </c>
      <c r="BS39" s="32">
        <v>409</v>
      </c>
      <c r="BT39" s="31">
        <v>312</v>
      </c>
      <c r="BU39" s="33">
        <v>54</v>
      </c>
      <c r="BV39" s="115">
        <v>664</v>
      </c>
      <c r="BW39" s="111">
        <v>707</v>
      </c>
      <c r="BX39" s="32">
        <v>346</v>
      </c>
      <c r="BY39" s="31">
        <v>693</v>
      </c>
      <c r="BZ39" s="32">
        <v>317</v>
      </c>
      <c r="CA39" s="111">
        <v>336</v>
      </c>
      <c r="CB39" s="32">
        <v>692</v>
      </c>
      <c r="CC39" s="33">
        <v>627</v>
      </c>
      <c r="CD39" s="34">
        <v>827</v>
      </c>
      <c r="CE39" s="111">
        <v>407</v>
      </c>
      <c r="CF39" s="42">
        <v>444</v>
      </c>
      <c r="CG39" s="31">
        <v>247</v>
      </c>
      <c r="CH39" s="35">
        <v>197</v>
      </c>
      <c r="CI39" s="35">
        <v>400</v>
      </c>
      <c r="CJ39" s="35">
        <v>484</v>
      </c>
      <c r="CK39" s="32">
        <v>290</v>
      </c>
    </row>
    <row r="40" spans="1:89" ht="13" x14ac:dyDescent="0.25">
      <c r="A40" s="27">
        <v>501</v>
      </c>
      <c r="B40" s="28" t="s">
        <v>63</v>
      </c>
      <c r="C40" s="29">
        <v>1255</v>
      </c>
      <c r="D40" s="30">
        <v>952</v>
      </c>
      <c r="E40" s="20">
        <f t="shared" si="0"/>
        <v>0.75856573705179287</v>
      </c>
      <c r="F40" s="31">
        <v>0</v>
      </c>
      <c r="G40" s="111">
        <v>0</v>
      </c>
      <c r="H40" s="111">
        <v>0</v>
      </c>
      <c r="I40" s="111">
        <v>0</v>
      </c>
      <c r="J40" s="111">
        <v>1</v>
      </c>
      <c r="K40" s="111">
        <v>0</v>
      </c>
      <c r="L40" s="111">
        <v>0</v>
      </c>
      <c r="M40" s="111">
        <v>560</v>
      </c>
      <c r="N40" s="111">
        <v>0</v>
      </c>
      <c r="O40" s="111">
        <v>0</v>
      </c>
      <c r="P40" s="35">
        <v>5</v>
      </c>
      <c r="Q40" s="35">
        <v>1</v>
      </c>
      <c r="R40" s="35">
        <v>363</v>
      </c>
      <c r="S40" s="32">
        <v>0</v>
      </c>
      <c r="T40" s="31">
        <v>491</v>
      </c>
      <c r="U40" s="32">
        <v>420</v>
      </c>
      <c r="V40" s="31">
        <v>446</v>
      </c>
      <c r="W40" s="32">
        <v>479</v>
      </c>
      <c r="X40" s="31">
        <v>505</v>
      </c>
      <c r="Y40" s="32">
        <v>395</v>
      </c>
      <c r="Z40" s="111">
        <v>555</v>
      </c>
      <c r="AA40" s="35">
        <v>0</v>
      </c>
      <c r="AB40" s="35">
        <v>19</v>
      </c>
      <c r="AC40" s="35">
        <v>360</v>
      </c>
      <c r="AD40" s="35">
        <v>0</v>
      </c>
      <c r="AE40" s="33">
        <v>0</v>
      </c>
      <c r="AF40" s="115">
        <v>0</v>
      </c>
      <c r="AG40" s="111">
        <v>553</v>
      </c>
      <c r="AH40" s="32">
        <v>369</v>
      </c>
      <c r="AI40" s="31"/>
      <c r="AJ40" s="33"/>
      <c r="AK40" s="31"/>
      <c r="AL40" s="32"/>
      <c r="AM40" s="31"/>
      <c r="AN40" s="115"/>
      <c r="AO40" s="111"/>
      <c r="AP40" s="32"/>
      <c r="AQ40" s="31">
        <v>410</v>
      </c>
      <c r="AR40" s="115">
        <v>481</v>
      </c>
      <c r="AS40" s="111"/>
      <c r="AT40" s="32"/>
      <c r="AU40" s="31"/>
      <c r="AV40" s="111"/>
      <c r="AW40" s="111"/>
      <c r="AX40" s="31"/>
      <c r="AY40" s="32"/>
      <c r="AZ40" s="31"/>
      <c r="BA40" s="115"/>
      <c r="BB40" s="31">
        <v>425</v>
      </c>
      <c r="BC40" s="32">
        <v>469</v>
      </c>
      <c r="BD40" s="31">
        <v>414</v>
      </c>
      <c r="BE40" s="115">
        <v>471</v>
      </c>
      <c r="BF40" s="111">
        <v>475</v>
      </c>
      <c r="BG40" s="32">
        <v>410</v>
      </c>
      <c r="BH40" s="31">
        <v>452</v>
      </c>
      <c r="BI40" s="32">
        <v>450</v>
      </c>
      <c r="BJ40" s="111">
        <v>30</v>
      </c>
      <c r="BK40" s="33">
        <v>415</v>
      </c>
      <c r="BL40" s="115">
        <v>449</v>
      </c>
      <c r="BM40" s="111">
        <v>513</v>
      </c>
      <c r="BN40" s="35">
        <v>380</v>
      </c>
      <c r="BO40" s="32">
        <v>19</v>
      </c>
      <c r="BP40" s="31">
        <v>419</v>
      </c>
      <c r="BQ40" s="32">
        <v>487</v>
      </c>
      <c r="BR40" s="31">
        <v>426</v>
      </c>
      <c r="BS40" s="32">
        <v>477</v>
      </c>
      <c r="BT40" s="31">
        <v>394</v>
      </c>
      <c r="BU40" s="33">
        <v>20</v>
      </c>
      <c r="BV40" s="115">
        <v>464</v>
      </c>
      <c r="BW40" s="111">
        <v>478</v>
      </c>
      <c r="BX40" s="32">
        <v>429</v>
      </c>
      <c r="BY40" s="31">
        <v>477</v>
      </c>
      <c r="BZ40" s="32">
        <v>396</v>
      </c>
      <c r="CA40" s="111">
        <v>397</v>
      </c>
      <c r="CB40" s="32">
        <v>494</v>
      </c>
      <c r="CC40" s="33">
        <v>562</v>
      </c>
      <c r="CD40" s="34">
        <v>683</v>
      </c>
      <c r="CE40" s="111">
        <v>360</v>
      </c>
      <c r="CF40" s="42">
        <v>376</v>
      </c>
      <c r="CG40" s="31">
        <v>289</v>
      </c>
      <c r="CH40" s="35">
        <v>192</v>
      </c>
      <c r="CI40" s="35">
        <v>309</v>
      </c>
      <c r="CJ40" s="35">
        <v>334</v>
      </c>
      <c r="CK40" s="32">
        <v>328</v>
      </c>
    </row>
    <row r="41" spans="1:89" ht="13" x14ac:dyDescent="0.25">
      <c r="A41" s="27">
        <v>502</v>
      </c>
      <c r="B41" s="28" t="s">
        <v>64</v>
      </c>
      <c r="C41" s="29">
        <v>1169</v>
      </c>
      <c r="D41" s="30">
        <v>922</v>
      </c>
      <c r="E41" s="20">
        <f t="shared" si="0"/>
        <v>0.78870829769033357</v>
      </c>
      <c r="F41" s="31">
        <v>0</v>
      </c>
      <c r="G41" s="111">
        <v>0</v>
      </c>
      <c r="H41" s="111">
        <v>0</v>
      </c>
      <c r="I41" s="111">
        <v>1</v>
      </c>
      <c r="J41" s="111">
        <v>0</v>
      </c>
      <c r="K41" s="111">
        <v>0</v>
      </c>
      <c r="L41" s="111">
        <v>0</v>
      </c>
      <c r="M41" s="111">
        <v>617</v>
      </c>
      <c r="N41" s="111">
        <v>0</v>
      </c>
      <c r="O41" s="111">
        <v>0</v>
      </c>
      <c r="P41" s="35">
        <v>8</v>
      </c>
      <c r="Q41" s="35">
        <v>1</v>
      </c>
      <c r="R41" s="35">
        <v>271</v>
      </c>
      <c r="S41" s="32">
        <v>0</v>
      </c>
      <c r="T41" s="31">
        <v>574</v>
      </c>
      <c r="U41" s="32">
        <v>323</v>
      </c>
      <c r="V41" s="31">
        <v>325</v>
      </c>
      <c r="W41" s="32">
        <v>578</v>
      </c>
      <c r="X41" s="31">
        <v>594</v>
      </c>
      <c r="Y41" s="32">
        <v>299</v>
      </c>
      <c r="Z41" s="111">
        <v>626</v>
      </c>
      <c r="AA41" s="35">
        <v>0</v>
      </c>
      <c r="AB41" s="35">
        <v>15</v>
      </c>
      <c r="AC41" s="35">
        <v>268</v>
      </c>
      <c r="AD41" s="35">
        <v>0</v>
      </c>
      <c r="AE41" s="33">
        <v>0</v>
      </c>
      <c r="AF41" s="115">
        <v>0</v>
      </c>
      <c r="AG41" s="111">
        <v>612</v>
      </c>
      <c r="AH41" s="32">
        <v>288</v>
      </c>
      <c r="AI41" s="31"/>
      <c r="AJ41" s="33"/>
      <c r="AK41" s="31"/>
      <c r="AL41" s="32"/>
      <c r="AM41" s="31"/>
      <c r="AN41" s="115"/>
      <c r="AO41" s="111"/>
      <c r="AP41" s="32"/>
      <c r="AQ41" s="31">
        <v>309</v>
      </c>
      <c r="AR41" s="115">
        <v>562</v>
      </c>
      <c r="AS41" s="111"/>
      <c r="AT41" s="32"/>
      <c r="AU41" s="31"/>
      <c r="AV41" s="111"/>
      <c r="AW41" s="111"/>
      <c r="AX41" s="31"/>
      <c r="AY41" s="32"/>
      <c r="AZ41" s="31"/>
      <c r="BA41" s="115"/>
      <c r="BB41" s="31">
        <v>322</v>
      </c>
      <c r="BC41" s="32">
        <v>555</v>
      </c>
      <c r="BD41" s="31">
        <v>304</v>
      </c>
      <c r="BE41" s="115">
        <v>568</v>
      </c>
      <c r="BF41" s="111">
        <v>547</v>
      </c>
      <c r="BG41" s="32">
        <v>318</v>
      </c>
      <c r="BH41" s="31">
        <v>331</v>
      </c>
      <c r="BI41" s="32">
        <v>529</v>
      </c>
      <c r="BJ41" s="111">
        <v>41</v>
      </c>
      <c r="BK41" s="33">
        <v>292</v>
      </c>
      <c r="BL41" s="115">
        <v>528</v>
      </c>
      <c r="BM41" s="111">
        <v>577</v>
      </c>
      <c r="BN41" s="35">
        <v>266</v>
      </c>
      <c r="BO41" s="32">
        <v>31</v>
      </c>
      <c r="BP41" s="31">
        <v>323</v>
      </c>
      <c r="BQ41" s="32">
        <v>543</v>
      </c>
      <c r="BR41" s="31">
        <v>525</v>
      </c>
      <c r="BS41" s="32">
        <v>353</v>
      </c>
      <c r="BT41" s="31">
        <v>291</v>
      </c>
      <c r="BU41" s="33">
        <v>30</v>
      </c>
      <c r="BV41" s="115">
        <v>541</v>
      </c>
      <c r="BW41" s="111">
        <v>561</v>
      </c>
      <c r="BX41" s="32">
        <v>311</v>
      </c>
      <c r="BY41" s="31">
        <v>561</v>
      </c>
      <c r="BZ41" s="32">
        <v>287</v>
      </c>
      <c r="CA41" s="111">
        <v>305</v>
      </c>
      <c r="CB41" s="32">
        <v>556</v>
      </c>
      <c r="CC41" s="33">
        <v>518</v>
      </c>
      <c r="CD41" s="34">
        <v>687</v>
      </c>
      <c r="CE41" s="111">
        <v>319</v>
      </c>
      <c r="CF41" s="42">
        <v>407</v>
      </c>
      <c r="CG41" s="31">
        <v>239</v>
      </c>
      <c r="CH41" s="35">
        <v>152</v>
      </c>
      <c r="CI41" s="35">
        <v>340</v>
      </c>
      <c r="CJ41" s="35">
        <v>400</v>
      </c>
      <c r="CK41" s="32">
        <v>274</v>
      </c>
    </row>
    <row r="42" spans="1:89" ht="13" x14ac:dyDescent="0.25">
      <c r="A42" s="27">
        <v>503</v>
      </c>
      <c r="B42" s="28" t="s">
        <v>65</v>
      </c>
      <c r="C42" s="29">
        <v>852</v>
      </c>
      <c r="D42" s="30">
        <v>643</v>
      </c>
      <c r="E42" s="20">
        <f t="shared" si="0"/>
        <v>0.75469483568075113</v>
      </c>
      <c r="F42" s="31">
        <v>0</v>
      </c>
      <c r="G42" s="111">
        <v>0</v>
      </c>
      <c r="H42" s="111">
        <v>0</v>
      </c>
      <c r="I42" s="111">
        <v>0</v>
      </c>
      <c r="J42" s="111">
        <v>1</v>
      </c>
      <c r="K42" s="111">
        <v>0</v>
      </c>
      <c r="L42" s="111">
        <v>0</v>
      </c>
      <c r="M42" s="111">
        <v>452</v>
      </c>
      <c r="N42" s="111">
        <v>0</v>
      </c>
      <c r="O42" s="111">
        <v>0</v>
      </c>
      <c r="P42" s="35">
        <v>0</v>
      </c>
      <c r="Q42" s="35">
        <v>0</v>
      </c>
      <c r="R42" s="35">
        <v>168</v>
      </c>
      <c r="S42" s="32">
        <v>0</v>
      </c>
      <c r="T42" s="31">
        <v>437</v>
      </c>
      <c r="U42" s="32">
        <v>190</v>
      </c>
      <c r="V42" s="31">
        <v>197</v>
      </c>
      <c r="W42" s="32">
        <v>434</v>
      </c>
      <c r="X42" s="31">
        <v>440</v>
      </c>
      <c r="Y42" s="32">
        <v>183</v>
      </c>
      <c r="Z42" s="111">
        <v>464</v>
      </c>
      <c r="AA42" s="35">
        <v>0</v>
      </c>
      <c r="AB42" s="35">
        <v>6</v>
      </c>
      <c r="AC42" s="35">
        <v>170</v>
      </c>
      <c r="AD42" s="35">
        <v>0</v>
      </c>
      <c r="AE42" s="33">
        <v>0</v>
      </c>
      <c r="AF42" s="115">
        <v>0</v>
      </c>
      <c r="AG42" s="111">
        <v>463</v>
      </c>
      <c r="AH42" s="32">
        <v>168</v>
      </c>
      <c r="AI42" s="31"/>
      <c r="AJ42" s="33"/>
      <c r="AK42" s="31"/>
      <c r="AL42" s="32"/>
      <c r="AM42" s="31"/>
      <c r="AN42" s="115"/>
      <c r="AO42" s="111"/>
      <c r="AP42" s="32"/>
      <c r="AQ42" s="31">
        <v>180</v>
      </c>
      <c r="AR42" s="115">
        <v>428</v>
      </c>
      <c r="AS42" s="111"/>
      <c r="AT42" s="32"/>
      <c r="AU42" s="31"/>
      <c r="AV42" s="111"/>
      <c r="AW42" s="111"/>
      <c r="AX42" s="31"/>
      <c r="AY42" s="32"/>
      <c r="AZ42" s="31"/>
      <c r="BA42" s="115"/>
      <c r="BB42" s="31">
        <v>193</v>
      </c>
      <c r="BC42" s="32">
        <v>417</v>
      </c>
      <c r="BD42" s="31">
        <v>186</v>
      </c>
      <c r="BE42" s="115">
        <v>422</v>
      </c>
      <c r="BF42" s="111">
        <v>425</v>
      </c>
      <c r="BG42" s="32">
        <v>185</v>
      </c>
      <c r="BH42" s="31">
        <v>199</v>
      </c>
      <c r="BI42" s="32">
        <v>414</v>
      </c>
      <c r="BJ42" s="111">
        <v>26</v>
      </c>
      <c r="BK42" s="33">
        <v>173</v>
      </c>
      <c r="BL42" s="115">
        <v>404</v>
      </c>
      <c r="BM42" s="111">
        <v>431</v>
      </c>
      <c r="BN42" s="35">
        <v>168</v>
      </c>
      <c r="BO42" s="32">
        <v>17</v>
      </c>
      <c r="BP42" s="31">
        <v>196</v>
      </c>
      <c r="BQ42" s="32">
        <v>419</v>
      </c>
      <c r="BR42" s="31">
        <v>400</v>
      </c>
      <c r="BS42" s="32">
        <v>215</v>
      </c>
      <c r="BT42" s="31">
        <v>182</v>
      </c>
      <c r="BU42" s="33">
        <v>25</v>
      </c>
      <c r="BV42" s="115">
        <v>401</v>
      </c>
      <c r="BW42" s="111">
        <v>430</v>
      </c>
      <c r="BX42" s="32">
        <v>189</v>
      </c>
      <c r="BY42" s="31">
        <v>417</v>
      </c>
      <c r="BZ42" s="32">
        <v>178</v>
      </c>
      <c r="CA42" s="111">
        <v>182</v>
      </c>
      <c r="CB42" s="32">
        <v>424</v>
      </c>
      <c r="CC42" s="33">
        <v>333</v>
      </c>
      <c r="CD42" s="34">
        <v>493</v>
      </c>
      <c r="CE42" s="111">
        <v>206</v>
      </c>
      <c r="CF42" s="42">
        <v>336</v>
      </c>
      <c r="CG42" s="31">
        <v>168</v>
      </c>
      <c r="CH42" s="35">
        <v>90</v>
      </c>
      <c r="CI42" s="35">
        <v>293</v>
      </c>
      <c r="CJ42" s="35">
        <v>308</v>
      </c>
      <c r="CK42" s="32">
        <v>182</v>
      </c>
    </row>
    <row r="43" spans="1:89" ht="13" x14ac:dyDescent="0.25">
      <c r="A43" s="27">
        <v>504</v>
      </c>
      <c r="B43" s="28" t="s">
        <v>66</v>
      </c>
      <c r="C43" s="29">
        <v>1351</v>
      </c>
      <c r="D43" s="30">
        <v>1109</v>
      </c>
      <c r="E43" s="20">
        <f t="shared" si="0"/>
        <v>0.82087342709104372</v>
      </c>
      <c r="F43" s="3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781</v>
      </c>
      <c r="N43" s="111">
        <v>0</v>
      </c>
      <c r="O43" s="111">
        <v>0</v>
      </c>
      <c r="P43" s="35">
        <v>8</v>
      </c>
      <c r="Q43" s="35">
        <v>0</v>
      </c>
      <c r="R43" s="35">
        <v>299</v>
      </c>
      <c r="S43" s="32">
        <v>0</v>
      </c>
      <c r="T43" s="31">
        <v>690</v>
      </c>
      <c r="U43" s="32">
        <v>392</v>
      </c>
      <c r="V43" s="31">
        <v>387</v>
      </c>
      <c r="W43" s="32">
        <v>692</v>
      </c>
      <c r="X43" s="31">
        <v>704</v>
      </c>
      <c r="Y43" s="32">
        <v>351</v>
      </c>
      <c r="Z43" s="111">
        <v>772</v>
      </c>
      <c r="AA43" s="35">
        <v>0</v>
      </c>
      <c r="AB43" s="35">
        <v>24</v>
      </c>
      <c r="AC43" s="35">
        <v>298</v>
      </c>
      <c r="AD43" s="35">
        <v>0</v>
      </c>
      <c r="AE43" s="33">
        <v>0</v>
      </c>
      <c r="AF43" s="115">
        <v>0</v>
      </c>
      <c r="AG43" s="111">
        <v>764</v>
      </c>
      <c r="AH43" s="32">
        <v>326</v>
      </c>
      <c r="AI43" s="31"/>
      <c r="AJ43" s="33"/>
      <c r="AK43" s="31"/>
      <c r="AL43" s="32"/>
      <c r="AM43" s="31"/>
      <c r="AN43" s="115"/>
      <c r="AO43" s="111"/>
      <c r="AP43" s="32"/>
      <c r="AQ43" s="31">
        <v>344</v>
      </c>
      <c r="AR43" s="115">
        <v>693</v>
      </c>
      <c r="AS43" s="111"/>
      <c r="AT43" s="32"/>
      <c r="AU43" s="31"/>
      <c r="AV43" s="111"/>
      <c r="AW43" s="111"/>
      <c r="AX43" s="31"/>
      <c r="AY43" s="32"/>
      <c r="AZ43" s="31"/>
      <c r="BA43" s="115"/>
      <c r="BB43" s="31">
        <v>373</v>
      </c>
      <c r="BC43" s="32">
        <v>673</v>
      </c>
      <c r="BD43" s="31">
        <v>357</v>
      </c>
      <c r="BE43" s="115">
        <v>682</v>
      </c>
      <c r="BF43" s="111">
        <v>668</v>
      </c>
      <c r="BG43" s="32">
        <v>365</v>
      </c>
      <c r="BH43" s="31">
        <v>411</v>
      </c>
      <c r="BI43" s="32">
        <v>628</v>
      </c>
      <c r="BJ43" s="111">
        <v>30</v>
      </c>
      <c r="BK43" s="33">
        <v>358</v>
      </c>
      <c r="BL43" s="115">
        <v>655</v>
      </c>
      <c r="BM43" s="111">
        <v>700</v>
      </c>
      <c r="BN43" s="35">
        <v>329</v>
      </c>
      <c r="BO43" s="32">
        <v>23</v>
      </c>
      <c r="BP43" s="31">
        <v>375</v>
      </c>
      <c r="BQ43" s="32">
        <v>672</v>
      </c>
      <c r="BR43" s="31">
        <v>616</v>
      </c>
      <c r="BS43" s="32">
        <v>439</v>
      </c>
      <c r="BT43" s="31">
        <v>328</v>
      </c>
      <c r="BU43" s="33">
        <v>30</v>
      </c>
      <c r="BV43" s="115">
        <v>674</v>
      </c>
      <c r="BW43" s="111">
        <v>722</v>
      </c>
      <c r="BX43" s="32">
        <v>337</v>
      </c>
      <c r="BY43" s="31">
        <v>674</v>
      </c>
      <c r="BZ43" s="32">
        <v>344</v>
      </c>
      <c r="CA43" s="111">
        <v>343</v>
      </c>
      <c r="CB43" s="32">
        <v>693</v>
      </c>
      <c r="CC43" s="33">
        <v>608</v>
      </c>
      <c r="CD43" s="34">
        <v>822</v>
      </c>
      <c r="CE43" s="111">
        <v>375</v>
      </c>
      <c r="CF43" s="42">
        <v>515</v>
      </c>
      <c r="CG43" s="31">
        <v>263</v>
      </c>
      <c r="CH43" s="35">
        <v>189</v>
      </c>
      <c r="CI43" s="35">
        <v>443</v>
      </c>
      <c r="CJ43" s="35">
        <v>522</v>
      </c>
      <c r="CK43" s="32">
        <v>295</v>
      </c>
    </row>
    <row r="44" spans="1:89" ht="13" x14ac:dyDescent="0.25">
      <c r="A44" s="27">
        <v>505</v>
      </c>
      <c r="B44" s="28" t="s">
        <v>67</v>
      </c>
      <c r="C44" s="29">
        <v>1469</v>
      </c>
      <c r="D44" s="30">
        <v>1145</v>
      </c>
      <c r="E44" s="20">
        <f t="shared" si="0"/>
        <v>0.77944179714091222</v>
      </c>
      <c r="F44" s="31">
        <v>0</v>
      </c>
      <c r="G44" s="111">
        <v>0</v>
      </c>
      <c r="H44" s="111">
        <v>1</v>
      </c>
      <c r="I44" s="111">
        <v>3</v>
      </c>
      <c r="J44" s="111">
        <v>1</v>
      </c>
      <c r="K44" s="111">
        <v>0</v>
      </c>
      <c r="L44" s="111">
        <v>0</v>
      </c>
      <c r="M44" s="111">
        <v>780</v>
      </c>
      <c r="N44" s="111">
        <v>0</v>
      </c>
      <c r="O44" s="111">
        <v>0</v>
      </c>
      <c r="P44" s="35">
        <v>3</v>
      </c>
      <c r="Q44" s="35">
        <v>0</v>
      </c>
      <c r="R44" s="35">
        <v>340</v>
      </c>
      <c r="S44" s="32">
        <v>0</v>
      </c>
      <c r="T44" s="31">
        <v>716</v>
      </c>
      <c r="U44" s="32">
        <v>390</v>
      </c>
      <c r="V44" s="31">
        <v>397</v>
      </c>
      <c r="W44" s="32">
        <v>708</v>
      </c>
      <c r="X44" s="31">
        <v>725</v>
      </c>
      <c r="Y44" s="32">
        <v>354</v>
      </c>
      <c r="Z44" s="111">
        <v>775</v>
      </c>
      <c r="AA44" s="35">
        <v>0</v>
      </c>
      <c r="AB44" s="35">
        <v>25</v>
      </c>
      <c r="AC44" s="35">
        <v>333</v>
      </c>
      <c r="AD44" s="35">
        <v>0</v>
      </c>
      <c r="AE44" s="33">
        <v>0</v>
      </c>
      <c r="AF44" s="115">
        <v>0</v>
      </c>
      <c r="AG44" s="111">
        <v>767</v>
      </c>
      <c r="AH44" s="32">
        <v>338</v>
      </c>
      <c r="AI44" s="31"/>
      <c r="AJ44" s="33"/>
      <c r="AK44" s="31"/>
      <c r="AL44" s="32"/>
      <c r="AM44" s="31"/>
      <c r="AN44" s="115"/>
      <c r="AO44" s="111"/>
      <c r="AP44" s="32"/>
      <c r="AQ44" s="31">
        <v>357</v>
      </c>
      <c r="AR44" s="115">
        <v>710</v>
      </c>
      <c r="AS44" s="111"/>
      <c r="AT44" s="32"/>
      <c r="AU44" s="31"/>
      <c r="AV44" s="111"/>
      <c r="AW44" s="111"/>
      <c r="AX44" s="31"/>
      <c r="AY44" s="32"/>
      <c r="AZ44" s="31"/>
      <c r="BA44" s="115"/>
      <c r="BB44" s="31">
        <v>372</v>
      </c>
      <c r="BC44" s="32">
        <v>697</v>
      </c>
      <c r="BD44" s="31">
        <v>354</v>
      </c>
      <c r="BE44" s="115">
        <v>699</v>
      </c>
      <c r="BF44" s="111">
        <v>674</v>
      </c>
      <c r="BG44" s="32">
        <v>379</v>
      </c>
      <c r="BH44" s="31">
        <v>404</v>
      </c>
      <c r="BI44" s="32">
        <v>653</v>
      </c>
      <c r="BJ44" s="111">
        <v>51</v>
      </c>
      <c r="BK44" s="33">
        <v>344</v>
      </c>
      <c r="BL44" s="115">
        <v>670</v>
      </c>
      <c r="BM44" s="111">
        <v>706</v>
      </c>
      <c r="BN44" s="35">
        <v>333</v>
      </c>
      <c r="BO44" s="32">
        <v>36</v>
      </c>
      <c r="BP44" s="31">
        <v>380</v>
      </c>
      <c r="BQ44" s="32">
        <v>683</v>
      </c>
      <c r="BR44" s="31">
        <v>657</v>
      </c>
      <c r="BS44" s="32">
        <v>422</v>
      </c>
      <c r="BT44" s="31">
        <v>331</v>
      </c>
      <c r="BU44" s="33">
        <v>39</v>
      </c>
      <c r="BV44" s="115">
        <v>682</v>
      </c>
      <c r="BW44" s="111">
        <v>722</v>
      </c>
      <c r="BX44" s="32">
        <v>364</v>
      </c>
      <c r="BY44" s="31">
        <v>700</v>
      </c>
      <c r="BZ44" s="32">
        <v>344</v>
      </c>
      <c r="CA44" s="111">
        <v>356</v>
      </c>
      <c r="CB44" s="32">
        <v>702</v>
      </c>
      <c r="CC44" s="33">
        <v>613</v>
      </c>
      <c r="CD44" s="34">
        <v>810</v>
      </c>
      <c r="CE44" s="111">
        <v>355</v>
      </c>
      <c r="CF44" s="42">
        <v>529</v>
      </c>
      <c r="CG44" s="31">
        <v>249</v>
      </c>
      <c r="CH44" s="35">
        <v>193</v>
      </c>
      <c r="CI44" s="35">
        <v>462</v>
      </c>
      <c r="CJ44" s="35">
        <v>507</v>
      </c>
      <c r="CK44" s="32">
        <v>284</v>
      </c>
    </row>
    <row r="45" spans="1:89" ht="13" x14ac:dyDescent="0.25">
      <c r="A45" s="27">
        <v>506</v>
      </c>
      <c r="B45" s="28" t="s">
        <v>68</v>
      </c>
      <c r="C45" s="29">
        <v>938</v>
      </c>
      <c r="D45" s="30">
        <v>690</v>
      </c>
      <c r="E45" s="20">
        <f t="shared" si="0"/>
        <v>0.73560767590618337</v>
      </c>
      <c r="F45" s="31">
        <v>0</v>
      </c>
      <c r="G45" s="111">
        <v>0</v>
      </c>
      <c r="H45" s="111">
        <v>0</v>
      </c>
      <c r="I45" s="111">
        <v>0</v>
      </c>
      <c r="J45" s="111">
        <v>0</v>
      </c>
      <c r="K45" s="111">
        <v>0</v>
      </c>
      <c r="L45" s="111">
        <v>0</v>
      </c>
      <c r="M45" s="111">
        <v>438</v>
      </c>
      <c r="N45" s="111">
        <v>0</v>
      </c>
      <c r="O45" s="111">
        <v>0</v>
      </c>
      <c r="P45" s="35">
        <v>4</v>
      </c>
      <c r="Q45" s="35">
        <v>0</v>
      </c>
      <c r="R45" s="35">
        <v>232</v>
      </c>
      <c r="S45" s="32">
        <v>0</v>
      </c>
      <c r="T45" s="31">
        <v>400</v>
      </c>
      <c r="U45" s="32">
        <v>276</v>
      </c>
      <c r="V45" s="31">
        <v>279</v>
      </c>
      <c r="W45" s="32">
        <v>396</v>
      </c>
      <c r="X45" s="31">
        <v>416</v>
      </c>
      <c r="Y45" s="32">
        <v>249</v>
      </c>
      <c r="Z45" s="111">
        <v>442</v>
      </c>
      <c r="AA45" s="35">
        <v>0</v>
      </c>
      <c r="AB45" s="35">
        <v>15</v>
      </c>
      <c r="AC45" s="35">
        <v>226</v>
      </c>
      <c r="AD45" s="35">
        <v>0</v>
      </c>
      <c r="AE45" s="33">
        <v>0</v>
      </c>
      <c r="AF45" s="115">
        <v>0</v>
      </c>
      <c r="AG45" s="111">
        <v>441</v>
      </c>
      <c r="AH45" s="32">
        <v>228</v>
      </c>
      <c r="AI45" s="31"/>
      <c r="AJ45" s="33"/>
      <c r="AK45" s="31"/>
      <c r="AL45" s="32"/>
      <c r="AM45" s="31"/>
      <c r="AN45" s="115"/>
      <c r="AO45" s="111"/>
      <c r="AP45" s="32"/>
      <c r="AQ45" s="31">
        <v>251</v>
      </c>
      <c r="AR45" s="115">
        <v>402</v>
      </c>
      <c r="AS45" s="111"/>
      <c r="AT45" s="32"/>
      <c r="AU45" s="31"/>
      <c r="AV45" s="111"/>
      <c r="AW45" s="111"/>
      <c r="AX45" s="31"/>
      <c r="AY45" s="32"/>
      <c r="AZ45" s="31"/>
      <c r="BA45" s="115"/>
      <c r="BB45" s="31">
        <v>259</v>
      </c>
      <c r="BC45" s="32">
        <v>394</v>
      </c>
      <c r="BD45" s="31">
        <v>253</v>
      </c>
      <c r="BE45" s="115">
        <v>395</v>
      </c>
      <c r="BF45" s="111">
        <v>388</v>
      </c>
      <c r="BG45" s="32">
        <v>264</v>
      </c>
      <c r="BH45" s="31">
        <v>284</v>
      </c>
      <c r="BI45" s="32">
        <v>371</v>
      </c>
      <c r="BJ45" s="111">
        <v>35</v>
      </c>
      <c r="BK45" s="33">
        <v>243</v>
      </c>
      <c r="BL45" s="115">
        <v>374</v>
      </c>
      <c r="BM45" s="111">
        <v>406</v>
      </c>
      <c r="BN45" s="35">
        <v>230</v>
      </c>
      <c r="BO45" s="32">
        <v>22</v>
      </c>
      <c r="BP45" s="31">
        <v>266</v>
      </c>
      <c r="BQ45" s="32">
        <v>388</v>
      </c>
      <c r="BR45" s="31">
        <v>366</v>
      </c>
      <c r="BS45" s="32">
        <v>289</v>
      </c>
      <c r="BT45" s="31">
        <v>233</v>
      </c>
      <c r="BU45" s="33">
        <v>30</v>
      </c>
      <c r="BV45" s="115">
        <v>385</v>
      </c>
      <c r="BW45" s="111">
        <v>404</v>
      </c>
      <c r="BX45" s="32">
        <v>254</v>
      </c>
      <c r="BY45" s="31">
        <v>398</v>
      </c>
      <c r="BZ45" s="32">
        <v>240</v>
      </c>
      <c r="CA45" s="111">
        <v>244</v>
      </c>
      <c r="CB45" s="32">
        <v>401</v>
      </c>
      <c r="CC45" s="33">
        <v>395</v>
      </c>
      <c r="CD45" s="34">
        <v>508</v>
      </c>
      <c r="CE45" s="111">
        <v>249</v>
      </c>
      <c r="CF45" s="42">
        <v>317</v>
      </c>
      <c r="CG45" s="31">
        <v>169</v>
      </c>
      <c r="CH45" s="35">
        <v>136</v>
      </c>
      <c r="CI45" s="35">
        <v>247</v>
      </c>
      <c r="CJ45" s="35">
        <v>287</v>
      </c>
      <c r="CK45" s="32">
        <v>221</v>
      </c>
    </row>
    <row r="46" spans="1:89" ht="13" x14ac:dyDescent="0.25">
      <c r="A46" s="27">
        <v>507</v>
      </c>
      <c r="B46" s="28" t="s">
        <v>69</v>
      </c>
      <c r="C46" s="29">
        <v>1550</v>
      </c>
      <c r="D46" s="30">
        <v>1121</v>
      </c>
      <c r="E46" s="20">
        <f t="shared" si="0"/>
        <v>0.72322580645161294</v>
      </c>
      <c r="F46" s="31">
        <v>0</v>
      </c>
      <c r="G46" s="111">
        <v>0</v>
      </c>
      <c r="H46" s="111">
        <v>0</v>
      </c>
      <c r="I46" s="111">
        <v>0</v>
      </c>
      <c r="J46" s="111">
        <v>2</v>
      </c>
      <c r="K46" s="111">
        <v>0</v>
      </c>
      <c r="L46" s="111">
        <v>0</v>
      </c>
      <c r="M46" s="111">
        <v>741</v>
      </c>
      <c r="N46" s="111">
        <v>0</v>
      </c>
      <c r="O46" s="111">
        <v>0</v>
      </c>
      <c r="P46" s="35">
        <v>2</v>
      </c>
      <c r="Q46" s="35">
        <v>2</v>
      </c>
      <c r="R46" s="35">
        <v>355</v>
      </c>
      <c r="S46" s="32">
        <v>0</v>
      </c>
      <c r="T46" s="31">
        <v>647</v>
      </c>
      <c r="U46" s="32">
        <v>428</v>
      </c>
      <c r="V46" s="31">
        <v>433</v>
      </c>
      <c r="W46" s="32">
        <v>649</v>
      </c>
      <c r="X46" s="31">
        <v>673</v>
      </c>
      <c r="Y46" s="32">
        <v>392</v>
      </c>
      <c r="Z46" s="111">
        <v>715</v>
      </c>
      <c r="AA46" s="35">
        <v>0</v>
      </c>
      <c r="AB46" s="35">
        <v>23</v>
      </c>
      <c r="AC46" s="35">
        <v>359</v>
      </c>
      <c r="AD46" s="35">
        <v>0</v>
      </c>
      <c r="AE46" s="33">
        <v>0</v>
      </c>
      <c r="AF46" s="115">
        <v>0</v>
      </c>
      <c r="AG46" s="111">
        <v>714</v>
      </c>
      <c r="AH46" s="32">
        <v>373</v>
      </c>
      <c r="AI46" s="31"/>
      <c r="AJ46" s="33"/>
      <c r="AK46" s="31"/>
      <c r="AL46" s="32"/>
      <c r="AM46" s="31"/>
      <c r="AN46" s="115"/>
      <c r="AO46" s="111"/>
      <c r="AP46" s="32"/>
      <c r="AQ46" s="31">
        <v>392</v>
      </c>
      <c r="AR46" s="115">
        <v>643</v>
      </c>
      <c r="AS46" s="111"/>
      <c r="AT46" s="32"/>
      <c r="AU46" s="31"/>
      <c r="AV46" s="111"/>
      <c r="AW46" s="111"/>
      <c r="AX46" s="31"/>
      <c r="AY46" s="32"/>
      <c r="AZ46" s="31"/>
      <c r="BA46" s="115"/>
      <c r="BB46" s="31">
        <v>414</v>
      </c>
      <c r="BC46" s="32">
        <v>629</v>
      </c>
      <c r="BD46" s="31">
        <v>401</v>
      </c>
      <c r="BE46" s="115">
        <v>637</v>
      </c>
      <c r="BF46" s="111">
        <v>632</v>
      </c>
      <c r="BG46" s="32">
        <v>405</v>
      </c>
      <c r="BH46" s="31">
        <v>454</v>
      </c>
      <c r="BI46" s="32">
        <v>585</v>
      </c>
      <c r="BJ46" s="111">
        <v>44</v>
      </c>
      <c r="BK46" s="33">
        <v>379</v>
      </c>
      <c r="BL46" s="115">
        <v>610</v>
      </c>
      <c r="BM46" s="111">
        <v>661</v>
      </c>
      <c r="BN46" s="35">
        <v>352</v>
      </c>
      <c r="BO46" s="32">
        <v>30</v>
      </c>
      <c r="BP46" s="31">
        <v>419</v>
      </c>
      <c r="BQ46" s="32">
        <v>617</v>
      </c>
      <c r="BR46" s="31">
        <v>576</v>
      </c>
      <c r="BS46" s="32">
        <v>483</v>
      </c>
      <c r="BT46" s="31">
        <v>366</v>
      </c>
      <c r="BU46" s="33">
        <v>45</v>
      </c>
      <c r="BV46" s="115">
        <v>611</v>
      </c>
      <c r="BW46" s="111">
        <v>650</v>
      </c>
      <c r="BX46" s="32">
        <v>404</v>
      </c>
      <c r="BY46" s="31">
        <v>626</v>
      </c>
      <c r="BZ46" s="32">
        <v>384</v>
      </c>
      <c r="CA46" s="111">
        <v>392</v>
      </c>
      <c r="CB46" s="32">
        <v>637</v>
      </c>
      <c r="CC46" s="33">
        <v>618</v>
      </c>
      <c r="CD46" s="34">
        <v>795</v>
      </c>
      <c r="CE46" s="111">
        <v>462</v>
      </c>
      <c r="CF46" s="42">
        <v>381</v>
      </c>
      <c r="CG46" s="31">
        <v>310</v>
      </c>
      <c r="CH46" s="35">
        <v>214</v>
      </c>
      <c r="CI46" s="35">
        <v>342</v>
      </c>
      <c r="CJ46" s="35">
        <v>418</v>
      </c>
      <c r="CK46" s="32">
        <v>369</v>
      </c>
    </row>
    <row r="47" spans="1:89" ht="13" x14ac:dyDescent="0.25">
      <c r="A47" s="27">
        <v>508</v>
      </c>
      <c r="B47" s="28" t="s">
        <v>70</v>
      </c>
      <c r="C47" s="29">
        <v>943</v>
      </c>
      <c r="D47" s="30">
        <v>583</v>
      </c>
      <c r="E47" s="20">
        <f t="shared" si="0"/>
        <v>0.61823966065747615</v>
      </c>
      <c r="F47" s="31">
        <v>0</v>
      </c>
      <c r="G47" s="111">
        <v>0</v>
      </c>
      <c r="H47" s="111">
        <v>0</v>
      </c>
      <c r="I47" s="111">
        <v>6</v>
      </c>
      <c r="J47" s="111">
        <v>0</v>
      </c>
      <c r="K47" s="111">
        <v>0</v>
      </c>
      <c r="L47" s="111">
        <v>0</v>
      </c>
      <c r="M47" s="111">
        <v>483</v>
      </c>
      <c r="N47" s="111">
        <v>0</v>
      </c>
      <c r="O47" s="111">
        <v>0</v>
      </c>
      <c r="P47" s="35">
        <v>2</v>
      </c>
      <c r="Q47" s="35">
        <v>0</v>
      </c>
      <c r="R47" s="35">
        <v>80</v>
      </c>
      <c r="S47" s="32">
        <v>0</v>
      </c>
      <c r="T47" s="31">
        <v>478</v>
      </c>
      <c r="U47" s="32">
        <v>84</v>
      </c>
      <c r="V47" s="31">
        <v>84</v>
      </c>
      <c r="W47" s="32">
        <v>475</v>
      </c>
      <c r="X47" s="31">
        <v>488</v>
      </c>
      <c r="Y47" s="32">
        <v>76</v>
      </c>
      <c r="Z47" s="111">
        <v>484</v>
      </c>
      <c r="AA47" s="35">
        <v>0</v>
      </c>
      <c r="AB47" s="35">
        <v>19</v>
      </c>
      <c r="AC47" s="35">
        <v>68</v>
      </c>
      <c r="AD47" s="35">
        <v>0</v>
      </c>
      <c r="AE47" s="33">
        <v>0</v>
      </c>
      <c r="AF47" s="115">
        <v>0</v>
      </c>
      <c r="AG47" s="111">
        <v>487</v>
      </c>
      <c r="AH47" s="32">
        <v>80</v>
      </c>
      <c r="AI47" s="31"/>
      <c r="AJ47" s="33"/>
      <c r="AK47" s="31"/>
      <c r="AL47" s="32"/>
      <c r="AM47" s="31"/>
      <c r="AN47" s="115"/>
      <c r="AO47" s="111"/>
      <c r="AP47" s="32"/>
      <c r="AQ47" s="31">
        <v>76</v>
      </c>
      <c r="AR47" s="115">
        <v>477</v>
      </c>
      <c r="AS47" s="111"/>
      <c r="AT47" s="32"/>
      <c r="AU47" s="31"/>
      <c r="AV47" s="111"/>
      <c r="AW47" s="111"/>
      <c r="AX47" s="31"/>
      <c r="AY47" s="32"/>
      <c r="AZ47" s="31"/>
      <c r="BA47" s="115"/>
      <c r="BB47" s="31">
        <v>80</v>
      </c>
      <c r="BC47" s="32">
        <v>467</v>
      </c>
      <c r="BD47" s="31">
        <v>75</v>
      </c>
      <c r="BE47" s="115">
        <v>476</v>
      </c>
      <c r="BF47" s="111">
        <v>471</v>
      </c>
      <c r="BG47" s="32">
        <v>77</v>
      </c>
      <c r="BH47" s="31">
        <v>84</v>
      </c>
      <c r="BI47" s="32">
        <v>460</v>
      </c>
      <c r="BJ47" s="111">
        <v>25</v>
      </c>
      <c r="BK47" s="33">
        <v>72</v>
      </c>
      <c r="BL47" s="115">
        <v>458</v>
      </c>
      <c r="BM47" s="111">
        <v>460</v>
      </c>
      <c r="BN47" s="35">
        <v>69</v>
      </c>
      <c r="BO47" s="32">
        <v>22</v>
      </c>
      <c r="BP47" s="31">
        <v>81</v>
      </c>
      <c r="BQ47" s="32">
        <v>466</v>
      </c>
      <c r="BR47" s="31">
        <v>458</v>
      </c>
      <c r="BS47" s="32">
        <v>96</v>
      </c>
      <c r="BT47" s="31">
        <v>69</v>
      </c>
      <c r="BU47" s="33">
        <v>20</v>
      </c>
      <c r="BV47" s="115">
        <v>459</v>
      </c>
      <c r="BW47" s="111">
        <v>471</v>
      </c>
      <c r="BX47" s="32">
        <v>84</v>
      </c>
      <c r="BY47" s="31">
        <v>460</v>
      </c>
      <c r="BZ47" s="32">
        <v>78</v>
      </c>
      <c r="CA47" s="111">
        <v>75</v>
      </c>
      <c r="CB47" s="32">
        <v>470</v>
      </c>
      <c r="CC47" s="33">
        <v>256</v>
      </c>
      <c r="CD47" s="34">
        <v>490</v>
      </c>
      <c r="CE47" s="111">
        <v>150</v>
      </c>
      <c r="CF47" s="42">
        <v>334</v>
      </c>
      <c r="CG47" s="31">
        <v>111</v>
      </c>
      <c r="CH47" s="35">
        <v>41</v>
      </c>
      <c r="CI47" s="35">
        <v>318</v>
      </c>
      <c r="CJ47" s="35">
        <v>326</v>
      </c>
      <c r="CK47" s="32">
        <v>90</v>
      </c>
    </row>
    <row r="48" spans="1:89" ht="13" x14ac:dyDescent="0.25">
      <c r="A48" s="27">
        <v>509</v>
      </c>
      <c r="B48" s="28" t="s">
        <v>71</v>
      </c>
      <c r="C48" s="29">
        <v>1341</v>
      </c>
      <c r="D48" s="30">
        <v>1007</v>
      </c>
      <c r="E48" s="20">
        <f t="shared" si="0"/>
        <v>0.75093214019388521</v>
      </c>
      <c r="F48" s="31">
        <v>0</v>
      </c>
      <c r="G48" s="111">
        <v>0</v>
      </c>
      <c r="H48" s="111">
        <v>0</v>
      </c>
      <c r="I48" s="111">
        <v>1</v>
      </c>
      <c r="J48" s="111">
        <v>3</v>
      </c>
      <c r="K48" s="111">
        <v>0</v>
      </c>
      <c r="L48" s="111">
        <v>0</v>
      </c>
      <c r="M48" s="111">
        <v>563</v>
      </c>
      <c r="N48" s="111">
        <v>0</v>
      </c>
      <c r="O48" s="111">
        <v>0</v>
      </c>
      <c r="P48" s="35">
        <v>4</v>
      </c>
      <c r="Q48" s="35">
        <v>0</v>
      </c>
      <c r="R48" s="35">
        <v>408</v>
      </c>
      <c r="S48" s="32">
        <v>0</v>
      </c>
      <c r="T48" s="31">
        <v>499</v>
      </c>
      <c r="U48" s="32">
        <v>480</v>
      </c>
      <c r="V48" s="31">
        <v>490</v>
      </c>
      <c r="W48" s="32">
        <v>490</v>
      </c>
      <c r="X48" s="31">
        <v>515</v>
      </c>
      <c r="Y48" s="32">
        <v>449</v>
      </c>
      <c r="Z48" s="111">
        <v>543</v>
      </c>
      <c r="AA48" s="35">
        <v>0</v>
      </c>
      <c r="AB48" s="35">
        <v>25</v>
      </c>
      <c r="AC48" s="35">
        <v>425</v>
      </c>
      <c r="AD48" s="35">
        <v>0</v>
      </c>
      <c r="AE48" s="33">
        <v>0</v>
      </c>
      <c r="AF48" s="115">
        <v>0</v>
      </c>
      <c r="AG48" s="111">
        <v>530</v>
      </c>
      <c r="AH48" s="32">
        <v>443</v>
      </c>
      <c r="AI48" s="31"/>
      <c r="AJ48" s="33"/>
      <c r="AK48" s="31"/>
      <c r="AL48" s="32"/>
      <c r="AM48" s="31"/>
      <c r="AN48" s="115"/>
      <c r="AO48" s="111"/>
      <c r="AP48" s="32"/>
      <c r="AQ48" s="31">
        <v>461</v>
      </c>
      <c r="AR48" s="115">
        <v>487</v>
      </c>
      <c r="AS48" s="111"/>
      <c r="AT48" s="32"/>
      <c r="AU48" s="31"/>
      <c r="AV48" s="111"/>
      <c r="AW48" s="111"/>
      <c r="AX48" s="31"/>
      <c r="AY48" s="32"/>
      <c r="AZ48" s="31"/>
      <c r="BA48" s="115"/>
      <c r="BB48" s="31">
        <v>482</v>
      </c>
      <c r="BC48" s="32">
        <v>476</v>
      </c>
      <c r="BD48" s="31">
        <v>463</v>
      </c>
      <c r="BE48" s="115">
        <v>495</v>
      </c>
      <c r="BF48" s="111">
        <v>484</v>
      </c>
      <c r="BG48" s="32">
        <v>473</v>
      </c>
      <c r="BH48" s="31">
        <v>497</v>
      </c>
      <c r="BI48" s="32">
        <v>463</v>
      </c>
      <c r="BJ48" s="111">
        <v>50</v>
      </c>
      <c r="BK48" s="33">
        <v>451</v>
      </c>
      <c r="BL48" s="115">
        <v>451</v>
      </c>
      <c r="BM48" s="111">
        <v>494</v>
      </c>
      <c r="BN48" s="35">
        <v>425</v>
      </c>
      <c r="BO48" s="32">
        <v>44</v>
      </c>
      <c r="BP48" s="31">
        <v>479</v>
      </c>
      <c r="BQ48" s="32">
        <v>473</v>
      </c>
      <c r="BR48" s="31">
        <v>437</v>
      </c>
      <c r="BS48" s="32">
        <v>516</v>
      </c>
      <c r="BT48" s="31">
        <v>440</v>
      </c>
      <c r="BU48" s="33">
        <v>48</v>
      </c>
      <c r="BV48" s="115">
        <v>457</v>
      </c>
      <c r="BW48" s="111">
        <v>490</v>
      </c>
      <c r="BX48" s="32">
        <v>476</v>
      </c>
      <c r="BY48" s="31">
        <v>491</v>
      </c>
      <c r="BZ48" s="32">
        <v>447</v>
      </c>
      <c r="CA48" s="111">
        <v>449</v>
      </c>
      <c r="CB48" s="32">
        <v>504</v>
      </c>
      <c r="CC48" s="33">
        <v>629</v>
      </c>
      <c r="CD48" s="34">
        <v>702</v>
      </c>
      <c r="CE48" s="111">
        <v>442</v>
      </c>
      <c r="CF48" s="42">
        <v>353</v>
      </c>
      <c r="CG48" s="31">
        <v>282</v>
      </c>
      <c r="CH48" s="35">
        <v>277</v>
      </c>
      <c r="CI48" s="35">
        <v>282</v>
      </c>
      <c r="CJ48" s="35">
        <v>350</v>
      </c>
      <c r="CK48" s="32">
        <v>361</v>
      </c>
    </row>
    <row r="49" spans="1:89" ht="13" x14ac:dyDescent="0.25">
      <c r="A49" s="27">
        <v>601</v>
      </c>
      <c r="B49" s="28" t="s">
        <v>72</v>
      </c>
      <c r="C49" s="29">
        <v>2141</v>
      </c>
      <c r="D49" s="30">
        <v>1157</v>
      </c>
      <c r="E49" s="20">
        <f t="shared" si="0"/>
        <v>0.54040168145726297</v>
      </c>
      <c r="F49" s="31">
        <v>0</v>
      </c>
      <c r="G49" s="111">
        <v>0</v>
      </c>
      <c r="H49" s="111">
        <v>0</v>
      </c>
      <c r="I49" s="111">
        <v>4</v>
      </c>
      <c r="J49" s="111">
        <v>1</v>
      </c>
      <c r="K49" s="111">
        <v>0</v>
      </c>
      <c r="L49" s="111">
        <v>0</v>
      </c>
      <c r="M49" s="111">
        <v>879</v>
      </c>
      <c r="N49" s="111">
        <v>0</v>
      </c>
      <c r="O49" s="111">
        <v>0</v>
      </c>
      <c r="P49" s="35">
        <v>12</v>
      </c>
      <c r="Q49" s="35">
        <v>1</v>
      </c>
      <c r="R49" s="35">
        <v>233</v>
      </c>
      <c r="S49" s="32">
        <v>0</v>
      </c>
      <c r="T49" s="37">
        <v>866</v>
      </c>
      <c r="U49" s="38">
        <v>256</v>
      </c>
      <c r="V49" s="37">
        <v>259</v>
      </c>
      <c r="W49" s="32">
        <v>854</v>
      </c>
      <c r="X49" s="31">
        <v>868</v>
      </c>
      <c r="Y49" s="32">
        <v>235</v>
      </c>
      <c r="Z49" s="111">
        <v>897</v>
      </c>
      <c r="AA49" s="35">
        <v>0</v>
      </c>
      <c r="AB49" s="35">
        <v>22</v>
      </c>
      <c r="AC49" s="35">
        <v>219</v>
      </c>
      <c r="AD49" s="35">
        <v>0</v>
      </c>
      <c r="AE49" s="33">
        <v>0</v>
      </c>
      <c r="AF49" s="116">
        <v>0</v>
      </c>
      <c r="AG49" s="120">
        <v>856</v>
      </c>
      <c r="AH49" s="38">
        <v>244</v>
      </c>
      <c r="AI49" s="37"/>
      <c r="AJ49" s="36"/>
      <c r="AK49" s="37"/>
      <c r="AL49" s="38"/>
      <c r="AM49" s="37">
        <v>851</v>
      </c>
      <c r="AN49" s="116">
        <v>240</v>
      </c>
      <c r="AO49" s="120"/>
      <c r="AP49" s="38"/>
      <c r="AQ49" s="37"/>
      <c r="AR49" s="116"/>
      <c r="AS49" s="120"/>
      <c r="AT49" s="38"/>
      <c r="AU49" s="37"/>
      <c r="AV49" s="120"/>
      <c r="AW49" s="120"/>
      <c r="AX49" s="37"/>
      <c r="AY49" s="38"/>
      <c r="AZ49" s="37"/>
      <c r="BA49" s="116"/>
      <c r="BB49" s="31">
        <v>254</v>
      </c>
      <c r="BC49" s="32">
        <v>819</v>
      </c>
      <c r="BD49" s="31">
        <v>244</v>
      </c>
      <c r="BE49" s="116">
        <v>832</v>
      </c>
      <c r="BF49" s="120">
        <v>840</v>
      </c>
      <c r="BG49" s="38">
        <v>237</v>
      </c>
      <c r="BH49" s="37">
        <v>269</v>
      </c>
      <c r="BI49" s="38">
        <v>803</v>
      </c>
      <c r="BJ49" s="111">
        <v>46</v>
      </c>
      <c r="BK49" s="33">
        <v>229</v>
      </c>
      <c r="BL49" s="115">
        <v>804</v>
      </c>
      <c r="BM49" s="111">
        <v>817</v>
      </c>
      <c r="BN49" s="35">
        <v>222</v>
      </c>
      <c r="BO49" s="32">
        <v>40</v>
      </c>
      <c r="BP49" s="31">
        <v>262</v>
      </c>
      <c r="BQ49" s="32">
        <v>815</v>
      </c>
      <c r="BR49" s="31">
        <v>786</v>
      </c>
      <c r="BS49" s="32">
        <v>306</v>
      </c>
      <c r="BT49" s="31">
        <v>217</v>
      </c>
      <c r="BU49" s="33">
        <v>44</v>
      </c>
      <c r="BV49" s="115">
        <v>820</v>
      </c>
      <c r="BW49" s="111">
        <v>835</v>
      </c>
      <c r="BX49" s="32">
        <v>262</v>
      </c>
      <c r="BY49" s="31">
        <v>829</v>
      </c>
      <c r="BZ49" s="32">
        <v>233</v>
      </c>
      <c r="CA49" s="111">
        <v>259</v>
      </c>
      <c r="CB49" s="32">
        <v>812</v>
      </c>
      <c r="CC49" s="33">
        <v>595</v>
      </c>
      <c r="CD49" s="34">
        <v>926</v>
      </c>
      <c r="CE49" s="120">
        <v>398</v>
      </c>
      <c r="CF49" s="38">
        <v>528</v>
      </c>
      <c r="CG49" s="31">
        <v>252</v>
      </c>
      <c r="CH49" s="35">
        <v>127</v>
      </c>
      <c r="CI49" s="35">
        <v>503</v>
      </c>
      <c r="CJ49" s="35">
        <v>617</v>
      </c>
      <c r="CK49" s="32">
        <v>191</v>
      </c>
    </row>
    <row r="50" spans="1:89" ht="13" x14ac:dyDescent="0.25">
      <c r="A50" s="27">
        <v>602</v>
      </c>
      <c r="B50" s="28" t="s">
        <v>73</v>
      </c>
      <c r="C50" s="29">
        <v>1418</v>
      </c>
      <c r="D50" s="30">
        <v>757</v>
      </c>
      <c r="E50" s="20">
        <f t="shared" si="0"/>
        <v>0.53385049365303239</v>
      </c>
      <c r="F50" s="31">
        <v>0</v>
      </c>
      <c r="G50" s="111">
        <v>0</v>
      </c>
      <c r="H50" s="111">
        <v>0</v>
      </c>
      <c r="I50" s="111">
        <v>0</v>
      </c>
      <c r="J50" s="111">
        <v>2</v>
      </c>
      <c r="K50" s="111">
        <v>0</v>
      </c>
      <c r="L50" s="111">
        <v>0</v>
      </c>
      <c r="M50" s="111">
        <v>526</v>
      </c>
      <c r="N50" s="111">
        <v>0</v>
      </c>
      <c r="O50" s="111">
        <v>0</v>
      </c>
      <c r="P50" s="35">
        <v>2</v>
      </c>
      <c r="Q50" s="35">
        <v>1</v>
      </c>
      <c r="R50" s="35">
        <v>223</v>
      </c>
      <c r="S50" s="32">
        <v>0</v>
      </c>
      <c r="T50" s="37">
        <v>512</v>
      </c>
      <c r="U50" s="38">
        <v>224</v>
      </c>
      <c r="V50" s="37">
        <v>230</v>
      </c>
      <c r="W50" s="32">
        <v>504</v>
      </c>
      <c r="X50" s="31">
        <v>509</v>
      </c>
      <c r="Y50" s="32">
        <v>215</v>
      </c>
      <c r="Z50" s="111">
        <v>532</v>
      </c>
      <c r="AA50" s="35">
        <v>0</v>
      </c>
      <c r="AB50" s="35">
        <v>12</v>
      </c>
      <c r="AC50" s="35">
        <v>203</v>
      </c>
      <c r="AD50" s="35">
        <v>0</v>
      </c>
      <c r="AE50" s="33">
        <v>0</v>
      </c>
      <c r="AF50" s="116">
        <v>0</v>
      </c>
      <c r="AG50" s="120">
        <v>516</v>
      </c>
      <c r="AH50" s="38">
        <v>213</v>
      </c>
      <c r="AI50" s="37"/>
      <c r="AJ50" s="36"/>
      <c r="AK50" s="37"/>
      <c r="AL50" s="38"/>
      <c r="AM50" s="37">
        <v>504</v>
      </c>
      <c r="AN50" s="116">
        <v>217</v>
      </c>
      <c r="AO50" s="120"/>
      <c r="AP50" s="38"/>
      <c r="AQ50" s="37"/>
      <c r="AR50" s="116"/>
      <c r="AS50" s="120"/>
      <c r="AT50" s="38"/>
      <c r="AU50" s="37"/>
      <c r="AV50" s="120"/>
      <c r="AW50" s="120"/>
      <c r="AX50" s="37"/>
      <c r="AY50" s="38"/>
      <c r="AZ50" s="37"/>
      <c r="BA50" s="116"/>
      <c r="BB50" s="31">
        <v>221</v>
      </c>
      <c r="BC50" s="32">
        <v>494</v>
      </c>
      <c r="BD50" s="31">
        <v>218</v>
      </c>
      <c r="BE50" s="116">
        <v>498</v>
      </c>
      <c r="BF50" s="120">
        <v>497</v>
      </c>
      <c r="BG50" s="38">
        <v>217</v>
      </c>
      <c r="BH50" s="37">
        <v>224</v>
      </c>
      <c r="BI50" s="38">
        <v>484</v>
      </c>
      <c r="BJ50" s="111">
        <v>41</v>
      </c>
      <c r="BK50" s="33">
        <v>202</v>
      </c>
      <c r="BL50" s="115">
        <v>469</v>
      </c>
      <c r="BM50" s="111">
        <v>463</v>
      </c>
      <c r="BN50" s="35">
        <v>217</v>
      </c>
      <c r="BO50" s="32">
        <v>36</v>
      </c>
      <c r="BP50" s="31">
        <v>221</v>
      </c>
      <c r="BQ50" s="32">
        <v>487</v>
      </c>
      <c r="BR50" s="31">
        <v>463</v>
      </c>
      <c r="BS50" s="32">
        <v>255</v>
      </c>
      <c r="BT50" s="31">
        <v>190</v>
      </c>
      <c r="BU50" s="33">
        <v>40</v>
      </c>
      <c r="BV50" s="115">
        <v>478</v>
      </c>
      <c r="BW50" s="111">
        <v>490</v>
      </c>
      <c r="BX50" s="32">
        <v>228</v>
      </c>
      <c r="BY50" s="31">
        <v>491</v>
      </c>
      <c r="BZ50" s="32">
        <v>208</v>
      </c>
      <c r="CA50" s="111">
        <v>221</v>
      </c>
      <c r="CB50" s="32">
        <v>484</v>
      </c>
      <c r="CC50" s="33">
        <v>458</v>
      </c>
      <c r="CD50" s="34">
        <v>588</v>
      </c>
      <c r="CE50" s="120">
        <v>250</v>
      </c>
      <c r="CF50" s="38">
        <v>332</v>
      </c>
      <c r="CG50" s="31">
        <v>136</v>
      </c>
      <c r="CH50" s="35">
        <v>99</v>
      </c>
      <c r="CI50" s="35">
        <v>272</v>
      </c>
      <c r="CJ50" s="35">
        <v>351</v>
      </c>
      <c r="CK50" s="32">
        <v>166</v>
      </c>
    </row>
    <row r="51" spans="1:89" ht="13" x14ac:dyDescent="0.25">
      <c r="A51" s="27">
        <v>603</v>
      </c>
      <c r="B51" s="28" t="s">
        <v>74</v>
      </c>
      <c r="C51" s="29">
        <v>1737</v>
      </c>
      <c r="D51" s="30">
        <v>817</v>
      </c>
      <c r="E51" s="20">
        <f t="shared" si="0"/>
        <v>0.47035118019573979</v>
      </c>
      <c r="F51" s="31">
        <v>0</v>
      </c>
      <c r="G51" s="111">
        <v>0</v>
      </c>
      <c r="H51" s="111">
        <v>0</v>
      </c>
      <c r="I51" s="111">
        <v>2</v>
      </c>
      <c r="J51" s="111">
        <v>2</v>
      </c>
      <c r="K51" s="111">
        <v>0</v>
      </c>
      <c r="L51" s="111">
        <v>0</v>
      </c>
      <c r="M51" s="111">
        <v>684</v>
      </c>
      <c r="N51" s="111">
        <v>0</v>
      </c>
      <c r="O51" s="111">
        <v>0</v>
      </c>
      <c r="P51" s="35">
        <v>7</v>
      </c>
      <c r="Q51" s="35">
        <v>2</v>
      </c>
      <c r="R51" s="35">
        <v>102</v>
      </c>
      <c r="S51" s="32">
        <v>1</v>
      </c>
      <c r="T51" s="37">
        <v>673</v>
      </c>
      <c r="U51" s="38">
        <v>126</v>
      </c>
      <c r="V51" s="37">
        <v>126</v>
      </c>
      <c r="W51" s="32">
        <v>671</v>
      </c>
      <c r="X51" s="31">
        <v>681</v>
      </c>
      <c r="Y51" s="32">
        <v>108</v>
      </c>
      <c r="Z51" s="111">
        <v>676</v>
      </c>
      <c r="AA51" s="35">
        <v>0</v>
      </c>
      <c r="AB51" s="35">
        <v>26</v>
      </c>
      <c r="AC51" s="35">
        <v>100</v>
      </c>
      <c r="AD51" s="35">
        <v>0</v>
      </c>
      <c r="AE51" s="33">
        <v>0</v>
      </c>
      <c r="AF51" s="116">
        <v>2</v>
      </c>
      <c r="AG51" s="120">
        <v>662</v>
      </c>
      <c r="AH51" s="38">
        <v>115</v>
      </c>
      <c r="AI51" s="37"/>
      <c r="AJ51" s="36"/>
      <c r="AK51" s="37"/>
      <c r="AL51" s="38"/>
      <c r="AM51" s="37">
        <v>671</v>
      </c>
      <c r="AN51" s="116">
        <v>111</v>
      </c>
      <c r="AO51" s="120"/>
      <c r="AP51" s="38"/>
      <c r="AQ51" s="37"/>
      <c r="AR51" s="116"/>
      <c r="AS51" s="120"/>
      <c r="AT51" s="38"/>
      <c r="AU51" s="37"/>
      <c r="AV51" s="120"/>
      <c r="AW51" s="120"/>
      <c r="AX51" s="37"/>
      <c r="AY51" s="38"/>
      <c r="AZ51" s="37"/>
      <c r="BA51" s="116"/>
      <c r="BB51" s="31">
        <v>121</v>
      </c>
      <c r="BC51" s="32">
        <v>652</v>
      </c>
      <c r="BD51" s="31">
        <v>117</v>
      </c>
      <c r="BE51" s="116">
        <v>658</v>
      </c>
      <c r="BF51" s="120">
        <v>666</v>
      </c>
      <c r="BG51" s="38">
        <v>109</v>
      </c>
      <c r="BH51" s="37">
        <v>120</v>
      </c>
      <c r="BI51" s="38">
        <v>657</v>
      </c>
      <c r="BJ51" s="111">
        <v>40</v>
      </c>
      <c r="BK51" s="33">
        <v>99</v>
      </c>
      <c r="BL51" s="115">
        <v>634</v>
      </c>
      <c r="BM51" s="111">
        <v>654</v>
      </c>
      <c r="BN51" s="35">
        <v>91</v>
      </c>
      <c r="BO51" s="32">
        <v>29</v>
      </c>
      <c r="BP51" s="31">
        <v>113</v>
      </c>
      <c r="BQ51" s="32">
        <v>658</v>
      </c>
      <c r="BR51" s="31">
        <v>639</v>
      </c>
      <c r="BS51" s="32">
        <v>134</v>
      </c>
      <c r="BT51" s="31">
        <v>94</v>
      </c>
      <c r="BU51" s="33">
        <v>34</v>
      </c>
      <c r="BV51" s="115">
        <v>646</v>
      </c>
      <c r="BW51" s="111">
        <v>660</v>
      </c>
      <c r="BX51" s="32">
        <v>121</v>
      </c>
      <c r="BY51" s="31">
        <v>652</v>
      </c>
      <c r="BZ51" s="32">
        <v>112</v>
      </c>
      <c r="CA51" s="111">
        <v>122</v>
      </c>
      <c r="CB51" s="32">
        <v>643</v>
      </c>
      <c r="CC51" s="33">
        <v>333</v>
      </c>
      <c r="CD51" s="34">
        <v>674</v>
      </c>
      <c r="CE51" s="120">
        <v>252</v>
      </c>
      <c r="CF51" s="38">
        <v>417</v>
      </c>
      <c r="CG51" s="31">
        <v>153</v>
      </c>
      <c r="CH51" s="35">
        <v>62</v>
      </c>
      <c r="CI51" s="35">
        <v>420</v>
      </c>
      <c r="CJ51" s="35">
        <v>488</v>
      </c>
      <c r="CK51" s="32">
        <v>113</v>
      </c>
    </row>
    <row r="52" spans="1:89" ht="13" x14ac:dyDescent="0.25">
      <c r="A52" s="27">
        <v>604</v>
      </c>
      <c r="B52" s="28" t="s">
        <v>75</v>
      </c>
      <c r="C52" s="29">
        <v>1823</v>
      </c>
      <c r="D52" s="30">
        <v>992</v>
      </c>
      <c r="E52" s="20">
        <f t="shared" si="0"/>
        <v>0.54415798134942406</v>
      </c>
      <c r="F52" s="31">
        <v>0</v>
      </c>
      <c r="G52" s="111">
        <v>0</v>
      </c>
      <c r="H52" s="111">
        <v>0</v>
      </c>
      <c r="I52" s="111">
        <v>1</v>
      </c>
      <c r="J52" s="111">
        <v>0</v>
      </c>
      <c r="K52" s="111">
        <v>0</v>
      </c>
      <c r="L52" s="111">
        <v>0</v>
      </c>
      <c r="M52" s="111">
        <v>846</v>
      </c>
      <c r="N52" s="111">
        <v>0</v>
      </c>
      <c r="O52" s="111">
        <v>0</v>
      </c>
      <c r="P52" s="35">
        <v>7</v>
      </c>
      <c r="Q52" s="35">
        <v>2</v>
      </c>
      <c r="R52" s="35">
        <v>119</v>
      </c>
      <c r="S52" s="32">
        <v>1</v>
      </c>
      <c r="T52" s="37">
        <v>832</v>
      </c>
      <c r="U52" s="38">
        <v>134</v>
      </c>
      <c r="V52" s="37">
        <v>131</v>
      </c>
      <c r="W52" s="32">
        <v>833</v>
      </c>
      <c r="X52" s="31">
        <v>846</v>
      </c>
      <c r="Y52" s="32">
        <v>113</v>
      </c>
      <c r="Z52" s="111">
        <v>852</v>
      </c>
      <c r="AA52" s="35">
        <v>0</v>
      </c>
      <c r="AB52" s="35">
        <v>21</v>
      </c>
      <c r="AC52" s="35">
        <v>104</v>
      </c>
      <c r="AD52" s="35">
        <v>0</v>
      </c>
      <c r="AE52" s="33">
        <v>0</v>
      </c>
      <c r="AF52" s="116">
        <v>0</v>
      </c>
      <c r="AG52" s="120">
        <v>828</v>
      </c>
      <c r="AH52" s="38">
        <v>126</v>
      </c>
      <c r="AI52" s="37"/>
      <c r="AJ52" s="36"/>
      <c r="AK52" s="37"/>
      <c r="AL52" s="38"/>
      <c r="AM52" s="37">
        <v>847</v>
      </c>
      <c r="AN52" s="116">
        <v>115</v>
      </c>
      <c r="AO52" s="120"/>
      <c r="AP52" s="38"/>
      <c r="AQ52" s="37"/>
      <c r="AR52" s="116"/>
      <c r="AS52" s="120"/>
      <c r="AT52" s="38"/>
      <c r="AU52" s="37"/>
      <c r="AV52" s="120"/>
      <c r="AW52" s="120"/>
      <c r="AX52" s="37"/>
      <c r="AY52" s="38"/>
      <c r="AZ52" s="37"/>
      <c r="BA52" s="116"/>
      <c r="BB52" s="31">
        <v>134</v>
      </c>
      <c r="BC52" s="32">
        <v>805</v>
      </c>
      <c r="BD52" s="31">
        <v>121</v>
      </c>
      <c r="BE52" s="116">
        <v>818</v>
      </c>
      <c r="BF52" s="120">
        <v>820</v>
      </c>
      <c r="BG52" s="38">
        <v>118</v>
      </c>
      <c r="BH52" s="37">
        <v>131</v>
      </c>
      <c r="BI52" s="38">
        <v>799</v>
      </c>
      <c r="BJ52" s="111">
        <v>37</v>
      </c>
      <c r="BK52" s="33">
        <v>105</v>
      </c>
      <c r="BL52" s="115">
        <v>797</v>
      </c>
      <c r="BM52" s="111">
        <v>796</v>
      </c>
      <c r="BN52" s="35">
        <v>112</v>
      </c>
      <c r="BO52" s="32">
        <v>33</v>
      </c>
      <c r="BP52" s="31">
        <v>125</v>
      </c>
      <c r="BQ52" s="32">
        <v>805</v>
      </c>
      <c r="BR52" s="31">
        <v>781</v>
      </c>
      <c r="BS52" s="32">
        <v>156</v>
      </c>
      <c r="BT52" s="31">
        <v>98</v>
      </c>
      <c r="BU52" s="33">
        <v>38</v>
      </c>
      <c r="BV52" s="115">
        <v>784</v>
      </c>
      <c r="BW52" s="111">
        <v>810</v>
      </c>
      <c r="BX52" s="32">
        <v>129</v>
      </c>
      <c r="BY52" s="31">
        <v>794</v>
      </c>
      <c r="BZ52" s="32">
        <v>116</v>
      </c>
      <c r="CA52" s="111">
        <v>123</v>
      </c>
      <c r="CB52" s="32">
        <v>796</v>
      </c>
      <c r="CC52" s="33">
        <v>412</v>
      </c>
      <c r="CD52" s="34">
        <v>808</v>
      </c>
      <c r="CE52" s="120">
        <v>257</v>
      </c>
      <c r="CF52" s="38">
        <v>519</v>
      </c>
      <c r="CG52" s="31">
        <v>175</v>
      </c>
      <c r="CH52" s="35">
        <v>74</v>
      </c>
      <c r="CI52" s="35">
        <v>498</v>
      </c>
      <c r="CJ52" s="35">
        <v>556</v>
      </c>
      <c r="CK52" s="32">
        <v>163</v>
      </c>
    </row>
    <row r="53" spans="1:89" ht="13" x14ac:dyDescent="0.25">
      <c r="A53" s="27">
        <v>605</v>
      </c>
      <c r="B53" s="28" t="s">
        <v>76</v>
      </c>
      <c r="C53" s="29">
        <v>1539</v>
      </c>
      <c r="D53" s="30">
        <v>928</v>
      </c>
      <c r="E53" s="20">
        <f t="shared" si="0"/>
        <v>0.60298895386614682</v>
      </c>
      <c r="F53" s="31">
        <v>0</v>
      </c>
      <c r="G53" s="111">
        <v>0</v>
      </c>
      <c r="H53" s="111">
        <v>0</v>
      </c>
      <c r="I53" s="111">
        <v>1</v>
      </c>
      <c r="J53" s="111">
        <v>0</v>
      </c>
      <c r="K53" s="111">
        <v>0</v>
      </c>
      <c r="L53" s="111">
        <v>0</v>
      </c>
      <c r="M53" s="111">
        <v>652</v>
      </c>
      <c r="N53" s="111">
        <v>0</v>
      </c>
      <c r="O53" s="111">
        <v>0</v>
      </c>
      <c r="P53" s="35">
        <v>3</v>
      </c>
      <c r="Q53" s="35">
        <v>3</v>
      </c>
      <c r="R53" s="35">
        <v>256</v>
      </c>
      <c r="S53" s="32">
        <v>0</v>
      </c>
      <c r="T53" s="37">
        <v>644</v>
      </c>
      <c r="U53" s="38">
        <v>265</v>
      </c>
      <c r="V53" s="37">
        <v>279</v>
      </c>
      <c r="W53" s="32">
        <v>626</v>
      </c>
      <c r="X53" s="31">
        <v>636</v>
      </c>
      <c r="Y53" s="32">
        <v>263</v>
      </c>
      <c r="Z53" s="111">
        <v>645</v>
      </c>
      <c r="AA53" s="35">
        <v>0</v>
      </c>
      <c r="AB53" s="35">
        <v>26</v>
      </c>
      <c r="AC53" s="35">
        <v>241</v>
      </c>
      <c r="AD53" s="35">
        <v>0</v>
      </c>
      <c r="AE53" s="33">
        <v>0</v>
      </c>
      <c r="AF53" s="116">
        <v>0</v>
      </c>
      <c r="AG53" s="120">
        <v>650</v>
      </c>
      <c r="AH53" s="38">
        <v>246</v>
      </c>
      <c r="AI53" s="37"/>
      <c r="AJ53" s="36"/>
      <c r="AK53" s="37"/>
      <c r="AL53" s="38"/>
      <c r="AM53" s="37">
        <v>621</v>
      </c>
      <c r="AN53" s="116">
        <v>264</v>
      </c>
      <c r="AO53" s="120"/>
      <c r="AP53" s="38"/>
      <c r="AQ53" s="37"/>
      <c r="AR53" s="116"/>
      <c r="AS53" s="120"/>
      <c r="AT53" s="38"/>
      <c r="AU53" s="37"/>
      <c r="AV53" s="120"/>
      <c r="AW53" s="120"/>
      <c r="AX53" s="37"/>
      <c r="AY53" s="38"/>
      <c r="AZ53" s="37"/>
      <c r="BA53" s="116"/>
      <c r="BB53" s="31">
        <v>269</v>
      </c>
      <c r="BC53" s="32">
        <v>607</v>
      </c>
      <c r="BD53" s="31">
        <v>260</v>
      </c>
      <c r="BE53" s="116">
        <v>616</v>
      </c>
      <c r="BF53" s="120">
        <v>616</v>
      </c>
      <c r="BG53" s="38">
        <v>259</v>
      </c>
      <c r="BH53" s="37">
        <v>270</v>
      </c>
      <c r="BI53" s="38">
        <v>603</v>
      </c>
      <c r="BJ53" s="111">
        <v>48</v>
      </c>
      <c r="BK53" s="33">
        <v>235</v>
      </c>
      <c r="BL53" s="115">
        <v>592</v>
      </c>
      <c r="BM53" s="111">
        <v>606</v>
      </c>
      <c r="BN53" s="35">
        <v>230</v>
      </c>
      <c r="BO53" s="32">
        <v>44</v>
      </c>
      <c r="BP53" s="31">
        <v>263</v>
      </c>
      <c r="BQ53" s="32">
        <v>601</v>
      </c>
      <c r="BR53" s="31">
        <v>577</v>
      </c>
      <c r="BS53" s="32">
        <v>306</v>
      </c>
      <c r="BT53" s="31">
        <v>237</v>
      </c>
      <c r="BU53" s="33">
        <v>43</v>
      </c>
      <c r="BV53" s="115">
        <v>597</v>
      </c>
      <c r="BW53" s="111">
        <v>624</v>
      </c>
      <c r="BX53" s="32">
        <v>270</v>
      </c>
      <c r="BY53" s="31">
        <v>616</v>
      </c>
      <c r="BZ53" s="32">
        <v>247</v>
      </c>
      <c r="CA53" s="111">
        <v>271</v>
      </c>
      <c r="CB53" s="32">
        <v>600</v>
      </c>
      <c r="CC53" s="33">
        <v>484</v>
      </c>
      <c r="CD53" s="34">
        <v>714</v>
      </c>
      <c r="CE53" s="120">
        <v>317</v>
      </c>
      <c r="CF53" s="38">
        <v>399</v>
      </c>
      <c r="CG53" s="31">
        <v>210</v>
      </c>
      <c r="CH53" s="35">
        <v>131</v>
      </c>
      <c r="CI53" s="35">
        <v>344</v>
      </c>
      <c r="CJ53" s="35">
        <v>433</v>
      </c>
      <c r="CK53" s="32">
        <v>196</v>
      </c>
    </row>
    <row r="54" spans="1:89" ht="13" x14ac:dyDescent="0.25">
      <c r="A54" s="27">
        <v>701</v>
      </c>
      <c r="B54" s="28" t="s">
        <v>77</v>
      </c>
      <c r="C54" s="29">
        <v>1287</v>
      </c>
      <c r="D54" s="30">
        <v>802</v>
      </c>
      <c r="E54" s="20">
        <f t="shared" si="0"/>
        <v>0.62315462315462311</v>
      </c>
      <c r="F54" s="31">
        <v>0</v>
      </c>
      <c r="G54" s="111">
        <v>0</v>
      </c>
      <c r="H54" s="111">
        <v>0</v>
      </c>
      <c r="I54" s="111">
        <v>0</v>
      </c>
      <c r="J54" s="111">
        <v>1</v>
      </c>
      <c r="K54" s="111">
        <v>0</v>
      </c>
      <c r="L54" s="111">
        <v>0</v>
      </c>
      <c r="M54" s="111">
        <v>713</v>
      </c>
      <c r="N54" s="111">
        <v>0</v>
      </c>
      <c r="O54" s="111">
        <v>0</v>
      </c>
      <c r="P54" s="35">
        <v>2</v>
      </c>
      <c r="Q54" s="35">
        <v>2</v>
      </c>
      <c r="R54" s="35">
        <v>72</v>
      </c>
      <c r="S54" s="32">
        <v>0</v>
      </c>
      <c r="T54" s="37">
        <v>696</v>
      </c>
      <c r="U54" s="38">
        <v>73</v>
      </c>
      <c r="V54" s="37">
        <v>96</v>
      </c>
      <c r="W54" s="32">
        <v>674</v>
      </c>
      <c r="X54" s="31">
        <v>698</v>
      </c>
      <c r="Y54" s="32">
        <v>61</v>
      </c>
      <c r="Z54" s="111">
        <v>694</v>
      </c>
      <c r="AA54" s="35">
        <v>0</v>
      </c>
      <c r="AB54" s="35">
        <v>34</v>
      </c>
      <c r="AC54" s="35">
        <v>56</v>
      </c>
      <c r="AD54" s="35">
        <v>0</v>
      </c>
      <c r="AE54" s="33">
        <v>0</v>
      </c>
      <c r="AF54" s="116">
        <v>0</v>
      </c>
      <c r="AG54" s="120">
        <v>702</v>
      </c>
      <c r="AH54" s="38">
        <v>74</v>
      </c>
      <c r="AI54" s="37"/>
      <c r="AJ54" s="36"/>
      <c r="AK54" s="37"/>
      <c r="AL54" s="38"/>
      <c r="AM54" s="37"/>
      <c r="AN54" s="116"/>
      <c r="AO54" s="120">
        <v>68</v>
      </c>
      <c r="AP54" s="38">
        <v>710</v>
      </c>
      <c r="AQ54" s="37"/>
      <c r="AR54" s="116"/>
      <c r="AS54" s="120"/>
      <c r="AT54" s="38"/>
      <c r="AU54" s="37"/>
      <c r="AV54" s="120"/>
      <c r="AW54" s="120"/>
      <c r="AX54" s="37"/>
      <c r="AY54" s="38"/>
      <c r="AZ54" s="37"/>
      <c r="BA54" s="116"/>
      <c r="BB54" s="31">
        <v>73</v>
      </c>
      <c r="BC54" s="32">
        <v>685</v>
      </c>
      <c r="BD54" s="31">
        <v>70</v>
      </c>
      <c r="BE54" s="116">
        <v>687</v>
      </c>
      <c r="BF54" s="120">
        <v>678</v>
      </c>
      <c r="BG54" s="38">
        <v>72</v>
      </c>
      <c r="BH54" s="37">
        <v>90</v>
      </c>
      <c r="BI54" s="38">
        <v>664</v>
      </c>
      <c r="BJ54" s="111">
        <v>27</v>
      </c>
      <c r="BK54" s="33">
        <v>54</v>
      </c>
      <c r="BL54" s="115">
        <v>695</v>
      </c>
      <c r="BM54" s="111">
        <v>684</v>
      </c>
      <c r="BN54" s="35">
        <v>56</v>
      </c>
      <c r="BO54" s="32">
        <v>25</v>
      </c>
      <c r="BP54" s="31">
        <v>73</v>
      </c>
      <c r="BQ54" s="32">
        <v>685</v>
      </c>
      <c r="BR54" s="31">
        <v>651</v>
      </c>
      <c r="BS54" s="32">
        <v>111</v>
      </c>
      <c r="BT54" s="31">
        <v>66</v>
      </c>
      <c r="BU54" s="33">
        <v>29</v>
      </c>
      <c r="BV54" s="115">
        <v>672</v>
      </c>
      <c r="BW54" s="111">
        <v>702</v>
      </c>
      <c r="BX54" s="32">
        <v>71</v>
      </c>
      <c r="BY54" s="31">
        <v>690</v>
      </c>
      <c r="BZ54" s="32">
        <v>60</v>
      </c>
      <c r="CA54" s="111">
        <v>65</v>
      </c>
      <c r="CB54" s="32">
        <v>695</v>
      </c>
      <c r="CC54" s="33">
        <v>243</v>
      </c>
      <c r="CD54" s="34">
        <v>699</v>
      </c>
      <c r="CE54" s="120">
        <v>224</v>
      </c>
      <c r="CF54" s="38">
        <v>414</v>
      </c>
      <c r="CG54" s="31">
        <v>165</v>
      </c>
      <c r="CH54" s="35">
        <v>65</v>
      </c>
      <c r="CI54" s="35">
        <v>391</v>
      </c>
      <c r="CJ54" s="35">
        <v>384</v>
      </c>
      <c r="CK54" s="32">
        <v>151</v>
      </c>
    </row>
    <row r="55" spans="1:89" ht="13" x14ac:dyDescent="0.25">
      <c r="A55" s="27">
        <v>702</v>
      </c>
      <c r="B55" s="28" t="s">
        <v>78</v>
      </c>
      <c r="C55" s="29">
        <v>727</v>
      </c>
      <c r="D55" s="30">
        <v>334</v>
      </c>
      <c r="E55" s="20">
        <f t="shared" si="0"/>
        <v>0.45942228335625862</v>
      </c>
      <c r="F55" s="31">
        <v>0</v>
      </c>
      <c r="G55" s="111">
        <v>0</v>
      </c>
      <c r="H55" s="111">
        <v>0</v>
      </c>
      <c r="I55" s="111">
        <v>0</v>
      </c>
      <c r="J55" s="111">
        <v>1</v>
      </c>
      <c r="K55" s="111">
        <v>0</v>
      </c>
      <c r="L55" s="111">
        <v>0</v>
      </c>
      <c r="M55" s="111">
        <v>306</v>
      </c>
      <c r="N55" s="111">
        <v>0</v>
      </c>
      <c r="O55" s="111">
        <v>0</v>
      </c>
      <c r="P55" s="35">
        <v>2</v>
      </c>
      <c r="Q55" s="35">
        <v>1</v>
      </c>
      <c r="R55" s="35">
        <v>16</v>
      </c>
      <c r="S55" s="32">
        <v>0</v>
      </c>
      <c r="T55" s="37">
        <v>292</v>
      </c>
      <c r="U55" s="38">
        <v>26</v>
      </c>
      <c r="V55" s="37">
        <v>29</v>
      </c>
      <c r="W55" s="32">
        <v>286</v>
      </c>
      <c r="X55" s="31">
        <v>288</v>
      </c>
      <c r="Y55" s="32">
        <v>24</v>
      </c>
      <c r="Z55" s="111">
        <v>286</v>
      </c>
      <c r="AA55" s="35">
        <v>0</v>
      </c>
      <c r="AB55" s="35">
        <v>14</v>
      </c>
      <c r="AC55" s="35">
        <v>17</v>
      </c>
      <c r="AD55" s="35">
        <v>0</v>
      </c>
      <c r="AE55" s="33">
        <v>0</v>
      </c>
      <c r="AF55" s="116">
        <v>0</v>
      </c>
      <c r="AG55" s="120">
        <v>291</v>
      </c>
      <c r="AH55" s="38">
        <v>21</v>
      </c>
      <c r="AI55" s="37"/>
      <c r="AJ55" s="36"/>
      <c r="AK55" s="37"/>
      <c r="AL55" s="38"/>
      <c r="AM55" s="37"/>
      <c r="AN55" s="116"/>
      <c r="AO55" s="120"/>
      <c r="AP55" s="38"/>
      <c r="AQ55" s="37">
        <v>20</v>
      </c>
      <c r="AR55" s="116">
        <v>299</v>
      </c>
      <c r="AS55" s="120"/>
      <c r="AT55" s="38"/>
      <c r="AU55" s="37"/>
      <c r="AV55" s="120"/>
      <c r="AW55" s="120"/>
      <c r="AX55" s="37"/>
      <c r="AY55" s="38"/>
      <c r="AZ55" s="37"/>
      <c r="BA55" s="116"/>
      <c r="BB55" s="31">
        <v>19</v>
      </c>
      <c r="BC55" s="32">
        <v>298</v>
      </c>
      <c r="BD55" s="31">
        <v>28</v>
      </c>
      <c r="BE55" s="116">
        <v>289</v>
      </c>
      <c r="BF55" s="120">
        <v>288</v>
      </c>
      <c r="BG55" s="38">
        <v>26</v>
      </c>
      <c r="BH55" s="37">
        <v>28</v>
      </c>
      <c r="BI55" s="38">
        <v>285</v>
      </c>
      <c r="BJ55" s="111">
        <v>1</v>
      </c>
      <c r="BK55" s="33">
        <v>20</v>
      </c>
      <c r="BL55" s="115">
        <v>303</v>
      </c>
      <c r="BM55" s="111">
        <v>294</v>
      </c>
      <c r="BN55" s="35">
        <v>14</v>
      </c>
      <c r="BO55" s="32">
        <v>3</v>
      </c>
      <c r="BP55" s="31">
        <v>24</v>
      </c>
      <c r="BQ55" s="32">
        <v>290</v>
      </c>
      <c r="BR55" s="31">
        <v>277</v>
      </c>
      <c r="BS55" s="32">
        <v>35</v>
      </c>
      <c r="BT55" s="31">
        <v>21</v>
      </c>
      <c r="BU55" s="33">
        <v>8</v>
      </c>
      <c r="BV55" s="115">
        <v>288</v>
      </c>
      <c r="BW55" s="111">
        <v>290</v>
      </c>
      <c r="BX55" s="32">
        <v>32</v>
      </c>
      <c r="BY55" s="31">
        <v>299</v>
      </c>
      <c r="BZ55" s="32">
        <v>17</v>
      </c>
      <c r="CA55" s="111">
        <v>19</v>
      </c>
      <c r="CB55" s="32">
        <v>296</v>
      </c>
      <c r="CC55" s="33">
        <v>70</v>
      </c>
      <c r="CD55" s="34">
        <v>304</v>
      </c>
      <c r="CE55" s="120">
        <v>94</v>
      </c>
      <c r="CF55" s="38">
        <v>170</v>
      </c>
      <c r="CG55" s="31">
        <v>59</v>
      </c>
      <c r="CH55" s="35">
        <v>20</v>
      </c>
      <c r="CI55" s="35">
        <v>183</v>
      </c>
      <c r="CJ55" s="35">
        <v>164</v>
      </c>
      <c r="CK55" s="32">
        <v>51</v>
      </c>
    </row>
    <row r="56" spans="1:89" ht="13" x14ac:dyDescent="0.25">
      <c r="A56" s="27">
        <v>703</v>
      </c>
      <c r="B56" s="28" t="s">
        <v>79</v>
      </c>
      <c r="C56" s="29">
        <v>1154</v>
      </c>
      <c r="D56" s="30">
        <v>772</v>
      </c>
      <c r="E56" s="20">
        <f t="shared" si="0"/>
        <v>0.66897746967071059</v>
      </c>
      <c r="F56" s="31">
        <v>0</v>
      </c>
      <c r="G56" s="111">
        <v>0</v>
      </c>
      <c r="H56" s="111">
        <v>0</v>
      </c>
      <c r="I56" s="111">
        <v>1</v>
      </c>
      <c r="J56" s="111">
        <v>3</v>
      </c>
      <c r="K56" s="111">
        <v>0</v>
      </c>
      <c r="L56" s="111">
        <v>0</v>
      </c>
      <c r="M56" s="111">
        <v>717</v>
      </c>
      <c r="N56" s="111">
        <v>0</v>
      </c>
      <c r="O56" s="111">
        <v>0</v>
      </c>
      <c r="P56" s="35">
        <v>2</v>
      </c>
      <c r="Q56" s="35">
        <v>0</v>
      </c>
      <c r="R56" s="35">
        <v>38</v>
      </c>
      <c r="S56" s="32">
        <v>0</v>
      </c>
      <c r="T56" s="37">
        <v>710</v>
      </c>
      <c r="U56" s="38">
        <v>38</v>
      </c>
      <c r="V56" s="37">
        <v>50</v>
      </c>
      <c r="W56" s="32">
        <v>703</v>
      </c>
      <c r="X56" s="31">
        <v>714</v>
      </c>
      <c r="Y56" s="32">
        <v>29</v>
      </c>
      <c r="Z56" s="111">
        <v>713</v>
      </c>
      <c r="AA56" s="35">
        <v>0</v>
      </c>
      <c r="AB56" s="35">
        <v>17</v>
      </c>
      <c r="AC56" s="35">
        <v>27</v>
      </c>
      <c r="AD56" s="35">
        <v>0</v>
      </c>
      <c r="AE56" s="33">
        <v>0</v>
      </c>
      <c r="AF56" s="116">
        <v>0</v>
      </c>
      <c r="AG56" s="120">
        <v>709</v>
      </c>
      <c r="AH56" s="38">
        <v>38</v>
      </c>
      <c r="AI56" s="37"/>
      <c r="AJ56" s="36"/>
      <c r="AK56" s="37"/>
      <c r="AL56" s="38"/>
      <c r="AM56" s="37"/>
      <c r="AN56" s="116"/>
      <c r="AO56" s="120"/>
      <c r="AP56" s="38"/>
      <c r="AQ56" s="37">
        <v>33</v>
      </c>
      <c r="AR56" s="116">
        <v>713</v>
      </c>
      <c r="AS56" s="120"/>
      <c r="AT56" s="38"/>
      <c r="AU56" s="37"/>
      <c r="AV56" s="120"/>
      <c r="AW56" s="120"/>
      <c r="AX56" s="37"/>
      <c r="AY56" s="38"/>
      <c r="AZ56" s="37"/>
      <c r="BA56" s="116"/>
      <c r="BB56" s="31">
        <v>47</v>
      </c>
      <c r="BC56" s="32">
        <v>687</v>
      </c>
      <c r="BD56" s="31">
        <v>37</v>
      </c>
      <c r="BE56" s="116">
        <v>702</v>
      </c>
      <c r="BF56" s="120">
        <v>698</v>
      </c>
      <c r="BG56" s="38">
        <v>40</v>
      </c>
      <c r="BH56" s="37">
        <v>49</v>
      </c>
      <c r="BI56" s="38">
        <v>687</v>
      </c>
      <c r="BJ56" s="111">
        <v>21</v>
      </c>
      <c r="BK56" s="33">
        <v>21</v>
      </c>
      <c r="BL56" s="115">
        <v>716</v>
      </c>
      <c r="BM56" s="111">
        <v>692</v>
      </c>
      <c r="BN56" s="35">
        <v>28</v>
      </c>
      <c r="BO56" s="32">
        <v>23</v>
      </c>
      <c r="BP56" s="31">
        <v>36</v>
      </c>
      <c r="BQ56" s="32">
        <v>697</v>
      </c>
      <c r="BR56" s="31">
        <v>678</v>
      </c>
      <c r="BS56" s="32">
        <v>59</v>
      </c>
      <c r="BT56" s="31">
        <v>33</v>
      </c>
      <c r="BU56" s="33">
        <v>21</v>
      </c>
      <c r="BV56" s="115">
        <v>687</v>
      </c>
      <c r="BW56" s="111">
        <v>704</v>
      </c>
      <c r="BX56" s="32">
        <v>42</v>
      </c>
      <c r="BY56" s="31">
        <v>686</v>
      </c>
      <c r="BZ56" s="32">
        <v>39</v>
      </c>
      <c r="CA56" s="111">
        <v>32</v>
      </c>
      <c r="CB56" s="32">
        <v>697</v>
      </c>
      <c r="CC56" s="33">
        <v>207</v>
      </c>
      <c r="CD56" s="34">
        <v>705</v>
      </c>
      <c r="CE56" s="120">
        <v>166</v>
      </c>
      <c r="CF56" s="38">
        <v>475</v>
      </c>
      <c r="CG56" s="31">
        <v>134</v>
      </c>
      <c r="CH56" s="35">
        <v>26</v>
      </c>
      <c r="CI56" s="35">
        <v>493</v>
      </c>
      <c r="CJ56" s="35">
        <v>479</v>
      </c>
      <c r="CK56" s="32">
        <v>103</v>
      </c>
    </row>
    <row r="57" spans="1:89" ht="13" x14ac:dyDescent="0.25">
      <c r="A57" s="27">
        <v>704</v>
      </c>
      <c r="B57" s="28" t="s">
        <v>80</v>
      </c>
      <c r="C57" s="29">
        <v>1218</v>
      </c>
      <c r="D57" s="30">
        <v>668</v>
      </c>
      <c r="E57" s="20">
        <f t="shared" si="0"/>
        <v>0.54844006568144499</v>
      </c>
      <c r="F57" s="31">
        <v>0</v>
      </c>
      <c r="G57" s="111">
        <v>0</v>
      </c>
      <c r="H57" s="111">
        <v>0</v>
      </c>
      <c r="I57" s="111">
        <v>2</v>
      </c>
      <c r="J57" s="111">
        <v>1</v>
      </c>
      <c r="K57" s="111">
        <v>0</v>
      </c>
      <c r="L57" s="111">
        <v>0</v>
      </c>
      <c r="M57" s="111">
        <v>592</v>
      </c>
      <c r="N57" s="111">
        <v>0</v>
      </c>
      <c r="O57" s="111">
        <v>0</v>
      </c>
      <c r="P57" s="35">
        <v>4</v>
      </c>
      <c r="Q57" s="35">
        <v>0</v>
      </c>
      <c r="R57" s="35">
        <v>60</v>
      </c>
      <c r="S57" s="32">
        <v>0</v>
      </c>
      <c r="T57" s="37">
        <v>576</v>
      </c>
      <c r="U57" s="38">
        <v>61</v>
      </c>
      <c r="V57" s="37">
        <v>71</v>
      </c>
      <c r="W57" s="32">
        <v>575</v>
      </c>
      <c r="X57" s="31">
        <v>582</v>
      </c>
      <c r="Y57" s="32">
        <v>52</v>
      </c>
      <c r="Z57" s="111">
        <v>584</v>
      </c>
      <c r="AA57" s="35">
        <v>0</v>
      </c>
      <c r="AB57" s="35">
        <v>27</v>
      </c>
      <c r="AC57" s="35">
        <v>45</v>
      </c>
      <c r="AD57" s="35">
        <v>0</v>
      </c>
      <c r="AE57" s="33">
        <v>0</v>
      </c>
      <c r="AF57" s="116">
        <v>2</v>
      </c>
      <c r="AG57" s="120">
        <v>591</v>
      </c>
      <c r="AH57" s="38">
        <v>53</v>
      </c>
      <c r="AI57" s="37"/>
      <c r="AJ57" s="36"/>
      <c r="AK57" s="37"/>
      <c r="AL57" s="38"/>
      <c r="AM57" s="37"/>
      <c r="AN57" s="116"/>
      <c r="AO57" s="120">
        <v>45</v>
      </c>
      <c r="AP57" s="38">
        <v>606</v>
      </c>
      <c r="AQ57" s="37"/>
      <c r="AR57" s="116"/>
      <c r="AS57" s="120"/>
      <c r="AT57" s="38"/>
      <c r="AU57" s="37"/>
      <c r="AV57" s="120"/>
      <c r="AW57" s="120"/>
      <c r="AX57" s="37"/>
      <c r="AY57" s="38"/>
      <c r="AZ57" s="37"/>
      <c r="BA57" s="116"/>
      <c r="BB57" s="31">
        <v>61</v>
      </c>
      <c r="BC57" s="32">
        <v>572</v>
      </c>
      <c r="BD57" s="31">
        <v>50</v>
      </c>
      <c r="BE57" s="116">
        <v>585</v>
      </c>
      <c r="BF57" s="120">
        <v>574</v>
      </c>
      <c r="BG57" s="38">
        <v>54</v>
      </c>
      <c r="BH57" s="37">
        <v>63</v>
      </c>
      <c r="BI57" s="38">
        <v>558</v>
      </c>
      <c r="BJ57" s="111">
        <v>17</v>
      </c>
      <c r="BK57" s="33">
        <v>34</v>
      </c>
      <c r="BL57" s="115">
        <v>594</v>
      </c>
      <c r="BM57" s="111">
        <v>579</v>
      </c>
      <c r="BN57" s="35">
        <v>42</v>
      </c>
      <c r="BO57" s="32">
        <v>13</v>
      </c>
      <c r="BP57" s="31">
        <v>54</v>
      </c>
      <c r="BQ57" s="32">
        <v>577</v>
      </c>
      <c r="BR57" s="31">
        <v>551</v>
      </c>
      <c r="BS57" s="32">
        <v>78</v>
      </c>
      <c r="BT57" s="31">
        <v>49</v>
      </c>
      <c r="BU57" s="33">
        <v>24</v>
      </c>
      <c r="BV57" s="115">
        <v>563</v>
      </c>
      <c r="BW57" s="111">
        <v>585</v>
      </c>
      <c r="BX57" s="32">
        <v>63</v>
      </c>
      <c r="BY57" s="31">
        <v>571</v>
      </c>
      <c r="BZ57" s="32">
        <v>55</v>
      </c>
      <c r="CA57" s="111">
        <v>52</v>
      </c>
      <c r="CB57" s="32">
        <v>581</v>
      </c>
      <c r="CC57" s="33">
        <v>216</v>
      </c>
      <c r="CD57" s="34">
        <v>594</v>
      </c>
      <c r="CE57" s="120">
        <v>211</v>
      </c>
      <c r="CF57" s="38">
        <v>322</v>
      </c>
      <c r="CG57" s="31">
        <v>125</v>
      </c>
      <c r="CH57" s="35">
        <v>40</v>
      </c>
      <c r="CI57" s="35">
        <v>352</v>
      </c>
      <c r="CJ57" s="35">
        <v>336</v>
      </c>
      <c r="CK57" s="32">
        <v>133</v>
      </c>
    </row>
    <row r="58" spans="1:89" ht="13" x14ac:dyDescent="0.25">
      <c r="A58" s="27">
        <v>705</v>
      </c>
      <c r="B58" s="28" t="s">
        <v>81</v>
      </c>
      <c r="C58" s="29">
        <v>603</v>
      </c>
      <c r="D58" s="30">
        <v>415</v>
      </c>
      <c r="E58" s="20">
        <f t="shared" si="0"/>
        <v>0.6882255389718076</v>
      </c>
      <c r="F58" s="3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383</v>
      </c>
      <c r="N58" s="111">
        <v>0</v>
      </c>
      <c r="O58" s="111">
        <v>0</v>
      </c>
      <c r="P58" s="35">
        <v>1</v>
      </c>
      <c r="Q58" s="35">
        <v>0</v>
      </c>
      <c r="R58" s="35">
        <v>24</v>
      </c>
      <c r="S58" s="32">
        <v>0</v>
      </c>
      <c r="T58" s="37">
        <v>377</v>
      </c>
      <c r="U58" s="38">
        <v>22</v>
      </c>
      <c r="V58" s="37">
        <v>25</v>
      </c>
      <c r="W58" s="32">
        <v>375</v>
      </c>
      <c r="X58" s="31">
        <v>376</v>
      </c>
      <c r="Y58" s="32">
        <v>19</v>
      </c>
      <c r="Z58" s="111">
        <v>370</v>
      </c>
      <c r="AA58" s="35">
        <v>0</v>
      </c>
      <c r="AB58" s="35">
        <v>10</v>
      </c>
      <c r="AC58" s="35">
        <v>19</v>
      </c>
      <c r="AD58" s="35">
        <v>0</v>
      </c>
      <c r="AE58" s="33">
        <v>0</v>
      </c>
      <c r="AF58" s="116">
        <v>0</v>
      </c>
      <c r="AG58" s="120">
        <v>381</v>
      </c>
      <c r="AH58" s="38">
        <v>21</v>
      </c>
      <c r="AI58" s="37"/>
      <c r="AJ58" s="36"/>
      <c r="AK58" s="37"/>
      <c r="AL58" s="38"/>
      <c r="AM58" s="37"/>
      <c r="AN58" s="116"/>
      <c r="AO58" s="120"/>
      <c r="AP58" s="38"/>
      <c r="AQ58" s="37">
        <v>20</v>
      </c>
      <c r="AR58" s="116">
        <v>377</v>
      </c>
      <c r="AS58" s="120"/>
      <c r="AT58" s="38"/>
      <c r="AU58" s="37"/>
      <c r="AV58" s="120"/>
      <c r="AW58" s="120"/>
      <c r="AX58" s="37"/>
      <c r="AY58" s="38"/>
      <c r="AZ58" s="37"/>
      <c r="BA58" s="116"/>
      <c r="BB58" s="31">
        <v>27</v>
      </c>
      <c r="BC58" s="32">
        <v>361</v>
      </c>
      <c r="BD58" s="31">
        <v>20</v>
      </c>
      <c r="BE58" s="116">
        <v>366</v>
      </c>
      <c r="BF58" s="120">
        <v>368</v>
      </c>
      <c r="BG58" s="38">
        <v>18</v>
      </c>
      <c r="BH58" s="37">
        <v>28</v>
      </c>
      <c r="BI58" s="38">
        <v>353</v>
      </c>
      <c r="BJ58" s="111">
        <v>8</v>
      </c>
      <c r="BK58" s="33">
        <v>12</v>
      </c>
      <c r="BL58" s="115">
        <v>384</v>
      </c>
      <c r="BM58" s="111">
        <v>369</v>
      </c>
      <c r="BN58" s="35">
        <v>15</v>
      </c>
      <c r="BO58" s="32">
        <v>10</v>
      </c>
      <c r="BP58" s="31">
        <v>17</v>
      </c>
      <c r="BQ58" s="32">
        <v>368</v>
      </c>
      <c r="BR58" s="31">
        <v>350</v>
      </c>
      <c r="BS58" s="32">
        <v>40</v>
      </c>
      <c r="BT58" s="31">
        <v>14</v>
      </c>
      <c r="BU58" s="33">
        <v>10</v>
      </c>
      <c r="BV58" s="115">
        <v>361</v>
      </c>
      <c r="BW58" s="111">
        <v>371</v>
      </c>
      <c r="BX58" s="32">
        <v>26</v>
      </c>
      <c r="BY58" s="31">
        <v>373</v>
      </c>
      <c r="BZ58" s="32">
        <v>17</v>
      </c>
      <c r="CA58" s="111">
        <v>17</v>
      </c>
      <c r="CB58" s="32">
        <v>373</v>
      </c>
      <c r="CC58" s="33">
        <v>112</v>
      </c>
      <c r="CD58" s="34">
        <v>370</v>
      </c>
      <c r="CE58" s="120">
        <v>104</v>
      </c>
      <c r="CF58" s="38">
        <v>223</v>
      </c>
      <c r="CG58" s="31">
        <v>87</v>
      </c>
      <c r="CH58" s="35">
        <v>26</v>
      </c>
      <c r="CI58" s="35">
        <v>209</v>
      </c>
      <c r="CJ58" s="35">
        <v>207</v>
      </c>
      <c r="CK58" s="32">
        <v>68</v>
      </c>
    </row>
    <row r="59" spans="1:89" ht="13" x14ac:dyDescent="0.25">
      <c r="A59" s="27">
        <v>706</v>
      </c>
      <c r="B59" s="28" t="s">
        <v>82</v>
      </c>
      <c r="C59" s="29">
        <v>904</v>
      </c>
      <c r="D59" s="30">
        <v>515</v>
      </c>
      <c r="E59" s="20">
        <f t="shared" si="0"/>
        <v>0.56969026548672563</v>
      </c>
      <c r="F59" s="31">
        <v>0</v>
      </c>
      <c r="G59" s="111">
        <v>0</v>
      </c>
      <c r="H59" s="111">
        <v>0</v>
      </c>
      <c r="I59" s="111">
        <v>0</v>
      </c>
      <c r="J59" s="111">
        <v>1</v>
      </c>
      <c r="K59" s="111">
        <v>0</v>
      </c>
      <c r="L59" s="111">
        <v>0</v>
      </c>
      <c r="M59" s="111">
        <v>467</v>
      </c>
      <c r="N59" s="111">
        <v>0</v>
      </c>
      <c r="O59" s="111">
        <v>0</v>
      </c>
      <c r="P59" s="35">
        <v>3</v>
      </c>
      <c r="Q59" s="35">
        <v>0</v>
      </c>
      <c r="R59" s="35">
        <v>29</v>
      </c>
      <c r="S59" s="32">
        <v>0</v>
      </c>
      <c r="T59" s="37">
        <v>469</v>
      </c>
      <c r="U59" s="38">
        <v>23</v>
      </c>
      <c r="V59" s="37">
        <v>33</v>
      </c>
      <c r="W59" s="32">
        <v>466</v>
      </c>
      <c r="X59" s="31">
        <v>461</v>
      </c>
      <c r="Y59" s="32">
        <v>26</v>
      </c>
      <c r="Z59" s="111">
        <v>458</v>
      </c>
      <c r="AA59" s="35">
        <v>0</v>
      </c>
      <c r="AB59" s="35">
        <v>12</v>
      </c>
      <c r="AC59" s="35">
        <v>25</v>
      </c>
      <c r="AD59" s="35">
        <v>0</v>
      </c>
      <c r="AE59" s="33">
        <v>0</v>
      </c>
      <c r="AF59" s="116">
        <v>0</v>
      </c>
      <c r="AG59" s="120">
        <v>467</v>
      </c>
      <c r="AH59" s="38">
        <v>22</v>
      </c>
      <c r="AI59" s="37"/>
      <c r="AJ59" s="36"/>
      <c r="AK59" s="37"/>
      <c r="AL59" s="38"/>
      <c r="AM59" s="37"/>
      <c r="AN59" s="116"/>
      <c r="AO59" s="120"/>
      <c r="AP59" s="38"/>
      <c r="AQ59" s="37">
        <v>25</v>
      </c>
      <c r="AR59" s="116">
        <v>471</v>
      </c>
      <c r="AS59" s="120"/>
      <c r="AT59" s="38"/>
      <c r="AU59" s="37"/>
      <c r="AV59" s="120"/>
      <c r="AW59" s="120"/>
      <c r="AX59" s="37"/>
      <c r="AY59" s="38"/>
      <c r="AZ59" s="37"/>
      <c r="BA59" s="116"/>
      <c r="BB59" s="31">
        <v>27</v>
      </c>
      <c r="BC59" s="32">
        <v>456</v>
      </c>
      <c r="BD59" s="31">
        <v>24</v>
      </c>
      <c r="BE59" s="116">
        <v>460</v>
      </c>
      <c r="BF59" s="120">
        <v>460</v>
      </c>
      <c r="BG59" s="38">
        <v>25</v>
      </c>
      <c r="BH59" s="37">
        <v>37</v>
      </c>
      <c r="BI59" s="38">
        <v>448</v>
      </c>
      <c r="BJ59" s="111">
        <v>10</v>
      </c>
      <c r="BK59" s="33">
        <v>18</v>
      </c>
      <c r="BL59" s="115">
        <v>473</v>
      </c>
      <c r="BM59" s="111">
        <v>454</v>
      </c>
      <c r="BN59" s="35">
        <v>17</v>
      </c>
      <c r="BO59" s="32">
        <v>10</v>
      </c>
      <c r="BP59" s="31">
        <v>26</v>
      </c>
      <c r="BQ59" s="32">
        <v>454</v>
      </c>
      <c r="BR59" s="31">
        <v>448</v>
      </c>
      <c r="BS59" s="32">
        <v>38</v>
      </c>
      <c r="BT59" s="31">
        <v>23</v>
      </c>
      <c r="BU59" s="33">
        <v>6</v>
      </c>
      <c r="BV59" s="115">
        <v>461</v>
      </c>
      <c r="BW59" s="111">
        <v>465</v>
      </c>
      <c r="BX59" s="32">
        <v>29</v>
      </c>
      <c r="BY59" s="31">
        <v>467</v>
      </c>
      <c r="BZ59" s="32">
        <v>18</v>
      </c>
      <c r="CA59" s="111">
        <v>20</v>
      </c>
      <c r="CB59" s="32">
        <v>469</v>
      </c>
      <c r="CC59" s="33">
        <v>140</v>
      </c>
      <c r="CD59" s="34">
        <v>469</v>
      </c>
      <c r="CE59" s="120">
        <v>129</v>
      </c>
      <c r="CF59" s="38">
        <v>286</v>
      </c>
      <c r="CG59" s="31">
        <v>90</v>
      </c>
      <c r="CH59" s="35">
        <v>26</v>
      </c>
      <c r="CI59" s="35">
        <v>282</v>
      </c>
      <c r="CJ59" s="35">
        <v>267</v>
      </c>
      <c r="CK59" s="32">
        <v>81</v>
      </c>
    </row>
    <row r="60" spans="1:89" ht="13" x14ac:dyDescent="0.25">
      <c r="A60" s="27">
        <v>707</v>
      </c>
      <c r="B60" s="28" t="s">
        <v>83</v>
      </c>
      <c r="C60" s="29">
        <v>1280</v>
      </c>
      <c r="D60" s="30">
        <v>722</v>
      </c>
      <c r="E60" s="20">
        <f t="shared" si="0"/>
        <v>0.56406250000000002</v>
      </c>
      <c r="F60" s="31">
        <v>0</v>
      </c>
      <c r="G60" s="111">
        <v>0</v>
      </c>
      <c r="H60" s="111">
        <v>0</v>
      </c>
      <c r="I60" s="111">
        <v>0</v>
      </c>
      <c r="J60" s="111">
        <v>2</v>
      </c>
      <c r="K60" s="111">
        <v>0</v>
      </c>
      <c r="L60" s="111">
        <v>0</v>
      </c>
      <c r="M60" s="111">
        <v>663</v>
      </c>
      <c r="N60" s="111">
        <v>0</v>
      </c>
      <c r="O60" s="111">
        <v>0</v>
      </c>
      <c r="P60" s="35">
        <v>1</v>
      </c>
      <c r="Q60" s="35">
        <v>1</v>
      </c>
      <c r="R60" s="35">
        <v>46</v>
      </c>
      <c r="S60" s="32">
        <v>0</v>
      </c>
      <c r="T60" s="37">
        <v>629</v>
      </c>
      <c r="U60" s="38">
        <v>65</v>
      </c>
      <c r="V60" s="37">
        <v>56</v>
      </c>
      <c r="W60" s="32">
        <v>643</v>
      </c>
      <c r="X60" s="31">
        <v>635</v>
      </c>
      <c r="Y60" s="32">
        <v>51</v>
      </c>
      <c r="Z60" s="111">
        <v>643</v>
      </c>
      <c r="AA60" s="35">
        <v>0</v>
      </c>
      <c r="AB60" s="35">
        <v>20</v>
      </c>
      <c r="AC60" s="35">
        <v>43</v>
      </c>
      <c r="AD60" s="35">
        <v>0</v>
      </c>
      <c r="AE60" s="33">
        <v>0</v>
      </c>
      <c r="AF60" s="116">
        <v>0</v>
      </c>
      <c r="AG60" s="120">
        <v>642</v>
      </c>
      <c r="AH60" s="38">
        <v>57</v>
      </c>
      <c r="AI60" s="37"/>
      <c r="AJ60" s="36"/>
      <c r="AK60" s="37"/>
      <c r="AL60" s="38"/>
      <c r="AM60" s="37"/>
      <c r="AN60" s="116"/>
      <c r="AO60" s="120">
        <v>48</v>
      </c>
      <c r="AP60" s="38">
        <v>654</v>
      </c>
      <c r="AQ60" s="37"/>
      <c r="AR60" s="116"/>
      <c r="AS60" s="120"/>
      <c r="AT60" s="38"/>
      <c r="AU60" s="37"/>
      <c r="AV60" s="120"/>
      <c r="AW60" s="120"/>
      <c r="AX60" s="37"/>
      <c r="AY60" s="38"/>
      <c r="AZ60" s="37"/>
      <c r="BA60" s="116"/>
      <c r="BB60" s="31">
        <v>64</v>
      </c>
      <c r="BC60" s="32">
        <v>620</v>
      </c>
      <c r="BD60" s="31">
        <v>48</v>
      </c>
      <c r="BE60" s="116">
        <v>640</v>
      </c>
      <c r="BF60" s="120">
        <v>640</v>
      </c>
      <c r="BG60" s="38">
        <v>48</v>
      </c>
      <c r="BH60" s="37">
        <v>67</v>
      </c>
      <c r="BI60" s="38">
        <v>615</v>
      </c>
      <c r="BJ60" s="111">
        <v>17</v>
      </c>
      <c r="BK60" s="33">
        <v>35</v>
      </c>
      <c r="BL60" s="115">
        <v>651</v>
      </c>
      <c r="BM60" s="111">
        <v>629</v>
      </c>
      <c r="BN60" s="35">
        <v>45</v>
      </c>
      <c r="BO60" s="32">
        <v>16</v>
      </c>
      <c r="BP60" s="31">
        <v>54</v>
      </c>
      <c r="BQ60" s="32">
        <v>632</v>
      </c>
      <c r="BR60" s="31">
        <v>613</v>
      </c>
      <c r="BS60" s="32">
        <v>79</v>
      </c>
      <c r="BT60" s="31">
        <v>47</v>
      </c>
      <c r="BU60" s="33">
        <v>24</v>
      </c>
      <c r="BV60" s="115">
        <v>617</v>
      </c>
      <c r="BW60" s="111">
        <v>645</v>
      </c>
      <c r="BX60" s="32">
        <v>54</v>
      </c>
      <c r="BY60" s="31">
        <v>636</v>
      </c>
      <c r="BZ60" s="32">
        <v>48</v>
      </c>
      <c r="CA60" s="111">
        <v>54</v>
      </c>
      <c r="CB60" s="32">
        <v>635</v>
      </c>
      <c r="CC60" s="33">
        <v>232</v>
      </c>
      <c r="CD60" s="34">
        <v>658</v>
      </c>
      <c r="CE60" s="120">
        <v>197</v>
      </c>
      <c r="CF60" s="38">
        <v>397</v>
      </c>
      <c r="CG60" s="31">
        <v>127</v>
      </c>
      <c r="CH60" s="35">
        <v>35</v>
      </c>
      <c r="CI60" s="35">
        <v>424</v>
      </c>
      <c r="CJ60" s="35">
        <v>392</v>
      </c>
      <c r="CK60" s="32">
        <v>120</v>
      </c>
    </row>
    <row r="61" spans="1:89" ht="13" x14ac:dyDescent="0.25">
      <c r="A61" s="27">
        <v>708</v>
      </c>
      <c r="B61" s="28" t="s">
        <v>84</v>
      </c>
      <c r="C61" s="29">
        <v>1178</v>
      </c>
      <c r="D61" s="30">
        <v>621</v>
      </c>
      <c r="E61" s="20">
        <f t="shared" si="0"/>
        <v>0.52716468590831922</v>
      </c>
      <c r="F61" s="3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564</v>
      </c>
      <c r="N61" s="111">
        <v>0</v>
      </c>
      <c r="O61" s="111">
        <v>0</v>
      </c>
      <c r="P61" s="35">
        <v>0</v>
      </c>
      <c r="Q61" s="35">
        <v>1</v>
      </c>
      <c r="R61" s="35">
        <v>46</v>
      </c>
      <c r="S61" s="32">
        <v>0</v>
      </c>
      <c r="T61" s="37">
        <v>550</v>
      </c>
      <c r="U61" s="38">
        <v>36</v>
      </c>
      <c r="V61" s="37">
        <v>44</v>
      </c>
      <c r="W61" s="32">
        <v>549</v>
      </c>
      <c r="X61" s="31">
        <v>551</v>
      </c>
      <c r="Y61" s="32">
        <v>36</v>
      </c>
      <c r="Z61" s="111">
        <v>541</v>
      </c>
      <c r="AA61" s="35">
        <v>0</v>
      </c>
      <c r="AB61" s="35">
        <v>17</v>
      </c>
      <c r="AC61" s="35">
        <v>37</v>
      </c>
      <c r="AD61" s="35">
        <v>0</v>
      </c>
      <c r="AE61" s="33">
        <v>0</v>
      </c>
      <c r="AF61" s="116">
        <v>0</v>
      </c>
      <c r="AG61" s="120">
        <v>568</v>
      </c>
      <c r="AH61" s="38">
        <v>30</v>
      </c>
      <c r="AI61" s="37"/>
      <c r="AJ61" s="36"/>
      <c r="AK61" s="37"/>
      <c r="AL61" s="38"/>
      <c r="AM61" s="37"/>
      <c r="AN61" s="116"/>
      <c r="AO61" s="120">
        <v>30</v>
      </c>
      <c r="AP61" s="38">
        <v>571</v>
      </c>
      <c r="AQ61" s="37"/>
      <c r="AR61" s="116"/>
      <c r="AS61" s="120"/>
      <c r="AT61" s="38"/>
      <c r="AU61" s="37"/>
      <c r="AV61" s="120"/>
      <c r="AW61" s="120"/>
      <c r="AX61" s="37"/>
      <c r="AY61" s="38"/>
      <c r="AZ61" s="37"/>
      <c r="BA61" s="116"/>
      <c r="BB61" s="31">
        <v>39</v>
      </c>
      <c r="BC61" s="32">
        <v>547</v>
      </c>
      <c r="BD61" s="31">
        <v>28</v>
      </c>
      <c r="BE61" s="116">
        <v>564</v>
      </c>
      <c r="BF61" s="120">
        <v>559</v>
      </c>
      <c r="BG61" s="38">
        <v>28</v>
      </c>
      <c r="BH61" s="37">
        <v>41</v>
      </c>
      <c r="BI61" s="38">
        <v>543</v>
      </c>
      <c r="BJ61" s="111">
        <v>7</v>
      </c>
      <c r="BK61" s="33">
        <v>25</v>
      </c>
      <c r="BL61" s="115">
        <v>567</v>
      </c>
      <c r="BM61" s="111">
        <v>547</v>
      </c>
      <c r="BN61" s="35">
        <v>24</v>
      </c>
      <c r="BO61" s="32">
        <v>16</v>
      </c>
      <c r="BP61" s="31">
        <v>38</v>
      </c>
      <c r="BQ61" s="32">
        <v>545</v>
      </c>
      <c r="BR61" s="31">
        <v>528</v>
      </c>
      <c r="BS61" s="32">
        <v>56</v>
      </c>
      <c r="BT61" s="31">
        <v>28</v>
      </c>
      <c r="BU61" s="33">
        <v>16</v>
      </c>
      <c r="BV61" s="115">
        <v>548</v>
      </c>
      <c r="BW61" s="111">
        <v>561</v>
      </c>
      <c r="BX61" s="32">
        <v>36</v>
      </c>
      <c r="BY61" s="31">
        <v>553</v>
      </c>
      <c r="BZ61" s="32">
        <v>31</v>
      </c>
      <c r="CA61" s="111">
        <v>39</v>
      </c>
      <c r="CB61" s="32">
        <v>552</v>
      </c>
      <c r="CC61" s="33">
        <v>159</v>
      </c>
      <c r="CD61" s="34">
        <v>557</v>
      </c>
      <c r="CE61" s="120">
        <v>176</v>
      </c>
      <c r="CF61" s="38">
        <v>334</v>
      </c>
      <c r="CG61" s="31">
        <v>113</v>
      </c>
      <c r="CH61" s="35">
        <v>45</v>
      </c>
      <c r="CI61" s="35">
        <v>330</v>
      </c>
      <c r="CJ61" s="35">
        <v>327</v>
      </c>
      <c r="CK61" s="32">
        <v>104</v>
      </c>
    </row>
    <row r="62" spans="1:89" ht="13" x14ac:dyDescent="0.25">
      <c r="A62" s="27">
        <v>709</v>
      </c>
      <c r="B62" s="28" t="s">
        <v>85</v>
      </c>
      <c r="C62" s="29">
        <v>1135</v>
      </c>
      <c r="D62" s="30">
        <v>730</v>
      </c>
      <c r="E62" s="20">
        <f t="shared" si="0"/>
        <v>0.64317180616740088</v>
      </c>
      <c r="F62" s="31">
        <v>0</v>
      </c>
      <c r="G62" s="111">
        <v>0</v>
      </c>
      <c r="H62" s="111">
        <v>0</v>
      </c>
      <c r="I62" s="111">
        <v>1</v>
      </c>
      <c r="J62" s="111">
        <v>2</v>
      </c>
      <c r="K62" s="111">
        <v>0</v>
      </c>
      <c r="L62" s="111">
        <v>0</v>
      </c>
      <c r="M62" s="111">
        <v>649</v>
      </c>
      <c r="N62" s="111">
        <v>0</v>
      </c>
      <c r="O62" s="111">
        <v>0</v>
      </c>
      <c r="P62" s="35">
        <v>0</v>
      </c>
      <c r="Q62" s="35">
        <v>2</v>
      </c>
      <c r="R62" s="35">
        <v>62</v>
      </c>
      <c r="S62" s="32">
        <v>1</v>
      </c>
      <c r="T62" s="37">
        <v>634</v>
      </c>
      <c r="U62" s="38">
        <v>68</v>
      </c>
      <c r="V62" s="37">
        <v>76</v>
      </c>
      <c r="W62" s="32">
        <v>636</v>
      </c>
      <c r="X62" s="31">
        <v>623</v>
      </c>
      <c r="Y62" s="32">
        <v>70</v>
      </c>
      <c r="Z62" s="111">
        <v>640</v>
      </c>
      <c r="AA62" s="35">
        <v>0</v>
      </c>
      <c r="AB62" s="35">
        <v>13</v>
      </c>
      <c r="AC62" s="35">
        <v>57</v>
      </c>
      <c r="AD62" s="35">
        <v>0</v>
      </c>
      <c r="AE62" s="33">
        <v>0</v>
      </c>
      <c r="AF62" s="116">
        <v>0</v>
      </c>
      <c r="AG62" s="120">
        <v>637</v>
      </c>
      <c r="AH62" s="38">
        <v>62</v>
      </c>
      <c r="AI62" s="37"/>
      <c r="AJ62" s="36"/>
      <c r="AK62" s="37"/>
      <c r="AL62" s="38"/>
      <c r="AM62" s="37"/>
      <c r="AN62" s="116"/>
      <c r="AO62" s="120"/>
      <c r="AP62" s="38"/>
      <c r="AQ62" s="37">
        <v>63</v>
      </c>
      <c r="AR62" s="116">
        <v>639</v>
      </c>
      <c r="AS62" s="120"/>
      <c r="AT62" s="38"/>
      <c r="AU62" s="37"/>
      <c r="AV62" s="120"/>
      <c r="AW62" s="120"/>
      <c r="AX62" s="37"/>
      <c r="AY62" s="38"/>
      <c r="AZ62" s="37"/>
      <c r="BA62" s="116"/>
      <c r="BB62" s="31">
        <v>74</v>
      </c>
      <c r="BC62" s="32">
        <v>617</v>
      </c>
      <c r="BD62" s="31">
        <v>67</v>
      </c>
      <c r="BE62" s="116">
        <v>623</v>
      </c>
      <c r="BF62" s="120">
        <v>633</v>
      </c>
      <c r="BG62" s="38">
        <v>60</v>
      </c>
      <c r="BH62" s="37">
        <v>75</v>
      </c>
      <c r="BI62" s="38">
        <v>616</v>
      </c>
      <c r="BJ62" s="111">
        <v>20</v>
      </c>
      <c r="BK62" s="33">
        <v>50</v>
      </c>
      <c r="BL62" s="115">
        <v>634</v>
      </c>
      <c r="BM62" s="111">
        <v>623</v>
      </c>
      <c r="BN62" s="35">
        <v>54</v>
      </c>
      <c r="BO62" s="32">
        <v>16</v>
      </c>
      <c r="BP62" s="31">
        <v>65</v>
      </c>
      <c r="BQ62" s="32">
        <v>627</v>
      </c>
      <c r="BR62" s="31">
        <v>601</v>
      </c>
      <c r="BS62" s="32">
        <v>91</v>
      </c>
      <c r="BT62" s="31">
        <v>54</v>
      </c>
      <c r="BU62" s="33">
        <v>19</v>
      </c>
      <c r="BV62" s="115">
        <v>628</v>
      </c>
      <c r="BW62" s="111">
        <v>633</v>
      </c>
      <c r="BX62" s="32">
        <v>68</v>
      </c>
      <c r="BY62" s="31">
        <v>629</v>
      </c>
      <c r="BZ62" s="32">
        <v>57</v>
      </c>
      <c r="CA62" s="111">
        <v>65</v>
      </c>
      <c r="CB62" s="32">
        <v>630</v>
      </c>
      <c r="CC62" s="33">
        <v>202</v>
      </c>
      <c r="CD62" s="34">
        <v>645</v>
      </c>
      <c r="CE62" s="120">
        <v>192</v>
      </c>
      <c r="CF62" s="38">
        <v>400</v>
      </c>
      <c r="CG62" s="31">
        <v>134</v>
      </c>
      <c r="CH62" s="35">
        <v>34</v>
      </c>
      <c r="CI62" s="35">
        <v>397</v>
      </c>
      <c r="CJ62" s="35">
        <v>384</v>
      </c>
      <c r="CK62" s="32">
        <v>140</v>
      </c>
    </row>
    <row r="63" spans="1:89" ht="13" x14ac:dyDescent="0.25">
      <c r="A63" s="27">
        <v>710</v>
      </c>
      <c r="B63" s="28" t="s">
        <v>86</v>
      </c>
      <c r="C63" s="29">
        <v>529</v>
      </c>
      <c r="D63" s="30">
        <v>247</v>
      </c>
      <c r="E63" s="20">
        <f t="shared" si="0"/>
        <v>0.46691871455576561</v>
      </c>
      <c r="F63" s="31">
        <v>0</v>
      </c>
      <c r="G63" s="111">
        <v>0</v>
      </c>
      <c r="H63" s="111">
        <v>0</v>
      </c>
      <c r="I63" s="111">
        <v>0</v>
      </c>
      <c r="J63" s="111">
        <v>1</v>
      </c>
      <c r="K63" s="111">
        <v>0</v>
      </c>
      <c r="L63" s="111">
        <v>0</v>
      </c>
      <c r="M63" s="111">
        <v>222</v>
      </c>
      <c r="N63" s="111">
        <v>0</v>
      </c>
      <c r="O63" s="111">
        <v>0</v>
      </c>
      <c r="P63" s="35">
        <v>0</v>
      </c>
      <c r="Q63" s="35">
        <v>2</v>
      </c>
      <c r="R63" s="35">
        <v>18</v>
      </c>
      <c r="S63" s="32">
        <v>0</v>
      </c>
      <c r="T63" s="37">
        <v>211</v>
      </c>
      <c r="U63" s="38">
        <v>23</v>
      </c>
      <c r="V63" s="37">
        <v>25</v>
      </c>
      <c r="W63" s="32">
        <v>215</v>
      </c>
      <c r="X63" s="31">
        <v>210</v>
      </c>
      <c r="Y63" s="32">
        <v>22</v>
      </c>
      <c r="Z63" s="111">
        <v>215</v>
      </c>
      <c r="AA63" s="35">
        <v>0</v>
      </c>
      <c r="AB63" s="35">
        <v>7</v>
      </c>
      <c r="AC63" s="35">
        <v>19</v>
      </c>
      <c r="AD63" s="35">
        <v>0</v>
      </c>
      <c r="AE63" s="33">
        <v>0</v>
      </c>
      <c r="AF63" s="116">
        <v>0</v>
      </c>
      <c r="AG63" s="120">
        <v>219</v>
      </c>
      <c r="AH63" s="38">
        <v>18</v>
      </c>
      <c r="AI63" s="37"/>
      <c r="AJ63" s="36"/>
      <c r="AK63" s="37"/>
      <c r="AL63" s="38"/>
      <c r="AM63" s="37"/>
      <c r="AN63" s="116"/>
      <c r="AO63" s="120"/>
      <c r="AP63" s="38"/>
      <c r="AQ63" s="37">
        <v>23</v>
      </c>
      <c r="AR63" s="116">
        <v>214</v>
      </c>
      <c r="AS63" s="120"/>
      <c r="AT63" s="38"/>
      <c r="AU63" s="37"/>
      <c r="AV63" s="120"/>
      <c r="AW63" s="120"/>
      <c r="AX63" s="37"/>
      <c r="AY63" s="38"/>
      <c r="AZ63" s="37"/>
      <c r="BA63" s="116"/>
      <c r="BB63" s="31">
        <v>24</v>
      </c>
      <c r="BC63" s="32">
        <v>207</v>
      </c>
      <c r="BD63" s="31">
        <v>19</v>
      </c>
      <c r="BE63" s="116">
        <v>212</v>
      </c>
      <c r="BF63" s="120">
        <v>207</v>
      </c>
      <c r="BG63" s="38">
        <v>21</v>
      </c>
      <c r="BH63" s="37">
        <v>25</v>
      </c>
      <c r="BI63" s="38">
        <v>203</v>
      </c>
      <c r="BJ63" s="111">
        <v>4</v>
      </c>
      <c r="BK63" s="33">
        <v>18</v>
      </c>
      <c r="BL63" s="115">
        <v>218</v>
      </c>
      <c r="BM63" s="111">
        <v>202</v>
      </c>
      <c r="BN63" s="35">
        <v>21</v>
      </c>
      <c r="BO63" s="32">
        <v>6</v>
      </c>
      <c r="BP63" s="31">
        <v>23</v>
      </c>
      <c r="BQ63" s="32">
        <v>207</v>
      </c>
      <c r="BR63" s="31">
        <v>198</v>
      </c>
      <c r="BS63" s="32">
        <v>37</v>
      </c>
      <c r="BT63" s="31">
        <v>23</v>
      </c>
      <c r="BU63" s="33">
        <v>8</v>
      </c>
      <c r="BV63" s="115">
        <v>204</v>
      </c>
      <c r="BW63" s="111">
        <v>217</v>
      </c>
      <c r="BX63" s="32">
        <v>21</v>
      </c>
      <c r="BY63" s="31">
        <v>207</v>
      </c>
      <c r="BZ63" s="32">
        <v>22</v>
      </c>
      <c r="CA63" s="111">
        <v>21</v>
      </c>
      <c r="CB63" s="32">
        <v>212</v>
      </c>
      <c r="CC63" s="33">
        <v>75</v>
      </c>
      <c r="CD63" s="34">
        <v>221</v>
      </c>
      <c r="CE63" s="120">
        <v>69</v>
      </c>
      <c r="CF63" s="38">
        <v>128</v>
      </c>
      <c r="CG63" s="31">
        <v>53</v>
      </c>
      <c r="CH63" s="35">
        <v>24</v>
      </c>
      <c r="CI63" s="35">
        <v>115</v>
      </c>
      <c r="CJ63" s="35">
        <v>114</v>
      </c>
      <c r="CK63" s="32">
        <v>55</v>
      </c>
    </row>
    <row r="64" spans="1:89" ht="13" x14ac:dyDescent="0.25">
      <c r="A64" s="27">
        <v>711</v>
      </c>
      <c r="B64" s="28" t="s">
        <v>87</v>
      </c>
      <c r="C64" s="29">
        <v>1073</v>
      </c>
      <c r="D64" s="30">
        <v>642</v>
      </c>
      <c r="E64" s="20">
        <f t="shared" si="0"/>
        <v>0.59832246039142589</v>
      </c>
      <c r="F64" s="31">
        <v>0</v>
      </c>
      <c r="G64" s="111">
        <v>0</v>
      </c>
      <c r="H64" s="111">
        <v>0</v>
      </c>
      <c r="I64" s="111">
        <v>0</v>
      </c>
      <c r="J64" s="111">
        <v>2</v>
      </c>
      <c r="K64" s="111">
        <v>0</v>
      </c>
      <c r="L64" s="111">
        <v>0</v>
      </c>
      <c r="M64" s="111">
        <v>559</v>
      </c>
      <c r="N64" s="111">
        <v>0</v>
      </c>
      <c r="O64" s="111">
        <v>0</v>
      </c>
      <c r="P64" s="35">
        <v>3</v>
      </c>
      <c r="Q64" s="35">
        <v>1</v>
      </c>
      <c r="R64" s="35">
        <v>63</v>
      </c>
      <c r="S64" s="32">
        <v>0</v>
      </c>
      <c r="T64" s="31">
        <v>545</v>
      </c>
      <c r="U64" s="32">
        <v>68</v>
      </c>
      <c r="V64" s="31">
        <v>76</v>
      </c>
      <c r="W64" s="32">
        <v>542</v>
      </c>
      <c r="X64" s="31">
        <v>551</v>
      </c>
      <c r="Y64" s="32">
        <v>61</v>
      </c>
      <c r="Z64" s="111">
        <v>553</v>
      </c>
      <c r="AA64" s="35">
        <v>0</v>
      </c>
      <c r="AB64" s="35">
        <v>13</v>
      </c>
      <c r="AC64" s="35">
        <v>59</v>
      </c>
      <c r="AD64" s="35">
        <v>0</v>
      </c>
      <c r="AE64" s="33">
        <v>0</v>
      </c>
      <c r="AF64" s="115">
        <v>0</v>
      </c>
      <c r="AG64" s="111">
        <v>565</v>
      </c>
      <c r="AH64" s="32">
        <v>56</v>
      </c>
      <c r="AI64" s="31"/>
      <c r="AJ64" s="33"/>
      <c r="AK64" s="31"/>
      <c r="AL64" s="32"/>
      <c r="AM64" s="31"/>
      <c r="AN64" s="115"/>
      <c r="AO64" s="111">
        <v>61</v>
      </c>
      <c r="AP64" s="32">
        <v>563</v>
      </c>
      <c r="AQ64" s="31"/>
      <c r="AR64" s="115"/>
      <c r="AS64" s="111"/>
      <c r="AT64" s="32"/>
      <c r="AU64" s="31"/>
      <c r="AV64" s="111"/>
      <c r="AW64" s="111"/>
      <c r="AX64" s="31"/>
      <c r="AY64" s="32"/>
      <c r="AZ64" s="31"/>
      <c r="BA64" s="115"/>
      <c r="BB64" s="31">
        <v>69</v>
      </c>
      <c r="BC64" s="32">
        <v>536</v>
      </c>
      <c r="BD64" s="31">
        <v>60</v>
      </c>
      <c r="BE64" s="115">
        <v>551</v>
      </c>
      <c r="BF64" s="111">
        <v>545</v>
      </c>
      <c r="BG64" s="32">
        <v>59</v>
      </c>
      <c r="BH64" s="31">
        <v>78</v>
      </c>
      <c r="BI64" s="32">
        <v>526</v>
      </c>
      <c r="BJ64" s="111">
        <v>11</v>
      </c>
      <c r="BK64" s="33">
        <v>49</v>
      </c>
      <c r="BL64" s="115">
        <v>561</v>
      </c>
      <c r="BM64" s="111">
        <v>537</v>
      </c>
      <c r="BN64" s="35">
        <v>50</v>
      </c>
      <c r="BO64" s="32">
        <v>15</v>
      </c>
      <c r="BP64" s="31">
        <v>69</v>
      </c>
      <c r="BQ64" s="32">
        <v>532</v>
      </c>
      <c r="BR64" s="31">
        <v>522</v>
      </c>
      <c r="BS64" s="32">
        <v>84</v>
      </c>
      <c r="BT64" s="31">
        <v>67</v>
      </c>
      <c r="BU64" s="33">
        <v>11</v>
      </c>
      <c r="BV64" s="115">
        <v>531</v>
      </c>
      <c r="BW64" s="111">
        <v>555</v>
      </c>
      <c r="BX64" s="32">
        <v>63</v>
      </c>
      <c r="BY64" s="31">
        <v>542</v>
      </c>
      <c r="BZ64" s="32">
        <v>59</v>
      </c>
      <c r="CA64" s="111">
        <v>67</v>
      </c>
      <c r="CB64" s="32">
        <v>535</v>
      </c>
      <c r="CC64" s="33">
        <v>184</v>
      </c>
      <c r="CD64" s="34">
        <v>571</v>
      </c>
      <c r="CE64" s="111">
        <v>189</v>
      </c>
      <c r="CF64" s="38">
        <v>337</v>
      </c>
      <c r="CG64" s="31">
        <v>120</v>
      </c>
      <c r="CH64" s="35">
        <v>59</v>
      </c>
      <c r="CI64" s="35">
        <v>346</v>
      </c>
      <c r="CJ64" s="35">
        <v>348</v>
      </c>
      <c r="CK64" s="32">
        <v>112</v>
      </c>
    </row>
    <row r="65" spans="1:89" ht="13" x14ac:dyDescent="0.25">
      <c r="A65" s="27">
        <v>801</v>
      </c>
      <c r="B65" s="28" t="s">
        <v>88</v>
      </c>
      <c r="C65" s="29">
        <v>1518</v>
      </c>
      <c r="D65" s="30">
        <v>721</v>
      </c>
      <c r="E65" s="20">
        <f t="shared" si="0"/>
        <v>0.47496706192358368</v>
      </c>
      <c r="F65" s="31">
        <v>0</v>
      </c>
      <c r="G65" s="111">
        <v>0</v>
      </c>
      <c r="H65" s="111">
        <v>0</v>
      </c>
      <c r="I65" s="111">
        <v>2</v>
      </c>
      <c r="J65" s="111">
        <v>1</v>
      </c>
      <c r="K65" s="111">
        <v>0</v>
      </c>
      <c r="L65" s="111">
        <v>0</v>
      </c>
      <c r="M65" s="111">
        <v>622</v>
      </c>
      <c r="N65" s="111">
        <v>0</v>
      </c>
      <c r="O65" s="111">
        <v>0</v>
      </c>
      <c r="P65" s="35">
        <v>7</v>
      </c>
      <c r="Q65" s="35">
        <v>0</v>
      </c>
      <c r="R65" s="35">
        <v>70</v>
      </c>
      <c r="S65" s="32">
        <v>1</v>
      </c>
      <c r="T65" s="31">
        <v>625</v>
      </c>
      <c r="U65" s="32">
        <v>73</v>
      </c>
      <c r="V65" s="31">
        <v>80</v>
      </c>
      <c r="W65" s="32">
        <v>619</v>
      </c>
      <c r="X65" s="31">
        <v>623</v>
      </c>
      <c r="Y65" s="32">
        <v>76</v>
      </c>
      <c r="Z65" s="111">
        <v>617</v>
      </c>
      <c r="AA65" s="35">
        <v>0</v>
      </c>
      <c r="AB65" s="35">
        <v>25</v>
      </c>
      <c r="AC65" s="35">
        <v>64</v>
      </c>
      <c r="AD65" s="35">
        <v>0</v>
      </c>
      <c r="AE65" s="33">
        <v>0</v>
      </c>
      <c r="AF65" s="115">
        <v>0</v>
      </c>
      <c r="AG65" s="111">
        <v>623</v>
      </c>
      <c r="AH65" s="32">
        <v>71</v>
      </c>
      <c r="AI65" s="31"/>
      <c r="AJ65" s="33"/>
      <c r="AK65" s="31"/>
      <c r="AL65" s="32"/>
      <c r="AM65" s="31">
        <v>624</v>
      </c>
      <c r="AN65" s="115">
        <v>70</v>
      </c>
      <c r="AO65" s="111"/>
      <c r="AP65" s="32"/>
      <c r="AQ65" s="31"/>
      <c r="AR65" s="115"/>
      <c r="AS65" s="111"/>
      <c r="AT65" s="32"/>
      <c r="AU65" s="31"/>
      <c r="AV65" s="111"/>
      <c r="AW65" s="111"/>
      <c r="AX65" s="31"/>
      <c r="AY65" s="32"/>
      <c r="AZ65" s="31"/>
      <c r="BA65" s="115"/>
      <c r="BB65" s="31">
        <v>74</v>
      </c>
      <c r="BC65" s="32">
        <v>621</v>
      </c>
      <c r="BD65" s="31">
        <v>69</v>
      </c>
      <c r="BE65" s="115">
        <v>618</v>
      </c>
      <c r="BF65" s="111">
        <v>614</v>
      </c>
      <c r="BG65" s="32">
        <v>71</v>
      </c>
      <c r="BH65" s="31">
        <v>80</v>
      </c>
      <c r="BI65" s="32">
        <v>602</v>
      </c>
      <c r="BJ65" s="111">
        <v>26</v>
      </c>
      <c r="BK65" s="33">
        <v>53</v>
      </c>
      <c r="BL65" s="115">
        <v>613</v>
      </c>
      <c r="BM65" s="111">
        <v>604</v>
      </c>
      <c r="BN65" s="35">
        <v>55</v>
      </c>
      <c r="BO65" s="32">
        <v>27</v>
      </c>
      <c r="BP65" s="31">
        <v>72</v>
      </c>
      <c r="BQ65" s="32">
        <v>606</v>
      </c>
      <c r="BR65" s="31">
        <v>597</v>
      </c>
      <c r="BS65" s="32">
        <v>92</v>
      </c>
      <c r="BT65" s="31">
        <v>72</v>
      </c>
      <c r="BU65" s="33">
        <v>26</v>
      </c>
      <c r="BV65" s="115">
        <v>592</v>
      </c>
      <c r="BW65" s="111">
        <v>613</v>
      </c>
      <c r="BX65" s="32">
        <v>75</v>
      </c>
      <c r="BY65" s="31">
        <v>609</v>
      </c>
      <c r="BZ65" s="32">
        <v>65</v>
      </c>
      <c r="CA65" s="111">
        <v>68</v>
      </c>
      <c r="CB65" s="32">
        <v>610</v>
      </c>
      <c r="CC65" s="33">
        <v>246</v>
      </c>
      <c r="CD65" s="34">
        <v>627</v>
      </c>
      <c r="CE65" s="111">
        <v>199</v>
      </c>
      <c r="CF65" s="38">
        <v>386</v>
      </c>
      <c r="CG65" s="31">
        <v>132</v>
      </c>
      <c r="CH65" s="35">
        <v>48</v>
      </c>
      <c r="CI65" s="35">
        <v>375</v>
      </c>
      <c r="CJ65" s="35">
        <v>395</v>
      </c>
      <c r="CK65" s="32">
        <v>111</v>
      </c>
    </row>
    <row r="66" spans="1:89" ht="13" x14ac:dyDescent="0.25">
      <c r="A66" s="27">
        <v>802</v>
      </c>
      <c r="B66" s="28" t="s">
        <v>89</v>
      </c>
      <c r="C66" s="29">
        <v>1366</v>
      </c>
      <c r="D66" s="30">
        <v>835</v>
      </c>
      <c r="E66" s="20">
        <f t="shared" si="0"/>
        <v>0.61127379209370425</v>
      </c>
      <c r="F66" s="31">
        <v>0</v>
      </c>
      <c r="G66" s="111">
        <v>0</v>
      </c>
      <c r="H66" s="111">
        <v>0</v>
      </c>
      <c r="I66" s="111">
        <v>0</v>
      </c>
      <c r="J66" s="111">
        <v>0</v>
      </c>
      <c r="K66" s="111">
        <v>0</v>
      </c>
      <c r="L66" s="111">
        <v>0</v>
      </c>
      <c r="M66" s="111">
        <v>623</v>
      </c>
      <c r="N66" s="111">
        <v>0</v>
      </c>
      <c r="O66" s="111">
        <v>0</v>
      </c>
      <c r="P66" s="35">
        <v>4</v>
      </c>
      <c r="Q66" s="35">
        <v>0</v>
      </c>
      <c r="R66" s="35">
        <v>192</v>
      </c>
      <c r="S66" s="32">
        <v>0</v>
      </c>
      <c r="T66" s="37">
        <v>604</v>
      </c>
      <c r="U66" s="38">
        <v>203</v>
      </c>
      <c r="V66" s="37">
        <v>221</v>
      </c>
      <c r="W66" s="32">
        <v>592</v>
      </c>
      <c r="X66" s="31">
        <v>598</v>
      </c>
      <c r="Y66" s="32">
        <v>198</v>
      </c>
      <c r="Z66" s="111">
        <v>628</v>
      </c>
      <c r="AA66" s="35">
        <v>0</v>
      </c>
      <c r="AB66" s="35">
        <v>19</v>
      </c>
      <c r="AC66" s="35">
        <v>171</v>
      </c>
      <c r="AD66" s="35">
        <v>0</v>
      </c>
      <c r="AE66" s="33">
        <v>0</v>
      </c>
      <c r="AF66" s="116">
        <v>0</v>
      </c>
      <c r="AG66" s="120">
        <v>614</v>
      </c>
      <c r="AH66" s="38">
        <v>192</v>
      </c>
      <c r="AI66" s="37"/>
      <c r="AJ66" s="36"/>
      <c r="AK66" s="37"/>
      <c r="AL66" s="38"/>
      <c r="AM66" s="37">
        <v>594</v>
      </c>
      <c r="AN66" s="116">
        <v>196</v>
      </c>
      <c r="AO66" s="120"/>
      <c r="AP66" s="38"/>
      <c r="AQ66" s="37"/>
      <c r="AR66" s="116"/>
      <c r="AS66" s="120"/>
      <c r="AT66" s="38"/>
      <c r="AU66" s="37"/>
      <c r="AV66" s="120"/>
      <c r="AW66" s="120"/>
      <c r="AX66" s="37"/>
      <c r="AY66" s="38"/>
      <c r="AZ66" s="37"/>
      <c r="BA66" s="116"/>
      <c r="BB66" s="31">
        <v>204</v>
      </c>
      <c r="BC66" s="32">
        <v>579</v>
      </c>
      <c r="BD66" s="31">
        <v>203</v>
      </c>
      <c r="BE66" s="116">
        <v>581</v>
      </c>
      <c r="BF66" s="120">
        <v>581</v>
      </c>
      <c r="BG66" s="38">
        <v>202</v>
      </c>
      <c r="BH66" s="37">
        <v>229</v>
      </c>
      <c r="BI66" s="38">
        <v>551</v>
      </c>
      <c r="BJ66" s="111">
        <v>31</v>
      </c>
      <c r="BK66" s="33">
        <v>183</v>
      </c>
      <c r="BL66" s="115">
        <v>577</v>
      </c>
      <c r="BM66" s="111">
        <v>590</v>
      </c>
      <c r="BN66" s="35">
        <v>181</v>
      </c>
      <c r="BO66" s="32">
        <v>22</v>
      </c>
      <c r="BP66" s="31">
        <v>213</v>
      </c>
      <c r="BQ66" s="32">
        <v>573</v>
      </c>
      <c r="BR66" s="31">
        <v>548</v>
      </c>
      <c r="BS66" s="32">
        <v>246</v>
      </c>
      <c r="BT66" s="31">
        <v>177</v>
      </c>
      <c r="BU66" s="33">
        <v>30</v>
      </c>
      <c r="BV66" s="115">
        <v>573</v>
      </c>
      <c r="BW66" s="111">
        <v>606</v>
      </c>
      <c r="BX66" s="32">
        <v>198</v>
      </c>
      <c r="BY66" s="31">
        <v>590</v>
      </c>
      <c r="BZ66" s="32">
        <v>184</v>
      </c>
      <c r="CA66" s="111">
        <v>205</v>
      </c>
      <c r="CB66" s="32">
        <v>573</v>
      </c>
      <c r="CC66" s="33">
        <v>429</v>
      </c>
      <c r="CD66" s="34">
        <v>660</v>
      </c>
      <c r="CE66" s="120">
        <v>232</v>
      </c>
      <c r="CF66" s="42">
        <v>432</v>
      </c>
      <c r="CG66" s="31">
        <v>157</v>
      </c>
      <c r="CH66" s="35">
        <v>109</v>
      </c>
      <c r="CI66" s="35">
        <v>378</v>
      </c>
      <c r="CJ66" s="35">
        <v>457</v>
      </c>
      <c r="CK66" s="32">
        <v>170</v>
      </c>
    </row>
    <row r="67" spans="1:89" ht="13" x14ac:dyDescent="0.25">
      <c r="A67" s="27">
        <v>803</v>
      </c>
      <c r="B67" s="28" t="s">
        <v>90</v>
      </c>
      <c r="C67" s="29">
        <v>1576</v>
      </c>
      <c r="D67" s="30">
        <v>1106</v>
      </c>
      <c r="E67" s="20">
        <f t="shared" si="0"/>
        <v>0.70177664974619292</v>
      </c>
      <c r="F67" s="31">
        <v>0</v>
      </c>
      <c r="G67" s="111">
        <v>0</v>
      </c>
      <c r="H67" s="111">
        <v>0</v>
      </c>
      <c r="I67" s="111">
        <v>2</v>
      </c>
      <c r="J67" s="111">
        <v>0</v>
      </c>
      <c r="K67" s="111">
        <v>0</v>
      </c>
      <c r="L67" s="111">
        <v>0</v>
      </c>
      <c r="M67" s="111">
        <v>717</v>
      </c>
      <c r="N67" s="111">
        <v>0</v>
      </c>
      <c r="O67" s="111">
        <v>0</v>
      </c>
      <c r="P67" s="35">
        <v>10</v>
      </c>
      <c r="Q67" s="35">
        <v>0</v>
      </c>
      <c r="R67" s="35">
        <v>353</v>
      </c>
      <c r="S67" s="32">
        <v>0</v>
      </c>
      <c r="T67" s="37">
        <v>664</v>
      </c>
      <c r="U67" s="38">
        <v>402</v>
      </c>
      <c r="V67" s="37">
        <v>427</v>
      </c>
      <c r="W67" s="32">
        <v>645</v>
      </c>
      <c r="X67" s="31">
        <v>673</v>
      </c>
      <c r="Y67" s="32">
        <v>374</v>
      </c>
      <c r="Z67" s="111">
        <v>722</v>
      </c>
      <c r="AA67" s="35">
        <v>0</v>
      </c>
      <c r="AB67" s="35">
        <v>25</v>
      </c>
      <c r="AC67" s="35">
        <v>343</v>
      </c>
      <c r="AD67" s="35">
        <v>0</v>
      </c>
      <c r="AE67" s="33">
        <v>0</v>
      </c>
      <c r="AF67" s="116">
        <v>0</v>
      </c>
      <c r="AG67" s="120">
        <v>707</v>
      </c>
      <c r="AH67" s="38">
        <v>360</v>
      </c>
      <c r="AI67" s="37"/>
      <c r="AJ67" s="36"/>
      <c r="AK67" s="37"/>
      <c r="AL67" s="38"/>
      <c r="AM67" s="37">
        <v>658</v>
      </c>
      <c r="AN67" s="116">
        <v>382</v>
      </c>
      <c r="AO67" s="120"/>
      <c r="AP67" s="38"/>
      <c r="AQ67" s="37"/>
      <c r="AR67" s="116"/>
      <c r="AS67" s="120"/>
      <c r="AT67" s="38"/>
      <c r="AU67" s="37"/>
      <c r="AV67" s="120"/>
      <c r="AW67" s="120"/>
      <c r="AX67" s="37"/>
      <c r="AY67" s="38"/>
      <c r="AZ67" s="37"/>
      <c r="BA67" s="116"/>
      <c r="BB67" s="31">
        <v>409</v>
      </c>
      <c r="BC67" s="32">
        <v>627</v>
      </c>
      <c r="BD67" s="31">
        <v>381</v>
      </c>
      <c r="BE67" s="116">
        <v>653</v>
      </c>
      <c r="BF67" s="120">
        <v>646</v>
      </c>
      <c r="BG67" s="38">
        <v>385</v>
      </c>
      <c r="BH67" s="37">
        <v>428</v>
      </c>
      <c r="BI67" s="38">
        <v>611</v>
      </c>
      <c r="BJ67" s="111">
        <v>32</v>
      </c>
      <c r="BK67" s="33">
        <v>383</v>
      </c>
      <c r="BL67" s="115">
        <v>613</v>
      </c>
      <c r="BM67" s="111">
        <v>658</v>
      </c>
      <c r="BN67" s="35">
        <v>360</v>
      </c>
      <c r="BO67" s="32">
        <v>22</v>
      </c>
      <c r="BP67" s="31">
        <v>401</v>
      </c>
      <c r="BQ67" s="32">
        <v>630</v>
      </c>
      <c r="BR67" s="31">
        <v>585</v>
      </c>
      <c r="BS67" s="32">
        <v>474</v>
      </c>
      <c r="BT67" s="31">
        <v>371</v>
      </c>
      <c r="BU67" s="33">
        <v>36</v>
      </c>
      <c r="BV67" s="115">
        <v>618</v>
      </c>
      <c r="BW67" s="111">
        <v>681</v>
      </c>
      <c r="BX67" s="32">
        <v>373</v>
      </c>
      <c r="BY67" s="31">
        <v>650</v>
      </c>
      <c r="BZ67" s="32">
        <v>361</v>
      </c>
      <c r="CA67" s="111">
        <v>396</v>
      </c>
      <c r="CB67" s="32">
        <v>636</v>
      </c>
      <c r="CC67" s="33">
        <v>642</v>
      </c>
      <c r="CD67" s="34">
        <v>812</v>
      </c>
      <c r="CE67" s="120">
        <v>410</v>
      </c>
      <c r="CF67" s="42">
        <v>472</v>
      </c>
      <c r="CG67" s="31">
        <v>266</v>
      </c>
      <c r="CH67" s="35">
        <v>179</v>
      </c>
      <c r="CI67" s="35">
        <v>405</v>
      </c>
      <c r="CJ67" s="35">
        <v>455</v>
      </c>
      <c r="CK67" s="32">
        <v>375</v>
      </c>
    </row>
    <row r="68" spans="1:89" ht="13" x14ac:dyDescent="0.25">
      <c r="A68" s="27">
        <v>804</v>
      </c>
      <c r="B68" s="28" t="s">
        <v>91</v>
      </c>
      <c r="C68" s="29">
        <v>1614</v>
      </c>
      <c r="D68" s="30">
        <v>769</v>
      </c>
      <c r="E68" s="20">
        <f t="shared" ref="E68:E131" si="1">SUM(D68/C68)</f>
        <v>0.47645600991325898</v>
      </c>
      <c r="F68" s="31">
        <v>0</v>
      </c>
      <c r="G68" s="111">
        <v>0</v>
      </c>
      <c r="H68" s="111">
        <v>0</v>
      </c>
      <c r="I68" s="111">
        <v>2</v>
      </c>
      <c r="J68" s="111">
        <v>2</v>
      </c>
      <c r="K68" s="111">
        <v>0</v>
      </c>
      <c r="L68" s="111">
        <v>0</v>
      </c>
      <c r="M68" s="111">
        <v>673</v>
      </c>
      <c r="N68" s="111">
        <v>0</v>
      </c>
      <c r="O68" s="111">
        <v>0</v>
      </c>
      <c r="P68" s="35">
        <v>5</v>
      </c>
      <c r="Q68" s="35">
        <v>2</v>
      </c>
      <c r="R68" s="35">
        <v>75</v>
      </c>
      <c r="S68" s="32">
        <v>1</v>
      </c>
      <c r="T68" s="31">
        <v>671</v>
      </c>
      <c r="U68" s="32">
        <v>77</v>
      </c>
      <c r="V68" s="31">
        <v>85</v>
      </c>
      <c r="W68" s="32">
        <v>662</v>
      </c>
      <c r="X68" s="31">
        <v>674</v>
      </c>
      <c r="Y68" s="32">
        <v>71</v>
      </c>
      <c r="Z68" s="111">
        <v>668</v>
      </c>
      <c r="AA68" s="35">
        <v>0</v>
      </c>
      <c r="AB68" s="35">
        <v>22</v>
      </c>
      <c r="AC68" s="35">
        <v>60</v>
      </c>
      <c r="AD68" s="35">
        <v>0</v>
      </c>
      <c r="AE68" s="33">
        <v>0</v>
      </c>
      <c r="AF68" s="115">
        <v>1</v>
      </c>
      <c r="AG68" s="111">
        <v>682</v>
      </c>
      <c r="AH68" s="32">
        <v>69</v>
      </c>
      <c r="AI68" s="31"/>
      <c r="AJ68" s="33"/>
      <c r="AK68" s="31"/>
      <c r="AL68" s="32"/>
      <c r="AM68" s="31">
        <v>662</v>
      </c>
      <c r="AN68" s="115">
        <v>73</v>
      </c>
      <c r="AO68" s="111"/>
      <c r="AP68" s="32"/>
      <c r="AQ68" s="31"/>
      <c r="AR68" s="115"/>
      <c r="AS68" s="111"/>
      <c r="AT68" s="32"/>
      <c r="AU68" s="31"/>
      <c r="AV68" s="111"/>
      <c r="AW68" s="111"/>
      <c r="AX68" s="31"/>
      <c r="AY68" s="32"/>
      <c r="AZ68" s="31"/>
      <c r="BA68" s="115"/>
      <c r="BB68" s="31">
        <v>83</v>
      </c>
      <c r="BC68" s="32">
        <v>652</v>
      </c>
      <c r="BD68" s="31">
        <v>77</v>
      </c>
      <c r="BE68" s="115">
        <v>659</v>
      </c>
      <c r="BF68" s="111">
        <v>651</v>
      </c>
      <c r="BG68" s="32">
        <v>78</v>
      </c>
      <c r="BH68" s="31">
        <v>79</v>
      </c>
      <c r="BI68" s="32">
        <v>642</v>
      </c>
      <c r="BJ68" s="111">
        <v>33</v>
      </c>
      <c r="BK68" s="33">
        <v>61</v>
      </c>
      <c r="BL68" s="115">
        <v>646</v>
      </c>
      <c r="BM68" s="111">
        <v>642</v>
      </c>
      <c r="BN68" s="35">
        <v>63</v>
      </c>
      <c r="BO68" s="32">
        <v>26</v>
      </c>
      <c r="BP68" s="31">
        <v>82</v>
      </c>
      <c r="BQ68" s="32">
        <v>644</v>
      </c>
      <c r="BR68" s="31">
        <v>627</v>
      </c>
      <c r="BS68" s="32">
        <v>109</v>
      </c>
      <c r="BT68" s="31">
        <v>67</v>
      </c>
      <c r="BU68" s="33">
        <v>30</v>
      </c>
      <c r="BV68" s="115">
        <v>636</v>
      </c>
      <c r="BW68" s="111">
        <v>657</v>
      </c>
      <c r="BX68" s="32">
        <v>86</v>
      </c>
      <c r="BY68" s="31">
        <v>654</v>
      </c>
      <c r="BZ68" s="32">
        <v>69</v>
      </c>
      <c r="CA68" s="111">
        <v>76</v>
      </c>
      <c r="CB68" s="32">
        <v>655</v>
      </c>
      <c r="CC68" s="33">
        <v>276</v>
      </c>
      <c r="CD68" s="34">
        <v>684</v>
      </c>
      <c r="CE68" s="111">
        <v>210</v>
      </c>
      <c r="CF68" s="38">
        <v>417</v>
      </c>
      <c r="CG68" s="31">
        <v>149</v>
      </c>
      <c r="CH68" s="35">
        <v>39</v>
      </c>
      <c r="CI68" s="35">
        <v>420</v>
      </c>
      <c r="CJ68" s="35">
        <v>455</v>
      </c>
      <c r="CK68" s="32">
        <v>107</v>
      </c>
    </row>
    <row r="69" spans="1:89" ht="13" x14ac:dyDescent="0.25">
      <c r="A69" s="27">
        <v>901</v>
      </c>
      <c r="B69" s="28" t="s">
        <v>92</v>
      </c>
      <c r="C69" s="29">
        <v>850</v>
      </c>
      <c r="D69" s="30">
        <v>329</v>
      </c>
      <c r="E69" s="20">
        <f t="shared" si="1"/>
        <v>0.38705882352941179</v>
      </c>
      <c r="F69" s="31">
        <v>0</v>
      </c>
      <c r="G69" s="111">
        <v>0</v>
      </c>
      <c r="H69" s="111">
        <v>0</v>
      </c>
      <c r="I69" s="111">
        <v>0</v>
      </c>
      <c r="J69" s="111">
        <v>3</v>
      </c>
      <c r="K69" s="111">
        <v>0</v>
      </c>
      <c r="L69" s="111">
        <v>0</v>
      </c>
      <c r="M69" s="111">
        <v>298</v>
      </c>
      <c r="N69" s="111">
        <v>0</v>
      </c>
      <c r="O69" s="111">
        <v>0</v>
      </c>
      <c r="P69" s="35">
        <v>2</v>
      </c>
      <c r="Q69" s="35">
        <v>2</v>
      </c>
      <c r="R69" s="35">
        <v>21</v>
      </c>
      <c r="S69" s="32">
        <v>0</v>
      </c>
      <c r="T69" s="37">
        <v>292</v>
      </c>
      <c r="U69" s="38">
        <v>19</v>
      </c>
      <c r="V69" s="37">
        <v>28</v>
      </c>
      <c r="W69" s="32">
        <v>286</v>
      </c>
      <c r="X69" s="31">
        <v>291</v>
      </c>
      <c r="Y69" s="32">
        <v>18</v>
      </c>
      <c r="Z69" s="111">
        <v>294</v>
      </c>
      <c r="AA69" s="35">
        <v>0</v>
      </c>
      <c r="AB69" s="35">
        <v>9</v>
      </c>
      <c r="AC69" s="35">
        <v>10</v>
      </c>
      <c r="AD69" s="35">
        <v>0</v>
      </c>
      <c r="AE69" s="33">
        <v>0</v>
      </c>
      <c r="AF69" s="116">
        <v>0</v>
      </c>
      <c r="AG69" s="120">
        <v>295</v>
      </c>
      <c r="AH69" s="38">
        <v>18</v>
      </c>
      <c r="AI69" s="37"/>
      <c r="AJ69" s="36"/>
      <c r="AK69" s="37"/>
      <c r="AL69" s="38"/>
      <c r="AM69" s="37"/>
      <c r="AN69" s="116"/>
      <c r="AO69" s="120">
        <v>18</v>
      </c>
      <c r="AP69" s="38">
        <v>298</v>
      </c>
      <c r="AQ69" s="37"/>
      <c r="AR69" s="116"/>
      <c r="AS69" s="120"/>
      <c r="AT69" s="38"/>
      <c r="AU69" s="37"/>
      <c r="AV69" s="120"/>
      <c r="AW69" s="120"/>
      <c r="AX69" s="37"/>
      <c r="AY69" s="38"/>
      <c r="AZ69" s="37"/>
      <c r="BA69" s="116"/>
      <c r="BB69" s="31">
        <v>21</v>
      </c>
      <c r="BC69" s="32">
        <v>285</v>
      </c>
      <c r="BD69" s="31">
        <v>18</v>
      </c>
      <c r="BE69" s="116">
        <v>293</v>
      </c>
      <c r="BF69" s="120">
        <v>288</v>
      </c>
      <c r="BG69" s="38">
        <v>20</v>
      </c>
      <c r="BH69" s="37">
        <v>26</v>
      </c>
      <c r="BI69" s="38">
        <v>279</v>
      </c>
      <c r="BJ69" s="111">
        <v>7</v>
      </c>
      <c r="BK69" s="33">
        <v>14</v>
      </c>
      <c r="BL69" s="115">
        <v>296</v>
      </c>
      <c r="BM69" s="111">
        <v>282</v>
      </c>
      <c r="BN69" s="35">
        <v>23</v>
      </c>
      <c r="BO69" s="32">
        <v>3</v>
      </c>
      <c r="BP69" s="31">
        <v>19</v>
      </c>
      <c r="BQ69" s="32">
        <v>292</v>
      </c>
      <c r="BR69" s="31">
        <v>281</v>
      </c>
      <c r="BS69" s="32">
        <v>29</v>
      </c>
      <c r="BT69" s="31">
        <v>19</v>
      </c>
      <c r="BU69" s="33">
        <v>7</v>
      </c>
      <c r="BV69" s="115">
        <v>285</v>
      </c>
      <c r="BW69" s="111">
        <v>298</v>
      </c>
      <c r="BX69" s="32">
        <v>18</v>
      </c>
      <c r="BY69" s="31">
        <v>291</v>
      </c>
      <c r="BZ69" s="32">
        <v>17</v>
      </c>
      <c r="CA69" s="111">
        <v>20</v>
      </c>
      <c r="CB69" s="32">
        <v>289</v>
      </c>
      <c r="CC69" s="33">
        <v>90</v>
      </c>
      <c r="CD69" s="34">
        <v>300</v>
      </c>
      <c r="CE69" s="120">
        <v>78</v>
      </c>
      <c r="CF69" s="38">
        <v>192</v>
      </c>
      <c r="CG69" s="31">
        <v>58</v>
      </c>
      <c r="CH69" s="35">
        <v>24</v>
      </c>
      <c r="CI69" s="35">
        <v>176</v>
      </c>
      <c r="CJ69" s="35">
        <v>171</v>
      </c>
      <c r="CK69" s="32">
        <v>42</v>
      </c>
    </row>
    <row r="70" spans="1:89" ht="13" x14ac:dyDescent="0.25">
      <c r="A70" s="27">
        <v>902</v>
      </c>
      <c r="B70" s="28" t="s">
        <v>93</v>
      </c>
      <c r="C70" s="29">
        <v>1727</v>
      </c>
      <c r="D70" s="30">
        <v>1162</v>
      </c>
      <c r="E70" s="20">
        <f t="shared" si="1"/>
        <v>0.67284308048639263</v>
      </c>
      <c r="F70" s="31">
        <v>0</v>
      </c>
      <c r="G70" s="111">
        <v>0</v>
      </c>
      <c r="H70" s="111">
        <v>0</v>
      </c>
      <c r="I70" s="111">
        <v>1</v>
      </c>
      <c r="J70" s="111">
        <v>2</v>
      </c>
      <c r="K70" s="111">
        <v>0</v>
      </c>
      <c r="L70" s="111">
        <v>0</v>
      </c>
      <c r="M70" s="111">
        <v>935</v>
      </c>
      <c r="N70" s="111">
        <v>0</v>
      </c>
      <c r="O70" s="111">
        <v>0</v>
      </c>
      <c r="P70" s="35">
        <v>5</v>
      </c>
      <c r="Q70" s="35">
        <v>1</v>
      </c>
      <c r="R70" s="35">
        <v>201</v>
      </c>
      <c r="S70" s="32">
        <v>1</v>
      </c>
      <c r="T70" s="37">
        <v>909</v>
      </c>
      <c r="U70" s="38">
        <v>222</v>
      </c>
      <c r="V70" s="37">
        <v>229</v>
      </c>
      <c r="W70" s="32">
        <v>899</v>
      </c>
      <c r="X70" s="31">
        <v>911</v>
      </c>
      <c r="Y70" s="32">
        <v>209</v>
      </c>
      <c r="Z70" s="111">
        <v>937</v>
      </c>
      <c r="AA70" s="35">
        <v>0</v>
      </c>
      <c r="AB70" s="35">
        <v>27</v>
      </c>
      <c r="AC70" s="35">
        <v>183</v>
      </c>
      <c r="AD70" s="35">
        <v>0</v>
      </c>
      <c r="AE70" s="33">
        <v>0</v>
      </c>
      <c r="AF70" s="116">
        <v>0</v>
      </c>
      <c r="AG70" s="120">
        <v>918</v>
      </c>
      <c r="AH70" s="38">
        <v>206</v>
      </c>
      <c r="AI70" s="37"/>
      <c r="AJ70" s="36"/>
      <c r="AK70" s="37"/>
      <c r="AL70" s="38"/>
      <c r="AM70" s="37"/>
      <c r="AN70" s="116"/>
      <c r="AO70" s="120">
        <v>203</v>
      </c>
      <c r="AP70" s="38">
        <v>910</v>
      </c>
      <c r="AQ70" s="37"/>
      <c r="AR70" s="116"/>
      <c r="AS70" s="120"/>
      <c r="AT70" s="38"/>
      <c r="AU70" s="37"/>
      <c r="AV70" s="120"/>
      <c r="AW70" s="120"/>
      <c r="AX70" s="37"/>
      <c r="AY70" s="38"/>
      <c r="AZ70" s="37"/>
      <c r="BA70" s="116"/>
      <c r="BB70" s="31">
        <v>236</v>
      </c>
      <c r="BC70" s="32">
        <v>872</v>
      </c>
      <c r="BD70" s="31">
        <v>215</v>
      </c>
      <c r="BE70" s="116">
        <v>889</v>
      </c>
      <c r="BF70" s="120">
        <v>886</v>
      </c>
      <c r="BG70" s="38">
        <v>211</v>
      </c>
      <c r="BH70" s="37">
        <v>240</v>
      </c>
      <c r="BI70" s="38">
        <v>853</v>
      </c>
      <c r="BJ70" s="111">
        <v>42</v>
      </c>
      <c r="BK70" s="33">
        <v>197</v>
      </c>
      <c r="BL70" s="115">
        <v>874</v>
      </c>
      <c r="BM70" s="111">
        <v>877</v>
      </c>
      <c r="BN70" s="35">
        <v>197</v>
      </c>
      <c r="BO70" s="32">
        <v>39</v>
      </c>
      <c r="BP70" s="31">
        <v>216</v>
      </c>
      <c r="BQ70" s="32">
        <v>891</v>
      </c>
      <c r="BR70" s="31">
        <v>850</v>
      </c>
      <c r="BS70" s="32">
        <v>259</v>
      </c>
      <c r="BT70" s="31">
        <v>204</v>
      </c>
      <c r="BU70" s="33">
        <v>53</v>
      </c>
      <c r="BV70" s="115">
        <v>847</v>
      </c>
      <c r="BW70" s="111">
        <v>902</v>
      </c>
      <c r="BX70" s="32">
        <v>219</v>
      </c>
      <c r="BY70" s="31">
        <v>886</v>
      </c>
      <c r="BZ70" s="32">
        <v>208</v>
      </c>
      <c r="CA70" s="111">
        <v>219</v>
      </c>
      <c r="CB70" s="32">
        <v>883</v>
      </c>
      <c r="CC70" s="33">
        <v>556</v>
      </c>
      <c r="CD70" s="34">
        <v>955</v>
      </c>
      <c r="CE70" s="120">
        <v>399</v>
      </c>
      <c r="CF70" s="42">
        <v>551</v>
      </c>
      <c r="CG70" s="31">
        <v>258</v>
      </c>
      <c r="CH70" s="35">
        <v>134</v>
      </c>
      <c r="CI70" s="35">
        <v>517</v>
      </c>
      <c r="CJ70" s="35">
        <v>620</v>
      </c>
      <c r="CK70" s="32">
        <v>219</v>
      </c>
    </row>
    <row r="71" spans="1:89" ht="13" x14ac:dyDescent="0.25">
      <c r="A71" s="27">
        <v>903</v>
      </c>
      <c r="B71" s="28" t="s">
        <v>94</v>
      </c>
      <c r="C71" s="29">
        <v>1386</v>
      </c>
      <c r="D71" s="30">
        <v>624</v>
      </c>
      <c r="E71" s="20">
        <f t="shared" si="1"/>
        <v>0.45021645021645024</v>
      </c>
      <c r="F71" s="31">
        <v>0</v>
      </c>
      <c r="G71" s="111">
        <v>0</v>
      </c>
      <c r="H71" s="111">
        <v>0</v>
      </c>
      <c r="I71" s="111">
        <v>2</v>
      </c>
      <c r="J71" s="111">
        <v>1</v>
      </c>
      <c r="K71" s="111">
        <v>0</v>
      </c>
      <c r="L71" s="111">
        <v>0</v>
      </c>
      <c r="M71" s="111">
        <v>527</v>
      </c>
      <c r="N71" s="111">
        <v>0</v>
      </c>
      <c r="O71" s="111">
        <v>0</v>
      </c>
      <c r="P71" s="35">
        <v>2</v>
      </c>
      <c r="Q71" s="35">
        <v>0</v>
      </c>
      <c r="R71" s="35">
        <v>76</v>
      </c>
      <c r="S71" s="32">
        <v>1</v>
      </c>
      <c r="T71" s="37">
        <v>512</v>
      </c>
      <c r="U71" s="38">
        <v>72</v>
      </c>
      <c r="V71" s="37">
        <v>81</v>
      </c>
      <c r="W71" s="32">
        <v>506</v>
      </c>
      <c r="X71" s="31">
        <v>506</v>
      </c>
      <c r="Y71" s="32">
        <v>68</v>
      </c>
      <c r="Z71" s="111">
        <v>518</v>
      </c>
      <c r="AA71" s="35">
        <v>0</v>
      </c>
      <c r="AB71" s="35">
        <v>15</v>
      </c>
      <c r="AC71" s="35">
        <v>65</v>
      </c>
      <c r="AD71" s="35">
        <v>0</v>
      </c>
      <c r="AE71" s="33">
        <v>0</v>
      </c>
      <c r="AF71" s="116">
        <v>0</v>
      </c>
      <c r="AG71" s="120">
        <v>513</v>
      </c>
      <c r="AH71" s="38">
        <v>64</v>
      </c>
      <c r="AI71" s="37"/>
      <c r="AJ71" s="36"/>
      <c r="AK71" s="37"/>
      <c r="AL71" s="38"/>
      <c r="AM71" s="37"/>
      <c r="AN71" s="116"/>
      <c r="AO71" s="120">
        <v>56</v>
      </c>
      <c r="AP71" s="38">
        <v>540</v>
      </c>
      <c r="AQ71" s="37"/>
      <c r="AR71" s="116"/>
      <c r="AS71" s="120"/>
      <c r="AT71" s="38"/>
      <c r="AU71" s="37"/>
      <c r="AV71" s="120"/>
      <c r="AW71" s="120"/>
      <c r="AX71" s="37"/>
      <c r="AY71" s="38"/>
      <c r="AZ71" s="37"/>
      <c r="BA71" s="116"/>
      <c r="BB71" s="31">
        <v>71</v>
      </c>
      <c r="BC71" s="32">
        <v>495</v>
      </c>
      <c r="BD71" s="31">
        <v>63</v>
      </c>
      <c r="BE71" s="116">
        <v>509</v>
      </c>
      <c r="BF71" s="120">
        <v>502</v>
      </c>
      <c r="BG71" s="38">
        <v>65</v>
      </c>
      <c r="BH71" s="37">
        <v>66</v>
      </c>
      <c r="BI71" s="38">
        <v>501</v>
      </c>
      <c r="BJ71" s="111">
        <v>15</v>
      </c>
      <c r="BK71" s="33">
        <v>52</v>
      </c>
      <c r="BL71" s="115">
        <v>518</v>
      </c>
      <c r="BM71" s="111">
        <v>496</v>
      </c>
      <c r="BN71" s="35">
        <v>57</v>
      </c>
      <c r="BO71" s="32">
        <v>15</v>
      </c>
      <c r="BP71" s="31">
        <v>61</v>
      </c>
      <c r="BQ71" s="32">
        <v>508</v>
      </c>
      <c r="BR71" s="31">
        <v>493</v>
      </c>
      <c r="BS71" s="32">
        <v>81</v>
      </c>
      <c r="BT71" s="31">
        <v>66</v>
      </c>
      <c r="BU71" s="33">
        <v>16</v>
      </c>
      <c r="BV71" s="115">
        <v>491</v>
      </c>
      <c r="BW71" s="111">
        <v>505</v>
      </c>
      <c r="BX71" s="32">
        <v>67</v>
      </c>
      <c r="BY71" s="31">
        <v>501</v>
      </c>
      <c r="BZ71" s="32">
        <v>63</v>
      </c>
      <c r="CA71" s="111">
        <v>69</v>
      </c>
      <c r="CB71" s="32">
        <v>498</v>
      </c>
      <c r="CC71" s="33">
        <v>201</v>
      </c>
      <c r="CD71" s="34">
        <v>519</v>
      </c>
      <c r="CE71" s="120">
        <v>189</v>
      </c>
      <c r="CF71" s="38">
        <v>262</v>
      </c>
      <c r="CG71" s="31">
        <v>101</v>
      </c>
      <c r="CH71" s="35">
        <v>44</v>
      </c>
      <c r="CI71" s="35">
        <v>269</v>
      </c>
      <c r="CJ71" s="35">
        <v>296</v>
      </c>
      <c r="CK71" s="32">
        <v>109</v>
      </c>
    </row>
    <row r="72" spans="1:89" ht="13" x14ac:dyDescent="0.25">
      <c r="A72" s="27">
        <v>904</v>
      </c>
      <c r="B72" s="28" t="s">
        <v>95</v>
      </c>
      <c r="C72" s="29">
        <v>1096</v>
      </c>
      <c r="D72" s="30">
        <v>504</v>
      </c>
      <c r="E72" s="20">
        <f t="shared" si="1"/>
        <v>0.45985401459854014</v>
      </c>
      <c r="F72" s="3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456</v>
      </c>
      <c r="N72" s="111">
        <v>0</v>
      </c>
      <c r="O72" s="111">
        <v>0</v>
      </c>
      <c r="P72" s="35">
        <v>2</v>
      </c>
      <c r="Q72" s="35">
        <v>3</v>
      </c>
      <c r="R72" s="35">
        <v>35</v>
      </c>
      <c r="S72" s="32">
        <v>0</v>
      </c>
      <c r="T72" s="37">
        <v>436</v>
      </c>
      <c r="U72" s="38">
        <v>38</v>
      </c>
      <c r="V72" s="37">
        <v>54</v>
      </c>
      <c r="W72" s="32">
        <v>424</v>
      </c>
      <c r="X72" s="31">
        <v>435</v>
      </c>
      <c r="Y72" s="32">
        <v>30</v>
      </c>
      <c r="Z72" s="111">
        <v>444</v>
      </c>
      <c r="AA72" s="35">
        <v>0</v>
      </c>
      <c r="AB72" s="35">
        <v>16</v>
      </c>
      <c r="AC72" s="35">
        <v>29</v>
      </c>
      <c r="AD72" s="35">
        <v>0</v>
      </c>
      <c r="AE72" s="33">
        <v>0</v>
      </c>
      <c r="AF72" s="116">
        <v>0</v>
      </c>
      <c r="AG72" s="120">
        <v>447</v>
      </c>
      <c r="AH72" s="38">
        <v>30</v>
      </c>
      <c r="AI72" s="37"/>
      <c r="AJ72" s="36"/>
      <c r="AK72" s="37"/>
      <c r="AL72" s="38"/>
      <c r="AM72" s="37"/>
      <c r="AN72" s="116"/>
      <c r="AO72" s="120">
        <v>27</v>
      </c>
      <c r="AP72" s="38">
        <v>457</v>
      </c>
      <c r="AQ72" s="37"/>
      <c r="AR72" s="116"/>
      <c r="AS72" s="120"/>
      <c r="AT72" s="38"/>
      <c r="AU72" s="37"/>
      <c r="AV72" s="120"/>
      <c r="AW72" s="120"/>
      <c r="AX72" s="37"/>
      <c r="AY72" s="38"/>
      <c r="AZ72" s="37"/>
      <c r="BA72" s="116"/>
      <c r="BB72" s="31">
        <v>42</v>
      </c>
      <c r="BC72" s="32">
        <v>430</v>
      </c>
      <c r="BD72" s="31">
        <v>30</v>
      </c>
      <c r="BE72" s="116">
        <v>436</v>
      </c>
      <c r="BF72" s="120">
        <v>442</v>
      </c>
      <c r="BG72" s="38">
        <v>26</v>
      </c>
      <c r="BH72" s="37">
        <v>41</v>
      </c>
      <c r="BI72" s="38">
        <v>425</v>
      </c>
      <c r="BJ72" s="111">
        <v>8</v>
      </c>
      <c r="BK72" s="33">
        <v>24</v>
      </c>
      <c r="BL72" s="115">
        <v>447</v>
      </c>
      <c r="BM72" s="111">
        <v>437</v>
      </c>
      <c r="BN72" s="35">
        <v>25</v>
      </c>
      <c r="BO72" s="32">
        <v>8</v>
      </c>
      <c r="BP72" s="31">
        <v>37</v>
      </c>
      <c r="BQ72" s="32">
        <v>429</v>
      </c>
      <c r="BR72" s="31">
        <v>418</v>
      </c>
      <c r="BS72" s="32">
        <v>56</v>
      </c>
      <c r="BT72" s="31">
        <v>35</v>
      </c>
      <c r="BU72" s="33">
        <v>7</v>
      </c>
      <c r="BV72" s="115">
        <v>431</v>
      </c>
      <c r="BW72" s="111">
        <v>448</v>
      </c>
      <c r="BX72" s="32">
        <v>36</v>
      </c>
      <c r="BY72" s="31">
        <v>438</v>
      </c>
      <c r="BZ72" s="32">
        <v>33</v>
      </c>
      <c r="CA72" s="111">
        <v>36</v>
      </c>
      <c r="CB72" s="32">
        <v>434</v>
      </c>
      <c r="CC72" s="33">
        <v>144</v>
      </c>
      <c r="CD72" s="34">
        <v>436</v>
      </c>
      <c r="CE72" s="120">
        <v>157</v>
      </c>
      <c r="CF72" s="38">
        <v>225</v>
      </c>
      <c r="CG72" s="31">
        <v>111</v>
      </c>
      <c r="CH72" s="35">
        <v>37</v>
      </c>
      <c r="CI72" s="35">
        <v>219</v>
      </c>
      <c r="CJ72" s="35">
        <v>216</v>
      </c>
      <c r="CK72" s="32">
        <v>102</v>
      </c>
    </row>
    <row r="73" spans="1:89" ht="13" x14ac:dyDescent="0.25">
      <c r="A73" s="27">
        <v>1001</v>
      </c>
      <c r="B73" s="28" t="s">
        <v>96</v>
      </c>
      <c r="C73" s="29">
        <v>1374</v>
      </c>
      <c r="D73" s="30">
        <v>858</v>
      </c>
      <c r="E73" s="20">
        <f t="shared" si="1"/>
        <v>0.62445414847161573</v>
      </c>
      <c r="F73" s="31">
        <v>0</v>
      </c>
      <c r="G73" s="111">
        <v>0</v>
      </c>
      <c r="H73" s="111">
        <v>0</v>
      </c>
      <c r="I73" s="111">
        <v>2</v>
      </c>
      <c r="J73" s="111">
        <v>0</v>
      </c>
      <c r="K73" s="111">
        <v>0</v>
      </c>
      <c r="L73" s="111">
        <v>0</v>
      </c>
      <c r="M73" s="111">
        <v>616</v>
      </c>
      <c r="N73" s="111">
        <v>0</v>
      </c>
      <c r="O73" s="111">
        <v>0</v>
      </c>
      <c r="P73" s="35">
        <v>9</v>
      </c>
      <c r="Q73" s="35">
        <v>8</v>
      </c>
      <c r="R73" s="35">
        <v>218</v>
      </c>
      <c r="S73" s="32">
        <v>0</v>
      </c>
      <c r="T73" s="37">
        <v>597</v>
      </c>
      <c r="U73" s="38">
        <v>242</v>
      </c>
      <c r="V73" s="37">
        <v>249</v>
      </c>
      <c r="W73" s="32">
        <v>588</v>
      </c>
      <c r="X73" s="31">
        <v>600</v>
      </c>
      <c r="Y73" s="32">
        <v>228</v>
      </c>
      <c r="Z73" s="111">
        <v>608</v>
      </c>
      <c r="AA73" s="35">
        <v>0</v>
      </c>
      <c r="AB73" s="35">
        <v>23</v>
      </c>
      <c r="AC73" s="35">
        <v>216</v>
      </c>
      <c r="AD73" s="35">
        <v>0</v>
      </c>
      <c r="AE73" s="33">
        <v>0</v>
      </c>
      <c r="AF73" s="116">
        <v>0</v>
      </c>
      <c r="AG73" s="120">
        <v>602</v>
      </c>
      <c r="AH73" s="38">
        <v>230</v>
      </c>
      <c r="AI73" s="37"/>
      <c r="AJ73" s="36"/>
      <c r="AK73" s="37"/>
      <c r="AL73" s="38"/>
      <c r="AM73" s="37">
        <v>606</v>
      </c>
      <c r="AN73" s="116">
        <v>216</v>
      </c>
      <c r="AO73" s="120"/>
      <c r="AP73" s="38"/>
      <c r="AQ73" s="37"/>
      <c r="AR73" s="116"/>
      <c r="AS73" s="120"/>
      <c r="AT73" s="38"/>
      <c r="AU73" s="37"/>
      <c r="AV73" s="120"/>
      <c r="AW73" s="120"/>
      <c r="AX73" s="37"/>
      <c r="AY73" s="38"/>
      <c r="AZ73" s="37"/>
      <c r="BA73" s="116"/>
      <c r="BB73" s="31">
        <v>235</v>
      </c>
      <c r="BC73" s="32">
        <v>580</v>
      </c>
      <c r="BD73" s="31">
        <v>234</v>
      </c>
      <c r="BE73" s="116">
        <v>584</v>
      </c>
      <c r="BF73" s="120">
        <v>584</v>
      </c>
      <c r="BG73" s="38">
        <v>230</v>
      </c>
      <c r="BH73" s="37">
        <v>243</v>
      </c>
      <c r="BI73" s="38">
        <v>568</v>
      </c>
      <c r="BJ73" s="111">
        <v>40</v>
      </c>
      <c r="BK73" s="33">
        <v>215</v>
      </c>
      <c r="BL73" s="115">
        <v>566</v>
      </c>
      <c r="BM73" s="111">
        <v>577</v>
      </c>
      <c r="BN73" s="35">
        <v>212</v>
      </c>
      <c r="BO73" s="32">
        <v>37</v>
      </c>
      <c r="BP73" s="31">
        <v>227</v>
      </c>
      <c r="BQ73" s="32">
        <v>588</v>
      </c>
      <c r="BR73" s="31">
        <v>570</v>
      </c>
      <c r="BS73" s="32">
        <v>246</v>
      </c>
      <c r="BT73" s="31">
        <v>204</v>
      </c>
      <c r="BU73" s="33">
        <v>39</v>
      </c>
      <c r="BV73" s="115">
        <v>573</v>
      </c>
      <c r="BW73" s="111">
        <v>594</v>
      </c>
      <c r="BX73" s="32">
        <v>231</v>
      </c>
      <c r="BY73" s="31">
        <v>597</v>
      </c>
      <c r="BZ73" s="32">
        <v>212</v>
      </c>
      <c r="CA73" s="111">
        <v>227</v>
      </c>
      <c r="CB73" s="32">
        <v>581</v>
      </c>
      <c r="CC73" s="33">
        <v>413</v>
      </c>
      <c r="CD73" s="34">
        <v>650</v>
      </c>
      <c r="CE73" s="120">
        <v>292</v>
      </c>
      <c r="CF73" s="38">
        <v>409</v>
      </c>
      <c r="CG73" s="31">
        <v>163</v>
      </c>
      <c r="CH73" s="35">
        <v>147</v>
      </c>
      <c r="CI73" s="35">
        <v>388</v>
      </c>
      <c r="CJ73" s="35">
        <v>417</v>
      </c>
      <c r="CK73" s="32">
        <v>212</v>
      </c>
    </row>
    <row r="74" spans="1:89" ht="13" x14ac:dyDescent="0.25">
      <c r="A74" s="27">
        <v>1002</v>
      </c>
      <c r="B74" s="28" t="s">
        <v>97</v>
      </c>
      <c r="C74" s="29">
        <v>1585</v>
      </c>
      <c r="D74" s="30">
        <v>546</v>
      </c>
      <c r="E74" s="20">
        <f t="shared" si="1"/>
        <v>0.34447949526813881</v>
      </c>
      <c r="F74" s="31">
        <v>0</v>
      </c>
      <c r="G74" s="111">
        <v>0</v>
      </c>
      <c r="H74" s="111">
        <v>0</v>
      </c>
      <c r="I74" s="111">
        <v>3</v>
      </c>
      <c r="J74" s="111">
        <v>0</v>
      </c>
      <c r="K74" s="111">
        <v>0</v>
      </c>
      <c r="L74" s="111">
        <v>0</v>
      </c>
      <c r="M74" s="111">
        <v>457</v>
      </c>
      <c r="N74" s="111">
        <v>0</v>
      </c>
      <c r="O74" s="111">
        <v>0</v>
      </c>
      <c r="P74" s="35">
        <v>2</v>
      </c>
      <c r="Q74" s="35">
        <v>1</v>
      </c>
      <c r="R74" s="35">
        <v>69</v>
      </c>
      <c r="S74" s="32">
        <v>0</v>
      </c>
      <c r="T74" s="37">
        <v>444</v>
      </c>
      <c r="U74" s="38">
        <v>76</v>
      </c>
      <c r="V74" s="37">
        <v>83</v>
      </c>
      <c r="W74" s="32">
        <v>440</v>
      </c>
      <c r="X74" s="31">
        <v>448</v>
      </c>
      <c r="Y74" s="32">
        <v>69</v>
      </c>
      <c r="Z74" s="111">
        <v>446</v>
      </c>
      <c r="AA74" s="35">
        <v>0</v>
      </c>
      <c r="AB74" s="35">
        <v>24</v>
      </c>
      <c r="AC74" s="35">
        <v>61</v>
      </c>
      <c r="AD74" s="35">
        <v>0</v>
      </c>
      <c r="AE74" s="33">
        <v>0</v>
      </c>
      <c r="AF74" s="116">
        <v>0</v>
      </c>
      <c r="AG74" s="120">
        <v>443</v>
      </c>
      <c r="AH74" s="38">
        <v>69</v>
      </c>
      <c r="AI74" s="37"/>
      <c r="AJ74" s="36"/>
      <c r="AK74" s="37"/>
      <c r="AL74" s="38"/>
      <c r="AM74" s="37">
        <v>442</v>
      </c>
      <c r="AN74" s="116">
        <v>73</v>
      </c>
      <c r="AO74" s="120"/>
      <c r="AP74" s="38"/>
      <c r="AQ74" s="37"/>
      <c r="AR74" s="116"/>
      <c r="AS74" s="120"/>
      <c r="AT74" s="38"/>
      <c r="AU74" s="37"/>
      <c r="AV74" s="120"/>
      <c r="AW74" s="120"/>
      <c r="AX74" s="37"/>
      <c r="AY74" s="38"/>
      <c r="AZ74" s="37"/>
      <c r="BA74" s="116"/>
      <c r="BB74" s="31">
        <v>79</v>
      </c>
      <c r="BC74" s="32">
        <v>436</v>
      </c>
      <c r="BD74" s="31">
        <v>70</v>
      </c>
      <c r="BE74" s="116">
        <v>441</v>
      </c>
      <c r="BF74" s="120">
        <v>432</v>
      </c>
      <c r="BG74" s="38">
        <v>77</v>
      </c>
      <c r="BH74" s="37">
        <v>77</v>
      </c>
      <c r="BI74" s="38">
        <v>430</v>
      </c>
      <c r="BJ74" s="111">
        <v>24</v>
      </c>
      <c r="BK74" s="33">
        <v>59</v>
      </c>
      <c r="BL74" s="115">
        <v>438</v>
      </c>
      <c r="BM74" s="111">
        <v>431</v>
      </c>
      <c r="BN74" s="35">
        <v>61</v>
      </c>
      <c r="BO74" s="32">
        <v>25</v>
      </c>
      <c r="BP74" s="31">
        <v>72</v>
      </c>
      <c r="BQ74" s="32">
        <v>438</v>
      </c>
      <c r="BR74" s="31">
        <v>423</v>
      </c>
      <c r="BS74" s="32">
        <v>88</v>
      </c>
      <c r="BT74" s="31">
        <v>64</v>
      </c>
      <c r="BU74" s="33">
        <v>21</v>
      </c>
      <c r="BV74" s="115">
        <v>427</v>
      </c>
      <c r="BW74" s="111">
        <v>437</v>
      </c>
      <c r="BX74" s="32">
        <v>80</v>
      </c>
      <c r="BY74" s="31">
        <v>436</v>
      </c>
      <c r="BZ74" s="32">
        <v>67</v>
      </c>
      <c r="CA74" s="111">
        <v>72</v>
      </c>
      <c r="CB74" s="32">
        <v>435</v>
      </c>
      <c r="CC74" s="33">
        <v>213</v>
      </c>
      <c r="CD74" s="34">
        <v>465</v>
      </c>
      <c r="CE74" s="120">
        <v>164</v>
      </c>
      <c r="CF74" s="38">
        <v>247</v>
      </c>
      <c r="CG74" s="31">
        <v>99</v>
      </c>
      <c r="CH74" s="35">
        <v>39</v>
      </c>
      <c r="CI74" s="35">
        <v>236</v>
      </c>
      <c r="CJ74" s="35">
        <v>281</v>
      </c>
      <c r="CK74" s="32">
        <v>64</v>
      </c>
    </row>
    <row r="75" spans="1:89" ht="13" x14ac:dyDescent="0.25">
      <c r="A75" s="27">
        <v>1003</v>
      </c>
      <c r="B75" s="28" t="s">
        <v>98</v>
      </c>
      <c r="C75" s="29">
        <v>1366</v>
      </c>
      <c r="D75" s="30">
        <v>682</v>
      </c>
      <c r="E75" s="20">
        <f t="shared" si="1"/>
        <v>0.49926793557833088</v>
      </c>
      <c r="F75" s="31">
        <v>0</v>
      </c>
      <c r="G75" s="111">
        <v>0</v>
      </c>
      <c r="H75" s="111">
        <v>0</v>
      </c>
      <c r="I75" s="111">
        <v>2</v>
      </c>
      <c r="J75" s="111">
        <v>0</v>
      </c>
      <c r="K75" s="111">
        <v>0</v>
      </c>
      <c r="L75" s="111">
        <v>0</v>
      </c>
      <c r="M75" s="111">
        <v>592</v>
      </c>
      <c r="N75" s="111">
        <v>0</v>
      </c>
      <c r="O75" s="111">
        <v>0</v>
      </c>
      <c r="P75" s="35">
        <v>3</v>
      </c>
      <c r="Q75" s="35">
        <v>1</v>
      </c>
      <c r="R75" s="35">
        <v>72</v>
      </c>
      <c r="S75" s="32">
        <v>1</v>
      </c>
      <c r="T75" s="37">
        <v>580</v>
      </c>
      <c r="U75" s="38">
        <v>79</v>
      </c>
      <c r="V75" s="37">
        <v>95</v>
      </c>
      <c r="W75" s="32">
        <v>565</v>
      </c>
      <c r="X75" s="31">
        <v>581</v>
      </c>
      <c r="Y75" s="32">
        <v>74</v>
      </c>
      <c r="Z75" s="111">
        <v>588</v>
      </c>
      <c r="AA75" s="35">
        <v>0</v>
      </c>
      <c r="AB75" s="35">
        <v>17</v>
      </c>
      <c r="AC75" s="35">
        <v>60</v>
      </c>
      <c r="AD75" s="35">
        <v>0</v>
      </c>
      <c r="AE75" s="33">
        <v>0</v>
      </c>
      <c r="AF75" s="116">
        <v>1</v>
      </c>
      <c r="AG75" s="120">
        <v>582</v>
      </c>
      <c r="AH75" s="38">
        <v>71</v>
      </c>
      <c r="AI75" s="37"/>
      <c r="AJ75" s="36"/>
      <c r="AK75" s="37"/>
      <c r="AL75" s="38"/>
      <c r="AM75" s="37">
        <v>580</v>
      </c>
      <c r="AN75" s="116">
        <v>75</v>
      </c>
      <c r="AO75" s="120"/>
      <c r="AP75" s="38"/>
      <c r="AQ75" s="37"/>
      <c r="AR75" s="116"/>
      <c r="AS75" s="120"/>
      <c r="AT75" s="38"/>
      <c r="AU75" s="37"/>
      <c r="AV75" s="120"/>
      <c r="AW75" s="120"/>
      <c r="AX75" s="37"/>
      <c r="AY75" s="38"/>
      <c r="AZ75" s="37"/>
      <c r="BA75" s="116"/>
      <c r="BB75" s="31">
        <v>78</v>
      </c>
      <c r="BC75" s="32">
        <v>574</v>
      </c>
      <c r="BD75" s="31">
        <v>70</v>
      </c>
      <c r="BE75" s="116">
        <v>578</v>
      </c>
      <c r="BF75" s="120">
        <v>571</v>
      </c>
      <c r="BG75" s="38">
        <v>76</v>
      </c>
      <c r="BH75" s="37">
        <v>89</v>
      </c>
      <c r="BI75" s="38">
        <v>557</v>
      </c>
      <c r="BJ75" s="111">
        <v>24</v>
      </c>
      <c r="BK75" s="33">
        <v>68</v>
      </c>
      <c r="BL75" s="115">
        <v>562</v>
      </c>
      <c r="BM75" s="111">
        <v>565</v>
      </c>
      <c r="BN75" s="35">
        <v>57</v>
      </c>
      <c r="BO75" s="32">
        <v>28</v>
      </c>
      <c r="BP75" s="31">
        <v>75</v>
      </c>
      <c r="BQ75" s="32">
        <v>572</v>
      </c>
      <c r="BR75" s="31">
        <v>544</v>
      </c>
      <c r="BS75" s="32">
        <v>102</v>
      </c>
      <c r="BT75" s="31">
        <v>62</v>
      </c>
      <c r="BU75" s="33">
        <v>34</v>
      </c>
      <c r="BV75" s="115">
        <v>546</v>
      </c>
      <c r="BW75" s="111">
        <v>577</v>
      </c>
      <c r="BX75" s="32">
        <v>77</v>
      </c>
      <c r="BY75" s="31">
        <v>565</v>
      </c>
      <c r="BZ75" s="32">
        <v>73</v>
      </c>
      <c r="CA75" s="111">
        <v>81</v>
      </c>
      <c r="CB75" s="32">
        <v>560</v>
      </c>
      <c r="CC75" s="33">
        <v>259</v>
      </c>
      <c r="CD75" s="34">
        <v>582</v>
      </c>
      <c r="CE75" s="120">
        <v>193</v>
      </c>
      <c r="CF75" s="38">
        <v>351</v>
      </c>
      <c r="CG75" s="31">
        <v>127</v>
      </c>
      <c r="CH75" s="35">
        <v>43</v>
      </c>
      <c r="CI75" s="35">
        <v>342</v>
      </c>
      <c r="CJ75" s="35">
        <v>394</v>
      </c>
      <c r="CK75" s="32">
        <v>128</v>
      </c>
    </row>
    <row r="76" spans="1:89" ht="13" x14ac:dyDescent="0.25">
      <c r="A76" s="27">
        <v>1101</v>
      </c>
      <c r="B76" s="28" t="s">
        <v>99</v>
      </c>
      <c r="C76" s="29">
        <v>1192</v>
      </c>
      <c r="D76" s="30">
        <v>650</v>
      </c>
      <c r="E76" s="20">
        <f t="shared" si="1"/>
        <v>0.54530201342281881</v>
      </c>
      <c r="F76" s="31">
        <v>0</v>
      </c>
      <c r="G76" s="111">
        <v>0</v>
      </c>
      <c r="H76" s="111">
        <v>0</v>
      </c>
      <c r="I76" s="111">
        <v>3</v>
      </c>
      <c r="J76" s="111">
        <v>0</v>
      </c>
      <c r="K76" s="111">
        <v>0</v>
      </c>
      <c r="L76" s="111">
        <v>0</v>
      </c>
      <c r="M76" s="111">
        <v>495</v>
      </c>
      <c r="N76" s="111">
        <v>0</v>
      </c>
      <c r="O76" s="111">
        <v>0</v>
      </c>
      <c r="P76" s="35">
        <v>9</v>
      </c>
      <c r="Q76" s="35">
        <v>2</v>
      </c>
      <c r="R76" s="35">
        <v>128</v>
      </c>
      <c r="S76" s="32">
        <v>2</v>
      </c>
      <c r="T76" s="37">
        <v>480</v>
      </c>
      <c r="U76" s="38">
        <v>145</v>
      </c>
      <c r="V76" s="37">
        <v>142</v>
      </c>
      <c r="W76" s="32">
        <v>487</v>
      </c>
      <c r="X76" s="31">
        <v>498</v>
      </c>
      <c r="Y76" s="32">
        <v>129</v>
      </c>
      <c r="Z76" s="111">
        <v>495</v>
      </c>
      <c r="AA76" s="35">
        <v>0</v>
      </c>
      <c r="AB76" s="35">
        <v>26</v>
      </c>
      <c r="AC76" s="35">
        <v>118</v>
      </c>
      <c r="AD76" s="35">
        <v>0</v>
      </c>
      <c r="AE76" s="33">
        <v>0</v>
      </c>
      <c r="AF76" s="116">
        <v>1</v>
      </c>
      <c r="AG76" s="120">
        <v>491</v>
      </c>
      <c r="AH76" s="38">
        <v>134</v>
      </c>
      <c r="AI76" s="37"/>
      <c r="AJ76" s="36"/>
      <c r="AK76" s="37"/>
      <c r="AL76" s="38"/>
      <c r="AM76" s="37">
        <v>492</v>
      </c>
      <c r="AN76" s="116">
        <v>124</v>
      </c>
      <c r="AO76" s="120"/>
      <c r="AP76" s="38"/>
      <c r="AQ76" s="37"/>
      <c r="AR76" s="116"/>
      <c r="AS76" s="120"/>
      <c r="AT76" s="38"/>
      <c r="AU76" s="37"/>
      <c r="AV76" s="120"/>
      <c r="AW76" s="120"/>
      <c r="AX76" s="37"/>
      <c r="AY76" s="38"/>
      <c r="AZ76" s="37"/>
      <c r="BA76" s="116"/>
      <c r="BB76" s="31">
        <v>142</v>
      </c>
      <c r="BC76" s="32">
        <v>473</v>
      </c>
      <c r="BD76" s="31">
        <v>131</v>
      </c>
      <c r="BE76" s="116">
        <v>485</v>
      </c>
      <c r="BF76" s="120">
        <v>473</v>
      </c>
      <c r="BG76" s="38">
        <v>139</v>
      </c>
      <c r="BH76" s="37">
        <v>129</v>
      </c>
      <c r="BI76" s="38">
        <v>477</v>
      </c>
      <c r="BJ76" s="111">
        <v>40</v>
      </c>
      <c r="BK76" s="33">
        <v>112</v>
      </c>
      <c r="BL76" s="115">
        <v>471</v>
      </c>
      <c r="BM76" s="111">
        <v>477</v>
      </c>
      <c r="BN76" s="35">
        <v>112</v>
      </c>
      <c r="BO76" s="32">
        <v>33</v>
      </c>
      <c r="BP76" s="31">
        <v>136</v>
      </c>
      <c r="BQ76" s="32">
        <v>477</v>
      </c>
      <c r="BR76" s="31">
        <v>462</v>
      </c>
      <c r="BS76" s="32">
        <v>159</v>
      </c>
      <c r="BT76" s="31">
        <v>116</v>
      </c>
      <c r="BU76" s="33">
        <v>37</v>
      </c>
      <c r="BV76" s="115">
        <v>465</v>
      </c>
      <c r="BW76" s="111">
        <v>482</v>
      </c>
      <c r="BX76" s="32">
        <v>141</v>
      </c>
      <c r="BY76" s="31">
        <v>489</v>
      </c>
      <c r="BZ76" s="32">
        <v>123</v>
      </c>
      <c r="CA76" s="111">
        <v>137</v>
      </c>
      <c r="CB76" s="32">
        <v>484</v>
      </c>
      <c r="CC76" s="33">
        <v>296</v>
      </c>
      <c r="CD76" s="34">
        <v>520</v>
      </c>
      <c r="CE76" s="120">
        <v>199</v>
      </c>
      <c r="CF76" s="38">
        <v>305</v>
      </c>
      <c r="CG76" s="31">
        <v>115</v>
      </c>
      <c r="CH76" s="35">
        <v>76</v>
      </c>
      <c r="CI76" s="35">
        <v>288</v>
      </c>
      <c r="CJ76" s="35">
        <v>328</v>
      </c>
      <c r="CK76" s="32">
        <v>119</v>
      </c>
    </row>
    <row r="77" spans="1:89" ht="13" x14ac:dyDescent="0.25">
      <c r="A77" s="27">
        <v>1102</v>
      </c>
      <c r="B77" s="28" t="s">
        <v>100</v>
      </c>
      <c r="C77" s="29">
        <v>1376</v>
      </c>
      <c r="D77" s="30">
        <v>542</v>
      </c>
      <c r="E77" s="20">
        <f t="shared" si="1"/>
        <v>0.39389534883720928</v>
      </c>
      <c r="F77" s="31">
        <v>0</v>
      </c>
      <c r="G77" s="111">
        <v>0</v>
      </c>
      <c r="H77" s="111">
        <v>0</v>
      </c>
      <c r="I77" s="111">
        <v>1</v>
      </c>
      <c r="J77" s="111">
        <v>0</v>
      </c>
      <c r="K77" s="111">
        <v>0</v>
      </c>
      <c r="L77" s="111">
        <v>0</v>
      </c>
      <c r="M77" s="111">
        <v>415</v>
      </c>
      <c r="N77" s="111">
        <v>0</v>
      </c>
      <c r="O77" s="111">
        <v>0</v>
      </c>
      <c r="P77" s="35">
        <v>4</v>
      </c>
      <c r="Q77" s="35">
        <v>0</v>
      </c>
      <c r="R77" s="35">
        <v>117</v>
      </c>
      <c r="S77" s="32">
        <v>1</v>
      </c>
      <c r="T77" s="37">
        <v>419</v>
      </c>
      <c r="U77" s="38">
        <v>102</v>
      </c>
      <c r="V77" s="37">
        <v>101</v>
      </c>
      <c r="W77" s="32">
        <v>423</v>
      </c>
      <c r="X77" s="31">
        <v>427</v>
      </c>
      <c r="Y77" s="32">
        <v>94</v>
      </c>
      <c r="Z77" s="111">
        <v>418</v>
      </c>
      <c r="AA77" s="35">
        <v>0</v>
      </c>
      <c r="AB77" s="35">
        <v>17</v>
      </c>
      <c r="AC77" s="35">
        <v>96</v>
      </c>
      <c r="AD77" s="35">
        <v>0</v>
      </c>
      <c r="AE77" s="33">
        <v>0</v>
      </c>
      <c r="AF77" s="116">
        <v>0</v>
      </c>
      <c r="AG77" s="120">
        <v>414</v>
      </c>
      <c r="AH77" s="38">
        <v>101</v>
      </c>
      <c r="AI77" s="37"/>
      <c r="AJ77" s="36"/>
      <c r="AK77" s="37"/>
      <c r="AL77" s="38"/>
      <c r="AM77" s="37">
        <v>410</v>
      </c>
      <c r="AN77" s="116">
        <v>100</v>
      </c>
      <c r="AO77" s="120"/>
      <c r="AP77" s="38"/>
      <c r="AQ77" s="37"/>
      <c r="AR77" s="116"/>
      <c r="AS77" s="120"/>
      <c r="AT77" s="38"/>
      <c r="AU77" s="37"/>
      <c r="AV77" s="120"/>
      <c r="AW77" s="120"/>
      <c r="AX77" s="37"/>
      <c r="AY77" s="38"/>
      <c r="AZ77" s="37"/>
      <c r="BA77" s="116"/>
      <c r="BB77" s="31">
        <v>98</v>
      </c>
      <c r="BC77" s="32">
        <v>416</v>
      </c>
      <c r="BD77" s="31">
        <v>94</v>
      </c>
      <c r="BE77" s="116">
        <v>417</v>
      </c>
      <c r="BF77" s="120">
        <v>415</v>
      </c>
      <c r="BG77" s="38">
        <v>93</v>
      </c>
      <c r="BH77" s="37">
        <v>105</v>
      </c>
      <c r="BI77" s="38">
        <v>404</v>
      </c>
      <c r="BJ77" s="111">
        <v>31</v>
      </c>
      <c r="BK77" s="33">
        <v>83</v>
      </c>
      <c r="BL77" s="115">
        <v>399</v>
      </c>
      <c r="BM77" s="111">
        <v>395</v>
      </c>
      <c r="BN77" s="35">
        <v>91</v>
      </c>
      <c r="BO77" s="32">
        <v>24</v>
      </c>
      <c r="BP77" s="31">
        <v>102</v>
      </c>
      <c r="BQ77" s="32">
        <v>405</v>
      </c>
      <c r="BR77" s="31">
        <v>403</v>
      </c>
      <c r="BS77" s="32">
        <v>109</v>
      </c>
      <c r="BT77" s="31">
        <v>80</v>
      </c>
      <c r="BU77" s="33">
        <v>26</v>
      </c>
      <c r="BV77" s="115">
        <v>400</v>
      </c>
      <c r="BW77" s="111">
        <v>422</v>
      </c>
      <c r="BX77" s="32">
        <v>92</v>
      </c>
      <c r="BY77" s="31">
        <v>414</v>
      </c>
      <c r="BZ77" s="32">
        <v>90</v>
      </c>
      <c r="CA77" s="111">
        <v>102</v>
      </c>
      <c r="CB77" s="32">
        <v>406</v>
      </c>
      <c r="CC77" s="33">
        <v>253</v>
      </c>
      <c r="CD77" s="34">
        <v>452</v>
      </c>
      <c r="CE77" s="120">
        <v>186</v>
      </c>
      <c r="CF77" s="38">
        <v>244</v>
      </c>
      <c r="CG77" s="31">
        <v>121</v>
      </c>
      <c r="CH77" s="35">
        <v>48</v>
      </c>
      <c r="CI77" s="35">
        <v>220</v>
      </c>
      <c r="CJ77" s="35">
        <v>264</v>
      </c>
      <c r="CK77" s="32">
        <v>100</v>
      </c>
    </row>
    <row r="78" spans="1:89" ht="13" x14ac:dyDescent="0.25">
      <c r="A78" s="27">
        <v>1103</v>
      </c>
      <c r="B78" s="28" t="s">
        <v>101</v>
      </c>
      <c r="C78" s="29">
        <v>900</v>
      </c>
      <c r="D78" s="30">
        <v>368</v>
      </c>
      <c r="E78" s="20">
        <f t="shared" si="1"/>
        <v>0.40888888888888891</v>
      </c>
      <c r="F78" s="3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273</v>
      </c>
      <c r="N78" s="111">
        <v>0</v>
      </c>
      <c r="O78" s="111">
        <v>0</v>
      </c>
      <c r="P78" s="35">
        <v>2</v>
      </c>
      <c r="Q78" s="35">
        <v>2</v>
      </c>
      <c r="R78" s="35">
        <v>87</v>
      </c>
      <c r="S78" s="32">
        <v>1</v>
      </c>
      <c r="T78" s="37">
        <v>270</v>
      </c>
      <c r="U78" s="38">
        <v>79</v>
      </c>
      <c r="V78" s="37">
        <v>78</v>
      </c>
      <c r="W78" s="32">
        <v>265</v>
      </c>
      <c r="X78" s="31">
        <v>263</v>
      </c>
      <c r="Y78" s="32">
        <v>74</v>
      </c>
      <c r="Z78" s="111">
        <v>271</v>
      </c>
      <c r="AA78" s="35">
        <v>0</v>
      </c>
      <c r="AB78" s="35">
        <v>13</v>
      </c>
      <c r="AC78" s="35">
        <v>72</v>
      </c>
      <c r="AD78" s="35">
        <v>0</v>
      </c>
      <c r="AE78" s="33">
        <v>0</v>
      </c>
      <c r="AF78" s="116">
        <v>0</v>
      </c>
      <c r="AG78" s="120">
        <v>263</v>
      </c>
      <c r="AH78" s="38">
        <v>77</v>
      </c>
      <c r="AI78" s="37"/>
      <c r="AJ78" s="36"/>
      <c r="AK78" s="37"/>
      <c r="AL78" s="38"/>
      <c r="AM78" s="37">
        <v>260</v>
      </c>
      <c r="AN78" s="116">
        <v>74</v>
      </c>
      <c r="AO78" s="120"/>
      <c r="AP78" s="38"/>
      <c r="AQ78" s="37"/>
      <c r="AR78" s="116"/>
      <c r="AS78" s="120"/>
      <c r="AT78" s="38"/>
      <c r="AU78" s="37"/>
      <c r="AV78" s="120"/>
      <c r="AW78" s="120"/>
      <c r="AX78" s="37"/>
      <c r="AY78" s="38"/>
      <c r="AZ78" s="37"/>
      <c r="BA78" s="116"/>
      <c r="BB78" s="31">
        <v>72</v>
      </c>
      <c r="BC78" s="32">
        <v>257</v>
      </c>
      <c r="BD78" s="31">
        <v>71</v>
      </c>
      <c r="BE78" s="116">
        <v>256</v>
      </c>
      <c r="BF78" s="120">
        <v>255</v>
      </c>
      <c r="BG78" s="38">
        <v>71</v>
      </c>
      <c r="BH78" s="37">
        <v>71</v>
      </c>
      <c r="BI78" s="38">
        <v>252</v>
      </c>
      <c r="BJ78" s="111">
        <v>24</v>
      </c>
      <c r="BK78" s="33">
        <v>69</v>
      </c>
      <c r="BL78" s="115">
        <v>235</v>
      </c>
      <c r="BM78" s="111">
        <v>245</v>
      </c>
      <c r="BN78" s="35">
        <v>62</v>
      </c>
      <c r="BO78" s="32">
        <v>21</v>
      </c>
      <c r="BP78" s="31">
        <v>78</v>
      </c>
      <c r="BQ78" s="32">
        <v>246</v>
      </c>
      <c r="BR78" s="31">
        <v>246</v>
      </c>
      <c r="BS78" s="32">
        <v>78</v>
      </c>
      <c r="BT78" s="31">
        <v>68</v>
      </c>
      <c r="BU78" s="33">
        <v>23</v>
      </c>
      <c r="BV78" s="115">
        <v>234</v>
      </c>
      <c r="BW78" s="111">
        <v>250</v>
      </c>
      <c r="BX78" s="32">
        <v>82</v>
      </c>
      <c r="BY78" s="31">
        <v>246</v>
      </c>
      <c r="BZ78" s="32">
        <v>73</v>
      </c>
      <c r="CA78" s="111">
        <v>81</v>
      </c>
      <c r="CB78" s="32">
        <v>246</v>
      </c>
      <c r="CC78" s="33">
        <v>191</v>
      </c>
      <c r="CD78" s="34">
        <v>277</v>
      </c>
      <c r="CE78" s="120">
        <v>134</v>
      </c>
      <c r="CF78" s="38">
        <v>136</v>
      </c>
      <c r="CG78" s="31">
        <v>84</v>
      </c>
      <c r="CH78" s="35">
        <v>43</v>
      </c>
      <c r="CI78" s="35">
        <v>122</v>
      </c>
      <c r="CJ78" s="35">
        <v>158</v>
      </c>
      <c r="CK78" s="32">
        <v>63</v>
      </c>
    </row>
    <row r="79" spans="1:89" ht="13" x14ac:dyDescent="0.25">
      <c r="A79" s="27">
        <v>1104</v>
      </c>
      <c r="B79" s="28" t="s">
        <v>102</v>
      </c>
      <c r="C79" s="29">
        <v>1036</v>
      </c>
      <c r="D79" s="30">
        <v>510</v>
      </c>
      <c r="E79" s="20">
        <f t="shared" si="1"/>
        <v>0.49227799227799229</v>
      </c>
      <c r="F79" s="31">
        <v>0</v>
      </c>
      <c r="G79" s="111">
        <v>0</v>
      </c>
      <c r="H79" s="111">
        <v>0</v>
      </c>
      <c r="I79" s="111">
        <v>2</v>
      </c>
      <c r="J79" s="111">
        <v>0</v>
      </c>
      <c r="K79" s="111">
        <v>0</v>
      </c>
      <c r="L79" s="111">
        <v>0</v>
      </c>
      <c r="M79" s="111">
        <v>408</v>
      </c>
      <c r="N79" s="111">
        <v>0</v>
      </c>
      <c r="O79" s="111">
        <v>0</v>
      </c>
      <c r="P79" s="35">
        <v>2</v>
      </c>
      <c r="Q79" s="35">
        <v>1</v>
      </c>
      <c r="R79" s="35">
        <v>83</v>
      </c>
      <c r="S79" s="32">
        <v>1</v>
      </c>
      <c r="T79" s="37">
        <v>414</v>
      </c>
      <c r="U79" s="38">
        <v>78</v>
      </c>
      <c r="V79" s="37">
        <v>87</v>
      </c>
      <c r="W79" s="32">
        <v>403</v>
      </c>
      <c r="X79" s="31">
        <v>402</v>
      </c>
      <c r="Y79" s="32">
        <v>79</v>
      </c>
      <c r="Z79" s="111">
        <v>409</v>
      </c>
      <c r="AA79" s="35">
        <v>0</v>
      </c>
      <c r="AB79" s="35">
        <v>14</v>
      </c>
      <c r="AC79" s="35">
        <v>72</v>
      </c>
      <c r="AD79" s="35">
        <v>0</v>
      </c>
      <c r="AE79" s="33">
        <v>0</v>
      </c>
      <c r="AF79" s="116">
        <v>0</v>
      </c>
      <c r="AG79" s="120">
        <v>402</v>
      </c>
      <c r="AH79" s="38">
        <v>75</v>
      </c>
      <c r="AI79" s="37"/>
      <c r="AJ79" s="36"/>
      <c r="AK79" s="37"/>
      <c r="AL79" s="38"/>
      <c r="AM79" s="37">
        <v>394</v>
      </c>
      <c r="AN79" s="116">
        <v>78</v>
      </c>
      <c r="AO79" s="120"/>
      <c r="AP79" s="38"/>
      <c r="AQ79" s="37"/>
      <c r="AR79" s="116"/>
      <c r="AS79" s="120"/>
      <c r="AT79" s="38"/>
      <c r="AU79" s="37"/>
      <c r="AV79" s="120"/>
      <c r="AW79" s="120"/>
      <c r="AX79" s="37"/>
      <c r="AY79" s="38"/>
      <c r="AZ79" s="37"/>
      <c r="BA79" s="116"/>
      <c r="BB79" s="31">
        <v>79</v>
      </c>
      <c r="BC79" s="32">
        <v>396</v>
      </c>
      <c r="BD79" s="31">
        <v>83</v>
      </c>
      <c r="BE79" s="116">
        <v>391</v>
      </c>
      <c r="BF79" s="120">
        <v>393</v>
      </c>
      <c r="BG79" s="38">
        <v>77</v>
      </c>
      <c r="BH79" s="37">
        <v>88</v>
      </c>
      <c r="BI79" s="38">
        <v>382</v>
      </c>
      <c r="BJ79" s="111">
        <v>27</v>
      </c>
      <c r="BK79" s="33">
        <v>71</v>
      </c>
      <c r="BL79" s="115">
        <v>378</v>
      </c>
      <c r="BM79" s="111">
        <v>381</v>
      </c>
      <c r="BN79" s="35">
        <v>74</v>
      </c>
      <c r="BO79" s="32">
        <v>22</v>
      </c>
      <c r="BP79" s="31">
        <v>80</v>
      </c>
      <c r="BQ79" s="32">
        <v>389</v>
      </c>
      <c r="BR79" s="31">
        <v>377</v>
      </c>
      <c r="BS79" s="32">
        <v>93</v>
      </c>
      <c r="BT79" s="31">
        <v>64</v>
      </c>
      <c r="BU79" s="33">
        <v>25</v>
      </c>
      <c r="BV79" s="115">
        <v>385</v>
      </c>
      <c r="BW79" s="111">
        <v>394</v>
      </c>
      <c r="BX79" s="32">
        <v>80</v>
      </c>
      <c r="BY79" s="31">
        <v>405</v>
      </c>
      <c r="BZ79" s="32">
        <v>66</v>
      </c>
      <c r="CA79" s="111">
        <v>74</v>
      </c>
      <c r="CB79" s="32">
        <v>396</v>
      </c>
      <c r="CC79" s="33">
        <v>216</v>
      </c>
      <c r="CD79" s="34">
        <v>422</v>
      </c>
      <c r="CE79" s="120">
        <v>166</v>
      </c>
      <c r="CF79" s="38">
        <v>240</v>
      </c>
      <c r="CG79" s="31">
        <v>94</v>
      </c>
      <c r="CH79" s="35">
        <v>48</v>
      </c>
      <c r="CI79" s="35">
        <v>245</v>
      </c>
      <c r="CJ79" s="35">
        <v>275</v>
      </c>
      <c r="CK79" s="32">
        <v>75</v>
      </c>
    </row>
    <row r="80" spans="1:89" ht="13" x14ac:dyDescent="0.25">
      <c r="A80" s="27">
        <v>1201</v>
      </c>
      <c r="B80" s="28" t="s">
        <v>103</v>
      </c>
      <c r="C80" s="29">
        <v>886</v>
      </c>
      <c r="D80" s="30">
        <v>354</v>
      </c>
      <c r="E80" s="20">
        <f t="shared" si="1"/>
        <v>0.39954853273137697</v>
      </c>
      <c r="F80" s="31">
        <v>0</v>
      </c>
      <c r="G80" s="111">
        <v>0</v>
      </c>
      <c r="H80" s="111">
        <v>0</v>
      </c>
      <c r="I80" s="111">
        <v>2</v>
      </c>
      <c r="J80" s="111">
        <v>0</v>
      </c>
      <c r="K80" s="111">
        <v>0</v>
      </c>
      <c r="L80" s="111">
        <v>0</v>
      </c>
      <c r="M80" s="111">
        <v>273</v>
      </c>
      <c r="N80" s="111">
        <v>0</v>
      </c>
      <c r="O80" s="111">
        <v>0</v>
      </c>
      <c r="P80" s="35">
        <v>4</v>
      </c>
      <c r="Q80" s="35">
        <v>1</v>
      </c>
      <c r="R80" s="35">
        <v>69</v>
      </c>
      <c r="S80" s="32">
        <v>0</v>
      </c>
      <c r="T80" s="37">
        <v>264</v>
      </c>
      <c r="U80" s="38">
        <v>68</v>
      </c>
      <c r="V80" s="37">
        <v>64</v>
      </c>
      <c r="W80" s="32">
        <v>266</v>
      </c>
      <c r="X80" s="31">
        <v>266</v>
      </c>
      <c r="Y80" s="32">
        <v>60</v>
      </c>
      <c r="Z80" s="111">
        <v>277</v>
      </c>
      <c r="AA80" s="35">
        <v>0</v>
      </c>
      <c r="AB80" s="35">
        <v>10</v>
      </c>
      <c r="AC80" s="35">
        <v>57</v>
      </c>
      <c r="AD80" s="35">
        <v>0</v>
      </c>
      <c r="AE80" s="33">
        <v>0</v>
      </c>
      <c r="AF80" s="116">
        <v>0</v>
      </c>
      <c r="AG80" s="120">
        <v>258</v>
      </c>
      <c r="AH80" s="38">
        <v>63</v>
      </c>
      <c r="AI80" s="37"/>
      <c r="AJ80" s="36"/>
      <c r="AK80" s="37"/>
      <c r="AL80" s="38"/>
      <c r="AM80" s="37"/>
      <c r="AN80" s="116"/>
      <c r="AO80" s="120">
        <v>59</v>
      </c>
      <c r="AP80" s="38">
        <v>260</v>
      </c>
      <c r="AQ80" s="37"/>
      <c r="AR80" s="116"/>
      <c r="AS80" s="120"/>
      <c r="AT80" s="38"/>
      <c r="AU80" s="37"/>
      <c r="AV80" s="120"/>
      <c r="AW80" s="120"/>
      <c r="AX80" s="37"/>
      <c r="AY80" s="38"/>
      <c r="AZ80" s="37"/>
      <c r="BA80" s="116"/>
      <c r="BB80" s="31">
        <v>59</v>
      </c>
      <c r="BC80" s="32">
        <v>254</v>
      </c>
      <c r="BD80" s="31">
        <v>57</v>
      </c>
      <c r="BE80" s="116">
        <v>256</v>
      </c>
      <c r="BF80" s="120">
        <v>248</v>
      </c>
      <c r="BG80" s="38">
        <v>63</v>
      </c>
      <c r="BH80" s="37">
        <v>65</v>
      </c>
      <c r="BI80" s="38">
        <v>245</v>
      </c>
      <c r="BJ80" s="111">
        <v>25</v>
      </c>
      <c r="BK80" s="33">
        <v>50</v>
      </c>
      <c r="BL80" s="115">
        <v>238</v>
      </c>
      <c r="BM80" s="111">
        <v>234</v>
      </c>
      <c r="BN80" s="35">
        <v>54</v>
      </c>
      <c r="BO80" s="32">
        <v>20</v>
      </c>
      <c r="BP80" s="31">
        <v>61</v>
      </c>
      <c r="BQ80" s="32">
        <v>250</v>
      </c>
      <c r="BR80" s="31">
        <v>239</v>
      </c>
      <c r="BS80" s="32">
        <v>71</v>
      </c>
      <c r="BT80" s="31">
        <v>53</v>
      </c>
      <c r="BU80" s="33">
        <v>24</v>
      </c>
      <c r="BV80" s="115">
        <v>234</v>
      </c>
      <c r="BW80" s="111">
        <v>251</v>
      </c>
      <c r="BX80" s="32">
        <v>62</v>
      </c>
      <c r="BY80" s="31">
        <v>249</v>
      </c>
      <c r="BZ80" s="32">
        <v>57</v>
      </c>
      <c r="CA80" s="111">
        <v>63</v>
      </c>
      <c r="CB80" s="32">
        <v>247</v>
      </c>
      <c r="CC80" s="33">
        <v>170</v>
      </c>
      <c r="CD80" s="34">
        <v>283</v>
      </c>
      <c r="CE80" s="120">
        <v>138</v>
      </c>
      <c r="CF80" s="38">
        <v>132</v>
      </c>
      <c r="CG80" s="31">
        <v>67</v>
      </c>
      <c r="CH80" s="35">
        <v>40</v>
      </c>
      <c r="CI80" s="35">
        <v>136</v>
      </c>
      <c r="CJ80" s="35">
        <v>162</v>
      </c>
      <c r="CK80" s="32">
        <v>56</v>
      </c>
    </row>
    <row r="81" spans="1:89" ht="13" x14ac:dyDescent="0.25">
      <c r="A81" s="27">
        <v>1202</v>
      </c>
      <c r="B81" s="28" t="s">
        <v>104</v>
      </c>
      <c r="C81" s="29">
        <v>783</v>
      </c>
      <c r="D81" s="30">
        <v>299</v>
      </c>
      <c r="E81" s="20">
        <f t="shared" si="1"/>
        <v>0.38186462324393361</v>
      </c>
      <c r="F81" s="3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228</v>
      </c>
      <c r="N81" s="111">
        <v>0</v>
      </c>
      <c r="O81" s="111">
        <v>0</v>
      </c>
      <c r="P81" s="35">
        <v>2</v>
      </c>
      <c r="Q81" s="35">
        <v>0</v>
      </c>
      <c r="R81" s="35">
        <v>67</v>
      </c>
      <c r="S81" s="32">
        <v>0</v>
      </c>
      <c r="T81" s="37">
        <v>218</v>
      </c>
      <c r="U81" s="38">
        <v>58</v>
      </c>
      <c r="V81" s="37">
        <v>52</v>
      </c>
      <c r="W81" s="32">
        <v>223</v>
      </c>
      <c r="X81" s="31">
        <v>211</v>
      </c>
      <c r="Y81" s="32">
        <v>61</v>
      </c>
      <c r="Z81" s="111">
        <v>226</v>
      </c>
      <c r="AA81" s="35">
        <v>0</v>
      </c>
      <c r="AB81" s="35">
        <v>9</v>
      </c>
      <c r="AC81" s="35">
        <v>50</v>
      </c>
      <c r="AD81" s="35">
        <v>0</v>
      </c>
      <c r="AE81" s="33">
        <v>0</v>
      </c>
      <c r="AF81" s="116">
        <v>0</v>
      </c>
      <c r="AG81" s="120">
        <v>203</v>
      </c>
      <c r="AH81" s="38">
        <v>61</v>
      </c>
      <c r="AI81" s="37"/>
      <c r="AJ81" s="36"/>
      <c r="AK81" s="37"/>
      <c r="AL81" s="38"/>
      <c r="AM81" s="37"/>
      <c r="AN81" s="116"/>
      <c r="AO81" s="120">
        <v>54</v>
      </c>
      <c r="AP81" s="38">
        <v>207</v>
      </c>
      <c r="AQ81" s="37"/>
      <c r="AR81" s="116"/>
      <c r="AS81" s="120"/>
      <c r="AT81" s="38"/>
      <c r="AU81" s="37"/>
      <c r="AV81" s="120"/>
      <c r="AW81" s="120"/>
      <c r="AX81" s="37"/>
      <c r="AY81" s="38"/>
      <c r="AZ81" s="37"/>
      <c r="BA81" s="116"/>
      <c r="BB81" s="31">
        <v>59</v>
      </c>
      <c r="BC81" s="32">
        <v>192</v>
      </c>
      <c r="BD81" s="31">
        <v>50</v>
      </c>
      <c r="BE81" s="116">
        <v>202</v>
      </c>
      <c r="BF81" s="120">
        <v>195</v>
      </c>
      <c r="BG81" s="38">
        <v>57</v>
      </c>
      <c r="BH81" s="37">
        <v>56</v>
      </c>
      <c r="BI81" s="38">
        <v>193</v>
      </c>
      <c r="BJ81" s="111">
        <v>15</v>
      </c>
      <c r="BK81" s="33">
        <v>44</v>
      </c>
      <c r="BL81" s="115">
        <v>187</v>
      </c>
      <c r="BM81" s="111">
        <v>177</v>
      </c>
      <c r="BN81" s="35">
        <v>55</v>
      </c>
      <c r="BO81" s="32">
        <v>14</v>
      </c>
      <c r="BP81" s="31">
        <v>55</v>
      </c>
      <c r="BQ81" s="32">
        <v>192</v>
      </c>
      <c r="BR81" s="31">
        <v>191</v>
      </c>
      <c r="BS81" s="32">
        <v>57</v>
      </c>
      <c r="BT81" s="31">
        <v>50</v>
      </c>
      <c r="BU81" s="33">
        <v>22</v>
      </c>
      <c r="BV81" s="115">
        <v>176</v>
      </c>
      <c r="BW81" s="111">
        <v>193</v>
      </c>
      <c r="BX81" s="32">
        <v>57</v>
      </c>
      <c r="BY81" s="31">
        <v>188</v>
      </c>
      <c r="BZ81" s="32">
        <v>55</v>
      </c>
      <c r="CA81" s="111">
        <v>57</v>
      </c>
      <c r="CB81" s="32">
        <v>188</v>
      </c>
      <c r="CC81" s="33">
        <v>167</v>
      </c>
      <c r="CD81" s="34">
        <v>224</v>
      </c>
      <c r="CE81" s="120">
        <v>119</v>
      </c>
      <c r="CF81" s="38">
        <v>95</v>
      </c>
      <c r="CG81" s="31">
        <v>77</v>
      </c>
      <c r="CH81" s="35">
        <v>35</v>
      </c>
      <c r="CI81" s="35">
        <v>66</v>
      </c>
      <c r="CJ81" s="35">
        <v>115</v>
      </c>
      <c r="CK81" s="32">
        <v>42</v>
      </c>
    </row>
    <row r="82" spans="1:89" ht="13" x14ac:dyDescent="0.25">
      <c r="A82" s="27">
        <v>1203</v>
      </c>
      <c r="B82" s="28" t="s">
        <v>105</v>
      </c>
      <c r="C82" s="29">
        <v>1111</v>
      </c>
      <c r="D82" s="30">
        <v>467</v>
      </c>
      <c r="E82" s="20">
        <f t="shared" si="1"/>
        <v>0.42034203420342037</v>
      </c>
      <c r="F82" s="31">
        <v>0</v>
      </c>
      <c r="G82" s="111">
        <v>0</v>
      </c>
      <c r="H82" s="111">
        <v>0</v>
      </c>
      <c r="I82" s="111">
        <v>1</v>
      </c>
      <c r="J82" s="111">
        <v>0</v>
      </c>
      <c r="K82" s="111">
        <v>0</v>
      </c>
      <c r="L82" s="111">
        <v>0</v>
      </c>
      <c r="M82" s="111">
        <v>386</v>
      </c>
      <c r="N82" s="111">
        <v>0</v>
      </c>
      <c r="O82" s="111">
        <v>0</v>
      </c>
      <c r="P82" s="35">
        <v>1</v>
      </c>
      <c r="Q82" s="35">
        <v>0</v>
      </c>
      <c r="R82" s="35">
        <v>67</v>
      </c>
      <c r="S82" s="32">
        <v>0</v>
      </c>
      <c r="T82" s="37">
        <v>378</v>
      </c>
      <c r="U82" s="38">
        <v>67</v>
      </c>
      <c r="V82" s="37">
        <v>66</v>
      </c>
      <c r="W82" s="32">
        <v>369</v>
      </c>
      <c r="X82" s="31">
        <v>375</v>
      </c>
      <c r="Y82" s="32">
        <v>56</v>
      </c>
      <c r="Z82" s="111">
        <v>387</v>
      </c>
      <c r="AA82" s="35">
        <v>0</v>
      </c>
      <c r="AB82" s="35">
        <v>11</v>
      </c>
      <c r="AC82" s="35">
        <v>50</v>
      </c>
      <c r="AD82" s="35">
        <v>0</v>
      </c>
      <c r="AE82" s="33">
        <v>0</v>
      </c>
      <c r="AF82" s="116">
        <v>0</v>
      </c>
      <c r="AG82" s="120">
        <v>379</v>
      </c>
      <c r="AH82" s="38">
        <v>63</v>
      </c>
      <c r="AI82" s="37"/>
      <c r="AJ82" s="36"/>
      <c r="AK82" s="37"/>
      <c r="AL82" s="38"/>
      <c r="AM82" s="37"/>
      <c r="AN82" s="116"/>
      <c r="AO82" s="120">
        <v>63</v>
      </c>
      <c r="AP82" s="38">
        <v>375</v>
      </c>
      <c r="AQ82" s="37"/>
      <c r="AR82" s="116"/>
      <c r="AS82" s="120"/>
      <c r="AT82" s="38"/>
      <c r="AU82" s="37"/>
      <c r="AV82" s="120"/>
      <c r="AW82" s="120"/>
      <c r="AX82" s="37"/>
      <c r="AY82" s="38"/>
      <c r="AZ82" s="37"/>
      <c r="BA82" s="116"/>
      <c r="BB82" s="31">
        <v>59</v>
      </c>
      <c r="BC82" s="32">
        <v>368</v>
      </c>
      <c r="BD82" s="31">
        <v>55</v>
      </c>
      <c r="BE82" s="116">
        <v>373</v>
      </c>
      <c r="BF82" s="120">
        <v>371</v>
      </c>
      <c r="BG82" s="38">
        <v>55</v>
      </c>
      <c r="BH82" s="37">
        <v>62</v>
      </c>
      <c r="BI82" s="38">
        <v>361</v>
      </c>
      <c r="BJ82" s="111">
        <v>21</v>
      </c>
      <c r="BK82" s="33">
        <v>49</v>
      </c>
      <c r="BL82" s="115">
        <v>361</v>
      </c>
      <c r="BM82" s="111">
        <v>361</v>
      </c>
      <c r="BN82" s="35">
        <v>45</v>
      </c>
      <c r="BO82" s="32">
        <v>20</v>
      </c>
      <c r="BP82" s="31">
        <v>55</v>
      </c>
      <c r="BQ82" s="32">
        <v>371</v>
      </c>
      <c r="BR82" s="31">
        <v>363</v>
      </c>
      <c r="BS82" s="32">
        <v>66</v>
      </c>
      <c r="BT82" s="31">
        <v>50</v>
      </c>
      <c r="BU82" s="33">
        <v>14</v>
      </c>
      <c r="BV82" s="115">
        <v>364</v>
      </c>
      <c r="BW82" s="111">
        <v>372</v>
      </c>
      <c r="BX82" s="32">
        <v>55</v>
      </c>
      <c r="BY82" s="31">
        <v>366</v>
      </c>
      <c r="BZ82" s="32">
        <v>54</v>
      </c>
      <c r="CA82" s="111">
        <v>61</v>
      </c>
      <c r="CB82" s="32">
        <v>359</v>
      </c>
      <c r="CC82" s="33">
        <v>219</v>
      </c>
      <c r="CD82" s="34">
        <v>397</v>
      </c>
      <c r="CE82" s="120">
        <v>159</v>
      </c>
      <c r="CF82" s="38">
        <v>189</v>
      </c>
      <c r="CG82" s="31">
        <v>103</v>
      </c>
      <c r="CH82" s="35">
        <v>32</v>
      </c>
      <c r="CI82" s="35">
        <v>192</v>
      </c>
      <c r="CJ82" s="35">
        <v>220</v>
      </c>
      <c r="CK82" s="32">
        <v>58</v>
      </c>
    </row>
    <row r="83" spans="1:89" ht="13" x14ac:dyDescent="0.25">
      <c r="A83" s="27">
        <v>1204</v>
      </c>
      <c r="B83" s="28" t="s">
        <v>106</v>
      </c>
      <c r="C83" s="29">
        <v>1442</v>
      </c>
      <c r="D83" s="30">
        <v>600</v>
      </c>
      <c r="E83" s="20">
        <f t="shared" si="1"/>
        <v>0.41608876560332869</v>
      </c>
      <c r="F83" s="31">
        <v>0</v>
      </c>
      <c r="G83" s="111">
        <v>0</v>
      </c>
      <c r="H83" s="111">
        <v>0</v>
      </c>
      <c r="I83" s="111">
        <v>2</v>
      </c>
      <c r="J83" s="111">
        <v>0</v>
      </c>
      <c r="K83" s="111">
        <v>0</v>
      </c>
      <c r="L83" s="111">
        <v>0</v>
      </c>
      <c r="M83" s="111">
        <v>474</v>
      </c>
      <c r="N83" s="111">
        <v>0</v>
      </c>
      <c r="O83" s="111">
        <v>0</v>
      </c>
      <c r="P83" s="35">
        <v>0</v>
      </c>
      <c r="Q83" s="35">
        <v>1</v>
      </c>
      <c r="R83" s="35">
        <v>106</v>
      </c>
      <c r="S83" s="32">
        <v>0</v>
      </c>
      <c r="T83" s="31">
        <v>468</v>
      </c>
      <c r="U83" s="32">
        <v>104</v>
      </c>
      <c r="V83" s="31">
        <v>104</v>
      </c>
      <c r="W83" s="32">
        <v>467</v>
      </c>
      <c r="X83" s="31">
        <v>462</v>
      </c>
      <c r="Y83" s="32">
        <v>101</v>
      </c>
      <c r="Z83" s="111">
        <v>472</v>
      </c>
      <c r="AA83" s="35">
        <v>0</v>
      </c>
      <c r="AB83" s="35">
        <v>20</v>
      </c>
      <c r="AC83" s="35">
        <v>86</v>
      </c>
      <c r="AD83" s="35">
        <v>0</v>
      </c>
      <c r="AE83" s="33">
        <v>0</v>
      </c>
      <c r="AF83" s="115">
        <v>0</v>
      </c>
      <c r="AG83" s="111">
        <v>462</v>
      </c>
      <c r="AH83" s="32">
        <v>105</v>
      </c>
      <c r="AI83" s="31"/>
      <c r="AJ83" s="33"/>
      <c r="AK83" s="31"/>
      <c r="AL83" s="32"/>
      <c r="AM83" s="31"/>
      <c r="AN83" s="115"/>
      <c r="AO83" s="111">
        <v>82</v>
      </c>
      <c r="AP83" s="32">
        <v>482</v>
      </c>
      <c r="AQ83" s="31"/>
      <c r="AR83" s="115"/>
      <c r="AS83" s="111"/>
      <c r="AT83" s="32"/>
      <c r="AU83" s="31"/>
      <c r="AV83" s="111"/>
      <c r="AW83" s="111"/>
      <c r="AX83" s="31"/>
      <c r="AY83" s="32"/>
      <c r="AZ83" s="31"/>
      <c r="BA83" s="115"/>
      <c r="BB83" s="31">
        <v>103</v>
      </c>
      <c r="BC83" s="32">
        <v>458</v>
      </c>
      <c r="BD83" s="31">
        <v>93</v>
      </c>
      <c r="BE83" s="115">
        <v>464</v>
      </c>
      <c r="BF83" s="111">
        <v>453</v>
      </c>
      <c r="BG83" s="32">
        <v>101</v>
      </c>
      <c r="BH83" s="31">
        <v>112</v>
      </c>
      <c r="BI83" s="32">
        <v>439</v>
      </c>
      <c r="BJ83" s="111">
        <v>26</v>
      </c>
      <c r="BK83" s="33">
        <v>84</v>
      </c>
      <c r="BL83" s="115">
        <v>447</v>
      </c>
      <c r="BM83" s="111">
        <v>450</v>
      </c>
      <c r="BN83" s="35">
        <v>90</v>
      </c>
      <c r="BO83" s="32">
        <v>19</v>
      </c>
      <c r="BP83" s="31">
        <v>96</v>
      </c>
      <c r="BQ83" s="32">
        <v>456</v>
      </c>
      <c r="BR83" s="31">
        <v>435</v>
      </c>
      <c r="BS83" s="32">
        <v>116</v>
      </c>
      <c r="BT83" s="31">
        <v>90</v>
      </c>
      <c r="BU83" s="33">
        <v>24</v>
      </c>
      <c r="BV83" s="115">
        <v>442</v>
      </c>
      <c r="BW83" s="111">
        <v>470</v>
      </c>
      <c r="BX83" s="32">
        <v>101</v>
      </c>
      <c r="BY83" s="31">
        <v>462</v>
      </c>
      <c r="BZ83" s="32">
        <v>90</v>
      </c>
      <c r="CA83" s="111">
        <v>101</v>
      </c>
      <c r="CB83" s="32">
        <v>458</v>
      </c>
      <c r="CC83" s="33">
        <v>272</v>
      </c>
      <c r="CD83" s="34">
        <v>502</v>
      </c>
      <c r="CE83" s="111">
        <v>215</v>
      </c>
      <c r="CF83" s="38">
        <v>280</v>
      </c>
      <c r="CG83" s="31">
        <v>144</v>
      </c>
      <c r="CH83" s="35">
        <v>61</v>
      </c>
      <c r="CI83" s="35">
        <v>254</v>
      </c>
      <c r="CJ83" s="35">
        <v>302</v>
      </c>
      <c r="CK83" s="32">
        <v>114</v>
      </c>
    </row>
    <row r="84" spans="1:89" ht="13" x14ac:dyDescent="0.25">
      <c r="A84" s="27">
        <v>1205</v>
      </c>
      <c r="B84" s="28" t="s">
        <v>107</v>
      </c>
      <c r="C84" s="29">
        <v>1035</v>
      </c>
      <c r="D84" s="30">
        <v>421</v>
      </c>
      <c r="E84" s="20">
        <f t="shared" si="1"/>
        <v>0.4067632850241546</v>
      </c>
      <c r="F84" s="31">
        <v>0</v>
      </c>
      <c r="G84" s="111">
        <v>0</v>
      </c>
      <c r="H84" s="111">
        <v>0</v>
      </c>
      <c r="I84" s="111">
        <v>1</v>
      </c>
      <c r="J84" s="111">
        <v>1</v>
      </c>
      <c r="K84" s="111">
        <v>0</v>
      </c>
      <c r="L84" s="111">
        <v>0</v>
      </c>
      <c r="M84" s="111">
        <v>316</v>
      </c>
      <c r="N84" s="111">
        <v>0</v>
      </c>
      <c r="O84" s="111">
        <v>0</v>
      </c>
      <c r="P84" s="35">
        <v>4</v>
      </c>
      <c r="Q84" s="35">
        <v>2</v>
      </c>
      <c r="R84" s="35">
        <v>86</v>
      </c>
      <c r="S84" s="32">
        <v>1</v>
      </c>
      <c r="T84" s="31">
        <v>323</v>
      </c>
      <c r="U84" s="32">
        <v>77</v>
      </c>
      <c r="V84" s="31">
        <v>81</v>
      </c>
      <c r="W84" s="32">
        <v>312</v>
      </c>
      <c r="X84" s="31">
        <v>315</v>
      </c>
      <c r="Y84" s="32">
        <v>76</v>
      </c>
      <c r="Z84" s="111">
        <v>318</v>
      </c>
      <c r="AA84" s="35">
        <v>0</v>
      </c>
      <c r="AB84" s="35">
        <v>9</v>
      </c>
      <c r="AC84" s="35">
        <v>75</v>
      </c>
      <c r="AD84" s="35">
        <v>0</v>
      </c>
      <c r="AE84" s="33">
        <v>0</v>
      </c>
      <c r="AF84" s="115">
        <v>0</v>
      </c>
      <c r="AG84" s="111">
        <v>313</v>
      </c>
      <c r="AH84" s="32">
        <v>75</v>
      </c>
      <c r="AI84" s="31"/>
      <c r="AJ84" s="33"/>
      <c r="AK84" s="31"/>
      <c r="AL84" s="32"/>
      <c r="AM84" s="31"/>
      <c r="AN84" s="115"/>
      <c r="AO84" s="111">
        <v>72</v>
      </c>
      <c r="AP84" s="32">
        <v>316</v>
      </c>
      <c r="AQ84" s="31"/>
      <c r="AR84" s="115"/>
      <c r="AS84" s="111"/>
      <c r="AT84" s="32"/>
      <c r="AU84" s="31"/>
      <c r="AV84" s="111"/>
      <c r="AW84" s="111"/>
      <c r="AX84" s="31"/>
      <c r="AY84" s="32"/>
      <c r="AZ84" s="31"/>
      <c r="BA84" s="115"/>
      <c r="BB84" s="31">
        <v>81</v>
      </c>
      <c r="BC84" s="32">
        <v>301</v>
      </c>
      <c r="BD84" s="31">
        <v>71</v>
      </c>
      <c r="BE84" s="115">
        <v>305</v>
      </c>
      <c r="BF84" s="111">
        <v>305</v>
      </c>
      <c r="BG84" s="32">
        <v>73</v>
      </c>
      <c r="BH84" s="31">
        <v>69</v>
      </c>
      <c r="BI84" s="32">
        <v>304</v>
      </c>
      <c r="BJ84" s="111">
        <v>20</v>
      </c>
      <c r="BK84" s="33">
        <v>71</v>
      </c>
      <c r="BL84" s="115">
        <v>288</v>
      </c>
      <c r="BM84" s="111">
        <v>288</v>
      </c>
      <c r="BN84" s="35">
        <v>74</v>
      </c>
      <c r="BO84" s="32">
        <v>18</v>
      </c>
      <c r="BP84" s="31">
        <v>77</v>
      </c>
      <c r="BQ84" s="32">
        <v>297</v>
      </c>
      <c r="BR84" s="31">
        <v>291</v>
      </c>
      <c r="BS84" s="32">
        <v>86</v>
      </c>
      <c r="BT84" s="31">
        <v>70</v>
      </c>
      <c r="BU84" s="33">
        <v>16</v>
      </c>
      <c r="BV84" s="115">
        <v>287</v>
      </c>
      <c r="BW84" s="111">
        <v>302</v>
      </c>
      <c r="BX84" s="32">
        <v>75</v>
      </c>
      <c r="BY84" s="31">
        <v>300</v>
      </c>
      <c r="BZ84" s="32">
        <v>68</v>
      </c>
      <c r="CA84" s="111">
        <v>77</v>
      </c>
      <c r="CB84" s="32">
        <v>296</v>
      </c>
      <c r="CC84" s="33">
        <v>201</v>
      </c>
      <c r="CD84" s="34">
        <v>327</v>
      </c>
      <c r="CE84" s="111">
        <v>137</v>
      </c>
      <c r="CF84" s="38">
        <v>172</v>
      </c>
      <c r="CG84" s="31">
        <v>86</v>
      </c>
      <c r="CH84" s="35">
        <v>34</v>
      </c>
      <c r="CI84" s="35">
        <v>170</v>
      </c>
      <c r="CJ84" s="35">
        <v>191</v>
      </c>
      <c r="CK84" s="32">
        <v>62</v>
      </c>
    </row>
    <row r="85" spans="1:89" ht="13" x14ac:dyDescent="0.25">
      <c r="A85" s="27">
        <v>1301</v>
      </c>
      <c r="B85" s="28" t="s">
        <v>108</v>
      </c>
      <c r="C85" s="29">
        <v>1264</v>
      </c>
      <c r="D85" s="30">
        <v>445</v>
      </c>
      <c r="E85" s="20">
        <f t="shared" si="1"/>
        <v>0.35205696202531644</v>
      </c>
      <c r="F85" s="31">
        <v>0</v>
      </c>
      <c r="G85" s="111">
        <v>0</v>
      </c>
      <c r="H85" s="111">
        <v>0</v>
      </c>
      <c r="I85" s="111">
        <v>0</v>
      </c>
      <c r="J85" s="111">
        <v>3</v>
      </c>
      <c r="K85" s="111">
        <v>0</v>
      </c>
      <c r="L85" s="111">
        <v>0</v>
      </c>
      <c r="M85" s="111">
        <v>409</v>
      </c>
      <c r="N85" s="111">
        <v>0</v>
      </c>
      <c r="O85" s="111">
        <v>0</v>
      </c>
      <c r="P85" s="35">
        <v>0</v>
      </c>
      <c r="Q85" s="35">
        <v>0</v>
      </c>
      <c r="R85" s="35">
        <v>20</v>
      </c>
      <c r="S85" s="32">
        <v>0</v>
      </c>
      <c r="T85" s="31">
        <v>402</v>
      </c>
      <c r="U85" s="32">
        <v>30</v>
      </c>
      <c r="V85" s="31">
        <v>33</v>
      </c>
      <c r="W85" s="32">
        <v>395</v>
      </c>
      <c r="X85" s="31">
        <v>402</v>
      </c>
      <c r="Y85" s="32">
        <v>23</v>
      </c>
      <c r="Z85" s="111">
        <v>397</v>
      </c>
      <c r="AA85" s="35">
        <v>0</v>
      </c>
      <c r="AB85" s="35">
        <v>13</v>
      </c>
      <c r="AC85" s="35">
        <v>21</v>
      </c>
      <c r="AD85" s="35">
        <v>0</v>
      </c>
      <c r="AE85" s="33">
        <v>0</v>
      </c>
      <c r="AF85" s="115">
        <v>0</v>
      </c>
      <c r="AG85" s="111">
        <v>397</v>
      </c>
      <c r="AH85" s="32">
        <v>28</v>
      </c>
      <c r="AI85" s="31"/>
      <c r="AJ85" s="33"/>
      <c r="AK85" s="31"/>
      <c r="AL85" s="32"/>
      <c r="AM85" s="31"/>
      <c r="AN85" s="115"/>
      <c r="AO85" s="111">
        <v>23</v>
      </c>
      <c r="AP85" s="32">
        <v>409</v>
      </c>
      <c r="AQ85" s="31"/>
      <c r="AR85" s="115"/>
      <c r="AS85" s="111"/>
      <c r="AT85" s="32"/>
      <c r="AU85" s="31"/>
      <c r="AV85" s="111"/>
      <c r="AW85" s="111"/>
      <c r="AX85" s="31"/>
      <c r="AY85" s="32"/>
      <c r="AZ85" s="31"/>
      <c r="BA85" s="115"/>
      <c r="BB85" s="31">
        <v>24</v>
      </c>
      <c r="BC85" s="32">
        <v>399</v>
      </c>
      <c r="BD85" s="31">
        <v>18</v>
      </c>
      <c r="BE85" s="115">
        <v>404</v>
      </c>
      <c r="BF85" s="111">
        <v>390</v>
      </c>
      <c r="BG85" s="32">
        <v>25</v>
      </c>
      <c r="BH85" s="31">
        <v>21</v>
      </c>
      <c r="BI85" s="32">
        <v>393</v>
      </c>
      <c r="BJ85" s="111">
        <v>7</v>
      </c>
      <c r="BK85" s="33">
        <v>16</v>
      </c>
      <c r="BL85" s="115">
        <v>410</v>
      </c>
      <c r="BM85" s="111">
        <v>387</v>
      </c>
      <c r="BN85" s="35">
        <v>19</v>
      </c>
      <c r="BO85" s="32">
        <v>14</v>
      </c>
      <c r="BP85" s="31">
        <v>19</v>
      </c>
      <c r="BQ85" s="32">
        <v>395</v>
      </c>
      <c r="BR85" s="31">
        <v>382</v>
      </c>
      <c r="BS85" s="32">
        <v>37</v>
      </c>
      <c r="BT85" s="31">
        <v>19</v>
      </c>
      <c r="BU85" s="33">
        <v>10</v>
      </c>
      <c r="BV85" s="115">
        <v>396</v>
      </c>
      <c r="BW85" s="111">
        <v>398</v>
      </c>
      <c r="BX85" s="32">
        <v>31</v>
      </c>
      <c r="BY85" s="31">
        <v>389</v>
      </c>
      <c r="BZ85" s="32">
        <v>23</v>
      </c>
      <c r="CA85" s="111">
        <v>20</v>
      </c>
      <c r="CB85" s="32">
        <v>398</v>
      </c>
      <c r="CC85" s="33">
        <v>113</v>
      </c>
      <c r="CD85" s="34">
        <v>398</v>
      </c>
      <c r="CE85" s="111">
        <v>128</v>
      </c>
      <c r="CF85" s="38">
        <v>218</v>
      </c>
      <c r="CG85" s="31">
        <v>78</v>
      </c>
      <c r="CH85" s="35">
        <v>30</v>
      </c>
      <c r="CI85" s="35">
        <v>209</v>
      </c>
      <c r="CJ85" s="35">
        <v>198</v>
      </c>
      <c r="CK85" s="32">
        <v>79</v>
      </c>
    </row>
    <row r="86" spans="1:89" ht="13" x14ac:dyDescent="0.25">
      <c r="A86" s="27">
        <v>1302</v>
      </c>
      <c r="B86" s="28" t="s">
        <v>109</v>
      </c>
      <c r="C86" s="29">
        <v>861</v>
      </c>
      <c r="D86" s="30">
        <v>556</v>
      </c>
      <c r="E86" s="20">
        <f t="shared" si="1"/>
        <v>0.64576074332171896</v>
      </c>
      <c r="F86" s="31">
        <v>0</v>
      </c>
      <c r="G86" s="111">
        <v>0</v>
      </c>
      <c r="H86" s="111">
        <v>0</v>
      </c>
      <c r="I86" s="111">
        <v>1</v>
      </c>
      <c r="J86" s="111">
        <v>2</v>
      </c>
      <c r="K86" s="111">
        <v>0</v>
      </c>
      <c r="L86" s="111">
        <v>0</v>
      </c>
      <c r="M86" s="111">
        <v>461</v>
      </c>
      <c r="N86" s="111">
        <v>0</v>
      </c>
      <c r="O86" s="111">
        <v>0</v>
      </c>
      <c r="P86" s="35">
        <v>4</v>
      </c>
      <c r="Q86" s="35">
        <v>2</v>
      </c>
      <c r="R86" s="35">
        <v>78</v>
      </c>
      <c r="S86" s="32">
        <v>2</v>
      </c>
      <c r="T86" s="31">
        <v>446</v>
      </c>
      <c r="U86" s="32">
        <v>96</v>
      </c>
      <c r="V86" s="31">
        <v>105</v>
      </c>
      <c r="W86" s="32">
        <v>440</v>
      </c>
      <c r="X86" s="31">
        <v>453</v>
      </c>
      <c r="Y86" s="32">
        <v>81</v>
      </c>
      <c r="Z86" s="111">
        <v>460</v>
      </c>
      <c r="AA86" s="35">
        <v>0</v>
      </c>
      <c r="AB86" s="35">
        <v>8</v>
      </c>
      <c r="AC86" s="35">
        <v>79</v>
      </c>
      <c r="AD86" s="35">
        <v>0</v>
      </c>
      <c r="AE86" s="33">
        <v>0</v>
      </c>
      <c r="AF86" s="115">
        <v>0</v>
      </c>
      <c r="AG86" s="111">
        <v>461</v>
      </c>
      <c r="AH86" s="32">
        <v>77</v>
      </c>
      <c r="AI86" s="31"/>
      <c r="AJ86" s="33"/>
      <c r="AK86" s="31"/>
      <c r="AL86" s="32"/>
      <c r="AM86" s="31"/>
      <c r="AN86" s="115"/>
      <c r="AO86" s="111">
        <v>81</v>
      </c>
      <c r="AP86" s="32">
        <v>458</v>
      </c>
      <c r="AQ86" s="31"/>
      <c r="AR86" s="115"/>
      <c r="AS86" s="111"/>
      <c r="AT86" s="32"/>
      <c r="AU86" s="31"/>
      <c r="AV86" s="111"/>
      <c r="AW86" s="111"/>
      <c r="AX86" s="31"/>
      <c r="AY86" s="32"/>
      <c r="AZ86" s="31"/>
      <c r="BA86" s="115"/>
      <c r="BB86" s="31">
        <v>103</v>
      </c>
      <c r="BC86" s="32">
        <v>430</v>
      </c>
      <c r="BD86" s="31">
        <v>83</v>
      </c>
      <c r="BE86" s="115">
        <v>448</v>
      </c>
      <c r="BF86" s="111">
        <v>431</v>
      </c>
      <c r="BG86" s="32">
        <v>94</v>
      </c>
      <c r="BH86" s="31">
        <v>100</v>
      </c>
      <c r="BI86" s="32">
        <v>424</v>
      </c>
      <c r="BJ86" s="111">
        <v>14</v>
      </c>
      <c r="BK86" s="33">
        <v>81</v>
      </c>
      <c r="BL86" s="115">
        <v>439</v>
      </c>
      <c r="BM86" s="111">
        <v>437</v>
      </c>
      <c r="BN86" s="35">
        <v>81</v>
      </c>
      <c r="BO86" s="32">
        <v>11</v>
      </c>
      <c r="BP86" s="31">
        <v>98</v>
      </c>
      <c r="BQ86" s="32">
        <v>427</v>
      </c>
      <c r="BR86" s="31">
        <v>410</v>
      </c>
      <c r="BS86" s="32">
        <v>122</v>
      </c>
      <c r="BT86" s="31">
        <v>82</v>
      </c>
      <c r="BU86" s="33">
        <v>16</v>
      </c>
      <c r="BV86" s="115">
        <v>429</v>
      </c>
      <c r="BW86" s="111">
        <v>440</v>
      </c>
      <c r="BX86" s="32">
        <v>92</v>
      </c>
      <c r="BY86" s="31">
        <v>425</v>
      </c>
      <c r="BZ86" s="32">
        <v>92</v>
      </c>
      <c r="CA86" s="111">
        <v>94</v>
      </c>
      <c r="CB86" s="32">
        <v>434</v>
      </c>
      <c r="CC86" s="33">
        <v>212</v>
      </c>
      <c r="CD86" s="34">
        <v>456</v>
      </c>
      <c r="CE86" s="111">
        <v>159</v>
      </c>
      <c r="CF86" s="38">
        <v>285</v>
      </c>
      <c r="CG86" s="31">
        <v>123</v>
      </c>
      <c r="CH86" s="35">
        <v>49</v>
      </c>
      <c r="CI86" s="35">
        <v>260</v>
      </c>
      <c r="CJ86" s="35">
        <v>289</v>
      </c>
      <c r="CK86" s="32">
        <v>103</v>
      </c>
    </row>
    <row r="87" spans="1:89" ht="13" x14ac:dyDescent="0.25">
      <c r="A87" s="27">
        <v>1303</v>
      </c>
      <c r="B87" s="28" t="s">
        <v>110</v>
      </c>
      <c r="C87" s="29">
        <v>1281</v>
      </c>
      <c r="D87" s="30">
        <v>477</v>
      </c>
      <c r="E87" s="20">
        <f t="shared" si="1"/>
        <v>0.37236533957845436</v>
      </c>
      <c r="F87" s="31">
        <v>0</v>
      </c>
      <c r="G87" s="111">
        <v>0</v>
      </c>
      <c r="H87" s="111">
        <v>0</v>
      </c>
      <c r="I87" s="111">
        <v>0</v>
      </c>
      <c r="J87" s="111">
        <v>4</v>
      </c>
      <c r="K87" s="111">
        <v>0</v>
      </c>
      <c r="L87" s="111">
        <v>0</v>
      </c>
      <c r="M87" s="111">
        <v>419</v>
      </c>
      <c r="N87" s="111">
        <v>0</v>
      </c>
      <c r="O87" s="111">
        <v>0</v>
      </c>
      <c r="P87" s="35">
        <v>2</v>
      </c>
      <c r="Q87" s="35">
        <v>0</v>
      </c>
      <c r="R87" s="35">
        <v>42</v>
      </c>
      <c r="S87" s="32">
        <v>1</v>
      </c>
      <c r="T87" s="31">
        <v>409</v>
      </c>
      <c r="U87" s="32">
        <v>44</v>
      </c>
      <c r="V87" s="31">
        <v>59</v>
      </c>
      <c r="W87" s="32">
        <v>396</v>
      </c>
      <c r="X87" s="31">
        <v>395</v>
      </c>
      <c r="Y87" s="32">
        <v>47</v>
      </c>
      <c r="Z87" s="111">
        <v>413</v>
      </c>
      <c r="AA87" s="35">
        <v>0</v>
      </c>
      <c r="AB87" s="35">
        <v>12</v>
      </c>
      <c r="AC87" s="35">
        <v>30</v>
      </c>
      <c r="AD87" s="35">
        <v>0</v>
      </c>
      <c r="AE87" s="33">
        <v>0</v>
      </c>
      <c r="AF87" s="115">
        <v>0</v>
      </c>
      <c r="AG87" s="111">
        <v>415</v>
      </c>
      <c r="AH87" s="32">
        <v>32</v>
      </c>
      <c r="AI87" s="31"/>
      <c r="AJ87" s="33"/>
      <c r="AK87" s="31"/>
      <c r="AL87" s="32"/>
      <c r="AM87" s="31"/>
      <c r="AN87" s="115"/>
      <c r="AO87" s="111">
        <v>32</v>
      </c>
      <c r="AP87" s="32">
        <v>425</v>
      </c>
      <c r="AQ87" s="31"/>
      <c r="AR87" s="115"/>
      <c r="AS87" s="111"/>
      <c r="AT87" s="32"/>
      <c r="AU87" s="31"/>
      <c r="AV87" s="111"/>
      <c r="AW87" s="111"/>
      <c r="AX87" s="31"/>
      <c r="AY87" s="32"/>
      <c r="AZ87" s="31"/>
      <c r="BA87" s="115"/>
      <c r="BB87" s="31">
        <v>52</v>
      </c>
      <c r="BC87" s="32">
        <v>399</v>
      </c>
      <c r="BD87" s="31">
        <v>46</v>
      </c>
      <c r="BE87" s="115">
        <v>404</v>
      </c>
      <c r="BF87" s="111">
        <v>408</v>
      </c>
      <c r="BG87" s="32">
        <v>36</v>
      </c>
      <c r="BH87" s="31">
        <v>47</v>
      </c>
      <c r="BI87" s="32">
        <v>397</v>
      </c>
      <c r="BJ87" s="111">
        <v>8</v>
      </c>
      <c r="BK87" s="33">
        <v>28</v>
      </c>
      <c r="BL87" s="115">
        <v>420</v>
      </c>
      <c r="BM87" s="111">
        <v>404</v>
      </c>
      <c r="BN87" s="35">
        <v>28</v>
      </c>
      <c r="BO87" s="32">
        <v>13</v>
      </c>
      <c r="BP87" s="31">
        <v>34</v>
      </c>
      <c r="BQ87" s="32">
        <v>409</v>
      </c>
      <c r="BR87" s="31">
        <v>383</v>
      </c>
      <c r="BS87" s="32">
        <v>64</v>
      </c>
      <c r="BT87" s="31">
        <v>38</v>
      </c>
      <c r="BU87" s="33">
        <v>15</v>
      </c>
      <c r="BV87" s="115">
        <v>399</v>
      </c>
      <c r="BW87" s="111">
        <v>403</v>
      </c>
      <c r="BX87" s="32">
        <v>47</v>
      </c>
      <c r="BY87" s="31">
        <v>410</v>
      </c>
      <c r="BZ87" s="32">
        <v>35</v>
      </c>
      <c r="CA87" s="111">
        <v>40</v>
      </c>
      <c r="CB87" s="32">
        <v>411</v>
      </c>
      <c r="CC87" s="33">
        <v>158</v>
      </c>
      <c r="CD87" s="34">
        <v>424</v>
      </c>
      <c r="CE87" s="111">
        <v>169</v>
      </c>
      <c r="CF87" s="38">
        <v>200</v>
      </c>
      <c r="CG87" s="31">
        <v>94</v>
      </c>
      <c r="CH87" s="35">
        <v>34</v>
      </c>
      <c r="CI87" s="35">
        <v>191</v>
      </c>
      <c r="CJ87" s="35">
        <v>207</v>
      </c>
      <c r="CK87" s="32">
        <v>123</v>
      </c>
    </row>
    <row r="88" spans="1:89" ht="13" x14ac:dyDescent="0.25">
      <c r="A88" s="27">
        <v>1304</v>
      </c>
      <c r="B88" s="28" t="s">
        <v>111</v>
      </c>
      <c r="C88" s="29">
        <v>1236</v>
      </c>
      <c r="D88" s="30">
        <v>589</v>
      </c>
      <c r="E88" s="20">
        <f t="shared" si="1"/>
        <v>0.47653721682847894</v>
      </c>
      <c r="F88" s="31">
        <v>0</v>
      </c>
      <c r="G88" s="111">
        <v>0</v>
      </c>
      <c r="H88" s="111">
        <v>0</v>
      </c>
      <c r="I88" s="111">
        <v>0</v>
      </c>
      <c r="J88" s="111">
        <v>0</v>
      </c>
      <c r="K88" s="111">
        <v>0</v>
      </c>
      <c r="L88" s="111">
        <v>0</v>
      </c>
      <c r="M88" s="111">
        <v>527</v>
      </c>
      <c r="N88" s="111">
        <v>0</v>
      </c>
      <c r="O88" s="111">
        <v>0</v>
      </c>
      <c r="P88" s="35">
        <v>2</v>
      </c>
      <c r="Q88" s="35">
        <v>0</v>
      </c>
      <c r="R88" s="35">
        <v>51</v>
      </c>
      <c r="S88" s="32">
        <v>0</v>
      </c>
      <c r="T88" s="31">
        <v>507</v>
      </c>
      <c r="U88" s="32">
        <v>53</v>
      </c>
      <c r="V88" s="31">
        <v>61</v>
      </c>
      <c r="W88" s="32">
        <v>505</v>
      </c>
      <c r="X88" s="31">
        <v>514</v>
      </c>
      <c r="Y88" s="32">
        <v>42</v>
      </c>
      <c r="Z88" s="111">
        <v>512</v>
      </c>
      <c r="AA88" s="35">
        <v>0</v>
      </c>
      <c r="AB88" s="35">
        <v>23</v>
      </c>
      <c r="AC88" s="35">
        <v>36</v>
      </c>
      <c r="AD88" s="35">
        <v>0</v>
      </c>
      <c r="AE88" s="33">
        <v>0</v>
      </c>
      <c r="AF88" s="115">
        <v>0</v>
      </c>
      <c r="AG88" s="111">
        <v>516</v>
      </c>
      <c r="AH88" s="32">
        <v>47</v>
      </c>
      <c r="AI88" s="31"/>
      <c r="AJ88" s="33"/>
      <c r="AK88" s="31"/>
      <c r="AL88" s="32"/>
      <c r="AM88" s="31"/>
      <c r="AN88" s="115"/>
      <c r="AO88" s="111">
        <v>42</v>
      </c>
      <c r="AP88" s="32">
        <v>532</v>
      </c>
      <c r="AQ88" s="31"/>
      <c r="AR88" s="115"/>
      <c r="AS88" s="111"/>
      <c r="AT88" s="32"/>
      <c r="AU88" s="31"/>
      <c r="AV88" s="111"/>
      <c r="AW88" s="111"/>
      <c r="AX88" s="31"/>
      <c r="AY88" s="32"/>
      <c r="AZ88" s="31"/>
      <c r="BA88" s="115"/>
      <c r="BB88" s="31">
        <v>47</v>
      </c>
      <c r="BC88" s="32">
        <v>512</v>
      </c>
      <c r="BD88" s="31">
        <v>41</v>
      </c>
      <c r="BE88" s="115">
        <v>518</v>
      </c>
      <c r="BF88" s="111">
        <v>514</v>
      </c>
      <c r="BG88" s="32">
        <v>47</v>
      </c>
      <c r="BH88" s="31">
        <v>50</v>
      </c>
      <c r="BI88" s="32">
        <v>511</v>
      </c>
      <c r="BJ88" s="111">
        <v>12</v>
      </c>
      <c r="BK88" s="33">
        <v>34</v>
      </c>
      <c r="BL88" s="115">
        <v>527</v>
      </c>
      <c r="BM88" s="111">
        <v>508</v>
      </c>
      <c r="BN88" s="35">
        <v>35</v>
      </c>
      <c r="BO88" s="32">
        <v>16</v>
      </c>
      <c r="BP88" s="31">
        <v>48</v>
      </c>
      <c r="BQ88" s="32">
        <v>504</v>
      </c>
      <c r="BR88" s="31">
        <v>474</v>
      </c>
      <c r="BS88" s="32">
        <v>83</v>
      </c>
      <c r="BT88" s="31">
        <v>45</v>
      </c>
      <c r="BU88" s="33">
        <v>22</v>
      </c>
      <c r="BV88" s="115">
        <v>492</v>
      </c>
      <c r="BW88" s="111">
        <v>522</v>
      </c>
      <c r="BX88" s="32">
        <v>52</v>
      </c>
      <c r="BY88" s="31">
        <v>511</v>
      </c>
      <c r="BZ88" s="32">
        <v>43</v>
      </c>
      <c r="CA88" s="111">
        <v>38</v>
      </c>
      <c r="CB88" s="32">
        <v>517</v>
      </c>
      <c r="CC88" s="33">
        <v>196</v>
      </c>
      <c r="CD88" s="34">
        <v>538</v>
      </c>
      <c r="CE88" s="111">
        <v>176</v>
      </c>
      <c r="CF88" s="38">
        <v>323</v>
      </c>
      <c r="CG88" s="31">
        <v>115</v>
      </c>
      <c r="CH88" s="35">
        <v>21</v>
      </c>
      <c r="CI88" s="35">
        <v>325</v>
      </c>
      <c r="CJ88" s="35">
        <v>320</v>
      </c>
      <c r="CK88" s="32">
        <v>101</v>
      </c>
    </row>
    <row r="89" spans="1:89" ht="13" x14ac:dyDescent="0.25">
      <c r="A89" s="27">
        <v>1305</v>
      </c>
      <c r="B89" s="28" t="s">
        <v>112</v>
      </c>
      <c r="C89" s="29">
        <v>1359</v>
      </c>
      <c r="D89" s="30">
        <v>982</v>
      </c>
      <c r="E89" s="20">
        <f t="shared" si="1"/>
        <v>0.72259013980868281</v>
      </c>
      <c r="F89" s="31">
        <v>0</v>
      </c>
      <c r="G89" s="111">
        <v>0</v>
      </c>
      <c r="H89" s="111">
        <v>0</v>
      </c>
      <c r="I89" s="111">
        <v>1</v>
      </c>
      <c r="J89" s="111">
        <v>1</v>
      </c>
      <c r="K89" s="111">
        <v>0</v>
      </c>
      <c r="L89" s="111">
        <v>0</v>
      </c>
      <c r="M89" s="111">
        <v>846</v>
      </c>
      <c r="N89" s="111">
        <v>0</v>
      </c>
      <c r="O89" s="111">
        <v>0</v>
      </c>
      <c r="P89" s="35">
        <v>3</v>
      </c>
      <c r="Q89" s="35">
        <v>0</v>
      </c>
      <c r="R89" s="35">
        <v>118</v>
      </c>
      <c r="S89" s="32">
        <v>0</v>
      </c>
      <c r="T89" s="31">
        <v>823</v>
      </c>
      <c r="U89" s="32">
        <v>126</v>
      </c>
      <c r="V89" s="31">
        <v>133</v>
      </c>
      <c r="W89" s="32">
        <v>819</v>
      </c>
      <c r="X89" s="31">
        <v>822</v>
      </c>
      <c r="Y89" s="32">
        <v>118</v>
      </c>
      <c r="Z89" s="111">
        <v>841</v>
      </c>
      <c r="AA89" s="35">
        <v>0</v>
      </c>
      <c r="AB89" s="35">
        <v>16</v>
      </c>
      <c r="AC89" s="35">
        <v>96</v>
      </c>
      <c r="AD89" s="35">
        <v>0</v>
      </c>
      <c r="AE89" s="33">
        <v>0</v>
      </c>
      <c r="AF89" s="115">
        <v>0</v>
      </c>
      <c r="AG89" s="111">
        <v>834</v>
      </c>
      <c r="AH89" s="32">
        <v>109</v>
      </c>
      <c r="AI89" s="31"/>
      <c r="AJ89" s="33"/>
      <c r="AK89" s="31"/>
      <c r="AL89" s="32"/>
      <c r="AM89" s="31"/>
      <c r="AN89" s="115"/>
      <c r="AO89" s="111">
        <v>110</v>
      </c>
      <c r="AP89" s="32">
        <v>838</v>
      </c>
      <c r="AQ89" s="31"/>
      <c r="AR89" s="115"/>
      <c r="AS89" s="111"/>
      <c r="AT89" s="32"/>
      <c r="AU89" s="31"/>
      <c r="AV89" s="111"/>
      <c r="AW89" s="111"/>
      <c r="AX89" s="31"/>
      <c r="AY89" s="32"/>
      <c r="AZ89" s="31"/>
      <c r="BA89" s="115"/>
      <c r="BB89" s="31">
        <v>122</v>
      </c>
      <c r="BC89" s="32">
        <v>810</v>
      </c>
      <c r="BD89" s="31">
        <v>116</v>
      </c>
      <c r="BE89" s="115">
        <v>816</v>
      </c>
      <c r="BF89" s="111">
        <v>808</v>
      </c>
      <c r="BG89" s="32">
        <v>117</v>
      </c>
      <c r="BH89" s="31">
        <v>147</v>
      </c>
      <c r="BI89" s="32">
        <v>775</v>
      </c>
      <c r="BJ89" s="111">
        <v>23</v>
      </c>
      <c r="BK89" s="33">
        <v>97</v>
      </c>
      <c r="BL89" s="115">
        <v>816</v>
      </c>
      <c r="BM89" s="111">
        <v>814</v>
      </c>
      <c r="BN89" s="35">
        <v>97</v>
      </c>
      <c r="BO89" s="32">
        <v>23</v>
      </c>
      <c r="BP89" s="31">
        <v>127</v>
      </c>
      <c r="BQ89" s="32">
        <v>801</v>
      </c>
      <c r="BR89" s="31">
        <v>756</v>
      </c>
      <c r="BS89" s="32">
        <v>180</v>
      </c>
      <c r="BT89" s="31">
        <v>114</v>
      </c>
      <c r="BU89" s="33">
        <v>28</v>
      </c>
      <c r="BV89" s="115">
        <v>792</v>
      </c>
      <c r="BW89" s="111">
        <v>824</v>
      </c>
      <c r="BX89" s="32">
        <v>123</v>
      </c>
      <c r="BY89" s="31">
        <v>808</v>
      </c>
      <c r="BZ89" s="32">
        <v>107</v>
      </c>
      <c r="CA89" s="111">
        <v>117</v>
      </c>
      <c r="CB89" s="32">
        <v>811</v>
      </c>
      <c r="CC89" s="33">
        <v>342</v>
      </c>
      <c r="CD89" s="34">
        <v>848</v>
      </c>
      <c r="CE89" s="111">
        <v>247</v>
      </c>
      <c r="CF89" s="38">
        <v>543</v>
      </c>
      <c r="CG89" s="31">
        <v>197</v>
      </c>
      <c r="CH89" s="35">
        <v>66</v>
      </c>
      <c r="CI89" s="35">
        <v>559</v>
      </c>
      <c r="CJ89" s="35">
        <v>585</v>
      </c>
      <c r="CK89" s="32">
        <v>160</v>
      </c>
    </row>
    <row r="90" spans="1:89" ht="13" x14ac:dyDescent="0.25">
      <c r="A90" s="27">
        <v>1306</v>
      </c>
      <c r="B90" s="28" t="s">
        <v>113</v>
      </c>
      <c r="C90" s="29">
        <v>981</v>
      </c>
      <c r="D90" s="30">
        <v>687</v>
      </c>
      <c r="E90" s="20">
        <f t="shared" si="1"/>
        <v>0.70030581039755346</v>
      </c>
      <c r="F90" s="31">
        <v>0</v>
      </c>
      <c r="G90" s="111">
        <v>0</v>
      </c>
      <c r="H90" s="111">
        <v>0</v>
      </c>
      <c r="I90" s="111">
        <v>0</v>
      </c>
      <c r="J90" s="111">
        <v>2</v>
      </c>
      <c r="K90" s="111">
        <v>0</v>
      </c>
      <c r="L90" s="111">
        <v>0</v>
      </c>
      <c r="M90" s="111">
        <v>626</v>
      </c>
      <c r="N90" s="111">
        <v>0</v>
      </c>
      <c r="O90" s="111">
        <v>0</v>
      </c>
      <c r="P90" s="35">
        <v>0</v>
      </c>
      <c r="Q90" s="35">
        <v>2</v>
      </c>
      <c r="R90" s="35">
        <v>54</v>
      </c>
      <c r="S90" s="32">
        <v>0</v>
      </c>
      <c r="T90" s="31">
        <v>606</v>
      </c>
      <c r="U90" s="32">
        <v>65</v>
      </c>
      <c r="V90" s="31">
        <v>62</v>
      </c>
      <c r="W90" s="32">
        <v>610</v>
      </c>
      <c r="X90" s="31">
        <v>607</v>
      </c>
      <c r="Y90" s="32">
        <v>54</v>
      </c>
      <c r="Z90" s="111">
        <v>622</v>
      </c>
      <c r="AA90" s="35">
        <v>0</v>
      </c>
      <c r="AB90" s="35">
        <v>5</v>
      </c>
      <c r="AC90" s="35">
        <v>51</v>
      </c>
      <c r="AD90" s="35">
        <v>0</v>
      </c>
      <c r="AE90" s="33">
        <v>0</v>
      </c>
      <c r="AF90" s="115">
        <v>0</v>
      </c>
      <c r="AG90" s="111">
        <v>617</v>
      </c>
      <c r="AH90" s="32">
        <v>52</v>
      </c>
      <c r="AI90" s="31"/>
      <c r="AJ90" s="33"/>
      <c r="AK90" s="31"/>
      <c r="AL90" s="32"/>
      <c r="AM90" s="31"/>
      <c r="AN90" s="115"/>
      <c r="AO90" s="111">
        <v>52</v>
      </c>
      <c r="AP90" s="32">
        <v>619</v>
      </c>
      <c r="AQ90" s="31"/>
      <c r="AR90" s="115"/>
      <c r="AS90" s="111"/>
      <c r="AT90" s="32"/>
      <c r="AU90" s="31"/>
      <c r="AV90" s="111"/>
      <c r="AW90" s="111"/>
      <c r="AX90" s="31"/>
      <c r="AY90" s="32"/>
      <c r="AZ90" s="31"/>
      <c r="BA90" s="115"/>
      <c r="BB90" s="31">
        <v>57</v>
      </c>
      <c r="BC90" s="32">
        <v>603</v>
      </c>
      <c r="BD90" s="31">
        <v>51</v>
      </c>
      <c r="BE90" s="115">
        <v>609</v>
      </c>
      <c r="BF90" s="111">
        <v>609</v>
      </c>
      <c r="BG90" s="32">
        <v>49</v>
      </c>
      <c r="BH90" s="31">
        <v>61</v>
      </c>
      <c r="BI90" s="32">
        <v>596</v>
      </c>
      <c r="BJ90" s="111">
        <v>17</v>
      </c>
      <c r="BK90" s="33">
        <v>39</v>
      </c>
      <c r="BL90" s="115">
        <v>618</v>
      </c>
      <c r="BM90" s="111">
        <v>600</v>
      </c>
      <c r="BN90" s="35">
        <v>54</v>
      </c>
      <c r="BO90" s="32">
        <v>10</v>
      </c>
      <c r="BP90" s="31">
        <v>63</v>
      </c>
      <c r="BQ90" s="32">
        <v>600</v>
      </c>
      <c r="BR90" s="31">
        <v>595</v>
      </c>
      <c r="BS90" s="32">
        <v>69</v>
      </c>
      <c r="BT90" s="31">
        <v>48</v>
      </c>
      <c r="BU90" s="33">
        <v>15</v>
      </c>
      <c r="BV90" s="115">
        <v>597</v>
      </c>
      <c r="BW90" s="111">
        <v>620</v>
      </c>
      <c r="BX90" s="32">
        <v>55</v>
      </c>
      <c r="BY90" s="31">
        <v>612</v>
      </c>
      <c r="BZ90" s="32">
        <v>48</v>
      </c>
      <c r="CA90" s="111">
        <v>52</v>
      </c>
      <c r="CB90" s="32">
        <v>605</v>
      </c>
      <c r="CC90" s="33">
        <v>211</v>
      </c>
      <c r="CD90" s="34">
        <v>613</v>
      </c>
      <c r="CE90" s="111">
        <v>149</v>
      </c>
      <c r="CF90" s="38">
        <v>426</v>
      </c>
      <c r="CG90" s="31">
        <v>122</v>
      </c>
      <c r="CH90" s="35">
        <v>35</v>
      </c>
      <c r="CI90" s="35">
        <v>431</v>
      </c>
      <c r="CJ90" s="35">
        <v>445</v>
      </c>
      <c r="CK90" s="32">
        <v>83</v>
      </c>
    </row>
    <row r="91" spans="1:89" ht="13" x14ac:dyDescent="0.25">
      <c r="A91" s="27">
        <v>1307</v>
      </c>
      <c r="B91" s="28" t="s">
        <v>114</v>
      </c>
      <c r="C91" s="29">
        <v>1551</v>
      </c>
      <c r="D91" s="30">
        <v>595</v>
      </c>
      <c r="E91" s="20">
        <f t="shared" si="1"/>
        <v>0.3836234687298517</v>
      </c>
      <c r="F91" s="31">
        <v>0</v>
      </c>
      <c r="G91" s="111">
        <v>0</v>
      </c>
      <c r="H91" s="111">
        <v>0</v>
      </c>
      <c r="I91" s="111">
        <v>0</v>
      </c>
      <c r="J91" s="111">
        <v>2</v>
      </c>
      <c r="K91" s="111">
        <v>0</v>
      </c>
      <c r="L91" s="111">
        <v>0</v>
      </c>
      <c r="M91" s="111">
        <v>530</v>
      </c>
      <c r="N91" s="111">
        <v>0</v>
      </c>
      <c r="O91" s="111">
        <v>0</v>
      </c>
      <c r="P91" s="35">
        <v>2</v>
      </c>
      <c r="Q91" s="35">
        <v>0</v>
      </c>
      <c r="R91" s="35">
        <v>50</v>
      </c>
      <c r="S91" s="32">
        <v>0</v>
      </c>
      <c r="T91" s="31">
        <v>515</v>
      </c>
      <c r="U91" s="32">
        <v>49</v>
      </c>
      <c r="V91" s="31">
        <v>64</v>
      </c>
      <c r="W91" s="32">
        <v>506</v>
      </c>
      <c r="X91" s="31">
        <v>512</v>
      </c>
      <c r="Y91" s="32">
        <v>41</v>
      </c>
      <c r="Z91" s="111">
        <v>514</v>
      </c>
      <c r="AA91" s="35">
        <v>0</v>
      </c>
      <c r="AB91" s="35">
        <v>18</v>
      </c>
      <c r="AC91" s="35">
        <v>43</v>
      </c>
      <c r="AD91" s="35">
        <v>0</v>
      </c>
      <c r="AE91" s="33">
        <v>0</v>
      </c>
      <c r="AF91" s="115">
        <v>0</v>
      </c>
      <c r="AG91" s="111">
        <v>528</v>
      </c>
      <c r="AH91" s="32">
        <v>39</v>
      </c>
      <c r="AI91" s="31"/>
      <c r="AJ91" s="33"/>
      <c r="AK91" s="31"/>
      <c r="AL91" s="32"/>
      <c r="AM91" s="31"/>
      <c r="AN91" s="115"/>
      <c r="AO91" s="111">
        <v>29</v>
      </c>
      <c r="AP91" s="32">
        <v>545</v>
      </c>
      <c r="AQ91" s="31"/>
      <c r="AR91" s="115"/>
      <c r="AS91" s="111"/>
      <c r="AT91" s="32"/>
      <c r="AU91" s="31"/>
      <c r="AV91" s="111"/>
      <c r="AW91" s="111"/>
      <c r="AX91" s="31"/>
      <c r="AY91" s="32"/>
      <c r="AZ91" s="31"/>
      <c r="BA91" s="115"/>
      <c r="BB91" s="31">
        <v>46</v>
      </c>
      <c r="BC91" s="32">
        <v>511</v>
      </c>
      <c r="BD91" s="31">
        <v>41</v>
      </c>
      <c r="BE91" s="115">
        <v>516</v>
      </c>
      <c r="BF91" s="111">
        <v>512</v>
      </c>
      <c r="BG91" s="32">
        <v>42</v>
      </c>
      <c r="BH91" s="31">
        <v>48</v>
      </c>
      <c r="BI91" s="32">
        <v>520</v>
      </c>
      <c r="BJ91" s="111">
        <v>10</v>
      </c>
      <c r="BK91" s="33">
        <v>24</v>
      </c>
      <c r="BL91" s="115">
        <v>542</v>
      </c>
      <c r="BM91" s="111">
        <v>512</v>
      </c>
      <c r="BN91" s="35">
        <v>37</v>
      </c>
      <c r="BO91" s="32">
        <v>10</v>
      </c>
      <c r="BP91" s="31">
        <v>44</v>
      </c>
      <c r="BQ91" s="32">
        <v>516</v>
      </c>
      <c r="BR91" s="31">
        <v>493</v>
      </c>
      <c r="BS91" s="32">
        <v>66</v>
      </c>
      <c r="BT91" s="31">
        <v>42</v>
      </c>
      <c r="BU91" s="33">
        <v>19</v>
      </c>
      <c r="BV91" s="115">
        <v>504</v>
      </c>
      <c r="BW91" s="111">
        <v>526</v>
      </c>
      <c r="BX91" s="32">
        <v>43</v>
      </c>
      <c r="BY91" s="31">
        <v>520</v>
      </c>
      <c r="BZ91" s="32">
        <v>36</v>
      </c>
      <c r="CA91" s="111">
        <v>40</v>
      </c>
      <c r="CB91" s="32">
        <v>520</v>
      </c>
      <c r="CC91" s="33">
        <v>163</v>
      </c>
      <c r="CD91" s="34">
        <v>534</v>
      </c>
      <c r="CE91" s="111">
        <v>184</v>
      </c>
      <c r="CF91" s="38">
        <v>285</v>
      </c>
      <c r="CG91" s="31">
        <v>100</v>
      </c>
      <c r="CH91" s="35">
        <v>37</v>
      </c>
      <c r="CI91" s="35">
        <v>288</v>
      </c>
      <c r="CJ91" s="35">
        <v>292</v>
      </c>
      <c r="CK91" s="32">
        <v>118</v>
      </c>
    </row>
    <row r="92" spans="1:89" ht="13" x14ac:dyDescent="0.25">
      <c r="A92" s="27">
        <v>1308</v>
      </c>
      <c r="B92" s="28" t="s">
        <v>115</v>
      </c>
      <c r="C92" s="29">
        <v>668</v>
      </c>
      <c r="D92" s="30">
        <v>134</v>
      </c>
      <c r="E92" s="20">
        <f t="shared" si="1"/>
        <v>0.20059880239520958</v>
      </c>
      <c r="F92" s="31">
        <v>0</v>
      </c>
      <c r="G92" s="111">
        <v>0</v>
      </c>
      <c r="H92" s="111">
        <v>0</v>
      </c>
      <c r="I92" s="111">
        <v>0</v>
      </c>
      <c r="J92" s="111">
        <v>0</v>
      </c>
      <c r="K92" s="111">
        <v>0</v>
      </c>
      <c r="L92" s="111">
        <v>0</v>
      </c>
      <c r="M92" s="111">
        <v>93</v>
      </c>
      <c r="N92" s="111">
        <v>0</v>
      </c>
      <c r="O92" s="111">
        <v>0</v>
      </c>
      <c r="P92" s="35">
        <v>0</v>
      </c>
      <c r="Q92" s="35">
        <v>1</v>
      </c>
      <c r="R92" s="35">
        <v>39</v>
      </c>
      <c r="S92" s="32">
        <v>0</v>
      </c>
      <c r="T92" s="37">
        <v>91</v>
      </c>
      <c r="U92" s="38">
        <v>32</v>
      </c>
      <c r="V92" s="37">
        <v>34</v>
      </c>
      <c r="W92" s="32">
        <v>93</v>
      </c>
      <c r="X92" s="31">
        <v>91</v>
      </c>
      <c r="Y92" s="32">
        <v>32</v>
      </c>
      <c r="Z92" s="111">
        <v>94</v>
      </c>
      <c r="AA92" s="35">
        <v>0</v>
      </c>
      <c r="AB92" s="35">
        <v>3</v>
      </c>
      <c r="AC92" s="35">
        <v>36</v>
      </c>
      <c r="AD92" s="35">
        <v>0</v>
      </c>
      <c r="AE92" s="33">
        <v>0</v>
      </c>
      <c r="AF92" s="116">
        <v>0</v>
      </c>
      <c r="AG92" s="120">
        <v>93</v>
      </c>
      <c r="AH92" s="38">
        <v>34</v>
      </c>
      <c r="AI92" s="37"/>
      <c r="AJ92" s="36"/>
      <c r="AK92" s="37"/>
      <c r="AL92" s="38"/>
      <c r="AM92" s="37"/>
      <c r="AN92" s="116"/>
      <c r="AO92" s="120">
        <v>33</v>
      </c>
      <c r="AP92" s="38">
        <v>91</v>
      </c>
      <c r="AQ92" s="37"/>
      <c r="AR92" s="116"/>
      <c r="AS92" s="120"/>
      <c r="AT92" s="38"/>
      <c r="AU92" s="37"/>
      <c r="AV92" s="120"/>
      <c r="AW92" s="120"/>
      <c r="AX92" s="37"/>
      <c r="AY92" s="38"/>
      <c r="AZ92" s="37"/>
      <c r="BA92" s="116"/>
      <c r="BB92" s="31">
        <v>35</v>
      </c>
      <c r="BC92" s="32">
        <v>89</v>
      </c>
      <c r="BD92" s="31">
        <v>30</v>
      </c>
      <c r="BE92" s="116">
        <v>93</v>
      </c>
      <c r="BF92" s="120">
        <v>88</v>
      </c>
      <c r="BG92" s="38">
        <v>35</v>
      </c>
      <c r="BH92" s="37">
        <v>31</v>
      </c>
      <c r="BI92" s="38">
        <v>90</v>
      </c>
      <c r="BJ92" s="111">
        <v>7</v>
      </c>
      <c r="BK92" s="33">
        <v>26</v>
      </c>
      <c r="BL92" s="115">
        <v>89</v>
      </c>
      <c r="BM92" s="111">
        <v>87</v>
      </c>
      <c r="BN92" s="35">
        <v>30</v>
      </c>
      <c r="BO92" s="32">
        <v>5</v>
      </c>
      <c r="BP92" s="31">
        <v>33</v>
      </c>
      <c r="BQ92" s="32">
        <v>88</v>
      </c>
      <c r="BR92" s="31">
        <v>84</v>
      </c>
      <c r="BS92" s="32">
        <v>40</v>
      </c>
      <c r="BT92" s="31">
        <v>30</v>
      </c>
      <c r="BU92" s="33">
        <v>9</v>
      </c>
      <c r="BV92" s="115">
        <v>82</v>
      </c>
      <c r="BW92" s="111">
        <v>90</v>
      </c>
      <c r="BX92" s="32">
        <v>32</v>
      </c>
      <c r="BY92" s="31">
        <v>91</v>
      </c>
      <c r="BZ92" s="32">
        <v>29</v>
      </c>
      <c r="CA92" s="111">
        <v>32</v>
      </c>
      <c r="CB92" s="32">
        <v>88</v>
      </c>
      <c r="CC92" s="33">
        <v>75</v>
      </c>
      <c r="CD92" s="34">
        <v>99</v>
      </c>
      <c r="CE92" s="120">
        <v>65</v>
      </c>
      <c r="CF92" s="38">
        <v>42</v>
      </c>
      <c r="CG92" s="31">
        <v>39</v>
      </c>
      <c r="CH92" s="35">
        <v>31</v>
      </c>
      <c r="CI92" s="35">
        <v>36</v>
      </c>
      <c r="CJ92" s="35">
        <v>45</v>
      </c>
      <c r="CK92" s="32">
        <v>26</v>
      </c>
    </row>
    <row r="93" spans="1:89" ht="13" x14ac:dyDescent="0.25">
      <c r="A93" s="27">
        <v>1401</v>
      </c>
      <c r="B93" s="28" t="s">
        <v>116</v>
      </c>
      <c r="C93" s="29">
        <v>1254</v>
      </c>
      <c r="D93" s="30">
        <v>963</v>
      </c>
      <c r="E93" s="20">
        <f t="shared" si="1"/>
        <v>0.76794258373205737</v>
      </c>
      <c r="F93" s="31">
        <v>0</v>
      </c>
      <c r="G93" s="111">
        <v>0</v>
      </c>
      <c r="H93" s="111">
        <v>0</v>
      </c>
      <c r="I93" s="111">
        <v>0</v>
      </c>
      <c r="J93" s="111">
        <v>3</v>
      </c>
      <c r="K93" s="111">
        <v>0</v>
      </c>
      <c r="L93" s="111">
        <v>0</v>
      </c>
      <c r="M93" s="111">
        <v>765</v>
      </c>
      <c r="N93" s="111">
        <v>0</v>
      </c>
      <c r="O93" s="111">
        <v>0</v>
      </c>
      <c r="P93" s="35">
        <v>3</v>
      </c>
      <c r="Q93" s="35">
        <v>3</v>
      </c>
      <c r="R93" s="35">
        <v>170</v>
      </c>
      <c r="S93" s="32">
        <v>0</v>
      </c>
      <c r="T93" s="37">
        <v>751</v>
      </c>
      <c r="U93" s="38">
        <v>183</v>
      </c>
      <c r="V93" s="37">
        <v>196</v>
      </c>
      <c r="W93" s="32">
        <v>735</v>
      </c>
      <c r="X93" s="31">
        <v>753</v>
      </c>
      <c r="Y93" s="32">
        <v>165</v>
      </c>
      <c r="Z93" s="111">
        <v>781</v>
      </c>
      <c r="AA93" s="35">
        <v>0</v>
      </c>
      <c r="AB93" s="35">
        <v>24</v>
      </c>
      <c r="AC93" s="35">
        <v>144</v>
      </c>
      <c r="AD93" s="35">
        <v>0</v>
      </c>
      <c r="AE93" s="33">
        <v>0</v>
      </c>
      <c r="AF93" s="116">
        <v>0</v>
      </c>
      <c r="AG93" s="120">
        <v>764</v>
      </c>
      <c r="AH93" s="38">
        <v>164</v>
      </c>
      <c r="AI93" s="37"/>
      <c r="AJ93" s="36"/>
      <c r="AK93" s="37"/>
      <c r="AL93" s="38"/>
      <c r="AM93" s="37"/>
      <c r="AN93" s="116"/>
      <c r="AO93" s="120"/>
      <c r="AP93" s="38"/>
      <c r="AQ93" s="37">
        <v>177</v>
      </c>
      <c r="AR93" s="116">
        <v>743</v>
      </c>
      <c r="AS93" s="120"/>
      <c r="AT93" s="38"/>
      <c r="AU93" s="37"/>
      <c r="AV93" s="120"/>
      <c r="AW93" s="120"/>
      <c r="AX93" s="37"/>
      <c r="AY93" s="38"/>
      <c r="AZ93" s="37"/>
      <c r="BA93" s="116"/>
      <c r="BB93" s="31">
        <v>189</v>
      </c>
      <c r="BC93" s="32">
        <v>721</v>
      </c>
      <c r="BD93" s="31">
        <v>169</v>
      </c>
      <c r="BE93" s="116">
        <v>740</v>
      </c>
      <c r="BF93" s="120">
        <v>728</v>
      </c>
      <c r="BG93" s="38">
        <v>174</v>
      </c>
      <c r="BH93" s="37">
        <v>194</v>
      </c>
      <c r="BI93" s="38">
        <v>704</v>
      </c>
      <c r="BJ93" s="111">
        <v>53</v>
      </c>
      <c r="BK93" s="33">
        <v>159</v>
      </c>
      <c r="BL93" s="115">
        <v>711</v>
      </c>
      <c r="BM93" s="111">
        <v>729</v>
      </c>
      <c r="BN93" s="35">
        <v>151</v>
      </c>
      <c r="BO93" s="32">
        <v>39</v>
      </c>
      <c r="BP93" s="31">
        <v>185</v>
      </c>
      <c r="BQ93" s="32">
        <v>715</v>
      </c>
      <c r="BR93" s="31">
        <v>690</v>
      </c>
      <c r="BS93" s="32">
        <v>220</v>
      </c>
      <c r="BT93" s="31">
        <v>157</v>
      </c>
      <c r="BU93" s="33">
        <v>43</v>
      </c>
      <c r="BV93" s="115">
        <v>709</v>
      </c>
      <c r="BW93" s="111">
        <v>738</v>
      </c>
      <c r="BX93" s="32">
        <v>187</v>
      </c>
      <c r="BY93" s="31">
        <v>746</v>
      </c>
      <c r="BZ93" s="32">
        <v>154</v>
      </c>
      <c r="CA93" s="111">
        <v>168</v>
      </c>
      <c r="CB93" s="32">
        <v>739</v>
      </c>
      <c r="CC93" s="33">
        <v>419</v>
      </c>
      <c r="CD93" s="34">
        <v>777</v>
      </c>
      <c r="CE93" s="120">
        <v>247</v>
      </c>
      <c r="CF93" s="42">
        <v>558</v>
      </c>
      <c r="CG93" s="31">
        <v>179</v>
      </c>
      <c r="CH93" s="35">
        <v>84</v>
      </c>
      <c r="CI93" s="35">
        <v>479</v>
      </c>
      <c r="CJ93" s="35">
        <v>568</v>
      </c>
      <c r="CK93" s="32">
        <v>172</v>
      </c>
    </row>
    <row r="94" spans="1:89" ht="13" x14ac:dyDescent="0.25">
      <c r="A94" s="27">
        <v>1402</v>
      </c>
      <c r="B94" s="28" t="s">
        <v>117</v>
      </c>
      <c r="C94" s="29">
        <v>1222</v>
      </c>
      <c r="D94" s="30">
        <v>816</v>
      </c>
      <c r="E94" s="20">
        <f t="shared" si="1"/>
        <v>0.66775777414075288</v>
      </c>
      <c r="F94" s="31">
        <v>0</v>
      </c>
      <c r="G94" s="111">
        <v>0</v>
      </c>
      <c r="H94" s="111">
        <v>0</v>
      </c>
      <c r="I94" s="111">
        <v>1</v>
      </c>
      <c r="J94" s="111">
        <v>0</v>
      </c>
      <c r="K94" s="111">
        <v>0</v>
      </c>
      <c r="L94" s="111">
        <v>0</v>
      </c>
      <c r="M94" s="111">
        <v>729</v>
      </c>
      <c r="N94" s="111">
        <v>0</v>
      </c>
      <c r="O94" s="111">
        <v>0</v>
      </c>
      <c r="P94" s="35">
        <v>2</v>
      </c>
      <c r="Q94" s="35">
        <v>1</v>
      </c>
      <c r="R94" s="35">
        <v>72</v>
      </c>
      <c r="S94" s="32">
        <v>0</v>
      </c>
      <c r="T94" s="37">
        <v>717</v>
      </c>
      <c r="U94" s="38">
        <v>69</v>
      </c>
      <c r="V94" s="37">
        <v>72</v>
      </c>
      <c r="W94" s="32">
        <v>720</v>
      </c>
      <c r="X94" s="31">
        <v>724</v>
      </c>
      <c r="Y94" s="32">
        <v>57</v>
      </c>
      <c r="Z94" s="111">
        <v>726</v>
      </c>
      <c r="AA94" s="35">
        <v>0</v>
      </c>
      <c r="AB94" s="35">
        <v>19</v>
      </c>
      <c r="AC94" s="35">
        <v>51</v>
      </c>
      <c r="AD94" s="35">
        <v>0</v>
      </c>
      <c r="AE94" s="33">
        <v>0</v>
      </c>
      <c r="AF94" s="116">
        <v>0</v>
      </c>
      <c r="AG94" s="120">
        <v>720</v>
      </c>
      <c r="AH94" s="38">
        <v>66</v>
      </c>
      <c r="AI94" s="37"/>
      <c r="AJ94" s="36"/>
      <c r="AK94" s="37"/>
      <c r="AL94" s="38"/>
      <c r="AM94" s="37"/>
      <c r="AN94" s="116"/>
      <c r="AO94" s="120"/>
      <c r="AP94" s="38"/>
      <c r="AQ94" s="37">
        <v>65</v>
      </c>
      <c r="AR94" s="116">
        <v>719</v>
      </c>
      <c r="AS94" s="120"/>
      <c r="AT94" s="38"/>
      <c r="AU94" s="37"/>
      <c r="AV94" s="120"/>
      <c r="AW94" s="120"/>
      <c r="AX94" s="37"/>
      <c r="AY94" s="38"/>
      <c r="AZ94" s="37"/>
      <c r="BA94" s="116"/>
      <c r="BB94" s="31">
        <v>68</v>
      </c>
      <c r="BC94" s="32">
        <v>708</v>
      </c>
      <c r="BD94" s="31">
        <v>57</v>
      </c>
      <c r="BE94" s="116">
        <v>722</v>
      </c>
      <c r="BF94" s="120">
        <v>712</v>
      </c>
      <c r="BG94" s="38">
        <v>65</v>
      </c>
      <c r="BH94" s="37">
        <v>71</v>
      </c>
      <c r="BI94" s="38">
        <v>705</v>
      </c>
      <c r="BJ94" s="111">
        <v>29</v>
      </c>
      <c r="BK94" s="33">
        <v>45</v>
      </c>
      <c r="BL94" s="115">
        <v>722</v>
      </c>
      <c r="BM94" s="111">
        <v>720</v>
      </c>
      <c r="BN94" s="35">
        <v>47</v>
      </c>
      <c r="BO94" s="32">
        <v>21</v>
      </c>
      <c r="BP94" s="31">
        <v>62</v>
      </c>
      <c r="BQ94" s="32">
        <v>716</v>
      </c>
      <c r="BR94" s="31">
        <v>682</v>
      </c>
      <c r="BS94" s="32">
        <v>95</v>
      </c>
      <c r="BT94" s="31">
        <v>50</v>
      </c>
      <c r="BU94" s="33">
        <v>25</v>
      </c>
      <c r="BV94" s="115">
        <v>711</v>
      </c>
      <c r="BW94" s="111">
        <v>718</v>
      </c>
      <c r="BX94" s="32">
        <v>76</v>
      </c>
      <c r="BY94" s="31">
        <v>714</v>
      </c>
      <c r="BZ94" s="32">
        <v>58</v>
      </c>
      <c r="CA94" s="111">
        <v>57</v>
      </c>
      <c r="CB94" s="32">
        <v>715</v>
      </c>
      <c r="CC94" s="33">
        <v>246</v>
      </c>
      <c r="CD94" s="34">
        <v>732</v>
      </c>
      <c r="CE94" s="120">
        <v>187</v>
      </c>
      <c r="CF94" s="42">
        <v>488</v>
      </c>
      <c r="CG94" s="31">
        <v>121</v>
      </c>
      <c r="CH94" s="35">
        <v>53</v>
      </c>
      <c r="CI94" s="35">
        <v>474</v>
      </c>
      <c r="CJ94" s="35">
        <v>472</v>
      </c>
      <c r="CK94" s="32">
        <v>112</v>
      </c>
    </row>
    <row r="95" spans="1:89" ht="13" x14ac:dyDescent="0.25">
      <c r="A95" s="27">
        <v>1403</v>
      </c>
      <c r="B95" s="28" t="s">
        <v>118</v>
      </c>
      <c r="C95" s="29">
        <v>493</v>
      </c>
      <c r="D95" s="30">
        <v>411</v>
      </c>
      <c r="E95" s="20">
        <f t="shared" si="1"/>
        <v>0.83367139959432046</v>
      </c>
      <c r="F95" s="31">
        <v>0</v>
      </c>
      <c r="G95" s="111">
        <v>0</v>
      </c>
      <c r="H95" s="111">
        <v>0</v>
      </c>
      <c r="I95" s="111">
        <v>0</v>
      </c>
      <c r="J95" s="111">
        <v>2</v>
      </c>
      <c r="K95" s="111">
        <v>0</v>
      </c>
      <c r="L95" s="111">
        <v>0</v>
      </c>
      <c r="M95" s="111">
        <v>309</v>
      </c>
      <c r="N95" s="111">
        <v>0</v>
      </c>
      <c r="O95" s="111">
        <v>0</v>
      </c>
      <c r="P95" s="35">
        <v>4</v>
      </c>
      <c r="Q95" s="35">
        <v>2</v>
      </c>
      <c r="R95" s="35">
        <v>86</v>
      </c>
      <c r="S95" s="32">
        <v>0</v>
      </c>
      <c r="T95" s="37">
        <v>284</v>
      </c>
      <c r="U95" s="38">
        <v>108</v>
      </c>
      <c r="V95" s="37">
        <v>118</v>
      </c>
      <c r="W95" s="32">
        <v>277</v>
      </c>
      <c r="X95" s="31">
        <v>279</v>
      </c>
      <c r="Y95" s="32">
        <v>102</v>
      </c>
      <c r="Z95" s="111">
        <v>312</v>
      </c>
      <c r="AA95" s="35">
        <v>0</v>
      </c>
      <c r="AB95" s="35">
        <v>12</v>
      </c>
      <c r="AC95" s="35">
        <v>77</v>
      </c>
      <c r="AD95" s="35">
        <v>0</v>
      </c>
      <c r="AE95" s="33">
        <v>0</v>
      </c>
      <c r="AF95" s="116">
        <v>0</v>
      </c>
      <c r="AG95" s="120">
        <v>307</v>
      </c>
      <c r="AH95" s="38">
        <v>91</v>
      </c>
      <c r="AI95" s="37"/>
      <c r="AJ95" s="36"/>
      <c r="AK95" s="37"/>
      <c r="AL95" s="38"/>
      <c r="AM95" s="37"/>
      <c r="AN95" s="116"/>
      <c r="AO95" s="120"/>
      <c r="AP95" s="38"/>
      <c r="AQ95" s="37">
        <v>97</v>
      </c>
      <c r="AR95" s="116">
        <v>276</v>
      </c>
      <c r="AS95" s="120"/>
      <c r="AT95" s="38"/>
      <c r="AU95" s="37"/>
      <c r="AV95" s="120"/>
      <c r="AW95" s="120"/>
      <c r="AX95" s="37"/>
      <c r="AY95" s="38"/>
      <c r="AZ95" s="37"/>
      <c r="BA95" s="116"/>
      <c r="BB95" s="31">
        <v>106</v>
      </c>
      <c r="BC95" s="32">
        <v>271</v>
      </c>
      <c r="BD95" s="31">
        <v>100</v>
      </c>
      <c r="BE95" s="116">
        <v>271</v>
      </c>
      <c r="BF95" s="120">
        <v>265</v>
      </c>
      <c r="BG95" s="38">
        <v>105</v>
      </c>
      <c r="BH95" s="37">
        <v>120</v>
      </c>
      <c r="BI95" s="38">
        <v>253</v>
      </c>
      <c r="BJ95" s="111">
        <v>18</v>
      </c>
      <c r="BK95" s="33">
        <v>89</v>
      </c>
      <c r="BL95" s="115">
        <v>271</v>
      </c>
      <c r="BM95" s="111">
        <v>272</v>
      </c>
      <c r="BN95" s="35">
        <v>92</v>
      </c>
      <c r="BO95" s="32">
        <v>16</v>
      </c>
      <c r="BP95" s="31">
        <v>110</v>
      </c>
      <c r="BQ95" s="32">
        <v>266</v>
      </c>
      <c r="BR95" s="31">
        <v>249</v>
      </c>
      <c r="BS95" s="32">
        <v>136</v>
      </c>
      <c r="BT95" s="31">
        <v>93</v>
      </c>
      <c r="BU95" s="33">
        <v>19</v>
      </c>
      <c r="BV95" s="115">
        <v>261</v>
      </c>
      <c r="BW95" s="111">
        <v>287</v>
      </c>
      <c r="BX95" s="32">
        <v>103</v>
      </c>
      <c r="BY95" s="31">
        <v>274</v>
      </c>
      <c r="BZ95" s="32">
        <v>93</v>
      </c>
      <c r="CA95" s="111">
        <v>96</v>
      </c>
      <c r="CB95" s="32">
        <v>276</v>
      </c>
      <c r="CC95" s="33">
        <v>190</v>
      </c>
      <c r="CD95" s="34">
        <v>294</v>
      </c>
      <c r="CE95" s="120">
        <v>107</v>
      </c>
      <c r="CF95" s="42">
        <v>239</v>
      </c>
      <c r="CG95" s="31">
        <v>79</v>
      </c>
      <c r="CH95" s="35">
        <v>50</v>
      </c>
      <c r="CI95" s="35">
        <v>198</v>
      </c>
      <c r="CJ95" s="35">
        <v>212</v>
      </c>
      <c r="CK95" s="32">
        <v>100</v>
      </c>
    </row>
    <row r="96" spans="1:89" ht="13" x14ac:dyDescent="0.25">
      <c r="A96" s="27">
        <v>1404</v>
      </c>
      <c r="B96" s="28" t="s">
        <v>119</v>
      </c>
      <c r="C96" s="29">
        <v>1439</v>
      </c>
      <c r="D96" s="30">
        <v>1085</v>
      </c>
      <c r="E96" s="20">
        <f t="shared" si="1"/>
        <v>0.75399583043780405</v>
      </c>
      <c r="F96" s="31">
        <v>0</v>
      </c>
      <c r="G96" s="111">
        <v>0</v>
      </c>
      <c r="H96" s="111">
        <v>0</v>
      </c>
      <c r="I96" s="111">
        <v>3</v>
      </c>
      <c r="J96" s="111">
        <v>3</v>
      </c>
      <c r="K96" s="111">
        <v>0</v>
      </c>
      <c r="L96" s="111">
        <v>0</v>
      </c>
      <c r="M96" s="111">
        <v>928</v>
      </c>
      <c r="N96" s="111">
        <v>0</v>
      </c>
      <c r="O96" s="111">
        <v>0</v>
      </c>
      <c r="P96" s="35">
        <v>5</v>
      </c>
      <c r="Q96" s="35">
        <v>3</v>
      </c>
      <c r="R96" s="35">
        <v>135</v>
      </c>
      <c r="S96" s="32">
        <v>1</v>
      </c>
      <c r="T96" s="37">
        <v>896</v>
      </c>
      <c r="U96" s="38">
        <v>149</v>
      </c>
      <c r="V96" s="37">
        <v>165</v>
      </c>
      <c r="W96" s="32">
        <v>883</v>
      </c>
      <c r="X96" s="31">
        <v>888</v>
      </c>
      <c r="Y96" s="32">
        <v>139</v>
      </c>
      <c r="Z96" s="111">
        <v>916</v>
      </c>
      <c r="AA96" s="35">
        <v>0</v>
      </c>
      <c r="AB96" s="35">
        <v>17</v>
      </c>
      <c r="AC96" s="35">
        <v>131</v>
      </c>
      <c r="AD96" s="35">
        <v>0</v>
      </c>
      <c r="AE96" s="33">
        <v>0</v>
      </c>
      <c r="AF96" s="116">
        <v>0</v>
      </c>
      <c r="AG96" s="120">
        <v>913</v>
      </c>
      <c r="AH96" s="38">
        <v>141</v>
      </c>
      <c r="AI96" s="37"/>
      <c r="AJ96" s="36"/>
      <c r="AK96" s="37"/>
      <c r="AL96" s="38"/>
      <c r="AM96" s="37"/>
      <c r="AN96" s="116"/>
      <c r="AO96" s="120"/>
      <c r="AP96" s="38"/>
      <c r="AQ96" s="37">
        <v>139</v>
      </c>
      <c r="AR96" s="116">
        <v>890</v>
      </c>
      <c r="AS96" s="120"/>
      <c r="AT96" s="38"/>
      <c r="AU96" s="37"/>
      <c r="AV96" s="120"/>
      <c r="AW96" s="120"/>
      <c r="AX96" s="37"/>
      <c r="AY96" s="38"/>
      <c r="AZ96" s="37"/>
      <c r="BA96" s="116"/>
      <c r="BB96" s="31">
        <v>141</v>
      </c>
      <c r="BC96" s="32">
        <v>883</v>
      </c>
      <c r="BD96" s="31">
        <v>141</v>
      </c>
      <c r="BE96" s="116">
        <v>882</v>
      </c>
      <c r="BF96" s="120">
        <v>884</v>
      </c>
      <c r="BG96" s="38">
        <v>135</v>
      </c>
      <c r="BH96" s="37">
        <v>165</v>
      </c>
      <c r="BI96" s="38">
        <v>850</v>
      </c>
      <c r="BJ96" s="111">
        <v>27</v>
      </c>
      <c r="BK96" s="33">
        <v>127</v>
      </c>
      <c r="BL96" s="115">
        <v>873</v>
      </c>
      <c r="BM96" s="111">
        <v>886</v>
      </c>
      <c r="BN96" s="35">
        <v>123</v>
      </c>
      <c r="BO96" s="32">
        <v>23</v>
      </c>
      <c r="BP96" s="31">
        <v>155</v>
      </c>
      <c r="BQ96" s="32">
        <v>866</v>
      </c>
      <c r="BR96" s="31">
        <v>840</v>
      </c>
      <c r="BS96" s="32">
        <v>183</v>
      </c>
      <c r="BT96" s="31">
        <v>139</v>
      </c>
      <c r="BU96" s="33">
        <v>28</v>
      </c>
      <c r="BV96" s="115">
        <v>848</v>
      </c>
      <c r="BW96" s="111">
        <v>897</v>
      </c>
      <c r="BX96" s="32">
        <v>150</v>
      </c>
      <c r="BY96" s="31">
        <v>873</v>
      </c>
      <c r="BZ96" s="32">
        <v>135</v>
      </c>
      <c r="CA96" s="111">
        <v>133</v>
      </c>
      <c r="CB96" s="32">
        <v>887</v>
      </c>
      <c r="CC96" s="33">
        <v>386</v>
      </c>
      <c r="CD96" s="34">
        <v>915</v>
      </c>
      <c r="CE96" s="120">
        <v>250</v>
      </c>
      <c r="CF96" s="42">
        <v>644</v>
      </c>
      <c r="CG96" s="31">
        <v>206</v>
      </c>
      <c r="CH96" s="35">
        <v>73</v>
      </c>
      <c r="CI96" s="35">
        <v>592</v>
      </c>
      <c r="CJ96" s="35">
        <v>653</v>
      </c>
      <c r="CK96" s="32">
        <v>190</v>
      </c>
    </row>
    <row r="97" spans="1:89" ht="13" x14ac:dyDescent="0.25">
      <c r="A97" s="27">
        <v>1405</v>
      </c>
      <c r="B97" s="28" t="s">
        <v>120</v>
      </c>
      <c r="C97" s="29">
        <v>1264</v>
      </c>
      <c r="D97" s="30">
        <v>891</v>
      </c>
      <c r="E97" s="20">
        <f t="shared" si="1"/>
        <v>0.70490506329113922</v>
      </c>
      <c r="F97" s="31">
        <v>0</v>
      </c>
      <c r="G97" s="111">
        <v>0</v>
      </c>
      <c r="H97" s="111">
        <v>0</v>
      </c>
      <c r="I97" s="111">
        <v>2</v>
      </c>
      <c r="J97" s="111">
        <v>0</v>
      </c>
      <c r="K97" s="111">
        <v>0</v>
      </c>
      <c r="L97" s="111">
        <v>0</v>
      </c>
      <c r="M97" s="111">
        <v>752</v>
      </c>
      <c r="N97" s="111">
        <v>0</v>
      </c>
      <c r="O97" s="111">
        <v>0</v>
      </c>
      <c r="P97" s="35">
        <v>4</v>
      </c>
      <c r="Q97" s="35">
        <v>2</v>
      </c>
      <c r="R97" s="35">
        <v>121</v>
      </c>
      <c r="S97" s="32">
        <v>0</v>
      </c>
      <c r="T97" s="37">
        <v>738</v>
      </c>
      <c r="U97" s="38">
        <v>130</v>
      </c>
      <c r="V97" s="37">
        <v>148</v>
      </c>
      <c r="W97" s="32">
        <v>718</v>
      </c>
      <c r="X97" s="31">
        <v>728</v>
      </c>
      <c r="Y97" s="32">
        <v>129</v>
      </c>
      <c r="Z97" s="111">
        <v>756</v>
      </c>
      <c r="AA97" s="35">
        <v>0</v>
      </c>
      <c r="AB97" s="35">
        <v>17</v>
      </c>
      <c r="AC97" s="35">
        <v>105</v>
      </c>
      <c r="AD97" s="35">
        <v>0</v>
      </c>
      <c r="AE97" s="33">
        <v>0</v>
      </c>
      <c r="AF97" s="116">
        <v>0</v>
      </c>
      <c r="AG97" s="120">
        <v>754</v>
      </c>
      <c r="AH97" s="38">
        <v>117</v>
      </c>
      <c r="AI97" s="37"/>
      <c r="AJ97" s="36"/>
      <c r="AK97" s="37"/>
      <c r="AL97" s="38"/>
      <c r="AM97" s="37"/>
      <c r="AN97" s="116"/>
      <c r="AO97" s="120"/>
      <c r="AP97" s="38"/>
      <c r="AQ97" s="37">
        <v>119</v>
      </c>
      <c r="AR97" s="116">
        <v>742</v>
      </c>
      <c r="AS97" s="120"/>
      <c r="AT97" s="38"/>
      <c r="AU97" s="37"/>
      <c r="AV97" s="120"/>
      <c r="AW97" s="120"/>
      <c r="AX97" s="37"/>
      <c r="AY97" s="38"/>
      <c r="AZ97" s="37"/>
      <c r="BA97" s="116"/>
      <c r="BB97" s="31">
        <v>135</v>
      </c>
      <c r="BC97" s="32">
        <v>721</v>
      </c>
      <c r="BD97" s="31">
        <v>122</v>
      </c>
      <c r="BE97" s="116">
        <v>736</v>
      </c>
      <c r="BF97" s="120">
        <v>722</v>
      </c>
      <c r="BG97" s="38">
        <v>127</v>
      </c>
      <c r="BH97" s="37">
        <v>138</v>
      </c>
      <c r="BI97" s="38">
        <v>702</v>
      </c>
      <c r="BJ97" s="111">
        <v>28</v>
      </c>
      <c r="BK97" s="33">
        <v>109</v>
      </c>
      <c r="BL97" s="115">
        <v>720</v>
      </c>
      <c r="BM97" s="111">
        <v>721</v>
      </c>
      <c r="BN97" s="35">
        <v>110</v>
      </c>
      <c r="BO97" s="32">
        <v>28</v>
      </c>
      <c r="BP97" s="31">
        <v>127</v>
      </c>
      <c r="BQ97" s="32">
        <v>733</v>
      </c>
      <c r="BR97" s="31">
        <v>698</v>
      </c>
      <c r="BS97" s="32">
        <v>157</v>
      </c>
      <c r="BT97" s="31">
        <v>113</v>
      </c>
      <c r="BU97" s="33">
        <v>25</v>
      </c>
      <c r="BV97" s="115">
        <v>717</v>
      </c>
      <c r="BW97" s="111">
        <v>751</v>
      </c>
      <c r="BX97" s="32">
        <v>119</v>
      </c>
      <c r="BY97" s="31">
        <v>725</v>
      </c>
      <c r="BZ97" s="32">
        <v>118</v>
      </c>
      <c r="CA97" s="111">
        <v>124</v>
      </c>
      <c r="CB97" s="32">
        <v>726</v>
      </c>
      <c r="CC97" s="33">
        <v>351</v>
      </c>
      <c r="CD97" s="34">
        <v>767</v>
      </c>
      <c r="CE97" s="120">
        <v>202</v>
      </c>
      <c r="CF97" s="42">
        <v>546</v>
      </c>
      <c r="CG97" s="31">
        <v>170</v>
      </c>
      <c r="CH97" s="35">
        <v>70</v>
      </c>
      <c r="CI97" s="35">
        <v>490</v>
      </c>
      <c r="CJ97" s="35">
        <v>509</v>
      </c>
      <c r="CK97" s="32">
        <v>150</v>
      </c>
    </row>
    <row r="98" spans="1:89" ht="13" x14ac:dyDescent="0.25">
      <c r="A98" s="27">
        <v>1406</v>
      </c>
      <c r="B98" s="28" t="s">
        <v>121</v>
      </c>
      <c r="C98" s="29">
        <v>998</v>
      </c>
      <c r="D98" s="30">
        <v>799</v>
      </c>
      <c r="E98" s="20">
        <f t="shared" si="1"/>
        <v>0.80060120240480959</v>
      </c>
      <c r="F98" s="31">
        <v>0</v>
      </c>
      <c r="G98" s="111">
        <v>0</v>
      </c>
      <c r="H98" s="111">
        <v>0</v>
      </c>
      <c r="I98" s="111">
        <v>1</v>
      </c>
      <c r="J98" s="111">
        <v>1</v>
      </c>
      <c r="K98" s="111">
        <v>0</v>
      </c>
      <c r="L98" s="111">
        <v>0</v>
      </c>
      <c r="M98" s="111">
        <v>681</v>
      </c>
      <c r="N98" s="111">
        <v>0</v>
      </c>
      <c r="O98" s="111">
        <v>0</v>
      </c>
      <c r="P98" s="35">
        <v>2</v>
      </c>
      <c r="Q98" s="35">
        <v>0</v>
      </c>
      <c r="R98" s="35">
        <v>102</v>
      </c>
      <c r="S98" s="32">
        <v>0</v>
      </c>
      <c r="T98" s="37">
        <v>665</v>
      </c>
      <c r="U98" s="38">
        <v>104</v>
      </c>
      <c r="V98" s="37">
        <v>121</v>
      </c>
      <c r="W98" s="32">
        <v>654</v>
      </c>
      <c r="X98" s="31">
        <v>662</v>
      </c>
      <c r="Y98" s="32">
        <v>104</v>
      </c>
      <c r="Z98" s="111">
        <v>677</v>
      </c>
      <c r="AA98" s="35">
        <v>2</v>
      </c>
      <c r="AB98" s="35">
        <v>15</v>
      </c>
      <c r="AC98" s="35">
        <v>86</v>
      </c>
      <c r="AD98" s="35">
        <v>0</v>
      </c>
      <c r="AE98" s="33">
        <v>0</v>
      </c>
      <c r="AF98" s="116">
        <v>0</v>
      </c>
      <c r="AG98" s="120">
        <v>680</v>
      </c>
      <c r="AH98" s="38">
        <v>94</v>
      </c>
      <c r="AI98" s="37"/>
      <c r="AJ98" s="36"/>
      <c r="AK98" s="37"/>
      <c r="AL98" s="38"/>
      <c r="AM98" s="37"/>
      <c r="AN98" s="116"/>
      <c r="AO98" s="120"/>
      <c r="AP98" s="38"/>
      <c r="AQ98" s="37">
        <v>96</v>
      </c>
      <c r="AR98" s="116">
        <v>671</v>
      </c>
      <c r="AS98" s="120"/>
      <c r="AT98" s="38"/>
      <c r="AU98" s="37"/>
      <c r="AV98" s="120"/>
      <c r="AW98" s="120"/>
      <c r="AX98" s="37"/>
      <c r="AY98" s="38"/>
      <c r="AZ98" s="37"/>
      <c r="BA98" s="116"/>
      <c r="BB98" s="31">
        <v>115</v>
      </c>
      <c r="BC98" s="32">
        <v>652</v>
      </c>
      <c r="BD98" s="31">
        <v>95</v>
      </c>
      <c r="BE98" s="116">
        <v>671</v>
      </c>
      <c r="BF98" s="120">
        <v>661</v>
      </c>
      <c r="BG98" s="38">
        <v>99</v>
      </c>
      <c r="BH98" s="37">
        <v>101</v>
      </c>
      <c r="BI98" s="38">
        <v>660</v>
      </c>
      <c r="BJ98" s="111">
        <v>24</v>
      </c>
      <c r="BK98" s="33">
        <v>84</v>
      </c>
      <c r="BL98" s="115">
        <v>669</v>
      </c>
      <c r="BM98" s="111">
        <v>677</v>
      </c>
      <c r="BN98" s="35">
        <v>77</v>
      </c>
      <c r="BO98" s="32">
        <v>16</v>
      </c>
      <c r="BP98" s="31">
        <v>105</v>
      </c>
      <c r="BQ98" s="32">
        <v>656</v>
      </c>
      <c r="BR98" s="31">
        <v>632</v>
      </c>
      <c r="BS98" s="32">
        <v>137</v>
      </c>
      <c r="BT98" s="31">
        <v>87</v>
      </c>
      <c r="BU98" s="33">
        <v>22</v>
      </c>
      <c r="BV98" s="115">
        <v>656</v>
      </c>
      <c r="BW98" s="111">
        <v>682</v>
      </c>
      <c r="BX98" s="32">
        <v>94</v>
      </c>
      <c r="BY98" s="31">
        <v>662</v>
      </c>
      <c r="BZ98" s="32">
        <v>92</v>
      </c>
      <c r="CA98" s="111">
        <v>90</v>
      </c>
      <c r="CB98" s="32">
        <v>668</v>
      </c>
      <c r="CC98" s="33">
        <v>276</v>
      </c>
      <c r="CD98" s="34">
        <v>690</v>
      </c>
      <c r="CE98" s="120">
        <v>168</v>
      </c>
      <c r="CF98" s="42">
        <v>489</v>
      </c>
      <c r="CG98" s="31">
        <v>122</v>
      </c>
      <c r="CH98" s="35">
        <v>65</v>
      </c>
      <c r="CI98" s="35">
        <v>509</v>
      </c>
      <c r="CJ98" s="35">
        <v>499</v>
      </c>
      <c r="CK98" s="32">
        <v>110</v>
      </c>
    </row>
    <row r="99" spans="1:89" ht="13" x14ac:dyDescent="0.25">
      <c r="A99" s="27">
        <v>1407</v>
      </c>
      <c r="B99" s="28" t="s">
        <v>122</v>
      </c>
      <c r="C99" s="29">
        <v>1056</v>
      </c>
      <c r="D99" s="30">
        <v>866</v>
      </c>
      <c r="E99" s="20">
        <f t="shared" si="1"/>
        <v>0.82007575757575757</v>
      </c>
      <c r="F99" s="31">
        <v>0</v>
      </c>
      <c r="G99" s="111">
        <v>0</v>
      </c>
      <c r="H99" s="111">
        <v>0</v>
      </c>
      <c r="I99" s="111">
        <v>1</v>
      </c>
      <c r="J99" s="111">
        <v>1</v>
      </c>
      <c r="K99" s="111">
        <v>0</v>
      </c>
      <c r="L99" s="111">
        <v>0</v>
      </c>
      <c r="M99" s="111">
        <v>667</v>
      </c>
      <c r="N99" s="111">
        <v>0</v>
      </c>
      <c r="O99" s="111">
        <v>0</v>
      </c>
      <c r="P99" s="35">
        <v>11</v>
      </c>
      <c r="Q99" s="35">
        <v>3</v>
      </c>
      <c r="R99" s="35">
        <v>172</v>
      </c>
      <c r="S99" s="32">
        <v>0</v>
      </c>
      <c r="T99" s="37">
        <v>636</v>
      </c>
      <c r="U99" s="38">
        <v>208</v>
      </c>
      <c r="V99" s="37">
        <v>224</v>
      </c>
      <c r="W99" s="32">
        <v>618</v>
      </c>
      <c r="X99" s="31">
        <v>632</v>
      </c>
      <c r="Y99" s="32">
        <v>193</v>
      </c>
      <c r="Z99" s="111">
        <v>672</v>
      </c>
      <c r="AA99" s="35">
        <v>0</v>
      </c>
      <c r="AB99" s="35">
        <v>24</v>
      </c>
      <c r="AC99" s="35">
        <v>161</v>
      </c>
      <c r="AD99" s="35">
        <v>0</v>
      </c>
      <c r="AE99" s="33">
        <v>0</v>
      </c>
      <c r="AF99" s="116">
        <v>0</v>
      </c>
      <c r="AG99" s="120">
        <v>665</v>
      </c>
      <c r="AH99" s="38">
        <v>176</v>
      </c>
      <c r="AI99" s="37"/>
      <c r="AJ99" s="36"/>
      <c r="AK99" s="37"/>
      <c r="AL99" s="38"/>
      <c r="AM99" s="37"/>
      <c r="AN99" s="116"/>
      <c r="AO99" s="120"/>
      <c r="AP99" s="38"/>
      <c r="AQ99" s="37">
        <v>189</v>
      </c>
      <c r="AR99" s="116">
        <v>637</v>
      </c>
      <c r="AS99" s="120"/>
      <c r="AT99" s="38"/>
      <c r="AU99" s="37"/>
      <c r="AV99" s="120"/>
      <c r="AW99" s="120"/>
      <c r="AX99" s="37"/>
      <c r="AY99" s="38"/>
      <c r="AZ99" s="37"/>
      <c r="BA99" s="116"/>
      <c r="BB99" s="31">
        <v>195</v>
      </c>
      <c r="BC99" s="32">
        <v>630</v>
      </c>
      <c r="BD99" s="31">
        <v>186</v>
      </c>
      <c r="BE99" s="116">
        <v>637</v>
      </c>
      <c r="BF99" s="120">
        <v>625</v>
      </c>
      <c r="BG99" s="38">
        <v>197</v>
      </c>
      <c r="BH99" s="37">
        <v>220</v>
      </c>
      <c r="BI99" s="38">
        <v>601</v>
      </c>
      <c r="BJ99" s="111">
        <v>39</v>
      </c>
      <c r="BK99" s="33">
        <v>165</v>
      </c>
      <c r="BL99" s="115">
        <v>613</v>
      </c>
      <c r="BM99" s="111">
        <v>639</v>
      </c>
      <c r="BN99" s="35">
        <v>172</v>
      </c>
      <c r="BO99" s="32">
        <v>18</v>
      </c>
      <c r="BP99" s="31">
        <v>203</v>
      </c>
      <c r="BQ99" s="32">
        <v>620</v>
      </c>
      <c r="BR99" s="31">
        <v>585</v>
      </c>
      <c r="BS99" s="32">
        <v>243</v>
      </c>
      <c r="BT99" s="31">
        <v>176</v>
      </c>
      <c r="BU99" s="33">
        <v>37</v>
      </c>
      <c r="BV99" s="115">
        <v>605</v>
      </c>
      <c r="BW99" s="111">
        <v>650</v>
      </c>
      <c r="BX99" s="32">
        <v>189</v>
      </c>
      <c r="BY99" s="31">
        <v>620</v>
      </c>
      <c r="BZ99" s="32">
        <v>191</v>
      </c>
      <c r="CA99" s="111">
        <v>189</v>
      </c>
      <c r="CB99" s="32">
        <v>630</v>
      </c>
      <c r="CC99" s="33">
        <v>405</v>
      </c>
      <c r="CD99" s="34">
        <v>700</v>
      </c>
      <c r="CE99" s="120">
        <v>231</v>
      </c>
      <c r="CF99" s="42">
        <v>503</v>
      </c>
      <c r="CG99" s="31">
        <v>183</v>
      </c>
      <c r="CH99" s="35">
        <v>108</v>
      </c>
      <c r="CI99" s="35">
        <v>431</v>
      </c>
      <c r="CJ99" s="35">
        <v>460</v>
      </c>
      <c r="CK99" s="32">
        <v>182</v>
      </c>
    </row>
    <row r="100" spans="1:89" ht="13" x14ac:dyDescent="0.25">
      <c r="A100" s="27">
        <v>1408</v>
      </c>
      <c r="B100" s="28" t="s">
        <v>123</v>
      </c>
      <c r="C100" s="29">
        <v>1263</v>
      </c>
      <c r="D100" s="30">
        <v>903</v>
      </c>
      <c r="E100" s="20">
        <f t="shared" si="1"/>
        <v>0.71496437054631834</v>
      </c>
      <c r="F100" s="31">
        <v>0</v>
      </c>
      <c r="G100" s="111">
        <v>0</v>
      </c>
      <c r="H100" s="111">
        <v>0</v>
      </c>
      <c r="I100" s="111">
        <v>0</v>
      </c>
      <c r="J100" s="111">
        <v>1</v>
      </c>
      <c r="K100" s="111">
        <v>0</v>
      </c>
      <c r="L100" s="111">
        <v>0</v>
      </c>
      <c r="M100" s="111">
        <v>726</v>
      </c>
      <c r="N100" s="111">
        <v>0</v>
      </c>
      <c r="O100" s="111">
        <v>0</v>
      </c>
      <c r="P100" s="35">
        <v>2</v>
      </c>
      <c r="Q100" s="35">
        <v>3</v>
      </c>
      <c r="R100" s="35">
        <v>165</v>
      </c>
      <c r="S100" s="32">
        <v>0</v>
      </c>
      <c r="T100" s="37">
        <v>692</v>
      </c>
      <c r="U100" s="38">
        <v>186</v>
      </c>
      <c r="V100" s="37">
        <v>197</v>
      </c>
      <c r="W100" s="32">
        <v>679</v>
      </c>
      <c r="X100" s="31">
        <v>701</v>
      </c>
      <c r="Y100" s="32">
        <v>169</v>
      </c>
      <c r="Z100" s="111">
        <v>730</v>
      </c>
      <c r="AA100" s="35">
        <v>0</v>
      </c>
      <c r="AB100" s="35">
        <v>19</v>
      </c>
      <c r="AC100" s="35">
        <v>140</v>
      </c>
      <c r="AD100" s="35">
        <v>0</v>
      </c>
      <c r="AE100" s="33">
        <v>0</v>
      </c>
      <c r="AF100" s="116">
        <v>0</v>
      </c>
      <c r="AG100" s="120">
        <v>721</v>
      </c>
      <c r="AH100" s="38">
        <v>157</v>
      </c>
      <c r="AI100" s="37"/>
      <c r="AJ100" s="36"/>
      <c r="AK100" s="37"/>
      <c r="AL100" s="38"/>
      <c r="AM100" s="37"/>
      <c r="AN100" s="116"/>
      <c r="AO100" s="120"/>
      <c r="AP100" s="38"/>
      <c r="AQ100" s="37">
        <v>163</v>
      </c>
      <c r="AR100" s="116">
        <v>688</v>
      </c>
      <c r="AS100" s="120"/>
      <c r="AT100" s="38"/>
      <c r="AU100" s="37"/>
      <c r="AV100" s="120"/>
      <c r="AW100" s="120"/>
      <c r="AX100" s="37"/>
      <c r="AY100" s="38"/>
      <c r="AZ100" s="37"/>
      <c r="BA100" s="116"/>
      <c r="BB100" s="31">
        <v>174</v>
      </c>
      <c r="BC100" s="32">
        <v>674</v>
      </c>
      <c r="BD100" s="31">
        <v>164</v>
      </c>
      <c r="BE100" s="116">
        <v>680</v>
      </c>
      <c r="BF100" s="120">
        <v>684</v>
      </c>
      <c r="BG100" s="38">
        <v>159</v>
      </c>
      <c r="BH100" s="37">
        <v>182</v>
      </c>
      <c r="BI100" s="38">
        <v>664</v>
      </c>
      <c r="BJ100" s="111">
        <v>30</v>
      </c>
      <c r="BK100" s="33">
        <v>155</v>
      </c>
      <c r="BL100" s="115">
        <v>673</v>
      </c>
      <c r="BM100" s="111">
        <v>677</v>
      </c>
      <c r="BN100" s="35">
        <v>139</v>
      </c>
      <c r="BO100" s="32">
        <v>33</v>
      </c>
      <c r="BP100" s="31">
        <v>173</v>
      </c>
      <c r="BQ100" s="32">
        <v>672</v>
      </c>
      <c r="BR100" s="31">
        <v>649</v>
      </c>
      <c r="BS100" s="32">
        <v>204</v>
      </c>
      <c r="BT100" s="31">
        <v>146</v>
      </c>
      <c r="BU100" s="33">
        <v>33</v>
      </c>
      <c r="BV100" s="115">
        <v>666</v>
      </c>
      <c r="BW100" s="111">
        <v>697</v>
      </c>
      <c r="BX100" s="32">
        <v>170</v>
      </c>
      <c r="BY100" s="31">
        <v>692</v>
      </c>
      <c r="BZ100" s="32">
        <v>146</v>
      </c>
      <c r="CA100" s="111">
        <v>159</v>
      </c>
      <c r="CB100" s="32">
        <v>694</v>
      </c>
      <c r="CC100" s="33">
        <v>383</v>
      </c>
      <c r="CD100" s="34">
        <v>765</v>
      </c>
      <c r="CE100" s="120">
        <v>230</v>
      </c>
      <c r="CF100" s="42">
        <v>506</v>
      </c>
      <c r="CG100" s="31">
        <v>184</v>
      </c>
      <c r="CH100" s="35">
        <v>89</v>
      </c>
      <c r="CI100" s="35">
        <v>462</v>
      </c>
      <c r="CJ100" s="35">
        <v>509</v>
      </c>
      <c r="CK100" s="32">
        <v>171</v>
      </c>
    </row>
    <row r="101" spans="1:89" ht="13" x14ac:dyDescent="0.25">
      <c r="A101" s="27">
        <v>1409</v>
      </c>
      <c r="B101" s="28" t="s">
        <v>124</v>
      </c>
      <c r="C101" s="29">
        <v>1388</v>
      </c>
      <c r="D101" s="30">
        <v>929</v>
      </c>
      <c r="E101" s="20">
        <f t="shared" si="1"/>
        <v>0.6693083573487032</v>
      </c>
      <c r="F101" s="31">
        <v>0</v>
      </c>
      <c r="G101" s="111">
        <v>0</v>
      </c>
      <c r="H101" s="111">
        <v>0</v>
      </c>
      <c r="I101" s="111">
        <v>0</v>
      </c>
      <c r="J101" s="111">
        <v>2</v>
      </c>
      <c r="K101" s="111">
        <v>0</v>
      </c>
      <c r="L101" s="111">
        <v>0</v>
      </c>
      <c r="M101" s="111">
        <v>745</v>
      </c>
      <c r="N101" s="111">
        <v>0</v>
      </c>
      <c r="O101" s="111">
        <v>0</v>
      </c>
      <c r="P101" s="35">
        <v>4</v>
      </c>
      <c r="Q101" s="35">
        <v>2</v>
      </c>
      <c r="R101" s="35">
        <v>162</v>
      </c>
      <c r="S101" s="32">
        <v>2</v>
      </c>
      <c r="T101" s="37">
        <v>728</v>
      </c>
      <c r="U101" s="38">
        <v>170</v>
      </c>
      <c r="V101" s="37">
        <v>186</v>
      </c>
      <c r="W101" s="32">
        <v>724</v>
      </c>
      <c r="X101" s="31">
        <v>725</v>
      </c>
      <c r="Y101" s="32">
        <v>161</v>
      </c>
      <c r="Z101" s="111">
        <v>741</v>
      </c>
      <c r="AA101" s="35">
        <v>0</v>
      </c>
      <c r="AB101" s="35">
        <v>39</v>
      </c>
      <c r="AC101" s="35">
        <v>137</v>
      </c>
      <c r="AD101" s="35">
        <v>0</v>
      </c>
      <c r="AE101" s="33">
        <v>0</v>
      </c>
      <c r="AF101" s="116">
        <v>0</v>
      </c>
      <c r="AG101" s="120">
        <v>752</v>
      </c>
      <c r="AH101" s="38">
        <v>147</v>
      </c>
      <c r="AI101" s="37"/>
      <c r="AJ101" s="36"/>
      <c r="AK101" s="37"/>
      <c r="AL101" s="38"/>
      <c r="AM101" s="37"/>
      <c r="AN101" s="116"/>
      <c r="AO101" s="120"/>
      <c r="AP101" s="38"/>
      <c r="AQ101" s="37">
        <v>157</v>
      </c>
      <c r="AR101" s="116">
        <v>719</v>
      </c>
      <c r="AS101" s="120"/>
      <c r="AT101" s="38"/>
      <c r="AU101" s="37"/>
      <c r="AV101" s="120"/>
      <c r="AW101" s="120"/>
      <c r="AX101" s="37"/>
      <c r="AY101" s="38"/>
      <c r="AZ101" s="37"/>
      <c r="BA101" s="116"/>
      <c r="BB101" s="31">
        <v>169</v>
      </c>
      <c r="BC101" s="32">
        <v>706</v>
      </c>
      <c r="BD101" s="31">
        <v>164</v>
      </c>
      <c r="BE101" s="116">
        <v>708</v>
      </c>
      <c r="BF101" s="120">
        <v>699</v>
      </c>
      <c r="BG101" s="38">
        <v>166</v>
      </c>
      <c r="BH101" s="37">
        <v>194</v>
      </c>
      <c r="BI101" s="38">
        <v>680</v>
      </c>
      <c r="BJ101" s="111">
        <v>51</v>
      </c>
      <c r="BK101" s="33">
        <v>130</v>
      </c>
      <c r="BL101" s="115">
        <v>705</v>
      </c>
      <c r="BM101" s="111">
        <v>710</v>
      </c>
      <c r="BN101" s="35">
        <v>139</v>
      </c>
      <c r="BO101" s="32">
        <v>41</v>
      </c>
      <c r="BP101" s="31">
        <v>162</v>
      </c>
      <c r="BQ101" s="32">
        <v>715</v>
      </c>
      <c r="BR101" s="31">
        <v>698</v>
      </c>
      <c r="BS101" s="32">
        <v>187</v>
      </c>
      <c r="BT101" s="31">
        <v>136</v>
      </c>
      <c r="BU101" s="33">
        <v>43</v>
      </c>
      <c r="BV101" s="115">
        <v>693</v>
      </c>
      <c r="BW101" s="111">
        <v>728</v>
      </c>
      <c r="BX101" s="32">
        <v>164</v>
      </c>
      <c r="BY101" s="31">
        <v>713</v>
      </c>
      <c r="BZ101" s="32">
        <v>153</v>
      </c>
      <c r="CA101" s="111">
        <v>159</v>
      </c>
      <c r="CB101" s="32">
        <v>717</v>
      </c>
      <c r="CC101" s="33">
        <v>388</v>
      </c>
      <c r="CD101" s="34">
        <v>756</v>
      </c>
      <c r="CE101" s="120">
        <v>266</v>
      </c>
      <c r="CF101" s="42">
        <v>504</v>
      </c>
      <c r="CG101" s="31">
        <v>181</v>
      </c>
      <c r="CH101" s="35">
        <v>76</v>
      </c>
      <c r="CI101" s="35">
        <v>473</v>
      </c>
      <c r="CJ101" s="35">
        <v>522</v>
      </c>
      <c r="CK101" s="32">
        <v>162</v>
      </c>
    </row>
    <row r="102" spans="1:89" ht="13" x14ac:dyDescent="0.25">
      <c r="A102" s="27">
        <v>1501</v>
      </c>
      <c r="B102" s="28" t="s">
        <v>125</v>
      </c>
      <c r="C102" s="29">
        <v>1271</v>
      </c>
      <c r="D102" s="30">
        <v>893</v>
      </c>
      <c r="E102" s="20">
        <f t="shared" si="1"/>
        <v>0.70259638080251774</v>
      </c>
      <c r="F102" s="31">
        <v>0</v>
      </c>
      <c r="G102" s="111">
        <v>0</v>
      </c>
      <c r="H102" s="111">
        <v>0</v>
      </c>
      <c r="I102" s="111">
        <v>3</v>
      </c>
      <c r="J102" s="111">
        <v>1</v>
      </c>
      <c r="K102" s="111">
        <v>0</v>
      </c>
      <c r="L102" s="111">
        <v>0</v>
      </c>
      <c r="M102" s="111">
        <v>792</v>
      </c>
      <c r="N102" s="111">
        <v>0</v>
      </c>
      <c r="O102" s="111">
        <v>0</v>
      </c>
      <c r="P102" s="35">
        <v>3</v>
      </c>
      <c r="Q102" s="35">
        <v>1</v>
      </c>
      <c r="R102" s="35">
        <v>73</v>
      </c>
      <c r="S102" s="32">
        <v>0</v>
      </c>
      <c r="T102" s="37">
        <v>794</v>
      </c>
      <c r="U102" s="38">
        <v>77</v>
      </c>
      <c r="V102" s="37">
        <v>94</v>
      </c>
      <c r="W102" s="32">
        <v>781</v>
      </c>
      <c r="X102" s="31">
        <v>799</v>
      </c>
      <c r="Y102" s="32">
        <v>64</v>
      </c>
      <c r="Z102" s="111">
        <v>799</v>
      </c>
      <c r="AA102" s="35">
        <v>0</v>
      </c>
      <c r="AB102" s="35">
        <v>18</v>
      </c>
      <c r="AC102" s="35">
        <v>63</v>
      </c>
      <c r="AD102" s="35">
        <v>0</v>
      </c>
      <c r="AE102" s="33">
        <v>0</v>
      </c>
      <c r="AF102" s="116">
        <v>0</v>
      </c>
      <c r="AG102" s="120">
        <v>782</v>
      </c>
      <c r="AH102" s="38">
        <v>67</v>
      </c>
      <c r="AI102" s="37"/>
      <c r="AJ102" s="36"/>
      <c r="AK102" s="37"/>
      <c r="AL102" s="38"/>
      <c r="AM102" s="37"/>
      <c r="AN102" s="116"/>
      <c r="AO102" s="120">
        <v>74</v>
      </c>
      <c r="AP102" s="38">
        <v>793</v>
      </c>
      <c r="AQ102" s="37"/>
      <c r="AR102" s="116"/>
      <c r="AS102" s="120"/>
      <c r="AT102" s="38"/>
      <c r="AU102" s="37"/>
      <c r="AV102" s="120"/>
      <c r="AW102" s="120"/>
      <c r="AX102" s="37"/>
      <c r="AY102" s="38"/>
      <c r="AZ102" s="37"/>
      <c r="BA102" s="116"/>
      <c r="BB102" s="31">
        <v>83</v>
      </c>
      <c r="BC102" s="32">
        <v>765</v>
      </c>
      <c r="BD102" s="31">
        <v>64</v>
      </c>
      <c r="BE102" s="116">
        <v>790</v>
      </c>
      <c r="BF102" s="120">
        <v>777</v>
      </c>
      <c r="BG102" s="38">
        <v>66</v>
      </c>
      <c r="BH102" s="37">
        <v>88</v>
      </c>
      <c r="BI102" s="38">
        <v>755</v>
      </c>
      <c r="BJ102" s="111">
        <v>35</v>
      </c>
      <c r="BK102" s="33">
        <v>71</v>
      </c>
      <c r="BL102" s="115">
        <v>757</v>
      </c>
      <c r="BM102" s="111">
        <v>764</v>
      </c>
      <c r="BN102" s="35">
        <v>71</v>
      </c>
      <c r="BO102" s="32">
        <v>27</v>
      </c>
      <c r="BP102" s="31">
        <v>80</v>
      </c>
      <c r="BQ102" s="32">
        <v>773</v>
      </c>
      <c r="BR102" s="31">
        <v>756</v>
      </c>
      <c r="BS102" s="32">
        <v>100</v>
      </c>
      <c r="BT102" s="31">
        <v>67</v>
      </c>
      <c r="BU102" s="33">
        <v>33</v>
      </c>
      <c r="BV102" s="115">
        <v>758</v>
      </c>
      <c r="BW102" s="111">
        <v>782</v>
      </c>
      <c r="BX102" s="32">
        <v>82</v>
      </c>
      <c r="BY102" s="31">
        <v>770</v>
      </c>
      <c r="BZ102" s="32">
        <v>73</v>
      </c>
      <c r="CA102" s="111">
        <v>79</v>
      </c>
      <c r="CB102" s="32">
        <v>771</v>
      </c>
      <c r="CC102" s="33">
        <v>272</v>
      </c>
      <c r="CD102" s="34">
        <v>768</v>
      </c>
      <c r="CE102" s="120">
        <v>167</v>
      </c>
      <c r="CF102" s="38">
        <v>587</v>
      </c>
      <c r="CG102" s="31">
        <v>112</v>
      </c>
      <c r="CH102" s="35">
        <v>40</v>
      </c>
      <c r="CI102" s="35">
        <v>562</v>
      </c>
      <c r="CJ102" s="35">
        <v>625</v>
      </c>
      <c r="CK102" s="32">
        <v>100</v>
      </c>
    </row>
    <row r="103" spans="1:89" ht="13" x14ac:dyDescent="0.25">
      <c r="A103" s="27">
        <v>1502</v>
      </c>
      <c r="B103" s="28" t="s">
        <v>126</v>
      </c>
      <c r="C103" s="29">
        <v>1494</v>
      </c>
      <c r="D103" s="30">
        <v>913</v>
      </c>
      <c r="E103" s="20">
        <f t="shared" si="1"/>
        <v>0.61111111111111116</v>
      </c>
      <c r="F103" s="31">
        <v>0</v>
      </c>
      <c r="G103" s="111">
        <v>0</v>
      </c>
      <c r="H103" s="111">
        <v>0</v>
      </c>
      <c r="I103" s="111">
        <v>6</v>
      </c>
      <c r="J103" s="111">
        <v>3</v>
      </c>
      <c r="K103" s="111">
        <v>0</v>
      </c>
      <c r="L103" s="111">
        <v>0</v>
      </c>
      <c r="M103" s="111">
        <v>777</v>
      </c>
      <c r="N103" s="111">
        <v>0</v>
      </c>
      <c r="O103" s="111">
        <v>0</v>
      </c>
      <c r="P103" s="35">
        <v>7</v>
      </c>
      <c r="Q103" s="35">
        <v>2</v>
      </c>
      <c r="R103" s="35">
        <v>99</v>
      </c>
      <c r="S103" s="32">
        <v>0</v>
      </c>
      <c r="T103" s="37">
        <v>776</v>
      </c>
      <c r="U103" s="38">
        <v>115</v>
      </c>
      <c r="V103" s="37">
        <v>125</v>
      </c>
      <c r="W103" s="32">
        <v>764</v>
      </c>
      <c r="X103" s="31">
        <v>765</v>
      </c>
      <c r="Y103" s="32">
        <v>115</v>
      </c>
      <c r="Z103" s="111">
        <v>781</v>
      </c>
      <c r="AA103" s="35">
        <v>0</v>
      </c>
      <c r="AB103" s="35">
        <v>24</v>
      </c>
      <c r="AC103" s="35">
        <v>92</v>
      </c>
      <c r="AD103" s="35">
        <v>0</v>
      </c>
      <c r="AE103" s="33">
        <v>0</v>
      </c>
      <c r="AF103" s="116">
        <v>0</v>
      </c>
      <c r="AG103" s="120">
        <v>777</v>
      </c>
      <c r="AH103" s="38">
        <v>99</v>
      </c>
      <c r="AI103" s="37"/>
      <c r="AJ103" s="36"/>
      <c r="AK103" s="37"/>
      <c r="AL103" s="38"/>
      <c r="AM103" s="37"/>
      <c r="AN103" s="116"/>
      <c r="AO103" s="120">
        <v>99</v>
      </c>
      <c r="AP103" s="38">
        <v>782</v>
      </c>
      <c r="AQ103" s="37"/>
      <c r="AR103" s="116"/>
      <c r="AS103" s="120"/>
      <c r="AT103" s="38"/>
      <c r="AU103" s="37"/>
      <c r="AV103" s="120"/>
      <c r="AW103" s="120"/>
      <c r="AX103" s="37"/>
      <c r="AY103" s="38"/>
      <c r="AZ103" s="37"/>
      <c r="BA103" s="116"/>
      <c r="BB103" s="31">
        <v>117</v>
      </c>
      <c r="BC103" s="32">
        <v>758</v>
      </c>
      <c r="BD103" s="31">
        <v>105</v>
      </c>
      <c r="BE103" s="116">
        <v>769</v>
      </c>
      <c r="BF103" s="120">
        <v>760</v>
      </c>
      <c r="BG103" s="38">
        <v>111</v>
      </c>
      <c r="BH103" s="37">
        <v>138</v>
      </c>
      <c r="BI103" s="38">
        <v>734</v>
      </c>
      <c r="BJ103" s="111">
        <v>42</v>
      </c>
      <c r="BK103" s="33">
        <v>110</v>
      </c>
      <c r="BL103" s="115">
        <v>722</v>
      </c>
      <c r="BM103" s="111">
        <v>752</v>
      </c>
      <c r="BN103" s="35">
        <v>100</v>
      </c>
      <c r="BO103" s="32">
        <v>26</v>
      </c>
      <c r="BP103" s="31">
        <v>125</v>
      </c>
      <c r="BQ103" s="32">
        <v>756</v>
      </c>
      <c r="BR103" s="31">
        <v>748</v>
      </c>
      <c r="BS103" s="32">
        <v>128</v>
      </c>
      <c r="BT103" s="31">
        <v>93</v>
      </c>
      <c r="BU103" s="33">
        <v>35</v>
      </c>
      <c r="BV103" s="115">
        <v>749</v>
      </c>
      <c r="BW103" s="111">
        <v>776</v>
      </c>
      <c r="BX103" s="32">
        <v>107</v>
      </c>
      <c r="BY103" s="31">
        <v>765</v>
      </c>
      <c r="BZ103" s="32">
        <v>108</v>
      </c>
      <c r="CA103" s="111">
        <v>110</v>
      </c>
      <c r="CB103" s="32">
        <v>763</v>
      </c>
      <c r="CC103" s="33">
        <v>334</v>
      </c>
      <c r="CD103" s="34">
        <v>799</v>
      </c>
      <c r="CE103" s="120">
        <v>229</v>
      </c>
      <c r="CF103" s="38">
        <v>529</v>
      </c>
      <c r="CG103" s="31">
        <v>161</v>
      </c>
      <c r="CH103" s="35">
        <v>60</v>
      </c>
      <c r="CI103" s="35">
        <v>505</v>
      </c>
      <c r="CJ103" s="35">
        <v>556</v>
      </c>
      <c r="CK103" s="32">
        <v>137</v>
      </c>
    </row>
    <row r="104" spans="1:89" ht="13" x14ac:dyDescent="0.25">
      <c r="A104" s="27">
        <v>1503</v>
      </c>
      <c r="B104" s="28" t="s">
        <v>127</v>
      </c>
      <c r="C104" s="29">
        <v>976</v>
      </c>
      <c r="D104" s="30">
        <v>426</v>
      </c>
      <c r="E104" s="20">
        <f t="shared" si="1"/>
        <v>0.43647540983606559</v>
      </c>
      <c r="F104" s="31">
        <v>0</v>
      </c>
      <c r="G104" s="111">
        <v>0</v>
      </c>
      <c r="H104" s="111">
        <v>0</v>
      </c>
      <c r="I104" s="111">
        <v>1</v>
      </c>
      <c r="J104" s="111">
        <v>4</v>
      </c>
      <c r="K104" s="111">
        <v>0</v>
      </c>
      <c r="L104" s="111">
        <v>0</v>
      </c>
      <c r="M104" s="111">
        <v>372</v>
      </c>
      <c r="N104" s="111">
        <v>0</v>
      </c>
      <c r="O104" s="111">
        <v>0</v>
      </c>
      <c r="P104" s="35">
        <v>5</v>
      </c>
      <c r="Q104" s="35">
        <v>0</v>
      </c>
      <c r="R104" s="35">
        <v>39</v>
      </c>
      <c r="S104" s="32">
        <v>0</v>
      </c>
      <c r="T104" s="37">
        <v>356</v>
      </c>
      <c r="U104" s="38">
        <v>53</v>
      </c>
      <c r="V104" s="37">
        <v>48</v>
      </c>
      <c r="W104" s="32">
        <v>367</v>
      </c>
      <c r="X104" s="31">
        <v>364</v>
      </c>
      <c r="Y104" s="32">
        <v>39</v>
      </c>
      <c r="Z104" s="111">
        <v>357</v>
      </c>
      <c r="AA104" s="35">
        <v>0</v>
      </c>
      <c r="AB104" s="35">
        <v>14</v>
      </c>
      <c r="AC104" s="35">
        <v>44</v>
      </c>
      <c r="AD104" s="35">
        <v>0</v>
      </c>
      <c r="AE104" s="33">
        <v>0</v>
      </c>
      <c r="AF104" s="116">
        <v>0</v>
      </c>
      <c r="AG104" s="120">
        <v>362</v>
      </c>
      <c r="AH104" s="38">
        <v>43</v>
      </c>
      <c r="AI104" s="37"/>
      <c r="AJ104" s="36"/>
      <c r="AK104" s="37"/>
      <c r="AL104" s="38"/>
      <c r="AM104" s="37"/>
      <c r="AN104" s="116"/>
      <c r="AO104" s="120">
        <v>40</v>
      </c>
      <c r="AP104" s="38">
        <v>376</v>
      </c>
      <c r="AQ104" s="37"/>
      <c r="AR104" s="116"/>
      <c r="AS104" s="120"/>
      <c r="AT104" s="38"/>
      <c r="AU104" s="37"/>
      <c r="AV104" s="120"/>
      <c r="AW104" s="120"/>
      <c r="AX104" s="37"/>
      <c r="AY104" s="38"/>
      <c r="AZ104" s="37"/>
      <c r="BA104" s="116"/>
      <c r="BB104" s="31">
        <v>40</v>
      </c>
      <c r="BC104" s="32">
        <v>360</v>
      </c>
      <c r="BD104" s="31">
        <v>40</v>
      </c>
      <c r="BE104" s="116">
        <v>362</v>
      </c>
      <c r="BF104" s="120">
        <v>364</v>
      </c>
      <c r="BG104" s="38">
        <v>39</v>
      </c>
      <c r="BH104" s="37">
        <v>44</v>
      </c>
      <c r="BI104" s="38">
        <v>352</v>
      </c>
      <c r="BJ104" s="111">
        <v>15</v>
      </c>
      <c r="BK104" s="33">
        <v>28</v>
      </c>
      <c r="BL104" s="115">
        <v>371</v>
      </c>
      <c r="BM104" s="111">
        <v>356</v>
      </c>
      <c r="BN104" s="35">
        <v>33</v>
      </c>
      <c r="BO104" s="32">
        <v>16</v>
      </c>
      <c r="BP104" s="31">
        <v>33</v>
      </c>
      <c r="BQ104" s="32">
        <v>369</v>
      </c>
      <c r="BR104" s="31">
        <v>348</v>
      </c>
      <c r="BS104" s="32">
        <v>58</v>
      </c>
      <c r="BT104" s="31">
        <v>34</v>
      </c>
      <c r="BU104" s="33">
        <v>22</v>
      </c>
      <c r="BV104" s="115">
        <v>351</v>
      </c>
      <c r="BW104" s="111">
        <v>366</v>
      </c>
      <c r="BX104" s="32">
        <v>43</v>
      </c>
      <c r="BY104" s="31">
        <v>363</v>
      </c>
      <c r="BZ104" s="32">
        <v>39</v>
      </c>
      <c r="CA104" s="111">
        <v>38</v>
      </c>
      <c r="CB104" s="32">
        <v>366</v>
      </c>
      <c r="CC104" s="33">
        <v>134</v>
      </c>
      <c r="CD104" s="34">
        <v>366</v>
      </c>
      <c r="CE104" s="120">
        <v>139</v>
      </c>
      <c r="CF104" s="38">
        <v>200</v>
      </c>
      <c r="CG104" s="31">
        <v>71</v>
      </c>
      <c r="CH104" s="35">
        <v>26</v>
      </c>
      <c r="CI104" s="35">
        <v>214</v>
      </c>
      <c r="CJ104" s="35">
        <v>208</v>
      </c>
      <c r="CK104" s="32">
        <v>61</v>
      </c>
    </row>
    <row r="105" spans="1:89" ht="13" x14ac:dyDescent="0.25">
      <c r="A105" s="27">
        <v>1504</v>
      </c>
      <c r="B105" s="28" t="s">
        <v>128</v>
      </c>
      <c r="C105" s="29">
        <v>839</v>
      </c>
      <c r="D105" s="30">
        <v>469</v>
      </c>
      <c r="E105" s="20">
        <f t="shared" si="1"/>
        <v>0.55899880810488678</v>
      </c>
      <c r="F105" s="31">
        <v>0</v>
      </c>
      <c r="G105" s="111">
        <v>0</v>
      </c>
      <c r="H105" s="111">
        <v>0</v>
      </c>
      <c r="I105" s="111">
        <v>0</v>
      </c>
      <c r="J105" s="111">
        <v>0</v>
      </c>
      <c r="K105" s="111">
        <v>0</v>
      </c>
      <c r="L105" s="111">
        <v>0</v>
      </c>
      <c r="M105" s="111">
        <v>428</v>
      </c>
      <c r="N105" s="111">
        <v>0</v>
      </c>
      <c r="O105" s="111">
        <v>0</v>
      </c>
      <c r="P105" s="35">
        <v>1</v>
      </c>
      <c r="Q105" s="35">
        <v>0</v>
      </c>
      <c r="R105" s="35">
        <v>36</v>
      </c>
      <c r="S105" s="32">
        <v>0</v>
      </c>
      <c r="T105" s="37">
        <v>409</v>
      </c>
      <c r="U105" s="38">
        <v>40</v>
      </c>
      <c r="V105" s="37">
        <v>42</v>
      </c>
      <c r="W105" s="32">
        <v>408</v>
      </c>
      <c r="X105" s="31">
        <v>409</v>
      </c>
      <c r="Y105" s="32">
        <v>32</v>
      </c>
      <c r="Z105" s="111">
        <v>415</v>
      </c>
      <c r="AA105" s="35">
        <v>0</v>
      </c>
      <c r="AB105" s="35">
        <v>10</v>
      </c>
      <c r="AC105" s="35">
        <v>31</v>
      </c>
      <c r="AD105" s="35">
        <v>0</v>
      </c>
      <c r="AE105" s="33">
        <v>0</v>
      </c>
      <c r="AF105" s="116">
        <v>0</v>
      </c>
      <c r="AG105" s="120">
        <v>413</v>
      </c>
      <c r="AH105" s="38">
        <v>34</v>
      </c>
      <c r="AI105" s="37"/>
      <c r="AJ105" s="36"/>
      <c r="AK105" s="37"/>
      <c r="AL105" s="38"/>
      <c r="AM105" s="37"/>
      <c r="AN105" s="116"/>
      <c r="AO105" s="120">
        <v>31</v>
      </c>
      <c r="AP105" s="38">
        <v>423</v>
      </c>
      <c r="AQ105" s="37"/>
      <c r="AR105" s="116"/>
      <c r="AS105" s="120"/>
      <c r="AT105" s="38"/>
      <c r="AU105" s="37"/>
      <c r="AV105" s="120"/>
      <c r="AW105" s="120"/>
      <c r="AX105" s="37"/>
      <c r="AY105" s="38"/>
      <c r="AZ105" s="37"/>
      <c r="BA105" s="116"/>
      <c r="BB105" s="31">
        <v>42</v>
      </c>
      <c r="BC105" s="32">
        <v>399</v>
      </c>
      <c r="BD105" s="31">
        <v>39</v>
      </c>
      <c r="BE105" s="116">
        <v>402</v>
      </c>
      <c r="BF105" s="120">
        <v>396</v>
      </c>
      <c r="BG105" s="38">
        <v>40</v>
      </c>
      <c r="BH105" s="37">
        <v>40</v>
      </c>
      <c r="BI105" s="38">
        <v>398</v>
      </c>
      <c r="BJ105" s="111">
        <v>11</v>
      </c>
      <c r="BK105" s="33">
        <v>26</v>
      </c>
      <c r="BL105" s="115">
        <v>416</v>
      </c>
      <c r="BM105" s="111">
        <v>410</v>
      </c>
      <c r="BN105" s="35">
        <v>29</v>
      </c>
      <c r="BO105" s="32">
        <v>7</v>
      </c>
      <c r="BP105" s="31">
        <v>33</v>
      </c>
      <c r="BQ105" s="32">
        <v>411</v>
      </c>
      <c r="BR105" s="31">
        <v>382</v>
      </c>
      <c r="BS105" s="32">
        <v>54</v>
      </c>
      <c r="BT105" s="31">
        <v>37</v>
      </c>
      <c r="BU105" s="33">
        <v>12</v>
      </c>
      <c r="BV105" s="115">
        <v>397</v>
      </c>
      <c r="BW105" s="111">
        <v>418</v>
      </c>
      <c r="BX105" s="32">
        <v>36</v>
      </c>
      <c r="BY105" s="31">
        <v>410</v>
      </c>
      <c r="BZ105" s="32">
        <v>29</v>
      </c>
      <c r="CA105" s="111">
        <v>34</v>
      </c>
      <c r="CB105" s="32">
        <v>414</v>
      </c>
      <c r="CC105" s="33">
        <v>131</v>
      </c>
      <c r="CD105" s="34">
        <v>416</v>
      </c>
      <c r="CE105" s="120">
        <v>120</v>
      </c>
      <c r="CF105" s="38">
        <v>266</v>
      </c>
      <c r="CG105" s="31">
        <v>73</v>
      </c>
      <c r="CH105" s="35">
        <v>22</v>
      </c>
      <c r="CI105" s="35">
        <v>272</v>
      </c>
      <c r="CJ105" s="35">
        <v>273</v>
      </c>
      <c r="CK105" s="32">
        <v>71</v>
      </c>
    </row>
    <row r="106" spans="1:89" ht="13" x14ac:dyDescent="0.25">
      <c r="A106" s="27">
        <v>1505</v>
      </c>
      <c r="B106" s="28" t="s">
        <v>129</v>
      </c>
      <c r="C106" s="29">
        <v>1290</v>
      </c>
      <c r="D106" s="30">
        <v>890</v>
      </c>
      <c r="E106" s="20">
        <f t="shared" si="1"/>
        <v>0.68992248062015504</v>
      </c>
      <c r="F106" s="31">
        <v>0</v>
      </c>
      <c r="G106" s="111">
        <v>0</v>
      </c>
      <c r="H106" s="111">
        <v>0</v>
      </c>
      <c r="I106" s="111">
        <v>6</v>
      </c>
      <c r="J106" s="111">
        <v>2</v>
      </c>
      <c r="K106" s="111">
        <v>0</v>
      </c>
      <c r="L106" s="111">
        <v>0</v>
      </c>
      <c r="M106" s="111">
        <v>741</v>
      </c>
      <c r="N106" s="111">
        <v>0</v>
      </c>
      <c r="O106" s="111">
        <v>0</v>
      </c>
      <c r="P106" s="35">
        <v>6</v>
      </c>
      <c r="Q106" s="35">
        <v>3</v>
      </c>
      <c r="R106" s="35">
        <v>104</v>
      </c>
      <c r="S106" s="32">
        <v>1</v>
      </c>
      <c r="T106" s="37">
        <v>759</v>
      </c>
      <c r="U106" s="38">
        <v>108</v>
      </c>
      <c r="V106" s="37">
        <v>119</v>
      </c>
      <c r="W106" s="32">
        <v>746</v>
      </c>
      <c r="X106" s="31">
        <v>750</v>
      </c>
      <c r="Y106" s="32">
        <v>102</v>
      </c>
      <c r="Z106" s="111">
        <v>773</v>
      </c>
      <c r="AA106" s="35">
        <v>0</v>
      </c>
      <c r="AB106" s="35">
        <v>19</v>
      </c>
      <c r="AC106" s="35">
        <v>82</v>
      </c>
      <c r="AD106" s="35">
        <v>0</v>
      </c>
      <c r="AE106" s="33">
        <v>0</v>
      </c>
      <c r="AF106" s="116">
        <v>0</v>
      </c>
      <c r="AG106" s="120">
        <v>747</v>
      </c>
      <c r="AH106" s="38">
        <v>104</v>
      </c>
      <c r="AI106" s="37"/>
      <c r="AJ106" s="36"/>
      <c r="AK106" s="37"/>
      <c r="AL106" s="38"/>
      <c r="AM106" s="37"/>
      <c r="AN106" s="116"/>
      <c r="AO106" s="120">
        <v>99</v>
      </c>
      <c r="AP106" s="38">
        <v>766</v>
      </c>
      <c r="AQ106" s="37"/>
      <c r="AR106" s="116"/>
      <c r="AS106" s="120"/>
      <c r="AT106" s="38"/>
      <c r="AU106" s="37"/>
      <c r="AV106" s="120"/>
      <c r="AW106" s="120"/>
      <c r="AX106" s="37"/>
      <c r="AY106" s="38"/>
      <c r="AZ106" s="37"/>
      <c r="BA106" s="116"/>
      <c r="BB106" s="31">
        <v>110</v>
      </c>
      <c r="BC106" s="32">
        <v>746</v>
      </c>
      <c r="BD106" s="31">
        <v>110</v>
      </c>
      <c r="BE106" s="116">
        <v>743</v>
      </c>
      <c r="BF106" s="120">
        <v>748</v>
      </c>
      <c r="BG106" s="38">
        <v>100</v>
      </c>
      <c r="BH106" s="37">
        <v>124</v>
      </c>
      <c r="BI106" s="38">
        <v>715</v>
      </c>
      <c r="BJ106" s="111">
        <v>33</v>
      </c>
      <c r="BK106" s="33">
        <v>107</v>
      </c>
      <c r="BL106" s="115">
        <v>712</v>
      </c>
      <c r="BM106" s="111">
        <v>748</v>
      </c>
      <c r="BN106" s="35">
        <v>87</v>
      </c>
      <c r="BO106" s="32">
        <v>27</v>
      </c>
      <c r="BP106" s="31">
        <v>122</v>
      </c>
      <c r="BQ106" s="32">
        <v>730</v>
      </c>
      <c r="BR106" s="31">
        <v>707</v>
      </c>
      <c r="BS106" s="32">
        <v>140</v>
      </c>
      <c r="BT106" s="31">
        <v>91</v>
      </c>
      <c r="BU106" s="33">
        <v>33</v>
      </c>
      <c r="BV106" s="115">
        <v>728</v>
      </c>
      <c r="BW106" s="111">
        <v>744</v>
      </c>
      <c r="BX106" s="32">
        <v>108</v>
      </c>
      <c r="BY106" s="31">
        <v>741</v>
      </c>
      <c r="BZ106" s="32">
        <v>101</v>
      </c>
      <c r="CA106" s="111">
        <v>115</v>
      </c>
      <c r="CB106" s="32">
        <v>735</v>
      </c>
      <c r="CC106" s="33">
        <v>369</v>
      </c>
      <c r="CD106" s="34">
        <v>753</v>
      </c>
      <c r="CE106" s="120">
        <v>245</v>
      </c>
      <c r="CF106" s="38">
        <v>472</v>
      </c>
      <c r="CG106" s="31">
        <v>164</v>
      </c>
      <c r="CH106" s="35">
        <v>55</v>
      </c>
      <c r="CI106" s="35">
        <v>458</v>
      </c>
      <c r="CJ106" s="35">
        <v>547</v>
      </c>
      <c r="CK106" s="32">
        <v>141</v>
      </c>
    </row>
    <row r="107" spans="1:89" ht="13" x14ac:dyDescent="0.25">
      <c r="A107" s="27">
        <v>1506</v>
      </c>
      <c r="B107" s="28" t="s">
        <v>130</v>
      </c>
      <c r="C107" s="29">
        <v>1152</v>
      </c>
      <c r="D107" s="30">
        <v>680</v>
      </c>
      <c r="E107" s="20">
        <f t="shared" si="1"/>
        <v>0.59027777777777779</v>
      </c>
      <c r="F107" s="31">
        <v>0</v>
      </c>
      <c r="G107" s="111">
        <v>0</v>
      </c>
      <c r="H107" s="111">
        <v>0</v>
      </c>
      <c r="I107" s="111">
        <v>4</v>
      </c>
      <c r="J107" s="111">
        <v>0</v>
      </c>
      <c r="K107" s="111">
        <v>0</v>
      </c>
      <c r="L107" s="111">
        <v>0</v>
      </c>
      <c r="M107" s="111">
        <v>598</v>
      </c>
      <c r="N107" s="111">
        <v>0</v>
      </c>
      <c r="O107" s="111">
        <v>0</v>
      </c>
      <c r="P107" s="35">
        <v>1</v>
      </c>
      <c r="Q107" s="35">
        <v>0</v>
      </c>
      <c r="R107" s="35">
        <v>66</v>
      </c>
      <c r="S107" s="32">
        <v>0</v>
      </c>
      <c r="T107" s="37">
        <v>576</v>
      </c>
      <c r="U107" s="38">
        <v>84</v>
      </c>
      <c r="V107" s="37">
        <v>97</v>
      </c>
      <c r="W107" s="32">
        <v>566</v>
      </c>
      <c r="X107" s="31">
        <v>582</v>
      </c>
      <c r="Y107" s="32">
        <v>71</v>
      </c>
      <c r="Z107" s="111">
        <v>594</v>
      </c>
      <c r="AA107" s="35">
        <v>0</v>
      </c>
      <c r="AB107" s="35">
        <v>8</v>
      </c>
      <c r="AC107" s="35">
        <v>68</v>
      </c>
      <c r="AD107" s="35">
        <v>0</v>
      </c>
      <c r="AE107" s="33">
        <v>0</v>
      </c>
      <c r="AF107" s="116">
        <v>0</v>
      </c>
      <c r="AG107" s="120">
        <v>591</v>
      </c>
      <c r="AH107" s="38">
        <v>69</v>
      </c>
      <c r="AI107" s="37"/>
      <c r="AJ107" s="36"/>
      <c r="AK107" s="37"/>
      <c r="AL107" s="38"/>
      <c r="AM107" s="37"/>
      <c r="AN107" s="116"/>
      <c r="AO107" s="120">
        <v>71</v>
      </c>
      <c r="AP107" s="38">
        <v>592</v>
      </c>
      <c r="AQ107" s="37"/>
      <c r="AR107" s="116"/>
      <c r="AS107" s="120"/>
      <c r="AT107" s="38"/>
      <c r="AU107" s="37"/>
      <c r="AV107" s="120"/>
      <c r="AW107" s="120"/>
      <c r="AX107" s="37"/>
      <c r="AY107" s="38"/>
      <c r="AZ107" s="37"/>
      <c r="BA107" s="116"/>
      <c r="BB107" s="31">
        <v>84</v>
      </c>
      <c r="BC107" s="32">
        <v>572</v>
      </c>
      <c r="BD107" s="31">
        <v>76</v>
      </c>
      <c r="BE107" s="116">
        <v>577</v>
      </c>
      <c r="BF107" s="120">
        <v>577</v>
      </c>
      <c r="BG107" s="38">
        <v>76</v>
      </c>
      <c r="BH107" s="37">
        <v>92</v>
      </c>
      <c r="BI107" s="38">
        <v>556</v>
      </c>
      <c r="BJ107" s="111">
        <v>22</v>
      </c>
      <c r="BK107" s="33">
        <v>65</v>
      </c>
      <c r="BL107" s="115">
        <v>576</v>
      </c>
      <c r="BM107" s="111">
        <v>583</v>
      </c>
      <c r="BN107" s="35">
        <v>64</v>
      </c>
      <c r="BO107" s="32">
        <v>13</v>
      </c>
      <c r="BP107" s="31">
        <v>81</v>
      </c>
      <c r="BQ107" s="32">
        <v>575</v>
      </c>
      <c r="BR107" s="31">
        <v>550</v>
      </c>
      <c r="BS107" s="32">
        <v>109</v>
      </c>
      <c r="BT107" s="31">
        <v>74</v>
      </c>
      <c r="BU107" s="33">
        <v>20</v>
      </c>
      <c r="BV107" s="115">
        <v>561</v>
      </c>
      <c r="BW107" s="111">
        <v>577</v>
      </c>
      <c r="BX107" s="32">
        <v>84</v>
      </c>
      <c r="BY107" s="31">
        <v>574</v>
      </c>
      <c r="BZ107" s="32">
        <v>72</v>
      </c>
      <c r="CA107" s="111">
        <v>77</v>
      </c>
      <c r="CB107" s="32">
        <v>575</v>
      </c>
      <c r="CC107" s="33">
        <v>250</v>
      </c>
      <c r="CD107" s="34">
        <v>594</v>
      </c>
      <c r="CE107" s="120">
        <v>188</v>
      </c>
      <c r="CF107" s="38">
        <v>376</v>
      </c>
      <c r="CG107" s="31">
        <v>132</v>
      </c>
      <c r="CH107" s="35">
        <v>61</v>
      </c>
      <c r="CI107" s="35">
        <v>349</v>
      </c>
      <c r="CJ107" s="35">
        <v>388</v>
      </c>
      <c r="CK107" s="32">
        <v>135</v>
      </c>
    </row>
    <row r="108" spans="1:89" ht="13" x14ac:dyDescent="0.25">
      <c r="A108" s="27">
        <v>1507</v>
      </c>
      <c r="B108" s="28" t="s">
        <v>131</v>
      </c>
      <c r="C108" s="29">
        <v>690</v>
      </c>
      <c r="D108" s="30">
        <v>451</v>
      </c>
      <c r="E108" s="20">
        <f t="shared" si="1"/>
        <v>0.65362318840579714</v>
      </c>
      <c r="F108" s="31">
        <v>0</v>
      </c>
      <c r="G108" s="111">
        <v>0</v>
      </c>
      <c r="H108" s="111">
        <v>0</v>
      </c>
      <c r="I108" s="111">
        <v>1</v>
      </c>
      <c r="J108" s="111">
        <v>2</v>
      </c>
      <c r="K108" s="111">
        <v>0</v>
      </c>
      <c r="L108" s="111">
        <v>0</v>
      </c>
      <c r="M108" s="111">
        <v>367</v>
      </c>
      <c r="N108" s="111">
        <v>0</v>
      </c>
      <c r="O108" s="111">
        <v>0</v>
      </c>
      <c r="P108" s="35">
        <v>4</v>
      </c>
      <c r="Q108" s="35">
        <v>2</v>
      </c>
      <c r="R108" s="35">
        <v>65</v>
      </c>
      <c r="S108" s="32">
        <v>0</v>
      </c>
      <c r="T108" s="37">
        <v>370</v>
      </c>
      <c r="U108" s="38">
        <v>73</v>
      </c>
      <c r="V108" s="37">
        <v>79</v>
      </c>
      <c r="W108" s="32">
        <v>364</v>
      </c>
      <c r="X108" s="31">
        <v>366</v>
      </c>
      <c r="Y108" s="32">
        <v>73</v>
      </c>
      <c r="Z108" s="111">
        <v>371</v>
      </c>
      <c r="AA108" s="35">
        <v>0</v>
      </c>
      <c r="AB108" s="35">
        <v>11</v>
      </c>
      <c r="AC108" s="35">
        <v>61</v>
      </c>
      <c r="AD108" s="35">
        <v>0</v>
      </c>
      <c r="AE108" s="33">
        <v>0</v>
      </c>
      <c r="AF108" s="116">
        <v>0</v>
      </c>
      <c r="AG108" s="120">
        <v>364</v>
      </c>
      <c r="AH108" s="38">
        <v>75</v>
      </c>
      <c r="AI108" s="37"/>
      <c r="AJ108" s="36"/>
      <c r="AK108" s="37"/>
      <c r="AL108" s="38"/>
      <c r="AM108" s="37"/>
      <c r="AN108" s="116"/>
      <c r="AO108" s="120">
        <v>71</v>
      </c>
      <c r="AP108" s="38">
        <v>370</v>
      </c>
      <c r="AQ108" s="37"/>
      <c r="AR108" s="116"/>
      <c r="AS108" s="120"/>
      <c r="AT108" s="38"/>
      <c r="AU108" s="37"/>
      <c r="AV108" s="120"/>
      <c r="AW108" s="120"/>
      <c r="AX108" s="37"/>
      <c r="AY108" s="38"/>
      <c r="AZ108" s="37"/>
      <c r="BA108" s="116"/>
      <c r="BB108" s="31">
        <v>74</v>
      </c>
      <c r="BC108" s="32">
        <v>359</v>
      </c>
      <c r="BD108" s="31">
        <v>71</v>
      </c>
      <c r="BE108" s="116">
        <v>363</v>
      </c>
      <c r="BF108" s="120">
        <v>359</v>
      </c>
      <c r="BG108" s="38">
        <v>73</v>
      </c>
      <c r="BH108" s="37">
        <v>83</v>
      </c>
      <c r="BI108" s="38">
        <v>349</v>
      </c>
      <c r="BJ108" s="111">
        <v>17</v>
      </c>
      <c r="BK108" s="33">
        <v>62</v>
      </c>
      <c r="BL108" s="115">
        <v>353</v>
      </c>
      <c r="BM108" s="111">
        <v>364</v>
      </c>
      <c r="BN108" s="35">
        <v>59</v>
      </c>
      <c r="BO108" s="32">
        <v>13</v>
      </c>
      <c r="BP108" s="31">
        <v>75</v>
      </c>
      <c r="BQ108" s="32">
        <v>358</v>
      </c>
      <c r="BR108" s="31">
        <v>350</v>
      </c>
      <c r="BS108" s="32">
        <v>86</v>
      </c>
      <c r="BT108" s="31">
        <v>70</v>
      </c>
      <c r="BU108" s="33">
        <v>23</v>
      </c>
      <c r="BV108" s="115">
        <v>342</v>
      </c>
      <c r="BW108" s="111">
        <v>366</v>
      </c>
      <c r="BX108" s="32">
        <v>72</v>
      </c>
      <c r="BY108" s="31">
        <v>356</v>
      </c>
      <c r="BZ108" s="32">
        <v>74</v>
      </c>
      <c r="CA108" s="111">
        <v>77</v>
      </c>
      <c r="CB108" s="32">
        <v>356</v>
      </c>
      <c r="CC108" s="33">
        <v>185</v>
      </c>
      <c r="CD108" s="34">
        <v>386</v>
      </c>
      <c r="CE108" s="120">
        <v>116</v>
      </c>
      <c r="CF108" s="38">
        <v>252</v>
      </c>
      <c r="CG108" s="31">
        <v>103</v>
      </c>
      <c r="CH108" s="35">
        <v>40</v>
      </c>
      <c r="CI108" s="35">
        <v>214</v>
      </c>
      <c r="CJ108" s="35">
        <v>253</v>
      </c>
      <c r="CK108" s="32">
        <v>93</v>
      </c>
    </row>
    <row r="109" spans="1:89" ht="13" x14ac:dyDescent="0.25">
      <c r="A109" s="27">
        <v>1508</v>
      </c>
      <c r="B109" s="28" t="s">
        <v>132</v>
      </c>
      <c r="C109" s="29">
        <v>1204</v>
      </c>
      <c r="D109" s="30">
        <v>953</v>
      </c>
      <c r="E109" s="20">
        <f t="shared" si="1"/>
        <v>0.7915282392026578</v>
      </c>
      <c r="F109" s="31">
        <v>0</v>
      </c>
      <c r="G109" s="111">
        <v>0</v>
      </c>
      <c r="H109" s="111">
        <v>0</v>
      </c>
      <c r="I109" s="111">
        <v>1</v>
      </c>
      <c r="J109" s="111">
        <v>0</v>
      </c>
      <c r="K109" s="111">
        <v>0</v>
      </c>
      <c r="L109" s="111">
        <v>0</v>
      </c>
      <c r="M109" s="111">
        <v>797</v>
      </c>
      <c r="N109" s="111">
        <v>0</v>
      </c>
      <c r="O109" s="111">
        <v>0</v>
      </c>
      <c r="P109" s="35">
        <v>4</v>
      </c>
      <c r="Q109" s="35">
        <v>2</v>
      </c>
      <c r="R109" s="35">
        <v>133</v>
      </c>
      <c r="S109" s="32">
        <v>0</v>
      </c>
      <c r="T109" s="37">
        <v>762</v>
      </c>
      <c r="U109" s="38">
        <v>174</v>
      </c>
      <c r="V109" s="37">
        <v>174</v>
      </c>
      <c r="W109" s="32">
        <v>758</v>
      </c>
      <c r="X109" s="31">
        <v>767</v>
      </c>
      <c r="Y109" s="32">
        <v>159</v>
      </c>
      <c r="Z109" s="111">
        <v>798</v>
      </c>
      <c r="AA109" s="35">
        <v>0</v>
      </c>
      <c r="AB109" s="35">
        <v>12</v>
      </c>
      <c r="AC109" s="35">
        <v>131</v>
      </c>
      <c r="AD109" s="35">
        <v>0</v>
      </c>
      <c r="AE109" s="33">
        <v>0</v>
      </c>
      <c r="AF109" s="116">
        <v>1</v>
      </c>
      <c r="AG109" s="120">
        <v>781</v>
      </c>
      <c r="AH109" s="38">
        <v>146</v>
      </c>
      <c r="AI109" s="37"/>
      <c r="AJ109" s="36"/>
      <c r="AK109" s="37"/>
      <c r="AL109" s="38"/>
      <c r="AM109" s="37"/>
      <c r="AN109" s="116"/>
      <c r="AO109" s="120">
        <v>156</v>
      </c>
      <c r="AP109" s="38">
        <v>769</v>
      </c>
      <c r="AQ109" s="37"/>
      <c r="AR109" s="116"/>
      <c r="AS109" s="120"/>
      <c r="AT109" s="38"/>
      <c r="AU109" s="37"/>
      <c r="AV109" s="120"/>
      <c r="AW109" s="120"/>
      <c r="AX109" s="37"/>
      <c r="AY109" s="38"/>
      <c r="AZ109" s="37"/>
      <c r="BA109" s="116"/>
      <c r="BB109" s="31">
        <v>167</v>
      </c>
      <c r="BC109" s="32">
        <v>754</v>
      </c>
      <c r="BD109" s="31">
        <v>161</v>
      </c>
      <c r="BE109" s="116">
        <v>748</v>
      </c>
      <c r="BF109" s="120">
        <v>755</v>
      </c>
      <c r="BG109" s="38">
        <v>156</v>
      </c>
      <c r="BH109" s="37">
        <v>197</v>
      </c>
      <c r="BI109" s="38">
        <v>719</v>
      </c>
      <c r="BJ109" s="111">
        <v>24</v>
      </c>
      <c r="BK109" s="33">
        <v>162</v>
      </c>
      <c r="BL109" s="115">
        <v>730</v>
      </c>
      <c r="BM109" s="111">
        <v>764</v>
      </c>
      <c r="BN109" s="35">
        <v>147</v>
      </c>
      <c r="BO109" s="32">
        <v>14</v>
      </c>
      <c r="BP109" s="31">
        <v>169</v>
      </c>
      <c r="BQ109" s="32">
        <v>741</v>
      </c>
      <c r="BR109" s="31">
        <v>713</v>
      </c>
      <c r="BS109" s="32">
        <v>206</v>
      </c>
      <c r="BT109" s="31">
        <v>150</v>
      </c>
      <c r="BU109" s="33">
        <v>25</v>
      </c>
      <c r="BV109" s="115">
        <v>738</v>
      </c>
      <c r="BW109" s="111">
        <v>763</v>
      </c>
      <c r="BX109" s="32">
        <v>163</v>
      </c>
      <c r="BY109" s="31">
        <v>737</v>
      </c>
      <c r="BZ109" s="32">
        <v>165</v>
      </c>
      <c r="CA109" s="111">
        <v>161</v>
      </c>
      <c r="CB109" s="32">
        <v>742</v>
      </c>
      <c r="CC109" s="33">
        <v>397</v>
      </c>
      <c r="CD109" s="34">
        <v>799</v>
      </c>
      <c r="CE109" s="120">
        <v>220</v>
      </c>
      <c r="CF109" s="38">
        <v>561</v>
      </c>
      <c r="CG109" s="31">
        <v>174</v>
      </c>
      <c r="CH109" s="35">
        <v>79</v>
      </c>
      <c r="CI109" s="35">
        <v>539</v>
      </c>
      <c r="CJ109" s="35">
        <v>593</v>
      </c>
      <c r="CK109" s="32">
        <v>167</v>
      </c>
    </row>
    <row r="110" spans="1:89" ht="13" x14ac:dyDescent="0.25">
      <c r="A110" s="27">
        <v>1509</v>
      </c>
      <c r="B110" s="28" t="s">
        <v>133</v>
      </c>
      <c r="C110" s="29">
        <v>1034</v>
      </c>
      <c r="D110" s="30">
        <v>606</v>
      </c>
      <c r="E110" s="20">
        <f t="shared" si="1"/>
        <v>0.58607350096711797</v>
      </c>
      <c r="F110" s="31">
        <v>0</v>
      </c>
      <c r="G110" s="111">
        <v>0</v>
      </c>
      <c r="H110" s="111">
        <v>0</v>
      </c>
      <c r="I110" s="111">
        <v>0</v>
      </c>
      <c r="J110" s="111">
        <v>0</v>
      </c>
      <c r="K110" s="111">
        <v>0</v>
      </c>
      <c r="L110" s="111">
        <v>0</v>
      </c>
      <c r="M110" s="111">
        <v>514</v>
      </c>
      <c r="N110" s="111">
        <v>0</v>
      </c>
      <c r="O110" s="111">
        <v>0</v>
      </c>
      <c r="P110" s="35">
        <v>2</v>
      </c>
      <c r="Q110" s="35">
        <v>0</v>
      </c>
      <c r="R110" s="35">
        <v>73</v>
      </c>
      <c r="S110" s="32">
        <v>1</v>
      </c>
      <c r="T110" s="37">
        <v>512</v>
      </c>
      <c r="U110" s="38">
        <v>83</v>
      </c>
      <c r="V110" s="37">
        <v>93</v>
      </c>
      <c r="W110" s="32">
        <v>499</v>
      </c>
      <c r="X110" s="31">
        <v>511</v>
      </c>
      <c r="Y110" s="32">
        <v>77</v>
      </c>
      <c r="Z110" s="111">
        <v>512</v>
      </c>
      <c r="AA110" s="35">
        <v>0</v>
      </c>
      <c r="AB110" s="35">
        <v>11</v>
      </c>
      <c r="AC110" s="35">
        <v>73</v>
      </c>
      <c r="AD110" s="35">
        <v>0</v>
      </c>
      <c r="AE110" s="33">
        <v>0</v>
      </c>
      <c r="AF110" s="116">
        <v>0</v>
      </c>
      <c r="AG110" s="120">
        <v>511</v>
      </c>
      <c r="AH110" s="38">
        <v>80</v>
      </c>
      <c r="AI110" s="37"/>
      <c r="AJ110" s="36"/>
      <c r="AK110" s="37"/>
      <c r="AL110" s="38"/>
      <c r="AM110" s="37"/>
      <c r="AN110" s="116"/>
      <c r="AO110" s="120">
        <v>76</v>
      </c>
      <c r="AP110" s="38">
        <v>511</v>
      </c>
      <c r="AQ110" s="37"/>
      <c r="AR110" s="116"/>
      <c r="AS110" s="120"/>
      <c r="AT110" s="38"/>
      <c r="AU110" s="37"/>
      <c r="AV110" s="120"/>
      <c r="AW110" s="120"/>
      <c r="AX110" s="37"/>
      <c r="AY110" s="38"/>
      <c r="AZ110" s="37"/>
      <c r="BA110" s="116"/>
      <c r="BB110" s="31">
        <v>81</v>
      </c>
      <c r="BC110" s="32">
        <v>497</v>
      </c>
      <c r="BD110" s="31">
        <v>76</v>
      </c>
      <c r="BE110" s="116">
        <v>500</v>
      </c>
      <c r="BF110" s="120">
        <v>497</v>
      </c>
      <c r="BG110" s="38">
        <v>79</v>
      </c>
      <c r="BH110" s="37">
        <v>94</v>
      </c>
      <c r="BI110" s="38">
        <v>481</v>
      </c>
      <c r="BJ110" s="111">
        <v>21</v>
      </c>
      <c r="BK110" s="33">
        <v>68</v>
      </c>
      <c r="BL110" s="115">
        <v>493</v>
      </c>
      <c r="BM110" s="111">
        <v>501</v>
      </c>
      <c r="BN110" s="35">
        <v>66</v>
      </c>
      <c r="BO110" s="32">
        <v>15</v>
      </c>
      <c r="BP110" s="31">
        <v>95</v>
      </c>
      <c r="BQ110" s="32">
        <v>484</v>
      </c>
      <c r="BR110" s="31">
        <v>475</v>
      </c>
      <c r="BS110" s="32">
        <v>105</v>
      </c>
      <c r="BT110" s="31">
        <v>75</v>
      </c>
      <c r="BU110" s="33">
        <v>20</v>
      </c>
      <c r="BV110" s="115">
        <v>484</v>
      </c>
      <c r="BW110" s="111">
        <v>496</v>
      </c>
      <c r="BX110" s="32">
        <v>86</v>
      </c>
      <c r="BY110" s="31">
        <v>493</v>
      </c>
      <c r="BZ110" s="32">
        <v>73</v>
      </c>
      <c r="CA110" s="111">
        <v>81</v>
      </c>
      <c r="CB110" s="32">
        <v>488</v>
      </c>
      <c r="CC110" s="33">
        <v>230</v>
      </c>
      <c r="CD110" s="34">
        <v>503</v>
      </c>
      <c r="CE110" s="120">
        <v>163</v>
      </c>
      <c r="CF110" s="38">
        <v>334</v>
      </c>
      <c r="CG110" s="31">
        <v>123</v>
      </c>
      <c r="CH110" s="35">
        <v>41</v>
      </c>
      <c r="CI110" s="35">
        <v>324</v>
      </c>
      <c r="CJ110" s="35">
        <v>355</v>
      </c>
      <c r="CK110" s="32">
        <v>96</v>
      </c>
    </row>
    <row r="111" spans="1:89" ht="13" x14ac:dyDescent="0.25">
      <c r="A111" s="27">
        <v>1510</v>
      </c>
      <c r="B111" s="28" t="s">
        <v>134</v>
      </c>
      <c r="C111" s="29">
        <v>815</v>
      </c>
      <c r="D111" s="30">
        <v>369</v>
      </c>
      <c r="E111" s="20">
        <f t="shared" si="1"/>
        <v>0.45276073619631901</v>
      </c>
      <c r="F111" s="31">
        <v>0</v>
      </c>
      <c r="G111" s="111">
        <v>0</v>
      </c>
      <c r="H111" s="111">
        <v>0</v>
      </c>
      <c r="I111" s="111">
        <v>0</v>
      </c>
      <c r="J111" s="111">
        <v>2</v>
      </c>
      <c r="K111" s="111">
        <v>0</v>
      </c>
      <c r="L111" s="111">
        <v>0</v>
      </c>
      <c r="M111" s="111">
        <v>329</v>
      </c>
      <c r="N111" s="111">
        <v>0</v>
      </c>
      <c r="O111" s="111">
        <v>0</v>
      </c>
      <c r="P111" s="35">
        <v>1</v>
      </c>
      <c r="Q111" s="35">
        <v>0</v>
      </c>
      <c r="R111" s="35">
        <v>33</v>
      </c>
      <c r="S111" s="32">
        <v>0</v>
      </c>
      <c r="T111" s="37">
        <v>325</v>
      </c>
      <c r="U111" s="38">
        <v>27</v>
      </c>
      <c r="V111" s="37">
        <v>33</v>
      </c>
      <c r="W111" s="32">
        <v>320</v>
      </c>
      <c r="X111" s="31">
        <v>328</v>
      </c>
      <c r="Y111" s="32">
        <v>22</v>
      </c>
      <c r="Z111" s="111">
        <v>320</v>
      </c>
      <c r="AA111" s="35">
        <v>0</v>
      </c>
      <c r="AB111" s="35">
        <v>14</v>
      </c>
      <c r="AC111" s="35">
        <v>21</v>
      </c>
      <c r="AD111" s="35">
        <v>0</v>
      </c>
      <c r="AE111" s="33">
        <v>0</v>
      </c>
      <c r="AF111" s="116">
        <v>0</v>
      </c>
      <c r="AG111" s="120">
        <v>326</v>
      </c>
      <c r="AH111" s="38">
        <v>25</v>
      </c>
      <c r="AI111" s="37"/>
      <c r="AJ111" s="36"/>
      <c r="AK111" s="37"/>
      <c r="AL111" s="38"/>
      <c r="AM111" s="37"/>
      <c r="AN111" s="116"/>
      <c r="AO111" s="120">
        <v>20</v>
      </c>
      <c r="AP111" s="38">
        <v>333</v>
      </c>
      <c r="AQ111" s="37"/>
      <c r="AR111" s="116"/>
      <c r="AS111" s="120"/>
      <c r="AT111" s="38"/>
      <c r="AU111" s="37"/>
      <c r="AV111" s="120"/>
      <c r="AW111" s="120"/>
      <c r="AX111" s="37"/>
      <c r="AY111" s="38"/>
      <c r="AZ111" s="37"/>
      <c r="BA111" s="116"/>
      <c r="BB111" s="31">
        <v>27</v>
      </c>
      <c r="BC111" s="32">
        <v>319</v>
      </c>
      <c r="BD111" s="31">
        <v>26</v>
      </c>
      <c r="BE111" s="116">
        <v>319</v>
      </c>
      <c r="BF111" s="120">
        <v>317</v>
      </c>
      <c r="BG111" s="38">
        <v>23</v>
      </c>
      <c r="BH111" s="37">
        <v>24</v>
      </c>
      <c r="BI111" s="38">
        <v>315</v>
      </c>
      <c r="BJ111" s="111">
        <v>10</v>
      </c>
      <c r="BK111" s="33">
        <v>16</v>
      </c>
      <c r="BL111" s="115">
        <v>328</v>
      </c>
      <c r="BM111" s="111">
        <v>313</v>
      </c>
      <c r="BN111" s="35">
        <v>19</v>
      </c>
      <c r="BO111" s="32">
        <v>10</v>
      </c>
      <c r="BP111" s="31">
        <v>25</v>
      </c>
      <c r="BQ111" s="32">
        <v>315</v>
      </c>
      <c r="BR111" s="31">
        <v>299</v>
      </c>
      <c r="BS111" s="32">
        <v>45</v>
      </c>
      <c r="BT111" s="31">
        <v>26</v>
      </c>
      <c r="BU111" s="33">
        <v>10</v>
      </c>
      <c r="BV111" s="115">
        <v>312</v>
      </c>
      <c r="BW111" s="111">
        <v>321</v>
      </c>
      <c r="BX111" s="32">
        <v>26</v>
      </c>
      <c r="BY111" s="31">
        <v>318</v>
      </c>
      <c r="BZ111" s="32">
        <v>23</v>
      </c>
      <c r="CA111" s="111">
        <v>24</v>
      </c>
      <c r="CB111" s="32">
        <v>321</v>
      </c>
      <c r="CC111" s="33">
        <v>108</v>
      </c>
      <c r="CD111" s="34">
        <v>330</v>
      </c>
      <c r="CE111" s="120">
        <v>134</v>
      </c>
      <c r="CF111" s="38">
        <v>153</v>
      </c>
      <c r="CG111" s="31">
        <v>79</v>
      </c>
      <c r="CH111" s="35">
        <v>22</v>
      </c>
      <c r="CI111" s="35">
        <v>166</v>
      </c>
      <c r="CJ111" s="35">
        <v>167</v>
      </c>
      <c r="CK111" s="32">
        <v>64</v>
      </c>
    </row>
    <row r="112" spans="1:89" ht="13" x14ac:dyDescent="0.25">
      <c r="A112" s="27">
        <v>1601</v>
      </c>
      <c r="B112" s="28" t="s">
        <v>135</v>
      </c>
      <c r="C112" s="29">
        <v>1389</v>
      </c>
      <c r="D112" s="30">
        <v>489</v>
      </c>
      <c r="E112" s="20">
        <f t="shared" si="1"/>
        <v>0.35205183585313177</v>
      </c>
      <c r="F112" s="31">
        <v>0</v>
      </c>
      <c r="G112" s="111">
        <v>0</v>
      </c>
      <c r="H112" s="111">
        <v>0</v>
      </c>
      <c r="I112" s="111">
        <v>1</v>
      </c>
      <c r="J112" s="111">
        <v>2</v>
      </c>
      <c r="K112" s="111">
        <v>0</v>
      </c>
      <c r="L112" s="111">
        <v>0</v>
      </c>
      <c r="M112" s="111">
        <v>399</v>
      </c>
      <c r="N112" s="111">
        <v>0</v>
      </c>
      <c r="O112" s="111">
        <v>0</v>
      </c>
      <c r="P112" s="35">
        <v>2</v>
      </c>
      <c r="Q112" s="35">
        <v>0</v>
      </c>
      <c r="R112" s="35">
        <v>74</v>
      </c>
      <c r="S112" s="32">
        <v>0</v>
      </c>
      <c r="T112" s="37">
        <v>386</v>
      </c>
      <c r="U112" s="38">
        <v>82</v>
      </c>
      <c r="V112" s="37">
        <v>89</v>
      </c>
      <c r="W112" s="32">
        <v>378</v>
      </c>
      <c r="X112" s="31">
        <v>387</v>
      </c>
      <c r="Y112" s="32">
        <v>77</v>
      </c>
      <c r="Z112" s="111">
        <v>392</v>
      </c>
      <c r="AA112" s="35">
        <v>0</v>
      </c>
      <c r="AB112" s="35">
        <v>20</v>
      </c>
      <c r="AC112" s="35">
        <v>57</v>
      </c>
      <c r="AD112" s="35">
        <v>0</v>
      </c>
      <c r="AE112" s="33">
        <v>0</v>
      </c>
      <c r="AF112" s="116">
        <v>0</v>
      </c>
      <c r="AG112" s="120">
        <v>383</v>
      </c>
      <c r="AH112" s="38">
        <v>77</v>
      </c>
      <c r="AI112" s="37"/>
      <c r="AJ112" s="36"/>
      <c r="AK112" s="37"/>
      <c r="AL112" s="38"/>
      <c r="AM112" s="37">
        <v>378</v>
      </c>
      <c r="AN112" s="116">
        <v>82</v>
      </c>
      <c r="AO112" s="120"/>
      <c r="AP112" s="38"/>
      <c r="AQ112" s="37"/>
      <c r="AR112" s="116"/>
      <c r="AS112" s="120"/>
      <c r="AT112" s="38"/>
      <c r="AU112" s="37"/>
      <c r="AV112" s="120"/>
      <c r="AW112" s="120"/>
      <c r="AX112" s="37"/>
      <c r="AY112" s="38"/>
      <c r="AZ112" s="37"/>
      <c r="BA112" s="116"/>
      <c r="BB112" s="31">
        <v>89</v>
      </c>
      <c r="BC112" s="32">
        <v>369</v>
      </c>
      <c r="BD112" s="31">
        <v>78</v>
      </c>
      <c r="BE112" s="116">
        <v>376</v>
      </c>
      <c r="BF112" s="120">
        <v>364</v>
      </c>
      <c r="BG112" s="38">
        <v>88</v>
      </c>
      <c r="BH112" s="37">
        <v>95</v>
      </c>
      <c r="BI112" s="38">
        <v>359</v>
      </c>
      <c r="BJ112" s="111">
        <v>13</v>
      </c>
      <c r="BK112" s="33">
        <v>69</v>
      </c>
      <c r="BL112" s="115">
        <v>376</v>
      </c>
      <c r="BM112" s="111">
        <v>375</v>
      </c>
      <c r="BN112" s="35">
        <v>71</v>
      </c>
      <c r="BO112" s="32">
        <v>11</v>
      </c>
      <c r="BP112" s="31">
        <v>82</v>
      </c>
      <c r="BQ112" s="32">
        <v>371</v>
      </c>
      <c r="BR112" s="31">
        <v>343</v>
      </c>
      <c r="BS112" s="32">
        <v>117</v>
      </c>
      <c r="BT112" s="31">
        <v>79</v>
      </c>
      <c r="BU112" s="33">
        <v>18</v>
      </c>
      <c r="BV112" s="115">
        <v>353</v>
      </c>
      <c r="BW112" s="111">
        <v>380</v>
      </c>
      <c r="BX112" s="32">
        <v>84</v>
      </c>
      <c r="BY112" s="31">
        <v>372</v>
      </c>
      <c r="BZ112" s="32">
        <v>80</v>
      </c>
      <c r="CA112" s="111">
        <v>83</v>
      </c>
      <c r="CB112" s="32">
        <v>367</v>
      </c>
      <c r="CC112" s="33">
        <v>194</v>
      </c>
      <c r="CD112" s="34">
        <v>414</v>
      </c>
      <c r="CE112" s="120">
        <v>153</v>
      </c>
      <c r="CF112" s="38">
        <v>219</v>
      </c>
      <c r="CG112" s="31">
        <v>115</v>
      </c>
      <c r="CH112" s="35">
        <v>42</v>
      </c>
      <c r="CI112" s="35">
        <v>174</v>
      </c>
      <c r="CJ112" s="35">
        <v>214</v>
      </c>
      <c r="CK112" s="32">
        <v>124</v>
      </c>
    </row>
    <row r="113" spans="1:89" ht="13" x14ac:dyDescent="0.25">
      <c r="A113" s="27">
        <v>1701</v>
      </c>
      <c r="B113" s="28" t="s">
        <v>136</v>
      </c>
      <c r="C113" s="29">
        <v>1562</v>
      </c>
      <c r="D113" s="30">
        <v>697</v>
      </c>
      <c r="E113" s="20">
        <f t="shared" si="1"/>
        <v>0.44622279129321385</v>
      </c>
      <c r="F113" s="31">
        <v>0</v>
      </c>
      <c r="G113" s="111">
        <v>0</v>
      </c>
      <c r="H113" s="111">
        <v>0</v>
      </c>
      <c r="I113" s="111">
        <v>0</v>
      </c>
      <c r="J113" s="111">
        <v>3</v>
      </c>
      <c r="K113" s="111">
        <v>0</v>
      </c>
      <c r="L113" s="111">
        <v>0</v>
      </c>
      <c r="M113" s="111">
        <v>623</v>
      </c>
      <c r="N113" s="111">
        <v>0</v>
      </c>
      <c r="O113" s="111">
        <v>0</v>
      </c>
      <c r="P113" s="35">
        <v>2</v>
      </c>
      <c r="Q113" s="35">
        <v>0</v>
      </c>
      <c r="R113" s="35">
        <v>44</v>
      </c>
      <c r="S113" s="32">
        <v>0</v>
      </c>
      <c r="T113" s="37">
        <v>600</v>
      </c>
      <c r="U113" s="38">
        <v>50</v>
      </c>
      <c r="V113" s="37">
        <v>52</v>
      </c>
      <c r="W113" s="32">
        <v>607</v>
      </c>
      <c r="X113" s="31">
        <v>607</v>
      </c>
      <c r="Y113" s="32">
        <v>46</v>
      </c>
      <c r="Z113" s="111">
        <v>590</v>
      </c>
      <c r="AA113" s="35">
        <v>0</v>
      </c>
      <c r="AB113" s="35">
        <v>30</v>
      </c>
      <c r="AC113" s="35">
        <v>46</v>
      </c>
      <c r="AD113" s="35">
        <v>0</v>
      </c>
      <c r="AE113" s="33">
        <v>0</v>
      </c>
      <c r="AF113" s="116">
        <v>0</v>
      </c>
      <c r="AG113" s="120">
        <v>606</v>
      </c>
      <c r="AH113" s="38">
        <v>49</v>
      </c>
      <c r="AI113" s="37"/>
      <c r="AJ113" s="36"/>
      <c r="AK113" s="37"/>
      <c r="AL113" s="38"/>
      <c r="AM113" s="37">
        <v>602</v>
      </c>
      <c r="AN113" s="116">
        <v>44</v>
      </c>
      <c r="AO113" s="120"/>
      <c r="AP113" s="38"/>
      <c r="AQ113" s="37"/>
      <c r="AR113" s="116"/>
      <c r="AS113" s="120"/>
      <c r="AT113" s="38"/>
      <c r="AU113" s="37"/>
      <c r="AV113" s="120"/>
      <c r="AW113" s="120"/>
      <c r="AX113" s="37"/>
      <c r="AY113" s="38"/>
      <c r="AZ113" s="37"/>
      <c r="BA113" s="116"/>
      <c r="BB113" s="31">
        <v>49</v>
      </c>
      <c r="BC113" s="32">
        <v>587</v>
      </c>
      <c r="BD113" s="31">
        <v>47</v>
      </c>
      <c r="BE113" s="116">
        <v>587</v>
      </c>
      <c r="BF113" s="120">
        <v>583</v>
      </c>
      <c r="BG113" s="38">
        <v>50</v>
      </c>
      <c r="BH113" s="37">
        <v>47</v>
      </c>
      <c r="BI113" s="38">
        <v>578</v>
      </c>
      <c r="BJ113" s="111">
        <v>16</v>
      </c>
      <c r="BK113" s="33">
        <v>25</v>
      </c>
      <c r="BL113" s="115">
        <v>614</v>
      </c>
      <c r="BM113" s="111">
        <v>589</v>
      </c>
      <c r="BN113" s="35">
        <v>35</v>
      </c>
      <c r="BO113" s="32">
        <v>18</v>
      </c>
      <c r="BP113" s="31">
        <v>49</v>
      </c>
      <c r="BQ113" s="32">
        <v>587</v>
      </c>
      <c r="BR113" s="31">
        <v>574</v>
      </c>
      <c r="BS113" s="32">
        <v>71</v>
      </c>
      <c r="BT113" s="31">
        <v>47</v>
      </c>
      <c r="BU113" s="33">
        <v>23</v>
      </c>
      <c r="BV113" s="115">
        <v>575</v>
      </c>
      <c r="BW113" s="111">
        <v>605</v>
      </c>
      <c r="BX113" s="32">
        <v>46</v>
      </c>
      <c r="BY113" s="31">
        <v>593</v>
      </c>
      <c r="BZ113" s="32">
        <v>43</v>
      </c>
      <c r="CA113" s="111">
        <v>42</v>
      </c>
      <c r="CB113" s="32">
        <v>601</v>
      </c>
      <c r="CC113" s="33">
        <v>173</v>
      </c>
      <c r="CD113" s="34">
        <v>611</v>
      </c>
      <c r="CE113" s="120">
        <v>233</v>
      </c>
      <c r="CF113" s="38">
        <v>301</v>
      </c>
      <c r="CG113" s="31">
        <v>153</v>
      </c>
      <c r="CH113" s="35">
        <v>39</v>
      </c>
      <c r="CI113" s="35">
        <v>294</v>
      </c>
      <c r="CJ113" s="35">
        <v>301</v>
      </c>
      <c r="CK113" s="32">
        <v>143</v>
      </c>
    </row>
    <row r="114" spans="1:89" ht="13" x14ac:dyDescent="0.25">
      <c r="A114" s="27">
        <v>1702</v>
      </c>
      <c r="B114" s="28" t="s">
        <v>137</v>
      </c>
      <c r="C114" s="29">
        <v>1605</v>
      </c>
      <c r="D114" s="30">
        <v>755</v>
      </c>
      <c r="E114" s="20">
        <f t="shared" si="1"/>
        <v>0.47040498442367601</v>
      </c>
      <c r="F114" s="31">
        <v>0</v>
      </c>
      <c r="G114" s="111">
        <v>0</v>
      </c>
      <c r="H114" s="111">
        <v>0</v>
      </c>
      <c r="I114" s="111">
        <v>0</v>
      </c>
      <c r="J114" s="111">
        <v>1</v>
      </c>
      <c r="K114" s="111">
        <v>0</v>
      </c>
      <c r="L114" s="111">
        <v>0</v>
      </c>
      <c r="M114" s="111">
        <v>632</v>
      </c>
      <c r="N114" s="111">
        <v>0</v>
      </c>
      <c r="O114" s="111">
        <v>0</v>
      </c>
      <c r="P114" s="35">
        <v>5</v>
      </c>
      <c r="Q114" s="35">
        <v>1</v>
      </c>
      <c r="R114" s="35">
        <v>101</v>
      </c>
      <c r="S114" s="32">
        <v>1</v>
      </c>
      <c r="T114" s="37">
        <v>615</v>
      </c>
      <c r="U114" s="38">
        <v>113</v>
      </c>
      <c r="V114" s="37">
        <v>126</v>
      </c>
      <c r="W114" s="32">
        <v>601</v>
      </c>
      <c r="X114" s="31">
        <v>607</v>
      </c>
      <c r="Y114" s="32">
        <v>107</v>
      </c>
      <c r="Z114" s="111">
        <v>623</v>
      </c>
      <c r="AA114" s="35">
        <v>0</v>
      </c>
      <c r="AB114" s="35">
        <v>20</v>
      </c>
      <c r="AC114" s="35">
        <v>88</v>
      </c>
      <c r="AD114" s="35">
        <v>0</v>
      </c>
      <c r="AE114" s="33">
        <v>0</v>
      </c>
      <c r="AF114" s="116">
        <v>0</v>
      </c>
      <c r="AG114" s="120">
        <v>626</v>
      </c>
      <c r="AH114" s="38">
        <v>97</v>
      </c>
      <c r="AI114" s="37"/>
      <c r="AJ114" s="36"/>
      <c r="AK114" s="37"/>
      <c r="AL114" s="38"/>
      <c r="AM114" s="37">
        <v>614</v>
      </c>
      <c r="AN114" s="116">
        <v>96</v>
      </c>
      <c r="AO114" s="120"/>
      <c r="AP114" s="38"/>
      <c r="AQ114" s="37"/>
      <c r="AR114" s="116"/>
      <c r="AS114" s="120"/>
      <c r="AT114" s="38"/>
      <c r="AU114" s="37"/>
      <c r="AV114" s="120"/>
      <c r="AW114" s="120"/>
      <c r="AX114" s="37"/>
      <c r="AY114" s="38"/>
      <c r="AZ114" s="37"/>
      <c r="BA114" s="116"/>
      <c r="BB114" s="31">
        <v>113</v>
      </c>
      <c r="BC114" s="32">
        <v>590</v>
      </c>
      <c r="BD114" s="31">
        <v>96</v>
      </c>
      <c r="BE114" s="116">
        <v>604</v>
      </c>
      <c r="BF114" s="120">
        <v>586</v>
      </c>
      <c r="BG114" s="38">
        <v>108</v>
      </c>
      <c r="BH114" s="37">
        <v>121</v>
      </c>
      <c r="BI114" s="38">
        <v>568</v>
      </c>
      <c r="BJ114" s="111">
        <v>37</v>
      </c>
      <c r="BK114" s="33">
        <v>102</v>
      </c>
      <c r="BL114" s="115">
        <v>567</v>
      </c>
      <c r="BM114" s="111">
        <v>592</v>
      </c>
      <c r="BN114" s="35">
        <v>91</v>
      </c>
      <c r="BO114" s="32">
        <v>22</v>
      </c>
      <c r="BP114" s="31">
        <v>103</v>
      </c>
      <c r="BQ114" s="32">
        <v>588</v>
      </c>
      <c r="BR114" s="31">
        <v>563</v>
      </c>
      <c r="BS114" s="32">
        <v>139</v>
      </c>
      <c r="BT114" s="31">
        <v>97</v>
      </c>
      <c r="BU114" s="33">
        <v>27</v>
      </c>
      <c r="BV114" s="115">
        <v>572</v>
      </c>
      <c r="BW114" s="111">
        <v>604</v>
      </c>
      <c r="BX114" s="32">
        <v>111</v>
      </c>
      <c r="BY114" s="31">
        <v>588</v>
      </c>
      <c r="BZ114" s="32">
        <v>101</v>
      </c>
      <c r="CA114" s="111">
        <v>110</v>
      </c>
      <c r="CB114" s="32">
        <v>587</v>
      </c>
      <c r="CC114" s="33">
        <v>301</v>
      </c>
      <c r="CD114" s="34">
        <v>622</v>
      </c>
      <c r="CE114" s="120">
        <v>213</v>
      </c>
      <c r="CF114" s="38">
        <v>373</v>
      </c>
      <c r="CG114" s="31">
        <v>146</v>
      </c>
      <c r="CH114" s="35">
        <v>58</v>
      </c>
      <c r="CI114" s="35">
        <v>371</v>
      </c>
      <c r="CJ114" s="35">
        <v>403</v>
      </c>
      <c r="CK114" s="32">
        <v>101</v>
      </c>
    </row>
    <row r="115" spans="1:89" ht="13" x14ac:dyDescent="0.25">
      <c r="A115" s="27">
        <v>1703</v>
      </c>
      <c r="B115" s="28" t="s">
        <v>138</v>
      </c>
      <c r="C115" s="29">
        <v>1155</v>
      </c>
      <c r="D115" s="30">
        <v>534</v>
      </c>
      <c r="E115" s="20">
        <f t="shared" si="1"/>
        <v>0.46233766233766233</v>
      </c>
      <c r="F115" s="31">
        <v>0</v>
      </c>
      <c r="G115" s="111">
        <v>0</v>
      </c>
      <c r="H115" s="111">
        <v>0</v>
      </c>
      <c r="I115" s="111">
        <v>0</v>
      </c>
      <c r="J115" s="111">
        <v>1</v>
      </c>
      <c r="K115" s="111">
        <v>0</v>
      </c>
      <c r="L115" s="111">
        <v>0</v>
      </c>
      <c r="M115" s="111">
        <v>472</v>
      </c>
      <c r="N115" s="111">
        <v>0</v>
      </c>
      <c r="O115" s="111">
        <v>0</v>
      </c>
      <c r="P115" s="35">
        <v>5</v>
      </c>
      <c r="Q115" s="35">
        <v>0</v>
      </c>
      <c r="R115" s="35">
        <v>49</v>
      </c>
      <c r="S115" s="32">
        <v>0</v>
      </c>
      <c r="T115" s="37">
        <v>459</v>
      </c>
      <c r="U115" s="38">
        <v>59</v>
      </c>
      <c r="V115" s="37">
        <v>67</v>
      </c>
      <c r="W115" s="32">
        <v>451</v>
      </c>
      <c r="X115" s="31">
        <v>453</v>
      </c>
      <c r="Y115" s="32">
        <v>53</v>
      </c>
      <c r="Z115" s="111">
        <v>461</v>
      </c>
      <c r="AA115" s="35">
        <v>0</v>
      </c>
      <c r="AB115" s="35">
        <v>22</v>
      </c>
      <c r="AC115" s="35">
        <v>38</v>
      </c>
      <c r="AD115" s="35">
        <v>0</v>
      </c>
      <c r="AE115" s="33">
        <v>0</v>
      </c>
      <c r="AF115" s="116">
        <v>0</v>
      </c>
      <c r="AG115" s="120">
        <v>454</v>
      </c>
      <c r="AH115" s="38">
        <v>60</v>
      </c>
      <c r="AI115" s="37"/>
      <c r="AJ115" s="36"/>
      <c r="AK115" s="37"/>
      <c r="AL115" s="38"/>
      <c r="AM115" s="37">
        <v>463</v>
      </c>
      <c r="AN115" s="116">
        <v>51</v>
      </c>
      <c r="AO115" s="120"/>
      <c r="AP115" s="38"/>
      <c r="AQ115" s="37"/>
      <c r="AR115" s="116"/>
      <c r="AS115" s="120"/>
      <c r="AT115" s="38"/>
      <c r="AU115" s="37"/>
      <c r="AV115" s="120"/>
      <c r="AW115" s="120"/>
      <c r="AX115" s="37"/>
      <c r="AY115" s="38"/>
      <c r="AZ115" s="37"/>
      <c r="BA115" s="116"/>
      <c r="BB115" s="31">
        <v>57</v>
      </c>
      <c r="BC115" s="32">
        <v>449</v>
      </c>
      <c r="BD115" s="31">
        <v>46</v>
      </c>
      <c r="BE115" s="116">
        <v>457</v>
      </c>
      <c r="BF115" s="120">
        <v>446</v>
      </c>
      <c r="BG115" s="38">
        <v>61</v>
      </c>
      <c r="BH115" s="37">
        <v>56</v>
      </c>
      <c r="BI115" s="38">
        <v>445</v>
      </c>
      <c r="BJ115" s="111">
        <v>20</v>
      </c>
      <c r="BK115" s="33">
        <v>39</v>
      </c>
      <c r="BL115" s="115">
        <v>456</v>
      </c>
      <c r="BM115" s="111">
        <v>441</v>
      </c>
      <c r="BN115" s="35">
        <v>48</v>
      </c>
      <c r="BO115" s="32">
        <v>23</v>
      </c>
      <c r="BP115" s="31">
        <v>57</v>
      </c>
      <c r="BQ115" s="32">
        <v>451</v>
      </c>
      <c r="BR115" s="31">
        <v>424</v>
      </c>
      <c r="BS115" s="32">
        <v>87</v>
      </c>
      <c r="BT115" s="31">
        <v>45</v>
      </c>
      <c r="BU115" s="33">
        <v>23</v>
      </c>
      <c r="BV115" s="115">
        <v>443</v>
      </c>
      <c r="BW115" s="111">
        <v>460</v>
      </c>
      <c r="BX115" s="32">
        <v>55</v>
      </c>
      <c r="BY115" s="31">
        <v>457</v>
      </c>
      <c r="BZ115" s="32">
        <v>49</v>
      </c>
      <c r="CA115" s="111">
        <v>62</v>
      </c>
      <c r="CB115" s="32">
        <v>446</v>
      </c>
      <c r="CC115" s="33">
        <v>201</v>
      </c>
      <c r="CD115" s="34">
        <v>464</v>
      </c>
      <c r="CE115" s="120">
        <v>177</v>
      </c>
      <c r="CF115" s="38">
        <v>250</v>
      </c>
      <c r="CG115" s="31">
        <v>110</v>
      </c>
      <c r="CH115" s="35">
        <v>25</v>
      </c>
      <c r="CI115" s="35">
        <v>259</v>
      </c>
      <c r="CJ115" s="35">
        <v>266</v>
      </c>
      <c r="CK115" s="32">
        <v>100</v>
      </c>
    </row>
    <row r="116" spans="1:89" ht="13" x14ac:dyDescent="0.25">
      <c r="A116" s="27">
        <v>1801</v>
      </c>
      <c r="B116" s="28" t="s">
        <v>139</v>
      </c>
      <c r="C116" s="29">
        <v>1034</v>
      </c>
      <c r="D116" s="30">
        <v>424</v>
      </c>
      <c r="E116" s="20">
        <f t="shared" si="1"/>
        <v>0.41005802707930367</v>
      </c>
      <c r="F116" s="31">
        <v>0</v>
      </c>
      <c r="G116" s="111">
        <v>0</v>
      </c>
      <c r="H116" s="111">
        <v>0</v>
      </c>
      <c r="I116" s="111">
        <v>2</v>
      </c>
      <c r="J116" s="111">
        <v>2</v>
      </c>
      <c r="K116" s="111">
        <v>0</v>
      </c>
      <c r="L116" s="111">
        <v>0</v>
      </c>
      <c r="M116" s="111">
        <v>375</v>
      </c>
      <c r="N116" s="111">
        <v>0</v>
      </c>
      <c r="O116" s="111">
        <v>0</v>
      </c>
      <c r="P116" s="35">
        <v>0</v>
      </c>
      <c r="Q116" s="35">
        <v>0</v>
      </c>
      <c r="R116" s="35">
        <v>40</v>
      </c>
      <c r="S116" s="32">
        <v>0</v>
      </c>
      <c r="T116" s="37">
        <v>367</v>
      </c>
      <c r="U116" s="38">
        <v>44</v>
      </c>
      <c r="V116" s="37">
        <v>51</v>
      </c>
      <c r="W116" s="32">
        <v>356</v>
      </c>
      <c r="X116" s="31">
        <v>366</v>
      </c>
      <c r="Y116" s="32">
        <v>35</v>
      </c>
      <c r="Z116" s="111">
        <v>362</v>
      </c>
      <c r="AA116" s="35">
        <v>0</v>
      </c>
      <c r="AB116" s="35">
        <v>16</v>
      </c>
      <c r="AC116" s="35">
        <v>35</v>
      </c>
      <c r="AD116" s="35">
        <v>0</v>
      </c>
      <c r="AE116" s="33">
        <v>0</v>
      </c>
      <c r="AF116" s="116">
        <v>0</v>
      </c>
      <c r="AG116" s="120">
        <v>370</v>
      </c>
      <c r="AH116" s="38">
        <v>35</v>
      </c>
      <c r="AI116" s="37"/>
      <c r="AJ116" s="36"/>
      <c r="AK116" s="37"/>
      <c r="AL116" s="38"/>
      <c r="AM116" s="37">
        <v>369</v>
      </c>
      <c r="AN116" s="116">
        <v>38</v>
      </c>
      <c r="AO116" s="120"/>
      <c r="AP116" s="38"/>
      <c r="AQ116" s="37"/>
      <c r="AR116" s="116"/>
      <c r="AS116" s="120"/>
      <c r="AT116" s="38"/>
      <c r="AU116" s="37"/>
      <c r="AV116" s="120"/>
      <c r="AW116" s="120"/>
      <c r="AX116" s="37"/>
      <c r="AY116" s="38"/>
      <c r="AZ116" s="37"/>
      <c r="BA116" s="116"/>
      <c r="BB116" s="31">
        <v>40</v>
      </c>
      <c r="BC116" s="32">
        <v>362</v>
      </c>
      <c r="BD116" s="31">
        <v>37</v>
      </c>
      <c r="BE116" s="116">
        <v>364</v>
      </c>
      <c r="BF116" s="120">
        <v>363</v>
      </c>
      <c r="BG116" s="38">
        <v>38</v>
      </c>
      <c r="BH116" s="37">
        <v>41</v>
      </c>
      <c r="BI116" s="38">
        <v>356</v>
      </c>
      <c r="BJ116" s="111">
        <v>20</v>
      </c>
      <c r="BK116" s="33">
        <v>30</v>
      </c>
      <c r="BL116" s="115">
        <v>361</v>
      </c>
      <c r="BM116" s="111">
        <v>355</v>
      </c>
      <c r="BN116" s="35">
        <v>33</v>
      </c>
      <c r="BO116" s="32">
        <v>14</v>
      </c>
      <c r="BP116" s="31">
        <v>38</v>
      </c>
      <c r="BQ116" s="32">
        <v>362</v>
      </c>
      <c r="BR116" s="31">
        <v>354</v>
      </c>
      <c r="BS116" s="32">
        <v>53</v>
      </c>
      <c r="BT116" s="31">
        <v>31</v>
      </c>
      <c r="BU116" s="33">
        <v>24</v>
      </c>
      <c r="BV116" s="115">
        <v>349</v>
      </c>
      <c r="BW116" s="111">
        <v>364</v>
      </c>
      <c r="BX116" s="32">
        <v>39</v>
      </c>
      <c r="BY116" s="31">
        <v>362</v>
      </c>
      <c r="BZ116" s="32">
        <v>38</v>
      </c>
      <c r="CA116" s="111">
        <v>37</v>
      </c>
      <c r="CB116" s="32">
        <v>363</v>
      </c>
      <c r="CC116" s="33">
        <v>131</v>
      </c>
      <c r="CD116" s="34">
        <v>366</v>
      </c>
      <c r="CE116" s="120">
        <v>136</v>
      </c>
      <c r="CF116" s="38">
        <v>199</v>
      </c>
      <c r="CG116" s="31">
        <v>91</v>
      </c>
      <c r="CH116" s="35">
        <v>25</v>
      </c>
      <c r="CI116" s="35">
        <v>186</v>
      </c>
      <c r="CJ116" s="35">
        <v>215</v>
      </c>
      <c r="CK116" s="32">
        <v>84</v>
      </c>
    </row>
    <row r="117" spans="1:89" ht="13" x14ac:dyDescent="0.25">
      <c r="A117" s="27">
        <v>1802</v>
      </c>
      <c r="B117" s="28" t="s">
        <v>140</v>
      </c>
      <c r="C117" s="29">
        <v>747</v>
      </c>
      <c r="D117" s="30">
        <v>224</v>
      </c>
      <c r="E117" s="20">
        <f t="shared" si="1"/>
        <v>0.29986613119143241</v>
      </c>
      <c r="F117" s="31">
        <v>0</v>
      </c>
      <c r="G117" s="111">
        <v>0</v>
      </c>
      <c r="H117" s="111">
        <v>0</v>
      </c>
      <c r="I117" s="111">
        <v>0</v>
      </c>
      <c r="J117" s="111">
        <v>3</v>
      </c>
      <c r="K117" s="111">
        <v>0</v>
      </c>
      <c r="L117" s="111">
        <v>0</v>
      </c>
      <c r="M117" s="111">
        <v>194</v>
      </c>
      <c r="N117" s="111">
        <v>0</v>
      </c>
      <c r="O117" s="111">
        <v>0</v>
      </c>
      <c r="P117" s="35">
        <v>1</v>
      </c>
      <c r="Q117" s="35">
        <v>0</v>
      </c>
      <c r="R117" s="35">
        <v>20</v>
      </c>
      <c r="S117" s="32">
        <v>0</v>
      </c>
      <c r="T117" s="37">
        <v>179</v>
      </c>
      <c r="U117" s="38">
        <v>31</v>
      </c>
      <c r="V117" s="37">
        <v>30</v>
      </c>
      <c r="W117" s="32">
        <v>177</v>
      </c>
      <c r="X117" s="31">
        <v>189</v>
      </c>
      <c r="Y117" s="32">
        <v>15</v>
      </c>
      <c r="Z117" s="111">
        <v>187</v>
      </c>
      <c r="AA117" s="35">
        <v>0</v>
      </c>
      <c r="AB117" s="35">
        <v>14</v>
      </c>
      <c r="AC117" s="35">
        <v>14</v>
      </c>
      <c r="AD117" s="35">
        <v>0</v>
      </c>
      <c r="AE117" s="33">
        <v>0</v>
      </c>
      <c r="AF117" s="116">
        <v>0</v>
      </c>
      <c r="AG117" s="120">
        <v>187</v>
      </c>
      <c r="AH117" s="38">
        <v>19</v>
      </c>
      <c r="AI117" s="37"/>
      <c r="AJ117" s="36"/>
      <c r="AK117" s="37"/>
      <c r="AL117" s="38"/>
      <c r="AM117" s="37">
        <v>186</v>
      </c>
      <c r="AN117" s="116">
        <v>19</v>
      </c>
      <c r="AO117" s="120"/>
      <c r="AP117" s="38"/>
      <c r="AQ117" s="37"/>
      <c r="AR117" s="116"/>
      <c r="AS117" s="120"/>
      <c r="AT117" s="38"/>
      <c r="AU117" s="37"/>
      <c r="AV117" s="120"/>
      <c r="AW117" s="120"/>
      <c r="AX117" s="37"/>
      <c r="AY117" s="38"/>
      <c r="AZ117" s="37"/>
      <c r="BA117" s="116"/>
      <c r="BB117" s="31">
        <v>19</v>
      </c>
      <c r="BC117" s="32">
        <v>182</v>
      </c>
      <c r="BD117" s="31">
        <v>19</v>
      </c>
      <c r="BE117" s="116">
        <v>181</v>
      </c>
      <c r="BF117" s="120">
        <v>180</v>
      </c>
      <c r="BG117" s="38">
        <v>20</v>
      </c>
      <c r="BH117" s="37">
        <v>22</v>
      </c>
      <c r="BI117" s="38">
        <v>175</v>
      </c>
      <c r="BJ117" s="111">
        <v>7</v>
      </c>
      <c r="BK117" s="33">
        <v>12</v>
      </c>
      <c r="BL117" s="115">
        <v>186</v>
      </c>
      <c r="BM117" s="111">
        <v>176</v>
      </c>
      <c r="BN117" s="35">
        <v>13</v>
      </c>
      <c r="BO117" s="32">
        <v>7</v>
      </c>
      <c r="BP117" s="31">
        <v>16</v>
      </c>
      <c r="BQ117" s="32">
        <v>182</v>
      </c>
      <c r="BR117" s="31">
        <v>168</v>
      </c>
      <c r="BS117" s="32">
        <v>34</v>
      </c>
      <c r="BT117" s="31">
        <v>17</v>
      </c>
      <c r="BU117" s="33">
        <v>8</v>
      </c>
      <c r="BV117" s="115">
        <v>176</v>
      </c>
      <c r="BW117" s="111">
        <v>183</v>
      </c>
      <c r="BX117" s="32">
        <v>23</v>
      </c>
      <c r="BY117" s="31">
        <v>183</v>
      </c>
      <c r="BZ117" s="32">
        <v>18</v>
      </c>
      <c r="CA117" s="111">
        <v>14</v>
      </c>
      <c r="CB117" s="32">
        <v>188</v>
      </c>
      <c r="CC117" s="33">
        <v>70</v>
      </c>
      <c r="CD117" s="34">
        <v>198</v>
      </c>
      <c r="CE117" s="120">
        <v>77</v>
      </c>
      <c r="CF117" s="38">
        <v>101</v>
      </c>
      <c r="CG117" s="31">
        <v>44</v>
      </c>
      <c r="CH117" s="35">
        <v>17</v>
      </c>
      <c r="CI117" s="35">
        <v>85</v>
      </c>
      <c r="CJ117" s="35">
        <v>74</v>
      </c>
      <c r="CK117" s="32">
        <v>56</v>
      </c>
    </row>
    <row r="118" spans="1:89" ht="13" x14ac:dyDescent="0.25">
      <c r="A118" s="27">
        <v>1901</v>
      </c>
      <c r="B118" s="28" t="s">
        <v>141</v>
      </c>
      <c r="C118" s="29">
        <v>987</v>
      </c>
      <c r="D118" s="30">
        <v>646</v>
      </c>
      <c r="E118" s="20">
        <f t="shared" si="1"/>
        <v>0.65450861195542043</v>
      </c>
      <c r="F118" s="31">
        <v>0</v>
      </c>
      <c r="G118" s="111">
        <v>0</v>
      </c>
      <c r="H118" s="111">
        <v>0</v>
      </c>
      <c r="I118" s="111">
        <v>0</v>
      </c>
      <c r="J118" s="111">
        <v>0</v>
      </c>
      <c r="K118" s="111">
        <v>0</v>
      </c>
      <c r="L118" s="111">
        <v>0</v>
      </c>
      <c r="M118" s="111">
        <v>232</v>
      </c>
      <c r="N118" s="111">
        <v>0</v>
      </c>
      <c r="O118" s="111">
        <v>0</v>
      </c>
      <c r="P118" s="35">
        <v>7</v>
      </c>
      <c r="Q118" s="35">
        <v>0</v>
      </c>
      <c r="R118" s="35">
        <v>400</v>
      </c>
      <c r="S118" s="32">
        <v>0</v>
      </c>
      <c r="T118" s="37">
        <v>230</v>
      </c>
      <c r="U118" s="38">
        <v>389</v>
      </c>
      <c r="V118" s="37">
        <v>398</v>
      </c>
      <c r="W118" s="32">
        <v>223</v>
      </c>
      <c r="X118" s="31">
        <v>238</v>
      </c>
      <c r="Y118" s="32">
        <v>372</v>
      </c>
      <c r="Z118" s="111">
        <v>244</v>
      </c>
      <c r="AA118" s="35">
        <v>0</v>
      </c>
      <c r="AB118" s="35">
        <v>27</v>
      </c>
      <c r="AC118" s="35">
        <v>364</v>
      </c>
      <c r="AD118" s="35">
        <v>0</v>
      </c>
      <c r="AE118" s="33">
        <v>0</v>
      </c>
      <c r="AF118" s="116">
        <v>0</v>
      </c>
      <c r="AG118" s="120">
        <v>265</v>
      </c>
      <c r="AH118" s="38">
        <v>352</v>
      </c>
      <c r="AI118" s="37"/>
      <c r="AJ118" s="36"/>
      <c r="AK118" s="37"/>
      <c r="AL118" s="38"/>
      <c r="AM118" s="37">
        <v>216</v>
      </c>
      <c r="AN118" s="116">
        <v>379</v>
      </c>
      <c r="AO118" s="120"/>
      <c r="AP118" s="38"/>
      <c r="AQ118" s="37"/>
      <c r="AR118" s="116"/>
      <c r="AS118" s="120"/>
      <c r="AT118" s="38"/>
      <c r="AU118" s="37"/>
      <c r="AV118" s="120"/>
      <c r="AW118" s="120"/>
      <c r="AX118" s="37"/>
      <c r="AY118" s="38"/>
      <c r="AZ118" s="37"/>
      <c r="BA118" s="116"/>
      <c r="BB118" s="31">
        <v>380</v>
      </c>
      <c r="BC118" s="32">
        <v>220</v>
      </c>
      <c r="BD118" s="31">
        <v>373</v>
      </c>
      <c r="BE118" s="116">
        <v>221</v>
      </c>
      <c r="BF118" s="120">
        <v>215</v>
      </c>
      <c r="BG118" s="38">
        <v>372</v>
      </c>
      <c r="BH118" s="37">
        <v>392</v>
      </c>
      <c r="BI118" s="38">
        <v>202</v>
      </c>
      <c r="BJ118" s="111">
        <v>38</v>
      </c>
      <c r="BK118" s="33">
        <v>346</v>
      </c>
      <c r="BL118" s="115">
        <v>218</v>
      </c>
      <c r="BM118" s="111">
        <v>231</v>
      </c>
      <c r="BN118" s="35">
        <v>347</v>
      </c>
      <c r="BO118" s="32">
        <v>25</v>
      </c>
      <c r="BP118" s="31">
        <v>378</v>
      </c>
      <c r="BQ118" s="32">
        <v>218</v>
      </c>
      <c r="BR118" s="31">
        <v>213</v>
      </c>
      <c r="BS118" s="32">
        <v>397</v>
      </c>
      <c r="BT118" s="31">
        <v>354</v>
      </c>
      <c r="BU118" s="33">
        <v>36</v>
      </c>
      <c r="BV118" s="115">
        <v>207</v>
      </c>
      <c r="BW118" s="111">
        <v>209</v>
      </c>
      <c r="BX118" s="32">
        <v>416</v>
      </c>
      <c r="BY118" s="31">
        <v>225</v>
      </c>
      <c r="BZ118" s="32">
        <v>363</v>
      </c>
      <c r="CA118" s="111">
        <v>375</v>
      </c>
      <c r="CB118" s="32">
        <v>221</v>
      </c>
      <c r="CC118" s="33">
        <v>465</v>
      </c>
      <c r="CD118" s="34">
        <v>394</v>
      </c>
      <c r="CE118" s="120">
        <v>298</v>
      </c>
      <c r="CF118" s="38">
        <v>198</v>
      </c>
      <c r="CG118" s="31">
        <v>170</v>
      </c>
      <c r="CH118" s="35">
        <v>200</v>
      </c>
      <c r="CI118" s="35">
        <v>101</v>
      </c>
      <c r="CJ118" s="35">
        <v>126</v>
      </c>
      <c r="CK118" s="32">
        <v>321</v>
      </c>
    </row>
    <row r="119" spans="1:89" ht="13" x14ac:dyDescent="0.25">
      <c r="A119" s="27">
        <v>1902</v>
      </c>
      <c r="B119" s="28" t="s">
        <v>142</v>
      </c>
      <c r="C119" s="29">
        <v>1315</v>
      </c>
      <c r="D119" s="30">
        <v>953</v>
      </c>
      <c r="E119" s="20">
        <f t="shared" si="1"/>
        <v>0.7247148288973384</v>
      </c>
      <c r="F119" s="31">
        <v>0</v>
      </c>
      <c r="G119" s="111">
        <v>0</v>
      </c>
      <c r="H119" s="111">
        <v>0</v>
      </c>
      <c r="I119" s="111">
        <v>0</v>
      </c>
      <c r="J119" s="111">
        <v>6</v>
      </c>
      <c r="K119" s="111">
        <v>0</v>
      </c>
      <c r="L119" s="111">
        <v>0</v>
      </c>
      <c r="M119" s="111">
        <v>328</v>
      </c>
      <c r="N119" s="111">
        <v>0</v>
      </c>
      <c r="O119" s="111">
        <v>0</v>
      </c>
      <c r="P119" s="35">
        <v>5</v>
      </c>
      <c r="Q119" s="35">
        <v>0</v>
      </c>
      <c r="R119" s="35">
        <v>604</v>
      </c>
      <c r="S119" s="32">
        <v>0</v>
      </c>
      <c r="T119" s="37">
        <v>312</v>
      </c>
      <c r="U119" s="38">
        <v>605</v>
      </c>
      <c r="V119" s="37">
        <v>634</v>
      </c>
      <c r="W119" s="32">
        <v>294</v>
      </c>
      <c r="X119" s="31">
        <v>328</v>
      </c>
      <c r="Y119" s="32">
        <v>573</v>
      </c>
      <c r="Z119" s="111">
        <v>334</v>
      </c>
      <c r="AA119" s="35">
        <v>0</v>
      </c>
      <c r="AB119" s="35">
        <v>43</v>
      </c>
      <c r="AC119" s="35">
        <v>560</v>
      </c>
      <c r="AD119" s="35">
        <v>0</v>
      </c>
      <c r="AE119" s="33">
        <v>0</v>
      </c>
      <c r="AF119" s="116">
        <v>0</v>
      </c>
      <c r="AG119" s="120">
        <v>372</v>
      </c>
      <c r="AH119" s="38">
        <v>548</v>
      </c>
      <c r="AI119" s="37"/>
      <c r="AJ119" s="36"/>
      <c r="AK119" s="37"/>
      <c r="AL119" s="38"/>
      <c r="AM119" s="37">
        <v>314</v>
      </c>
      <c r="AN119" s="116">
        <v>585</v>
      </c>
      <c r="AO119" s="120"/>
      <c r="AP119" s="38"/>
      <c r="AQ119" s="37"/>
      <c r="AR119" s="116"/>
      <c r="AS119" s="120"/>
      <c r="AT119" s="38"/>
      <c r="AU119" s="37"/>
      <c r="AV119" s="120"/>
      <c r="AW119" s="120"/>
      <c r="AX119" s="37"/>
      <c r="AY119" s="38"/>
      <c r="AZ119" s="37"/>
      <c r="BA119" s="116"/>
      <c r="BB119" s="31">
        <v>597</v>
      </c>
      <c r="BC119" s="32">
        <v>299</v>
      </c>
      <c r="BD119" s="31">
        <v>564</v>
      </c>
      <c r="BE119" s="116">
        <v>329</v>
      </c>
      <c r="BF119" s="120">
        <v>302</v>
      </c>
      <c r="BG119" s="38">
        <v>585</v>
      </c>
      <c r="BH119" s="37">
        <v>620</v>
      </c>
      <c r="BI119" s="38">
        <v>272</v>
      </c>
      <c r="BJ119" s="111">
        <v>58</v>
      </c>
      <c r="BK119" s="33">
        <v>528</v>
      </c>
      <c r="BL119" s="115">
        <v>317</v>
      </c>
      <c r="BM119" s="111">
        <v>345</v>
      </c>
      <c r="BN119" s="35">
        <v>522</v>
      </c>
      <c r="BO119" s="32">
        <v>36</v>
      </c>
      <c r="BP119" s="31">
        <v>581</v>
      </c>
      <c r="BQ119" s="32">
        <v>312</v>
      </c>
      <c r="BR119" s="31">
        <v>268</v>
      </c>
      <c r="BS119" s="32">
        <v>640</v>
      </c>
      <c r="BT119" s="31">
        <v>554</v>
      </c>
      <c r="BU119" s="33">
        <v>35</v>
      </c>
      <c r="BV119" s="115">
        <v>302</v>
      </c>
      <c r="BW119" s="111">
        <v>291</v>
      </c>
      <c r="BX119" s="32">
        <v>645</v>
      </c>
      <c r="BY119" s="31">
        <v>329</v>
      </c>
      <c r="BZ119" s="32">
        <v>552</v>
      </c>
      <c r="CA119" s="111">
        <v>552</v>
      </c>
      <c r="CB119" s="32">
        <v>330</v>
      </c>
      <c r="CC119" s="33">
        <v>707</v>
      </c>
      <c r="CD119" s="34">
        <v>608</v>
      </c>
      <c r="CE119" s="120">
        <v>473</v>
      </c>
      <c r="CF119" s="38">
        <v>282</v>
      </c>
      <c r="CG119" s="31">
        <v>269</v>
      </c>
      <c r="CH119" s="35">
        <v>341</v>
      </c>
      <c r="CI119" s="35">
        <v>146</v>
      </c>
      <c r="CJ119" s="35">
        <v>181</v>
      </c>
      <c r="CK119" s="32">
        <v>492</v>
      </c>
    </row>
    <row r="120" spans="1:89" ht="13" x14ac:dyDescent="0.25">
      <c r="A120" s="27">
        <v>1903</v>
      </c>
      <c r="B120" s="28" t="s">
        <v>143</v>
      </c>
      <c r="C120" s="29">
        <v>1298</v>
      </c>
      <c r="D120" s="30">
        <v>662</v>
      </c>
      <c r="E120" s="20">
        <f t="shared" si="1"/>
        <v>0.51001540832049308</v>
      </c>
      <c r="F120" s="31">
        <v>0</v>
      </c>
      <c r="G120" s="111">
        <v>0</v>
      </c>
      <c r="H120" s="111">
        <v>0</v>
      </c>
      <c r="I120" s="111">
        <v>0</v>
      </c>
      <c r="J120" s="111">
        <v>1</v>
      </c>
      <c r="K120" s="111">
        <v>0</v>
      </c>
      <c r="L120" s="111">
        <v>0</v>
      </c>
      <c r="M120" s="111">
        <v>245</v>
      </c>
      <c r="N120" s="111">
        <v>0</v>
      </c>
      <c r="O120" s="111">
        <v>0</v>
      </c>
      <c r="P120" s="35">
        <v>4</v>
      </c>
      <c r="Q120" s="35">
        <v>0</v>
      </c>
      <c r="R120" s="35">
        <v>402</v>
      </c>
      <c r="S120" s="32">
        <v>0</v>
      </c>
      <c r="T120" s="37">
        <v>248</v>
      </c>
      <c r="U120" s="38">
        <v>382</v>
      </c>
      <c r="V120" s="37">
        <v>410</v>
      </c>
      <c r="W120" s="32">
        <v>227</v>
      </c>
      <c r="X120" s="31">
        <v>251</v>
      </c>
      <c r="Y120" s="32">
        <v>371</v>
      </c>
      <c r="Z120" s="111">
        <v>271</v>
      </c>
      <c r="AA120" s="35">
        <v>0</v>
      </c>
      <c r="AB120" s="35">
        <v>29</v>
      </c>
      <c r="AC120" s="35">
        <v>351</v>
      </c>
      <c r="AD120" s="35">
        <v>0</v>
      </c>
      <c r="AE120" s="33">
        <v>0</v>
      </c>
      <c r="AF120" s="116">
        <v>1</v>
      </c>
      <c r="AG120" s="120">
        <v>282</v>
      </c>
      <c r="AH120" s="38">
        <v>348</v>
      </c>
      <c r="AI120" s="37"/>
      <c r="AJ120" s="36"/>
      <c r="AK120" s="37"/>
      <c r="AL120" s="38"/>
      <c r="AM120" s="37">
        <v>243</v>
      </c>
      <c r="AN120" s="116">
        <v>380</v>
      </c>
      <c r="AO120" s="120"/>
      <c r="AP120" s="38"/>
      <c r="AQ120" s="37"/>
      <c r="AR120" s="116"/>
      <c r="AS120" s="120"/>
      <c r="AT120" s="38"/>
      <c r="AU120" s="37"/>
      <c r="AV120" s="120"/>
      <c r="AW120" s="120"/>
      <c r="AX120" s="37"/>
      <c r="AY120" s="38"/>
      <c r="AZ120" s="37"/>
      <c r="BA120" s="116"/>
      <c r="BB120" s="31">
        <v>386</v>
      </c>
      <c r="BC120" s="32">
        <v>236</v>
      </c>
      <c r="BD120" s="31">
        <v>376</v>
      </c>
      <c r="BE120" s="116">
        <v>244</v>
      </c>
      <c r="BF120" s="120">
        <v>246</v>
      </c>
      <c r="BG120" s="38">
        <v>374</v>
      </c>
      <c r="BH120" s="37">
        <v>390</v>
      </c>
      <c r="BI120" s="38">
        <v>228</v>
      </c>
      <c r="BJ120" s="111">
        <v>38</v>
      </c>
      <c r="BK120" s="33">
        <v>351</v>
      </c>
      <c r="BL120" s="115">
        <v>234</v>
      </c>
      <c r="BM120" s="111">
        <v>257</v>
      </c>
      <c r="BN120" s="35">
        <v>338</v>
      </c>
      <c r="BO120" s="32">
        <v>30</v>
      </c>
      <c r="BP120" s="31">
        <v>383</v>
      </c>
      <c r="BQ120" s="32">
        <v>235</v>
      </c>
      <c r="BR120" s="31">
        <v>227</v>
      </c>
      <c r="BS120" s="32">
        <v>400</v>
      </c>
      <c r="BT120" s="31">
        <v>366</v>
      </c>
      <c r="BU120" s="33">
        <v>38</v>
      </c>
      <c r="BV120" s="115">
        <v>211</v>
      </c>
      <c r="BW120" s="111">
        <v>243</v>
      </c>
      <c r="BX120" s="32">
        <v>391</v>
      </c>
      <c r="BY120" s="31">
        <v>252</v>
      </c>
      <c r="BZ120" s="32">
        <v>360</v>
      </c>
      <c r="CA120" s="111">
        <v>358</v>
      </c>
      <c r="CB120" s="32">
        <v>255</v>
      </c>
      <c r="CC120" s="33">
        <v>465</v>
      </c>
      <c r="CD120" s="34">
        <v>410</v>
      </c>
      <c r="CE120" s="120">
        <v>286</v>
      </c>
      <c r="CF120" s="38">
        <v>234</v>
      </c>
      <c r="CG120" s="31">
        <v>154</v>
      </c>
      <c r="CH120" s="35">
        <v>175</v>
      </c>
      <c r="CI120" s="35">
        <v>122</v>
      </c>
      <c r="CJ120" s="35">
        <v>132</v>
      </c>
      <c r="CK120" s="32">
        <v>338</v>
      </c>
    </row>
    <row r="121" spans="1:89" ht="13" x14ac:dyDescent="0.25">
      <c r="A121" s="27">
        <v>1904</v>
      </c>
      <c r="B121" s="28" t="s">
        <v>144</v>
      </c>
      <c r="C121" s="29">
        <v>460</v>
      </c>
      <c r="D121" s="30">
        <v>123</v>
      </c>
      <c r="E121" s="20">
        <f t="shared" si="1"/>
        <v>0.2673913043478261</v>
      </c>
      <c r="F121" s="31">
        <v>0</v>
      </c>
      <c r="G121" s="111">
        <v>0</v>
      </c>
      <c r="H121" s="111">
        <v>0</v>
      </c>
      <c r="I121" s="111">
        <v>0</v>
      </c>
      <c r="J121" s="111">
        <v>0</v>
      </c>
      <c r="K121" s="111">
        <v>0</v>
      </c>
      <c r="L121" s="111">
        <v>0</v>
      </c>
      <c r="M121" s="111">
        <v>67</v>
      </c>
      <c r="N121" s="111">
        <v>0</v>
      </c>
      <c r="O121" s="111">
        <v>0</v>
      </c>
      <c r="P121" s="35">
        <v>1</v>
      </c>
      <c r="Q121" s="35">
        <v>0</v>
      </c>
      <c r="R121" s="35">
        <v>52</v>
      </c>
      <c r="S121" s="32">
        <v>0</v>
      </c>
      <c r="T121" s="37">
        <v>67</v>
      </c>
      <c r="U121" s="38">
        <v>47</v>
      </c>
      <c r="V121" s="37">
        <v>51</v>
      </c>
      <c r="W121" s="32">
        <v>66</v>
      </c>
      <c r="X121" s="31">
        <v>71</v>
      </c>
      <c r="Y121" s="32">
        <v>44</v>
      </c>
      <c r="Z121" s="111">
        <v>66</v>
      </c>
      <c r="AA121" s="35">
        <v>0</v>
      </c>
      <c r="AB121" s="35">
        <v>11</v>
      </c>
      <c r="AC121" s="35">
        <v>40</v>
      </c>
      <c r="AD121" s="35">
        <v>0</v>
      </c>
      <c r="AE121" s="33">
        <v>0</v>
      </c>
      <c r="AF121" s="116">
        <v>0</v>
      </c>
      <c r="AG121" s="120">
        <v>73</v>
      </c>
      <c r="AH121" s="38">
        <v>40</v>
      </c>
      <c r="AI121" s="37"/>
      <c r="AJ121" s="36"/>
      <c r="AK121" s="37"/>
      <c r="AL121" s="38"/>
      <c r="AM121" s="37">
        <v>68</v>
      </c>
      <c r="AN121" s="116">
        <v>46</v>
      </c>
      <c r="AO121" s="120"/>
      <c r="AP121" s="38"/>
      <c r="AQ121" s="37"/>
      <c r="AR121" s="116"/>
      <c r="AS121" s="120"/>
      <c r="AT121" s="38"/>
      <c r="AU121" s="37"/>
      <c r="AV121" s="120"/>
      <c r="AW121" s="120"/>
      <c r="AX121" s="37"/>
      <c r="AY121" s="38"/>
      <c r="AZ121" s="37"/>
      <c r="BA121" s="116"/>
      <c r="BB121" s="31">
        <v>43</v>
      </c>
      <c r="BC121" s="32">
        <v>68</v>
      </c>
      <c r="BD121" s="31">
        <v>43</v>
      </c>
      <c r="BE121" s="116">
        <v>70</v>
      </c>
      <c r="BF121" s="120">
        <v>70</v>
      </c>
      <c r="BG121" s="38">
        <v>40</v>
      </c>
      <c r="BH121" s="37">
        <v>45</v>
      </c>
      <c r="BI121" s="38">
        <v>68</v>
      </c>
      <c r="BJ121" s="111">
        <v>3</v>
      </c>
      <c r="BK121" s="33">
        <v>39</v>
      </c>
      <c r="BL121" s="115">
        <v>75</v>
      </c>
      <c r="BM121" s="111">
        <v>73</v>
      </c>
      <c r="BN121" s="35">
        <v>42</v>
      </c>
      <c r="BO121" s="32">
        <v>3</v>
      </c>
      <c r="BP121" s="31">
        <v>44</v>
      </c>
      <c r="BQ121" s="32">
        <v>68</v>
      </c>
      <c r="BR121" s="31">
        <v>62</v>
      </c>
      <c r="BS121" s="32">
        <v>52</v>
      </c>
      <c r="BT121" s="31">
        <v>43</v>
      </c>
      <c r="BU121" s="33">
        <v>6</v>
      </c>
      <c r="BV121" s="115">
        <v>64</v>
      </c>
      <c r="BW121" s="111">
        <v>68</v>
      </c>
      <c r="BX121" s="32">
        <v>49</v>
      </c>
      <c r="BY121" s="31">
        <v>66</v>
      </c>
      <c r="BZ121" s="32">
        <v>46</v>
      </c>
      <c r="CA121" s="111">
        <v>42</v>
      </c>
      <c r="CB121" s="32">
        <v>68</v>
      </c>
      <c r="CC121" s="33">
        <v>67</v>
      </c>
      <c r="CD121" s="34">
        <v>89</v>
      </c>
      <c r="CE121" s="120">
        <v>47</v>
      </c>
      <c r="CF121" s="38">
        <v>48</v>
      </c>
      <c r="CG121" s="31">
        <v>26</v>
      </c>
      <c r="CH121" s="35">
        <v>12</v>
      </c>
      <c r="CI121" s="35">
        <v>30</v>
      </c>
      <c r="CJ121" s="35">
        <v>40</v>
      </c>
      <c r="CK121" s="32">
        <v>42</v>
      </c>
    </row>
    <row r="122" spans="1:89" ht="13" x14ac:dyDescent="0.25">
      <c r="A122" s="27">
        <v>2001</v>
      </c>
      <c r="B122" s="28" t="s">
        <v>145</v>
      </c>
      <c r="C122" s="29">
        <v>1217</v>
      </c>
      <c r="D122" s="30">
        <v>499</v>
      </c>
      <c r="E122" s="20">
        <f t="shared" si="1"/>
        <v>0.41002465078060807</v>
      </c>
      <c r="F122" s="31">
        <v>0</v>
      </c>
      <c r="G122" s="111">
        <v>0</v>
      </c>
      <c r="H122" s="111">
        <v>0</v>
      </c>
      <c r="I122" s="111">
        <v>1</v>
      </c>
      <c r="J122" s="111">
        <v>3</v>
      </c>
      <c r="K122" s="111">
        <v>0</v>
      </c>
      <c r="L122" s="111">
        <v>0</v>
      </c>
      <c r="M122" s="111">
        <v>317</v>
      </c>
      <c r="N122" s="111">
        <v>0</v>
      </c>
      <c r="O122" s="111">
        <v>0</v>
      </c>
      <c r="P122" s="35">
        <v>1</v>
      </c>
      <c r="Q122" s="35">
        <v>0</v>
      </c>
      <c r="R122" s="35">
        <v>169</v>
      </c>
      <c r="S122" s="32">
        <v>1</v>
      </c>
      <c r="T122" s="37">
        <v>317</v>
      </c>
      <c r="U122" s="38">
        <v>166</v>
      </c>
      <c r="V122" s="37">
        <v>179</v>
      </c>
      <c r="W122" s="32">
        <v>311</v>
      </c>
      <c r="X122" s="31">
        <v>314</v>
      </c>
      <c r="Y122" s="32">
        <v>165</v>
      </c>
      <c r="Z122" s="111">
        <v>333</v>
      </c>
      <c r="AA122" s="35">
        <v>0</v>
      </c>
      <c r="AB122" s="35">
        <v>19</v>
      </c>
      <c r="AC122" s="35">
        <v>139</v>
      </c>
      <c r="AD122" s="35">
        <v>0</v>
      </c>
      <c r="AE122" s="33">
        <v>0</v>
      </c>
      <c r="AF122" s="116">
        <v>0</v>
      </c>
      <c r="AG122" s="120">
        <v>334</v>
      </c>
      <c r="AH122" s="38">
        <v>152</v>
      </c>
      <c r="AI122" s="37"/>
      <c r="AJ122" s="36"/>
      <c r="AK122" s="37"/>
      <c r="AL122" s="38"/>
      <c r="AM122" s="37">
        <v>319</v>
      </c>
      <c r="AN122" s="116">
        <v>165</v>
      </c>
      <c r="AO122" s="120"/>
      <c r="AP122" s="38"/>
      <c r="AQ122" s="37"/>
      <c r="AR122" s="116"/>
      <c r="AS122" s="120"/>
      <c r="AT122" s="38"/>
      <c r="AU122" s="37"/>
      <c r="AV122" s="120"/>
      <c r="AW122" s="120"/>
      <c r="AX122" s="37"/>
      <c r="AY122" s="38"/>
      <c r="AZ122" s="37"/>
      <c r="BA122" s="116"/>
      <c r="BB122" s="31">
        <v>156</v>
      </c>
      <c r="BC122" s="32">
        <v>323</v>
      </c>
      <c r="BD122" s="31">
        <v>157</v>
      </c>
      <c r="BE122" s="116">
        <v>320</v>
      </c>
      <c r="BF122" s="120">
        <v>314</v>
      </c>
      <c r="BG122" s="38">
        <v>163</v>
      </c>
      <c r="BH122" s="37">
        <v>161</v>
      </c>
      <c r="BI122" s="38">
        <v>309</v>
      </c>
      <c r="BJ122" s="111">
        <v>23</v>
      </c>
      <c r="BK122" s="33">
        <v>137</v>
      </c>
      <c r="BL122" s="115">
        <v>326</v>
      </c>
      <c r="BM122" s="111">
        <v>316</v>
      </c>
      <c r="BN122" s="35">
        <v>138</v>
      </c>
      <c r="BO122" s="32">
        <v>27</v>
      </c>
      <c r="BP122" s="31">
        <v>157</v>
      </c>
      <c r="BQ122" s="32">
        <v>316</v>
      </c>
      <c r="BR122" s="31">
        <v>300</v>
      </c>
      <c r="BS122" s="32">
        <v>181</v>
      </c>
      <c r="BT122" s="31">
        <v>148</v>
      </c>
      <c r="BU122" s="33">
        <v>29</v>
      </c>
      <c r="BV122" s="115">
        <v>304</v>
      </c>
      <c r="BW122" s="111">
        <v>319</v>
      </c>
      <c r="BX122" s="32">
        <v>171</v>
      </c>
      <c r="BY122" s="31">
        <v>321</v>
      </c>
      <c r="BZ122" s="32">
        <v>150</v>
      </c>
      <c r="CA122" s="111">
        <v>151</v>
      </c>
      <c r="CB122" s="32">
        <v>327</v>
      </c>
      <c r="CC122" s="33">
        <v>263</v>
      </c>
      <c r="CD122" s="34">
        <v>390</v>
      </c>
      <c r="CE122" s="120">
        <v>208</v>
      </c>
      <c r="CF122" s="38">
        <v>201</v>
      </c>
      <c r="CG122" s="31">
        <v>121</v>
      </c>
      <c r="CH122" s="35">
        <v>81</v>
      </c>
      <c r="CI122" s="35">
        <v>142</v>
      </c>
      <c r="CJ122" s="35">
        <v>174</v>
      </c>
      <c r="CK122" s="32">
        <v>194</v>
      </c>
    </row>
    <row r="123" spans="1:89" ht="13" x14ac:dyDescent="0.25">
      <c r="A123" s="27">
        <v>2002</v>
      </c>
      <c r="B123" s="28" t="s">
        <v>146</v>
      </c>
      <c r="C123" s="29">
        <v>1038</v>
      </c>
      <c r="D123" s="30">
        <v>472</v>
      </c>
      <c r="E123" s="20">
        <f t="shared" si="1"/>
        <v>0.45472061657032753</v>
      </c>
      <c r="F123" s="31">
        <v>0</v>
      </c>
      <c r="G123" s="111">
        <v>0</v>
      </c>
      <c r="H123" s="111">
        <v>0</v>
      </c>
      <c r="I123" s="111">
        <v>0</v>
      </c>
      <c r="J123" s="111">
        <v>2</v>
      </c>
      <c r="K123" s="111">
        <v>0</v>
      </c>
      <c r="L123" s="111">
        <v>0</v>
      </c>
      <c r="M123" s="111">
        <v>312</v>
      </c>
      <c r="N123" s="111">
        <v>0</v>
      </c>
      <c r="O123" s="111">
        <v>0</v>
      </c>
      <c r="P123" s="35">
        <v>1</v>
      </c>
      <c r="Q123" s="35">
        <v>0</v>
      </c>
      <c r="R123" s="35">
        <v>144</v>
      </c>
      <c r="S123" s="32">
        <v>1</v>
      </c>
      <c r="T123" s="37">
        <v>306</v>
      </c>
      <c r="U123" s="38">
        <v>150</v>
      </c>
      <c r="V123" s="37">
        <v>153</v>
      </c>
      <c r="W123" s="32">
        <v>300</v>
      </c>
      <c r="X123" s="31">
        <v>308</v>
      </c>
      <c r="Y123" s="32">
        <v>141</v>
      </c>
      <c r="Z123" s="111">
        <v>310</v>
      </c>
      <c r="AA123" s="35">
        <v>0</v>
      </c>
      <c r="AB123" s="35">
        <v>18</v>
      </c>
      <c r="AC123" s="35">
        <v>133</v>
      </c>
      <c r="AD123" s="35">
        <v>0</v>
      </c>
      <c r="AE123" s="33">
        <v>0</v>
      </c>
      <c r="AF123" s="116">
        <v>0</v>
      </c>
      <c r="AG123" s="120">
        <v>317</v>
      </c>
      <c r="AH123" s="38">
        <v>130</v>
      </c>
      <c r="AI123" s="37"/>
      <c r="AJ123" s="36"/>
      <c r="AK123" s="37"/>
      <c r="AL123" s="38"/>
      <c r="AM123" s="37">
        <v>304</v>
      </c>
      <c r="AN123" s="116">
        <v>144</v>
      </c>
      <c r="AO123" s="120"/>
      <c r="AP123" s="38"/>
      <c r="AQ123" s="37"/>
      <c r="AR123" s="116"/>
      <c r="AS123" s="120"/>
      <c r="AT123" s="38"/>
      <c r="AU123" s="37"/>
      <c r="AV123" s="120"/>
      <c r="AW123" s="120"/>
      <c r="AX123" s="37"/>
      <c r="AY123" s="38"/>
      <c r="AZ123" s="37"/>
      <c r="BA123" s="116"/>
      <c r="BB123" s="31">
        <v>154</v>
      </c>
      <c r="BC123" s="32">
        <v>295</v>
      </c>
      <c r="BD123" s="31">
        <v>148</v>
      </c>
      <c r="BE123" s="116">
        <v>294</v>
      </c>
      <c r="BF123" s="120">
        <v>297</v>
      </c>
      <c r="BG123" s="38">
        <v>148</v>
      </c>
      <c r="BH123" s="37">
        <v>159</v>
      </c>
      <c r="BI123" s="38">
        <v>281</v>
      </c>
      <c r="BJ123" s="111">
        <v>18</v>
      </c>
      <c r="BK123" s="33">
        <v>131</v>
      </c>
      <c r="BL123" s="115">
        <v>295</v>
      </c>
      <c r="BM123" s="111">
        <v>294</v>
      </c>
      <c r="BN123" s="35">
        <v>140</v>
      </c>
      <c r="BO123" s="32">
        <v>12</v>
      </c>
      <c r="BP123" s="31">
        <v>152</v>
      </c>
      <c r="BQ123" s="32">
        <v>296</v>
      </c>
      <c r="BR123" s="31">
        <v>274</v>
      </c>
      <c r="BS123" s="32">
        <v>177</v>
      </c>
      <c r="BT123" s="31">
        <v>144</v>
      </c>
      <c r="BU123" s="33">
        <v>19</v>
      </c>
      <c r="BV123" s="115">
        <v>284</v>
      </c>
      <c r="BW123" s="111">
        <v>305</v>
      </c>
      <c r="BX123" s="32">
        <v>147</v>
      </c>
      <c r="BY123" s="31">
        <v>299</v>
      </c>
      <c r="BZ123" s="32">
        <v>143</v>
      </c>
      <c r="CA123" s="111">
        <v>147</v>
      </c>
      <c r="CB123" s="32">
        <v>299</v>
      </c>
      <c r="CC123" s="33">
        <v>239</v>
      </c>
      <c r="CD123" s="34">
        <v>361</v>
      </c>
      <c r="CE123" s="120">
        <v>185</v>
      </c>
      <c r="CF123" s="38">
        <v>192</v>
      </c>
      <c r="CG123" s="31">
        <v>103</v>
      </c>
      <c r="CH123" s="35">
        <v>56</v>
      </c>
      <c r="CI123" s="35">
        <v>174</v>
      </c>
      <c r="CJ123" s="35">
        <v>179</v>
      </c>
      <c r="CK123" s="32">
        <v>153</v>
      </c>
    </row>
    <row r="124" spans="1:89" ht="13" x14ac:dyDescent="0.25">
      <c r="A124" s="27">
        <v>2003</v>
      </c>
      <c r="B124" s="28" t="s">
        <v>147</v>
      </c>
      <c r="C124" s="29">
        <v>1526</v>
      </c>
      <c r="D124" s="30">
        <v>835</v>
      </c>
      <c r="E124" s="20">
        <f t="shared" si="1"/>
        <v>0.54718217562254257</v>
      </c>
      <c r="F124" s="31">
        <v>1</v>
      </c>
      <c r="G124" s="111">
        <v>0</v>
      </c>
      <c r="H124" s="111">
        <v>0</v>
      </c>
      <c r="I124" s="111">
        <v>2</v>
      </c>
      <c r="J124" s="111">
        <v>2</v>
      </c>
      <c r="K124" s="111">
        <v>0</v>
      </c>
      <c r="L124" s="111">
        <v>0</v>
      </c>
      <c r="M124" s="111">
        <v>532</v>
      </c>
      <c r="N124" s="111">
        <v>0</v>
      </c>
      <c r="O124" s="111">
        <v>0</v>
      </c>
      <c r="P124" s="35">
        <v>2</v>
      </c>
      <c r="Q124" s="35">
        <v>1</v>
      </c>
      <c r="R124" s="35">
        <v>283</v>
      </c>
      <c r="S124" s="32">
        <v>0</v>
      </c>
      <c r="T124" s="37">
        <v>525</v>
      </c>
      <c r="U124" s="38">
        <v>286</v>
      </c>
      <c r="V124" s="37">
        <v>318</v>
      </c>
      <c r="W124" s="32">
        <v>494</v>
      </c>
      <c r="X124" s="31">
        <v>530</v>
      </c>
      <c r="Y124" s="32">
        <v>261</v>
      </c>
      <c r="Z124" s="111">
        <v>544</v>
      </c>
      <c r="AA124" s="35">
        <v>0</v>
      </c>
      <c r="AB124" s="35">
        <v>36</v>
      </c>
      <c r="AC124" s="35">
        <v>235</v>
      </c>
      <c r="AD124" s="35">
        <v>0</v>
      </c>
      <c r="AE124" s="33">
        <v>0</v>
      </c>
      <c r="AF124" s="116">
        <v>0</v>
      </c>
      <c r="AG124" s="120">
        <v>554</v>
      </c>
      <c r="AH124" s="38">
        <v>245</v>
      </c>
      <c r="AI124" s="37"/>
      <c r="AJ124" s="36"/>
      <c r="AK124" s="37"/>
      <c r="AL124" s="38"/>
      <c r="AM124" s="37">
        <v>523</v>
      </c>
      <c r="AN124" s="116">
        <v>268</v>
      </c>
      <c r="AO124" s="120"/>
      <c r="AP124" s="38"/>
      <c r="AQ124" s="37"/>
      <c r="AR124" s="116"/>
      <c r="AS124" s="120"/>
      <c r="AT124" s="38"/>
      <c r="AU124" s="37"/>
      <c r="AV124" s="120"/>
      <c r="AW124" s="120"/>
      <c r="AX124" s="37"/>
      <c r="AY124" s="38"/>
      <c r="AZ124" s="37"/>
      <c r="BA124" s="116"/>
      <c r="BB124" s="31">
        <v>278</v>
      </c>
      <c r="BC124" s="32">
        <v>513</v>
      </c>
      <c r="BD124" s="31">
        <v>266</v>
      </c>
      <c r="BE124" s="116">
        <v>523</v>
      </c>
      <c r="BF124" s="120">
        <v>512</v>
      </c>
      <c r="BG124" s="38">
        <v>271</v>
      </c>
      <c r="BH124" s="37">
        <v>301</v>
      </c>
      <c r="BI124" s="38">
        <v>485</v>
      </c>
      <c r="BJ124" s="111">
        <v>41</v>
      </c>
      <c r="BK124" s="33">
        <v>234</v>
      </c>
      <c r="BL124" s="115">
        <v>518</v>
      </c>
      <c r="BM124" s="111">
        <v>534</v>
      </c>
      <c r="BN124" s="35">
        <v>223</v>
      </c>
      <c r="BO124" s="32">
        <v>34</v>
      </c>
      <c r="BP124" s="31">
        <v>276</v>
      </c>
      <c r="BQ124" s="32">
        <v>510</v>
      </c>
      <c r="BR124" s="31">
        <v>487</v>
      </c>
      <c r="BS124" s="32">
        <v>310</v>
      </c>
      <c r="BT124" s="31">
        <v>239</v>
      </c>
      <c r="BU124" s="33">
        <v>53</v>
      </c>
      <c r="BV124" s="115">
        <v>500</v>
      </c>
      <c r="BW124" s="111">
        <v>524</v>
      </c>
      <c r="BX124" s="32">
        <v>281</v>
      </c>
      <c r="BY124" s="31">
        <v>526</v>
      </c>
      <c r="BZ124" s="32">
        <v>247</v>
      </c>
      <c r="CA124" s="111">
        <v>260</v>
      </c>
      <c r="CB124" s="32">
        <v>521</v>
      </c>
      <c r="CC124" s="33">
        <v>419</v>
      </c>
      <c r="CD124" s="34">
        <v>633</v>
      </c>
      <c r="CE124" s="120">
        <v>298</v>
      </c>
      <c r="CF124" s="38">
        <v>382</v>
      </c>
      <c r="CG124" s="31">
        <v>175</v>
      </c>
      <c r="CH124" s="35">
        <v>158</v>
      </c>
      <c r="CI124" s="35">
        <v>297</v>
      </c>
      <c r="CJ124" s="35">
        <v>339</v>
      </c>
      <c r="CK124" s="32">
        <v>269</v>
      </c>
    </row>
    <row r="125" spans="1:89" ht="13" x14ac:dyDescent="0.25">
      <c r="A125" s="27">
        <v>2004</v>
      </c>
      <c r="B125" s="28" t="s">
        <v>148</v>
      </c>
      <c r="C125" s="29">
        <v>1391</v>
      </c>
      <c r="D125" s="30">
        <v>793</v>
      </c>
      <c r="E125" s="20">
        <f t="shared" si="1"/>
        <v>0.57009345794392519</v>
      </c>
      <c r="F125" s="31">
        <v>0</v>
      </c>
      <c r="G125" s="111">
        <v>0</v>
      </c>
      <c r="H125" s="111">
        <v>0</v>
      </c>
      <c r="I125" s="111">
        <v>1</v>
      </c>
      <c r="J125" s="111">
        <v>0</v>
      </c>
      <c r="K125" s="111">
        <v>0</v>
      </c>
      <c r="L125" s="111">
        <v>0</v>
      </c>
      <c r="M125" s="111">
        <v>541</v>
      </c>
      <c r="N125" s="111">
        <v>0</v>
      </c>
      <c r="O125" s="111">
        <v>0</v>
      </c>
      <c r="P125" s="35">
        <v>11</v>
      </c>
      <c r="Q125" s="35">
        <v>1</v>
      </c>
      <c r="R125" s="35">
        <v>220</v>
      </c>
      <c r="S125" s="32">
        <v>0</v>
      </c>
      <c r="T125" s="37">
        <v>538</v>
      </c>
      <c r="U125" s="38">
        <v>225</v>
      </c>
      <c r="V125" s="37">
        <v>244</v>
      </c>
      <c r="W125" s="32">
        <v>521</v>
      </c>
      <c r="X125" s="31">
        <v>533</v>
      </c>
      <c r="Y125" s="32">
        <v>214</v>
      </c>
      <c r="Z125" s="111">
        <v>544</v>
      </c>
      <c r="AA125" s="35">
        <v>0</v>
      </c>
      <c r="AB125" s="35">
        <v>41</v>
      </c>
      <c r="AC125" s="35">
        <v>184</v>
      </c>
      <c r="AD125" s="35">
        <v>0</v>
      </c>
      <c r="AE125" s="33">
        <v>0</v>
      </c>
      <c r="AF125" s="116">
        <v>0</v>
      </c>
      <c r="AG125" s="120">
        <v>560</v>
      </c>
      <c r="AH125" s="38">
        <v>193</v>
      </c>
      <c r="AI125" s="37"/>
      <c r="AJ125" s="36"/>
      <c r="AK125" s="37"/>
      <c r="AL125" s="38"/>
      <c r="AM125" s="37">
        <v>520</v>
      </c>
      <c r="AN125" s="116">
        <v>229</v>
      </c>
      <c r="AO125" s="120"/>
      <c r="AP125" s="38"/>
      <c r="AQ125" s="37"/>
      <c r="AR125" s="116"/>
      <c r="AS125" s="120"/>
      <c r="AT125" s="38"/>
      <c r="AU125" s="37"/>
      <c r="AV125" s="120"/>
      <c r="AW125" s="120"/>
      <c r="AX125" s="37"/>
      <c r="AY125" s="38"/>
      <c r="AZ125" s="37"/>
      <c r="BA125" s="116"/>
      <c r="BB125" s="31">
        <v>231</v>
      </c>
      <c r="BC125" s="32">
        <v>515</v>
      </c>
      <c r="BD125" s="31">
        <v>214</v>
      </c>
      <c r="BE125" s="116">
        <v>529</v>
      </c>
      <c r="BF125" s="120">
        <v>531</v>
      </c>
      <c r="BG125" s="38">
        <v>212</v>
      </c>
      <c r="BH125" s="37">
        <v>240</v>
      </c>
      <c r="BI125" s="38">
        <v>504</v>
      </c>
      <c r="BJ125" s="111">
        <v>40</v>
      </c>
      <c r="BK125" s="33">
        <v>201</v>
      </c>
      <c r="BL125" s="115">
        <v>522</v>
      </c>
      <c r="BM125" s="111">
        <v>534</v>
      </c>
      <c r="BN125" s="35">
        <v>184</v>
      </c>
      <c r="BO125" s="32">
        <v>36</v>
      </c>
      <c r="BP125" s="31">
        <v>226</v>
      </c>
      <c r="BQ125" s="32">
        <v>518</v>
      </c>
      <c r="BR125" s="31">
        <v>486</v>
      </c>
      <c r="BS125" s="32">
        <v>262</v>
      </c>
      <c r="BT125" s="31">
        <v>208</v>
      </c>
      <c r="BU125" s="33">
        <v>44</v>
      </c>
      <c r="BV125" s="115">
        <v>493</v>
      </c>
      <c r="BW125" s="111">
        <v>533</v>
      </c>
      <c r="BX125" s="32">
        <v>232</v>
      </c>
      <c r="BY125" s="31">
        <v>529</v>
      </c>
      <c r="BZ125" s="32">
        <v>214</v>
      </c>
      <c r="CA125" s="111">
        <v>219</v>
      </c>
      <c r="CB125" s="32">
        <v>524</v>
      </c>
      <c r="CC125" s="33">
        <v>393</v>
      </c>
      <c r="CD125" s="34">
        <v>620</v>
      </c>
      <c r="CE125" s="120">
        <v>296</v>
      </c>
      <c r="CF125" s="38">
        <v>350</v>
      </c>
      <c r="CG125" s="31">
        <v>159</v>
      </c>
      <c r="CH125" s="35">
        <v>112</v>
      </c>
      <c r="CI125" s="35">
        <v>282</v>
      </c>
      <c r="CJ125" s="35">
        <v>334</v>
      </c>
      <c r="CK125" s="32">
        <v>251</v>
      </c>
    </row>
    <row r="126" spans="1:89" ht="13" x14ac:dyDescent="0.25">
      <c r="A126" s="27">
        <v>2005</v>
      </c>
      <c r="B126" s="28" t="s">
        <v>149</v>
      </c>
      <c r="C126" s="29">
        <v>1038</v>
      </c>
      <c r="D126" s="30">
        <v>363</v>
      </c>
      <c r="E126" s="20">
        <f t="shared" si="1"/>
        <v>0.34971098265895956</v>
      </c>
      <c r="F126" s="31">
        <v>0</v>
      </c>
      <c r="G126" s="111">
        <v>0</v>
      </c>
      <c r="H126" s="111">
        <v>0</v>
      </c>
      <c r="I126" s="111">
        <v>0</v>
      </c>
      <c r="J126" s="111">
        <v>1</v>
      </c>
      <c r="K126" s="111">
        <v>0</v>
      </c>
      <c r="L126" s="111">
        <v>0</v>
      </c>
      <c r="M126" s="111">
        <v>245</v>
      </c>
      <c r="N126" s="111">
        <v>0</v>
      </c>
      <c r="O126" s="111">
        <v>0</v>
      </c>
      <c r="P126" s="35">
        <v>0</v>
      </c>
      <c r="Q126" s="35">
        <v>0</v>
      </c>
      <c r="R126" s="35">
        <v>111</v>
      </c>
      <c r="S126" s="32">
        <v>0</v>
      </c>
      <c r="T126" s="37">
        <v>232</v>
      </c>
      <c r="U126" s="38">
        <v>109</v>
      </c>
      <c r="V126" s="37">
        <v>118</v>
      </c>
      <c r="W126" s="32">
        <v>229</v>
      </c>
      <c r="X126" s="31">
        <v>235</v>
      </c>
      <c r="Y126" s="32">
        <v>98</v>
      </c>
      <c r="Z126" s="111">
        <v>237</v>
      </c>
      <c r="AA126" s="35">
        <v>0</v>
      </c>
      <c r="AB126" s="35">
        <v>18</v>
      </c>
      <c r="AC126" s="35">
        <v>89</v>
      </c>
      <c r="AD126" s="35">
        <v>0</v>
      </c>
      <c r="AE126" s="33">
        <v>0</v>
      </c>
      <c r="AF126" s="116">
        <v>1</v>
      </c>
      <c r="AG126" s="120">
        <v>243</v>
      </c>
      <c r="AH126" s="38">
        <v>94</v>
      </c>
      <c r="AI126" s="37"/>
      <c r="AJ126" s="36"/>
      <c r="AK126" s="37"/>
      <c r="AL126" s="38"/>
      <c r="AM126" s="37">
        <v>236</v>
      </c>
      <c r="AN126" s="116">
        <v>98</v>
      </c>
      <c r="AO126" s="120"/>
      <c r="AP126" s="38"/>
      <c r="AQ126" s="37"/>
      <c r="AR126" s="116"/>
      <c r="AS126" s="120"/>
      <c r="AT126" s="38"/>
      <c r="AU126" s="37"/>
      <c r="AV126" s="120"/>
      <c r="AW126" s="120"/>
      <c r="AX126" s="37"/>
      <c r="AY126" s="38"/>
      <c r="AZ126" s="37"/>
      <c r="BA126" s="116"/>
      <c r="BB126" s="31">
        <v>103</v>
      </c>
      <c r="BC126" s="32">
        <v>225</v>
      </c>
      <c r="BD126" s="31">
        <v>93</v>
      </c>
      <c r="BE126" s="116">
        <v>234</v>
      </c>
      <c r="BF126" s="120">
        <v>228</v>
      </c>
      <c r="BG126" s="38">
        <v>93</v>
      </c>
      <c r="BH126" s="37">
        <v>104</v>
      </c>
      <c r="BI126" s="38">
        <v>218</v>
      </c>
      <c r="BJ126" s="111">
        <v>16</v>
      </c>
      <c r="BK126" s="33">
        <v>83</v>
      </c>
      <c r="BL126" s="115">
        <v>233</v>
      </c>
      <c r="BM126" s="111">
        <v>228</v>
      </c>
      <c r="BN126" s="35">
        <v>88</v>
      </c>
      <c r="BO126" s="32">
        <v>13</v>
      </c>
      <c r="BP126" s="31">
        <v>94</v>
      </c>
      <c r="BQ126" s="32">
        <v>230</v>
      </c>
      <c r="BR126" s="31">
        <v>208</v>
      </c>
      <c r="BS126" s="32">
        <v>124</v>
      </c>
      <c r="BT126" s="31">
        <v>93</v>
      </c>
      <c r="BU126" s="33">
        <v>15</v>
      </c>
      <c r="BV126" s="115">
        <v>217</v>
      </c>
      <c r="BW126" s="111">
        <v>238</v>
      </c>
      <c r="BX126" s="32">
        <v>105</v>
      </c>
      <c r="BY126" s="31">
        <v>228</v>
      </c>
      <c r="BZ126" s="32">
        <v>91</v>
      </c>
      <c r="CA126" s="111">
        <v>93</v>
      </c>
      <c r="CB126" s="32">
        <v>234</v>
      </c>
      <c r="CC126" s="33">
        <v>181</v>
      </c>
      <c r="CD126" s="34">
        <v>285</v>
      </c>
      <c r="CE126" s="120">
        <v>135</v>
      </c>
      <c r="CF126" s="38">
        <v>145</v>
      </c>
      <c r="CG126" s="31">
        <v>71</v>
      </c>
      <c r="CH126" s="35">
        <v>48</v>
      </c>
      <c r="CI126" s="35">
        <v>107</v>
      </c>
      <c r="CJ126" s="35">
        <v>133</v>
      </c>
      <c r="CK126" s="32">
        <v>123</v>
      </c>
    </row>
    <row r="127" spans="1:89" ht="13" x14ac:dyDescent="0.25">
      <c r="A127" s="27">
        <v>2101</v>
      </c>
      <c r="B127" s="28" t="s">
        <v>150</v>
      </c>
      <c r="C127" s="29">
        <v>602</v>
      </c>
      <c r="D127" s="30">
        <v>261</v>
      </c>
      <c r="E127" s="20">
        <f t="shared" si="1"/>
        <v>0.43355481727574752</v>
      </c>
      <c r="F127" s="31">
        <v>0</v>
      </c>
      <c r="G127" s="111">
        <v>0</v>
      </c>
      <c r="H127" s="111">
        <v>0</v>
      </c>
      <c r="I127" s="111">
        <v>1</v>
      </c>
      <c r="J127" s="111">
        <v>0</v>
      </c>
      <c r="K127" s="111">
        <v>0</v>
      </c>
      <c r="L127" s="111">
        <v>0</v>
      </c>
      <c r="M127" s="111">
        <v>186</v>
      </c>
      <c r="N127" s="111">
        <v>0</v>
      </c>
      <c r="O127" s="111">
        <v>0</v>
      </c>
      <c r="P127" s="35">
        <v>2</v>
      </c>
      <c r="Q127" s="35">
        <v>1</v>
      </c>
      <c r="R127" s="35">
        <v>65</v>
      </c>
      <c r="S127" s="32">
        <v>0</v>
      </c>
      <c r="T127" s="37">
        <v>186</v>
      </c>
      <c r="U127" s="38">
        <v>65</v>
      </c>
      <c r="V127" s="37">
        <v>72</v>
      </c>
      <c r="W127" s="32">
        <v>176</v>
      </c>
      <c r="X127" s="31">
        <v>184</v>
      </c>
      <c r="Y127" s="32">
        <v>59</v>
      </c>
      <c r="Z127" s="111">
        <v>183</v>
      </c>
      <c r="AA127" s="35">
        <v>0</v>
      </c>
      <c r="AB127" s="35">
        <v>10</v>
      </c>
      <c r="AC127" s="35">
        <v>55</v>
      </c>
      <c r="AD127" s="35">
        <v>0</v>
      </c>
      <c r="AE127" s="33">
        <v>0</v>
      </c>
      <c r="AF127" s="116">
        <v>0</v>
      </c>
      <c r="AG127" s="120">
        <v>190</v>
      </c>
      <c r="AH127" s="38">
        <v>55</v>
      </c>
      <c r="AI127" s="37"/>
      <c r="AJ127" s="36"/>
      <c r="AK127" s="37"/>
      <c r="AL127" s="38"/>
      <c r="AM127" s="37">
        <v>180</v>
      </c>
      <c r="AN127" s="116">
        <v>59</v>
      </c>
      <c r="AO127" s="120"/>
      <c r="AP127" s="38"/>
      <c r="AQ127" s="37"/>
      <c r="AR127" s="116"/>
      <c r="AS127" s="120"/>
      <c r="AT127" s="38"/>
      <c r="AU127" s="37"/>
      <c r="AV127" s="120"/>
      <c r="AW127" s="120"/>
      <c r="AX127" s="37"/>
      <c r="AY127" s="38"/>
      <c r="AZ127" s="37"/>
      <c r="BA127" s="116"/>
      <c r="BB127" s="31">
        <v>62</v>
      </c>
      <c r="BC127" s="32">
        <v>177</v>
      </c>
      <c r="BD127" s="31">
        <v>64</v>
      </c>
      <c r="BE127" s="116">
        <v>177</v>
      </c>
      <c r="BF127" s="120">
        <v>172</v>
      </c>
      <c r="BG127" s="38">
        <v>67</v>
      </c>
      <c r="BH127" s="37">
        <v>65</v>
      </c>
      <c r="BI127" s="38">
        <v>171</v>
      </c>
      <c r="BJ127" s="111">
        <v>10</v>
      </c>
      <c r="BK127" s="33">
        <v>48</v>
      </c>
      <c r="BL127" s="115">
        <v>188</v>
      </c>
      <c r="BM127" s="111">
        <v>183</v>
      </c>
      <c r="BN127" s="35">
        <v>49</v>
      </c>
      <c r="BO127" s="32">
        <v>9</v>
      </c>
      <c r="BP127" s="31">
        <v>56</v>
      </c>
      <c r="BQ127" s="32">
        <v>183</v>
      </c>
      <c r="BR127" s="31">
        <v>176</v>
      </c>
      <c r="BS127" s="32">
        <v>66</v>
      </c>
      <c r="BT127" s="31">
        <v>53</v>
      </c>
      <c r="BU127" s="33">
        <v>11</v>
      </c>
      <c r="BV127" s="115">
        <v>176</v>
      </c>
      <c r="BW127" s="111">
        <v>186</v>
      </c>
      <c r="BX127" s="32">
        <v>60</v>
      </c>
      <c r="BY127" s="31">
        <v>185</v>
      </c>
      <c r="BZ127" s="32">
        <v>55</v>
      </c>
      <c r="CA127" s="111">
        <v>57</v>
      </c>
      <c r="CB127" s="32">
        <v>187</v>
      </c>
      <c r="CC127" s="33">
        <v>110</v>
      </c>
      <c r="CD127" s="34">
        <v>207</v>
      </c>
      <c r="CE127" s="120">
        <v>95</v>
      </c>
      <c r="CF127" s="38">
        <v>113</v>
      </c>
      <c r="CG127" s="31">
        <v>61</v>
      </c>
      <c r="CH127" s="35">
        <v>31</v>
      </c>
      <c r="CI127" s="35">
        <v>86</v>
      </c>
      <c r="CJ127" s="35">
        <v>95</v>
      </c>
      <c r="CK127" s="32">
        <v>78</v>
      </c>
    </row>
    <row r="128" spans="1:89" ht="13" x14ac:dyDescent="0.25">
      <c r="A128" s="27">
        <v>2102</v>
      </c>
      <c r="B128" s="28" t="s">
        <v>151</v>
      </c>
      <c r="C128" s="29">
        <v>818</v>
      </c>
      <c r="D128" s="30">
        <v>276</v>
      </c>
      <c r="E128" s="20">
        <f t="shared" si="1"/>
        <v>0.33740831295843521</v>
      </c>
      <c r="F128" s="31">
        <v>0</v>
      </c>
      <c r="G128" s="111">
        <v>0</v>
      </c>
      <c r="H128" s="111">
        <v>0</v>
      </c>
      <c r="I128" s="111">
        <v>0</v>
      </c>
      <c r="J128" s="111">
        <v>1</v>
      </c>
      <c r="K128" s="111">
        <v>0</v>
      </c>
      <c r="L128" s="111">
        <v>0</v>
      </c>
      <c r="M128" s="111">
        <v>215</v>
      </c>
      <c r="N128" s="111">
        <v>0</v>
      </c>
      <c r="O128" s="111">
        <v>0</v>
      </c>
      <c r="P128" s="35">
        <v>0</v>
      </c>
      <c r="Q128" s="35">
        <v>0</v>
      </c>
      <c r="R128" s="35">
        <v>59</v>
      </c>
      <c r="S128" s="32">
        <v>0</v>
      </c>
      <c r="T128" s="37">
        <v>205</v>
      </c>
      <c r="U128" s="38">
        <v>58</v>
      </c>
      <c r="V128" s="37">
        <v>69</v>
      </c>
      <c r="W128" s="32">
        <v>196</v>
      </c>
      <c r="X128" s="31">
        <v>205</v>
      </c>
      <c r="Y128" s="32">
        <v>53</v>
      </c>
      <c r="Z128" s="111">
        <v>206</v>
      </c>
      <c r="AA128" s="35">
        <v>0</v>
      </c>
      <c r="AB128" s="35">
        <v>11</v>
      </c>
      <c r="AC128" s="35">
        <v>53</v>
      </c>
      <c r="AD128" s="35">
        <v>0</v>
      </c>
      <c r="AE128" s="33">
        <v>0</v>
      </c>
      <c r="AF128" s="116">
        <v>0</v>
      </c>
      <c r="AG128" s="120">
        <v>210</v>
      </c>
      <c r="AH128" s="38">
        <v>53</v>
      </c>
      <c r="AI128" s="37"/>
      <c r="AJ128" s="36"/>
      <c r="AK128" s="37"/>
      <c r="AL128" s="38"/>
      <c r="AM128" s="37">
        <v>201</v>
      </c>
      <c r="AN128" s="116">
        <v>63</v>
      </c>
      <c r="AO128" s="120"/>
      <c r="AP128" s="38"/>
      <c r="AQ128" s="37"/>
      <c r="AR128" s="116"/>
      <c r="AS128" s="120"/>
      <c r="AT128" s="38"/>
      <c r="AU128" s="37"/>
      <c r="AV128" s="120"/>
      <c r="AW128" s="120"/>
      <c r="AX128" s="37"/>
      <c r="AY128" s="38"/>
      <c r="AZ128" s="37"/>
      <c r="BA128" s="116"/>
      <c r="BB128" s="31">
        <v>60</v>
      </c>
      <c r="BC128" s="32">
        <v>200</v>
      </c>
      <c r="BD128" s="31">
        <v>62</v>
      </c>
      <c r="BE128" s="116">
        <v>198</v>
      </c>
      <c r="BF128" s="120">
        <v>203</v>
      </c>
      <c r="BG128" s="38">
        <v>56</v>
      </c>
      <c r="BH128" s="37">
        <v>62</v>
      </c>
      <c r="BI128" s="38">
        <v>193</v>
      </c>
      <c r="BJ128" s="111">
        <v>8</v>
      </c>
      <c r="BK128" s="33">
        <v>50</v>
      </c>
      <c r="BL128" s="115">
        <v>208</v>
      </c>
      <c r="BM128" s="111">
        <v>208</v>
      </c>
      <c r="BN128" s="35">
        <v>48</v>
      </c>
      <c r="BO128" s="32">
        <v>5</v>
      </c>
      <c r="BP128" s="31">
        <v>56</v>
      </c>
      <c r="BQ128" s="32">
        <v>203</v>
      </c>
      <c r="BR128" s="31">
        <v>196</v>
      </c>
      <c r="BS128" s="32">
        <v>66</v>
      </c>
      <c r="BT128" s="31">
        <v>60</v>
      </c>
      <c r="BU128" s="33">
        <v>12</v>
      </c>
      <c r="BV128" s="115">
        <v>187</v>
      </c>
      <c r="BW128" s="111">
        <v>194</v>
      </c>
      <c r="BX128" s="32">
        <v>70</v>
      </c>
      <c r="BY128" s="31">
        <v>201</v>
      </c>
      <c r="BZ128" s="32">
        <v>54</v>
      </c>
      <c r="CA128" s="111">
        <v>58</v>
      </c>
      <c r="CB128" s="32">
        <v>204</v>
      </c>
      <c r="CC128" s="33">
        <v>137</v>
      </c>
      <c r="CD128" s="34">
        <v>225</v>
      </c>
      <c r="CE128" s="120">
        <v>108</v>
      </c>
      <c r="CF128" s="38">
        <v>122</v>
      </c>
      <c r="CG128" s="31">
        <v>78</v>
      </c>
      <c r="CH128" s="35">
        <v>30</v>
      </c>
      <c r="CI128" s="35">
        <v>82</v>
      </c>
      <c r="CJ128" s="35">
        <v>102</v>
      </c>
      <c r="CK128" s="32">
        <v>92</v>
      </c>
    </row>
    <row r="129" spans="1:89" ht="13" x14ac:dyDescent="0.25">
      <c r="A129" s="27">
        <v>2103</v>
      </c>
      <c r="B129" s="28" t="s">
        <v>152</v>
      </c>
      <c r="C129" s="29">
        <v>1111</v>
      </c>
      <c r="D129" s="30">
        <v>437</v>
      </c>
      <c r="E129" s="20">
        <f t="shared" si="1"/>
        <v>0.39333933393339332</v>
      </c>
      <c r="F129" s="31">
        <v>0</v>
      </c>
      <c r="G129" s="111">
        <v>0</v>
      </c>
      <c r="H129" s="111">
        <v>0</v>
      </c>
      <c r="I129" s="111">
        <v>0</v>
      </c>
      <c r="J129" s="111">
        <v>1</v>
      </c>
      <c r="K129" s="111">
        <v>0</v>
      </c>
      <c r="L129" s="111">
        <v>0</v>
      </c>
      <c r="M129" s="111">
        <v>306</v>
      </c>
      <c r="N129" s="111">
        <v>0</v>
      </c>
      <c r="O129" s="111">
        <v>0</v>
      </c>
      <c r="P129" s="35">
        <v>2</v>
      </c>
      <c r="Q129" s="35">
        <v>0</v>
      </c>
      <c r="R129" s="35">
        <v>122</v>
      </c>
      <c r="S129" s="32">
        <v>0</v>
      </c>
      <c r="T129" s="37">
        <v>310</v>
      </c>
      <c r="U129" s="38">
        <v>112</v>
      </c>
      <c r="V129" s="37">
        <v>129</v>
      </c>
      <c r="W129" s="32">
        <v>288</v>
      </c>
      <c r="X129" s="31">
        <v>315</v>
      </c>
      <c r="Y129" s="32">
        <v>99</v>
      </c>
      <c r="Z129" s="111">
        <v>310</v>
      </c>
      <c r="AA129" s="35">
        <v>0</v>
      </c>
      <c r="AB129" s="35">
        <v>28</v>
      </c>
      <c r="AC129" s="35">
        <v>92</v>
      </c>
      <c r="AD129" s="35">
        <v>0</v>
      </c>
      <c r="AE129" s="33">
        <v>0</v>
      </c>
      <c r="AF129" s="116">
        <v>0</v>
      </c>
      <c r="AG129" s="120">
        <v>326</v>
      </c>
      <c r="AH129" s="38">
        <v>89</v>
      </c>
      <c r="AI129" s="37"/>
      <c r="AJ129" s="36"/>
      <c r="AK129" s="37"/>
      <c r="AL129" s="38"/>
      <c r="AM129" s="37">
        <v>314</v>
      </c>
      <c r="AN129" s="116">
        <v>108</v>
      </c>
      <c r="AO129" s="120"/>
      <c r="AP129" s="38"/>
      <c r="AQ129" s="37"/>
      <c r="AR129" s="116"/>
      <c r="AS129" s="120"/>
      <c r="AT129" s="38"/>
      <c r="AU129" s="37"/>
      <c r="AV129" s="120"/>
      <c r="AW129" s="120"/>
      <c r="AX129" s="37"/>
      <c r="AY129" s="38"/>
      <c r="AZ129" s="37"/>
      <c r="BA129" s="116"/>
      <c r="BB129" s="31">
        <v>112</v>
      </c>
      <c r="BC129" s="32">
        <v>305</v>
      </c>
      <c r="BD129" s="31">
        <v>104</v>
      </c>
      <c r="BE129" s="116">
        <v>312</v>
      </c>
      <c r="BF129" s="120">
        <v>308</v>
      </c>
      <c r="BG129" s="38">
        <v>103</v>
      </c>
      <c r="BH129" s="37">
        <v>117</v>
      </c>
      <c r="BI129" s="38">
        <v>300</v>
      </c>
      <c r="BJ129" s="111">
        <v>21</v>
      </c>
      <c r="BK129" s="33">
        <v>88</v>
      </c>
      <c r="BL129" s="115">
        <v>314</v>
      </c>
      <c r="BM129" s="111">
        <v>308</v>
      </c>
      <c r="BN129" s="35">
        <v>89</v>
      </c>
      <c r="BO129" s="32">
        <v>18</v>
      </c>
      <c r="BP129" s="31">
        <v>108</v>
      </c>
      <c r="BQ129" s="32">
        <v>308</v>
      </c>
      <c r="BR129" s="31">
        <v>294</v>
      </c>
      <c r="BS129" s="32">
        <v>124</v>
      </c>
      <c r="BT129" s="31">
        <v>98</v>
      </c>
      <c r="BU129" s="33">
        <v>24</v>
      </c>
      <c r="BV129" s="115">
        <v>299</v>
      </c>
      <c r="BW129" s="111">
        <v>316</v>
      </c>
      <c r="BX129" s="32">
        <v>106</v>
      </c>
      <c r="BY129" s="31">
        <v>309</v>
      </c>
      <c r="BZ129" s="32">
        <v>102</v>
      </c>
      <c r="CA129" s="111">
        <v>108</v>
      </c>
      <c r="CB129" s="32">
        <v>305</v>
      </c>
      <c r="CC129" s="33">
        <v>203</v>
      </c>
      <c r="CD129" s="34">
        <v>365</v>
      </c>
      <c r="CE129" s="120">
        <v>164</v>
      </c>
      <c r="CF129" s="38">
        <v>186</v>
      </c>
      <c r="CG129" s="31">
        <v>93</v>
      </c>
      <c r="CH129" s="35">
        <v>60</v>
      </c>
      <c r="CI129" s="35">
        <v>148</v>
      </c>
      <c r="CJ129" s="35">
        <v>176</v>
      </c>
      <c r="CK129" s="32">
        <v>135</v>
      </c>
    </row>
    <row r="130" spans="1:89" ht="13" x14ac:dyDescent="0.25">
      <c r="A130" s="27">
        <v>2104</v>
      </c>
      <c r="B130" s="28" t="s">
        <v>153</v>
      </c>
      <c r="C130" s="29">
        <v>913</v>
      </c>
      <c r="D130" s="30">
        <v>340</v>
      </c>
      <c r="E130" s="20">
        <f t="shared" si="1"/>
        <v>0.3723986856516977</v>
      </c>
      <c r="F130" s="31">
        <v>0</v>
      </c>
      <c r="G130" s="111">
        <v>0</v>
      </c>
      <c r="H130" s="111">
        <v>0</v>
      </c>
      <c r="I130" s="111">
        <v>1</v>
      </c>
      <c r="J130" s="111">
        <v>1</v>
      </c>
      <c r="K130" s="111">
        <v>0</v>
      </c>
      <c r="L130" s="111">
        <v>0</v>
      </c>
      <c r="M130" s="111">
        <v>215</v>
      </c>
      <c r="N130" s="111">
        <v>0</v>
      </c>
      <c r="O130" s="111">
        <v>0</v>
      </c>
      <c r="P130" s="35">
        <v>0</v>
      </c>
      <c r="Q130" s="35">
        <v>0</v>
      </c>
      <c r="R130" s="35">
        <v>117</v>
      </c>
      <c r="S130" s="32">
        <v>0</v>
      </c>
      <c r="T130" s="37">
        <v>211</v>
      </c>
      <c r="U130" s="38">
        <v>113</v>
      </c>
      <c r="V130" s="37">
        <v>116</v>
      </c>
      <c r="W130" s="32">
        <v>211</v>
      </c>
      <c r="X130" s="31">
        <v>216</v>
      </c>
      <c r="Y130" s="32">
        <v>104</v>
      </c>
      <c r="Z130" s="111">
        <v>207</v>
      </c>
      <c r="AA130" s="35">
        <v>0</v>
      </c>
      <c r="AB130" s="35">
        <v>18</v>
      </c>
      <c r="AC130" s="35">
        <v>107</v>
      </c>
      <c r="AD130" s="35">
        <v>0</v>
      </c>
      <c r="AE130" s="33">
        <v>0</v>
      </c>
      <c r="AF130" s="116">
        <v>0</v>
      </c>
      <c r="AG130" s="120">
        <v>218</v>
      </c>
      <c r="AH130" s="38">
        <v>103</v>
      </c>
      <c r="AI130" s="37"/>
      <c r="AJ130" s="36"/>
      <c r="AK130" s="37"/>
      <c r="AL130" s="38"/>
      <c r="AM130" s="37">
        <v>205</v>
      </c>
      <c r="AN130" s="116">
        <v>115</v>
      </c>
      <c r="AO130" s="120"/>
      <c r="AP130" s="38"/>
      <c r="AQ130" s="37"/>
      <c r="AR130" s="116"/>
      <c r="AS130" s="120"/>
      <c r="AT130" s="38"/>
      <c r="AU130" s="37"/>
      <c r="AV130" s="120"/>
      <c r="AW130" s="120"/>
      <c r="AX130" s="37"/>
      <c r="AY130" s="38"/>
      <c r="AZ130" s="37"/>
      <c r="BA130" s="116"/>
      <c r="BB130" s="31">
        <v>110</v>
      </c>
      <c r="BC130" s="32">
        <v>208</v>
      </c>
      <c r="BD130" s="31">
        <v>109</v>
      </c>
      <c r="BE130" s="116">
        <v>207</v>
      </c>
      <c r="BF130" s="120">
        <v>211</v>
      </c>
      <c r="BG130" s="38">
        <v>103</v>
      </c>
      <c r="BH130" s="37">
        <v>111</v>
      </c>
      <c r="BI130" s="38">
        <v>207</v>
      </c>
      <c r="BJ130" s="111">
        <v>10</v>
      </c>
      <c r="BK130" s="33">
        <v>99</v>
      </c>
      <c r="BL130" s="115">
        <v>215</v>
      </c>
      <c r="BM130" s="111">
        <v>205</v>
      </c>
      <c r="BN130" s="35">
        <v>102</v>
      </c>
      <c r="BO130" s="32">
        <v>12</v>
      </c>
      <c r="BP130" s="31">
        <v>109</v>
      </c>
      <c r="BQ130" s="32">
        <v>212</v>
      </c>
      <c r="BR130" s="31">
        <v>200</v>
      </c>
      <c r="BS130" s="32">
        <v>116</v>
      </c>
      <c r="BT130" s="31">
        <v>101</v>
      </c>
      <c r="BU130" s="33">
        <v>15</v>
      </c>
      <c r="BV130" s="115">
        <v>204</v>
      </c>
      <c r="BW130" s="111">
        <v>213</v>
      </c>
      <c r="BX130" s="32">
        <v>115</v>
      </c>
      <c r="BY130" s="31">
        <v>212</v>
      </c>
      <c r="BZ130" s="32">
        <v>101</v>
      </c>
      <c r="CA130" s="111">
        <v>102</v>
      </c>
      <c r="CB130" s="32">
        <v>216</v>
      </c>
      <c r="CC130" s="33">
        <v>169</v>
      </c>
      <c r="CD130" s="34">
        <v>253</v>
      </c>
      <c r="CE130" s="120">
        <v>117</v>
      </c>
      <c r="CF130" s="38">
        <v>152</v>
      </c>
      <c r="CG130" s="31">
        <v>58</v>
      </c>
      <c r="CH130" s="35">
        <v>52</v>
      </c>
      <c r="CI130" s="35">
        <v>116</v>
      </c>
      <c r="CJ130" s="35">
        <v>123</v>
      </c>
      <c r="CK130" s="32">
        <v>99</v>
      </c>
    </row>
    <row r="131" spans="1:89" ht="13" x14ac:dyDescent="0.25">
      <c r="A131" s="27">
        <v>2105</v>
      </c>
      <c r="B131" s="28" t="s">
        <v>154</v>
      </c>
      <c r="C131" s="29">
        <v>826</v>
      </c>
      <c r="D131" s="30">
        <v>271</v>
      </c>
      <c r="E131" s="20">
        <f t="shared" si="1"/>
        <v>0.3280871670702179</v>
      </c>
      <c r="F131" s="31">
        <v>0</v>
      </c>
      <c r="G131" s="111">
        <v>0</v>
      </c>
      <c r="H131" s="111">
        <v>0</v>
      </c>
      <c r="I131" s="111">
        <v>1</v>
      </c>
      <c r="J131" s="111">
        <v>0</v>
      </c>
      <c r="K131" s="111">
        <v>0</v>
      </c>
      <c r="L131" s="111">
        <v>0</v>
      </c>
      <c r="M131" s="111">
        <v>251</v>
      </c>
      <c r="N131" s="111">
        <v>0</v>
      </c>
      <c r="O131" s="111">
        <v>0</v>
      </c>
      <c r="P131" s="35">
        <v>1</v>
      </c>
      <c r="Q131" s="35">
        <v>0</v>
      </c>
      <c r="R131" s="35">
        <v>14</v>
      </c>
      <c r="S131" s="32">
        <v>0</v>
      </c>
      <c r="T131" s="37">
        <v>237</v>
      </c>
      <c r="U131" s="38">
        <v>17</v>
      </c>
      <c r="V131" s="37">
        <v>19</v>
      </c>
      <c r="W131" s="32">
        <v>241</v>
      </c>
      <c r="X131" s="31">
        <v>239</v>
      </c>
      <c r="Y131" s="32">
        <v>14</v>
      </c>
      <c r="Z131" s="111">
        <v>243</v>
      </c>
      <c r="AA131" s="35">
        <v>0</v>
      </c>
      <c r="AB131" s="35">
        <v>13</v>
      </c>
      <c r="AC131" s="35">
        <v>8</v>
      </c>
      <c r="AD131" s="35">
        <v>0</v>
      </c>
      <c r="AE131" s="33">
        <v>0</v>
      </c>
      <c r="AF131" s="116">
        <v>0</v>
      </c>
      <c r="AG131" s="120">
        <v>240</v>
      </c>
      <c r="AH131" s="38">
        <v>14</v>
      </c>
      <c r="AI131" s="37"/>
      <c r="AJ131" s="36"/>
      <c r="AK131" s="37"/>
      <c r="AL131" s="38"/>
      <c r="AM131" s="37">
        <v>239</v>
      </c>
      <c r="AN131" s="116">
        <v>20</v>
      </c>
      <c r="AO131" s="120"/>
      <c r="AP131" s="38"/>
      <c r="AQ131" s="37"/>
      <c r="AR131" s="116"/>
      <c r="AS131" s="120"/>
      <c r="AT131" s="38"/>
      <c r="AU131" s="37"/>
      <c r="AV131" s="120"/>
      <c r="AW131" s="120"/>
      <c r="AX131" s="37"/>
      <c r="AY131" s="38"/>
      <c r="AZ131" s="37"/>
      <c r="BA131" s="116"/>
      <c r="BB131" s="31">
        <v>18</v>
      </c>
      <c r="BC131" s="32">
        <v>238</v>
      </c>
      <c r="BD131" s="31">
        <v>13</v>
      </c>
      <c r="BE131" s="116">
        <v>241</v>
      </c>
      <c r="BF131" s="120">
        <v>239</v>
      </c>
      <c r="BG131" s="38">
        <v>16</v>
      </c>
      <c r="BH131" s="37">
        <v>20</v>
      </c>
      <c r="BI131" s="38">
        <v>230</v>
      </c>
      <c r="BJ131" s="111">
        <v>4</v>
      </c>
      <c r="BK131" s="33">
        <v>8</v>
      </c>
      <c r="BL131" s="115">
        <v>253</v>
      </c>
      <c r="BM131" s="111">
        <v>245</v>
      </c>
      <c r="BN131" s="35">
        <v>7</v>
      </c>
      <c r="BO131" s="32">
        <v>5</v>
      </c>
      <c r="BP131" s="31">
        <v>14</v>
      </c>
      <c r="BQ131" s="32">
        <v>242</v>
      </c>
      <c r="BR131" s="31">
        <v>229</v>
      </c>
      <c r="BS131" s="32">
        <v>28</v>
      </c>
      <c r="BT131" s="31">
        <v>22</v>
      </c>
      <c r="BU131" s="33">
        <v>5</v>
      </c>
      <c r="BV131" s="115">
        <v>236</v>
      </c>
      <c r="BW131" s="111">
        <v>240</v>
      </c>
      <c r="BX131" s="32">
        <v>22</v>
      </c>
      <c r="BY131" s="31">
        <v>244</v>
      </c>
      <c r="BZ131" s="32">
        <v>10</v>
      </c>
      <c r="CA131" s="111">
        <v>13</v>
      </c>
      <c r="CB131" s="32">
        <v>243</v>
      </c>
      <c r="CC131" s="33">
        <v>88</v>
      </c>
      <c r="CD131" s="34">
        <v>248</v>
      </c>
      <c r="CE131" s="120">
        <v>98</v>
      </c>
      <c r="CF131" s="38">
        <v>129</v>
      </c>
      <c r="CG131" s="31">
        <v>54</v>
      </c>
      <c r="CH131" s="35">
        <v>20</v>
      </c>
      <c r="CI131" s="35">
        <v>115</v>
      </c>
      <c r="CJ131" s="35">
        <v>115</v>
      </c>
      <c r="CK131" s="32">
        <v>62</v>
      </c>
    </row>
    <row r="132" spans="1:89" ht="13" x14ac:dyDescent="0.25">
      <c r="A132" s="27">
        <v>2201</v>
      </c>
      <c r="B132" s="28" t="s">
        <v>155</v>
      </c>
      <c r="C132" s="29">
        <v>1524</v>
      </c>
      <c r="D132" s="30">
        <v>983</v>
      </c>
      <c r="E132" s="20">
        <f t="shared" ref="E132:E195" si="2">SUM(D132/C132)</f>
        <v>0.64501312335958005</v>
      </c>
      <c r="F132" s="31">
        <v>0</v>
      </c>
      <c r="G132" s="111">
        <v>0</v>
      </c>
      <c r="H132" s="111">
        <v>0</v>
      </c>
      <c r="I132" s="111">
        <v>2</v>
      </c>
      <c r="J132" s="111">
        <v>0</v>
      </c>
      <c r="K132" s="111">
        <v>0</v>
      </c>
      <c r="L132" s="111">
        <v>0</v>
      </c>
      <c r="M132" s="111">
        <v>842</v>
      </c>
      <c r="N132" s="111">
        <v>0</v>
      </c>
      <c r="O132" s="111">
        <v>0</v>
      </c>
      <c r="P132" s="35">
        <v>5</v>
      </c>
      <c r="Q132" s="35">
        <v>3</v>
      </c>
      <c r="R132" s="35">
        <v>112</v>
      </c>
      <c r="S132" s="32">
        <v>1</v>
      </c>
      <c r="T132" s="37">
        <v>847</v>
      </c>
      <c r="U132" s="38">
        <v>111</v>
      </c>
      <c r="V132" s="37">
        <v>129</v>
      </c>
      <c r="W132" s="32">
        <v>822</v>
      </c>
      <c r="X132" s="31">
        <v>843</v>
      </c>
      <c r="Y132" s="32">
        <v>100</v>
      </c>
      <c r="Z132" s="111">
        <v>837</v>
      </c>
      <c r="AA132" s="35">
        <v>0</v>
      </c>
      <c r="AB132" s="35">
        <v>31</v>
      </c>
      <c r="AC132" s="35">
        <v>95</v>
      </c>
      <c r="AD132" s="35">
        <v>0</v>
      </c>
      <c r="AE132" s="33">
        <v>0</v>
      </c>
      <c r="AF132" s="116">
        <v>4</v>
      </c>
      <c r="AG132" s="120">
        <v>828</v>
      </c>
      <c r="AH132" s="38">
        <v>106</v>
      </c>
      <c r="AI132" s="37"/>
      <c r="AJ132" s="36"/>
      <c r="AK132" s="37"/>
      <c r="AL132" s="38"/>
      <c r="AM132" s="37"/>
      <c r="AN132" s="116"/>
      <c r="AO132" s="120">
        <v>104</v>
      </c>
      <c r="AP132" s="38">
        <v>846</v>
      </c>
      <c r="AQ132" s="37"/>
      <c r="AR132" s="116"/>
      <c r="AS132" s="120"/>
      <c r="AT132" s="38"/>
      <c r="AU132" s="37"/>
      <c r="AV132" s="120"/>
      <c r="AW132" s="120"/>
      <c r="AX132" s="37"/>
      <c r="AY132" s="38"/>
      <c r="AZ132" s="37"/>
      <c r="BA132" s="116"/>
      <c r="BB132" s="31">
        <v>114</v>
      </c>
      <c r="BC132" s="32">
        <v>824</v>
      </c>
      <c r="BD132" s="31">
        <v>100</v>
      </c>
      <c r="BE132" s="116">
        <v>835</v>
      </c>
      <c r="BF132" s="120">
        <v>828</v>
      </c>
      <c r="BG132" s="38">
        <v>103</v>
      </c>
      <c r="BH132" s="37">
        <v>114</v>
      </c>
      <c r="BI132" s="38">
        <v>812</v>
      </c>
      <c r="BJ132" s="111">
        <v>44</v>
      </c>
      <c r="BK132" s="33">
        <v>86</v>
      </c>
      <c r="BL132" s="115">
        <v>816</v>
      </c>
      <c r="BM132" s="111">
        <v>816</v>
      </c>
      <c r="BN132" s="35">
        <v>92</v>
      </c>
      <c r="BO132" s="32">
        <v>34</v>
      </c>
      <c r="BP132" s="31">
        <v>109</v>
      </c>
      <c r="BQ132" s="32">
        <v>833</v>
      </c>
      <c r="BR132" s="31">
        <v>810</v>
      </c>
      <c r="BS132" s="32">
        <v>133</v>
      </c>
      <c r="BT132" s="31">
        <v>93</v>
      </c>
      <c r="BU132" s="33">
        <v>37</v>
      </c>
      <c r="BV132" s="115">
        <v>814</v>
      </c>
      <c r="BW132" s="111">
        <v>832</v>
      </c>
      <c r="BX132" s="32">
        <v>114</v>
      </c>
      <c r="BY132" s="31">
        <v>832</v>
      </c>
      <c r="BZ132" s="32">
        <v>104</v>
      </c>
      <c r="CA132" s="111">
        <v>122</v>
      </c>
      <c r="CB132" s="32">
        <v>815</v>
      </c>
      <c r="CC132" s="33">
        <v>349</v>
      </c>
      <c r="CD132" s="34">
        <v>835</v>
      </c>
      <c r="CE132" s="120">
        <v>217</v>
      </c>
      <c r="CF132" s="38">
        <v>582</v>
      </c>
      <c r="CG132" s="31">
        <v>159</v>
      </c>
      <c r="CH132" s="35">
        <v>56</v>
      </c>
      <c r="CI132" s="35">
        <v>545</v>
      </c>
      <c r="CJ132" s="35">
        <v>610</v>
      </c>
      <c r="CK132" s="32">
        <v>139</v>
      </c>
    </row>
    <row r="133" spans="1:89" ht="13" x14ac:dyDescent="0.25">
      <c r="A133" s="27">
        <v>2202</v>
      </c>
      <c r="B133" s="28" t="s">
        <v>156</v>
      </c>
      <c r="C133" s="29">
        <v>1109</v>
      </c>
      <c r="D133" s="30">
        <v>481</v>
      </c>
      <c r="E133" s="20">
        <f t="shared" si="2"/>
        <v>0.43372407574391342</v>
      </c>
      <c r="F133" s="31">
        <v>0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  <c r="L133" s="111">
        <v>0</v>
      </c>
      <c r="M133" s="111">
        <v>400</v>
      </c>
      <c r="N133" s="111">
        <v>0</v>
      </c>
      <c r="O133" s="111">
        <v>0</v>
      </c>
      <c r="P133" s="35">
        <v>0</v>
      </c>
      <c r="Q133" s="35">
        <v>0</v>
      </c>
      <c r="R133" s="35">
        <v>77</v>
      </c>
      <c r="S133" s="32">
        <v>0</v>
      </c>
      <c r="T133" s="37">
        <v>399</v>
      </c>
      <c r="U133" s="38">
        <v>69</v>
      </c>
      <c r="V133" s="37">
        <v>91</v>
      </c>
      <c r="W133" s="32">
        <v>382</v>
      </c>
      <c r="X133" s="31">
        <v>391</v>
      </c>
      <c r="Y133" s="32">
        <v>72</v>
      </c>
      <c r="Z133" s="111">
        <v>384</v>
      </c>
      <c r="AA133" s="35">
        <v>0</v>
      </c>
      <c r="AB133" s="35">
        <v>19</v>
      </c>
      <c r="AC133" s="35">
        <v>66</v>
      </c>
      <c r="AD133" s="35">
        <v>0</v>
      </c>
      <c r="AE133" s="33">
        <v>0</v>
      </c>
      <c r="AF133" s="116">
        <v>0</v>
      </c>
      <c r="AG133" s="120">
        <v>386</v>
      </c>
      <c r="AH133" s="38">
        <v>71</v>
      </c>
      <c r="AI133" s="37"/>
      <c r="AJ133" s="36"/>
      <c r="AK133" s="37"/>
      <c r="AL133" s="38"/>
      <c r="AM133" s="37"/>
      <c r="AN133" s="116"/>
      <c r="AO133" s="120">
        <v>73</v>
      </c>
      <c r="AP133" s="38">
        <v>394</v>
      </c>
      <c r="AQ133" s="37"/>
      <c r="AR133" s="116"/>
      <c r="AS133" s="120"/>
      <c r="AT133" s="38"/>
      <c r="AU133" s="37"/>
      <c r="AV133" s="120"/>
      <c r="AW133" s="120"/>
      <c r="AX133" s="37"/>
      <c r="AY133" s="38"/>
      <c r="AZ133" s="37"/>
      <c r="BA133" s="116"/>
      <c r="BB133" s="31">
        <v>85</v>
      </c>
      <c r="BC133" s="32">
        <v>373</v>
      </c>
      <c r="BD133" s="31">
        <v>73</v>
      </c>
      <c r="BE133" s="116">
        <v>387</v>
      </c>
      <c r="BF133" s="120">
        <v>386</v>
      </c>
      <c r="BG133" s="38">
        <v>70</v>
      </c>
      <c r="BH133" s="37">
        <v>81</v>
      </c>
      <c r="BI133" s="38">
        <v>375</v>
      </c>
      <c r="BJ133" s="111">
        <v>24</v>
      </c>
      <c r="BK133" s="33">
        <v>65</v>
      </c>
      <c r="BL133" s="115">
        <v>376</v>
      </c>
      <c r="BM133" s="111">
        <v>369</v>
      </c>
      <c r="BN133" s="35">
        <v>66</v>
      </c>
      <c r="BO133" s="32">
        <v>21</v>
      </c>
      <c r="BP133" s="31">
        <v>74</v>
      </c>
      <c r="BQ133" s="32">
        <v>380</v>
      </c>
      <c r="BR133" s="31">
        <v>368</v>
      </c>
      <c r="BS133" s="32">
        <v>93</v>
      </c>
      <c r="BT133" s="31">
        <v>71</v>
      </c>
      <c r="BU133" s="33">
        <v>19</v>
      </c>
      <c r="BV133" s="115">
        <v>370</v>
      </c>
      <c r="BW133" s="111">
        <v>390</v>
      </c>
      <c r="BX133" s="32">
        <v>73</v>
      </c>
      <c r="BY133" s="31">
        <v>381</v>
      </c>
      <c r="BZ133" s="32">
        <v>70</v>
      </c>
      <c r="CA133" s="111">
        <v>75</v>
      </c>
      <c r="CB133" s="32">
        <v>386</v>
      </c>
      <c r="CC133" s="33">
        <v>182</v>
      </c>
      <c r="CD133" s="34">
        <v>417</v>
      </c>
      <c r="CE133" s="120">
        <v>164</v>
      </c>
      <c r="CF133" s="38">
        <v>225</v>
      </c>
      <c r="CG133" s="31">
        <v>98</v>
      </c>
      <c r="CH133" s="35">
        <v>44</v>
      </c>
      <c r="CI133" s="35">
        <v>209</v>
      </c>
      <c r="CJ133" s="35">
        <v>232</v>
      </c>
      <c r="CK133" s="32">
        <v>86</v>
      </c>
    </row>
    <row r="134" spans="1:89" ht="13" x14ac:dyDescent="0.25">
      <c r="A134" s="27">
        <v>2203</v>
      </c>
      <c r="B134" s="28" t="s">
        <v>157</v>
      </c>
      <c r="C134" s="29">
        <v>1510</v>
      </c>
      <c r="D134" s="30">
        <v>434</v>
      </c>
      <c r="E134" s="20">
        <f t="shared" si="2"/>
        <v>0.28741721854304636</v>
      </c>
      <c r="F134" s="31">
        <v>0</v>
      </c>
      <c r="G134" s="111">
        <v>0</v>
      </c>
      <c r="H134" s="111">
        <v>0</v>
      </c>
      <c r="I134" s="111">
        <v>0</v>
      </c>
      <c r="J134" s="111">
        <v>1</v>
      </c>
      <c r="K134" s="111">
        <v>0</v>
      </c>
      <c r="L134" s="111">
        <v>0</v>
      </c>
      <c r="M134" s="111">
        <v>397</v>
      </c>
      <c r="N134" s="111">
        <v>0</v>
      </c>
      <c r="O134" s="111">
        <v>0</v>
      </c>
      <c r="P134" s="35">
        <v>1</v>
      </c>
      <c r="Q134" s="35">
        <v>1</v>
      </c>
      <c r="R134" s="35">
        <v>27</v>
      </c>
      <c r="S134" s="32">
        <v>0</v>
      </c>
      <c r="T134" s="37">
        <v>384</v>
      </c>
      <c r="U134" s="38">
        <v>38</v>
      </c>
      <c r="V134" s="37">
        <v>38</v>
      </c>
      <c r="W134" s="32">
        <v>379</v>
      </c>
      <c r="X134" s="31">
        <v>386</v>
      </c>
      <c r="Y134" s="32">
        <v>29</v>
      </c>
      <c r="Z134" s="111">
        <v>371</v>
      </c>
      <c r="AA134" s="35">
        <v>0</v>
      </c>
      <c r="AB134" s="35">
        <v>20</v>
      </c>
      <c r="AC134" s="35">
        <v>24</v>
      </c>
      <c r="AD134" s="35">
        <v>0</v>
      </c>
      <c r="AE134" s="33">
        <v>0</v>
      </c>
      <c r="AF134" s="116">
        <v>0</v>
      </c>
      <c r="AG134" s="120">
        <v>376</v>
      </c>
      <c r="AH134" s="38">
        <v>33</v>
      </c>
      <c r="AI134" s="37"/>
      <c r="AJ134" s="36"/>
      <c r="AK134" s="37"/>
      <c r="AL134" s="38"/>
      <c r="AM134" s="37"/>
      <c r="AN134" s="116"/>
      <c r="AO134" s="120">
        <v>28</v>
      </c>
      <c r="AP134" s="38">
        <v>397</v>
      </c>
      <c r="AQ134" s="37"/>
      <c r="AR134" s="116"/>
      <c r="AS134" s="120"/>
      <c r="AT134" s="38"/>
      <c r="AU134" s="37"/>
      <c r="AV134" s="120"/>
      <c r="AW134" s="120"/>
      <c r="AX134" s="37"/>
      <c r="AY134" s="38"/>
      <c r="AZ134" s="37"/>
      <c r="BA134" s="116"/>
      <c r="BB134" s="31">
        <v>33</v>
      </c>
      <c r="BC134" s="32">
        <v>376</v>
      </c>
      <c r="BD134" s="31">
        <v>32</v>
      </c>
      <c r="BE134" s="116">
        <v>380</v>
      </c>
      <c r="BF134" s="120">
        <v>381</v>
      </c>
      <c r="BG134" s="38">
        <v>30</v>
      </c>
      <c r="BH134" s="37">
        <v>33</v>
      </c>
      <c r="BI134" s="38">
        <v>374</v>
      </c>
      <c r="BJ134" s="111">
        <v>15</v>
      </c>
      <c r="BK134" s="33">
        <v>25</v>
      </c>
      <c r="BL134" s="115">
        <v>383</v>
      </c>
      <c r="BM134" s="111">
        <v>380</v>
      </c>
      <c r="BN134" s="35">
        <v>21</v>
      </c>
      <c r="BO134" s="32">
        <v>12</v>
      </c>
      <c r="BP134" s="31">
        <v>30</v>
      </c>
      <c r="BQ134" s="32">
        <v>384</v>
      </c>
      <c r="BR134" s="31">
        <v>369</v>
      </c>
      <c r="BS134" s="32">
        <v>44</v>
      </c>
      <c r="BT134" s="31">
        <v>32</v>
      </c>
      <c r="BU134" s="33">
        <v>10</v>
      </c>
      <c r="BV134" s="115">
        <v>373</v>
      </c>
      <c r="BW134" s="111">
        <v>386</v>
      </c>
      <c r="BX134" s="32">
        <v>29</v>
      </c>
      <c r="BY134" s="31">
        <v>385</v>
      </c>
      <c r="BZ134" s="32">
        <v>29</v>
      </c>
      <c r="CA134" s="111">
        <v>30</v>
      </c>
      <c r="CB134" s="32">
        <v>388</v>
      </c>
      <c r="CC134" s="33">
        <v>143</v>
      </c>
      <c r="CD134" s="34">
        <v>403</v>
      </c>
      <c r="CE134" s="120">
        <v>154</v>
      </c>
      <c r="CF134" s="38">
        <v>192</v>
      </c>
      <c r="CG134" s="31">
        <v>96</v>
      </c>
      <c r="CH134" s="35">
        <v>31</v>
      </c>
      <c r="CI134" s="35">
        <v>168</v>
      </c>
      <c r="CJ134" s="35">
        <v>176</v>
      </c>
      <c r="CK134" s="32">
        <v>79</v>
      </c>
    </row>
    <row r="135" spans="1:89" ht="13" x14ac:dyDescent="0.25">
      <c r="A135" s="27">
        <v>2301</v>
      </c>
      <c r="B135" s="28" t="s">
        <v>158</v>
      </c>
      <c r="C135" s="29">
        <v>1542</v>
      </c>
      <c r="D135" s="30">
        <v>948</v>
      </c>
      <c r="E135" s="20">
        <f t="shared" si="2"/>
        <v>0.61478599221789887</v>
      </c>
      <c r="F135" s="31">
        <v>0</v>
      </c>
      <c r="G135" s="111">
        <v>0</v>
      </c>
      <c r="H135" s="111">
        <v>0</v>
      </c>
      <c r="I135" s="111">
        <v>3</v>
      </c>
      <c r="J135" s="111">
        <v>2</v>
      </c>
      <c r="K135" s="111">
        <v>0</v>
      </c>
      <c r="L135" s="111">
        <v>0</v>
      </c>
      <c r="M135" s="111">
        <v>807</v>
      </c>
      <c r="N135" s="111">
        <v>0</v>
      </c>
      <c r="O135" s="111">
        <v>0</v>
      </c>
      <c r="P135" s="35">
        <v>3</v>
      </c>
      <c r="Q135" s="35">
        <v>2</v>
      </c>
      <c r="R135" s="35">
        <v>122</v>
      </c>
      <c r="S135" s="32">
        <v>0</v>
      </c>
      <c r="T135" s="37">
        <v>792</v>
      </c>
      <c r="U135" s="38">
        <v>134</v>
      </c>
      <c r="V135" s="37">
        <v>156</v>
      </c>
      <c r="W135" s="32">
        <v>768</v>
      </c>
      <c r="X135" s="31">
        <v>798</v>
      </c>
      <c r="Y135" s="32">
        <v>121</v>
      </c>
      <c r="Z135" s="111">
        <v>812</v>
      </c>
      <c r="AA135" s="35">
        <v>0</v>
      </c>
      <c r="AB135" s="35">
        <v>18</v>
      </c>
      <c r="AC135" s="35">
        <v>112</v>
      </c>
      <c r="AD135" s="35">
        <v>0</v>
      </c>
      <c r="AE135" s="33">
        <v>0</v>
      </c>
      <c r="AF135" s="116">
        <v>0</v>
      </c>
      <c r="AG135" s="120">
        <v>798</v>
      </c>
      <c r="AH135" s="38">
        <v>123</v>
      </c>
      <c r="AI135" s="37"/>
      <c r="AJ135" s="36"/>
      <c r="AK135" s="37"/>
      <c r="AL135" s="38"/>
      <c r="AM135" s="37"/>
      <c r="AN135" s="116"/>
      <c r="AO135" s="120">
        <v>121</v>
      </c>
      <c r="AP135" s="38">
        <v>804</v>
      </c>
      <c r="AQ135" s="37"/>
      <c r="AR135" s="116"/>
      <c r="AS135" s="120"/>
      <c r="AT135" s="38"/>
      <c r="AU135" s="37"/>
      <c r="AV135" s="120"/>
      <c r="AW135" s="120"/>
      <c r="AX135" s="37"/>
      <c r="AY135" s="38"/>
      <c r="AZ135" s="37"/>
      <c r="BA135" s="116"/>
      <c r="BB135" s="31">
        <v>151</v>
      </c>
      <c r="BC135" s="32">
        <v>765</v>
      </c>
      <c r="BD135" s="31">
        <v>130</v>
      </c>
      <c r="BE135" s="116">
        <v>788</v>
      </c>
      <c r="BF135" s="120">
        <v>783</v>
      </c>
      <c r="BG135" s="38">
        <v>124</v>
      </c>
      <c r="BH135" s="37">
        <v>145</v>
      </c>
      <c r="BI135" s="38">
        <v>763</v>
      </c>
      <c r="BJ135" s="111">
        <v>34</v>
      </c>
      <c r="BK135" s="33">
        <v>113</v>
      </c>
      <c r="BL135" s="115">
        <v>776</v>
      </c>
      <c r="BM135" s="111">
        <v>776</v>
      </c>
      <c r="BN135" s="35">
        <v>121</v>
      </c>
      <c r="BO135" s="32">
        <v>23</v>
      </c>
      <c r="BP135" s="31">
        <v>137</v>
      </c>
      <c r="BQ135" s="32">
        <v>767</v>
      </c>
      <c r="BR135" s="31">
        <v>753</v>
      </c>
      <c r="BS135" s="32">
        <v>161</v>
      </c>
      <c r="BT135" s="31">
        <v>121</v>
      </c>
      <c r="BU135" s="33">
        <v>44</v>
      </c>
      <c r="BV135" s="115">
        <v>755</v>
      </c>
      <c r="BW135" s="111">
        <v>782</v>
      </c>
      <c r="BX135" s="32">
        <v>137</v>
      </c>
      <c r="BY135" s="31">
        <v>781</v>
      </c>
      <c r="BZ135" s="32">
        <v>121</v>
      </c>
      <c r="CA135" s="111">
        <v>131</v>
      </c>
      <c r="CB135" s="32">
        <v>779</v>
      </c>
      <c r="CC135" s="33">
        <v>335</v>
      </c>
      <c r="CD135" s="34">
        <v>812</v>
      </c>
      <c r="CE135" s="120">
        <v>291</v>
      </c>
      <c r="CF135" s="38">
        <v>506</v>
      </c>
      <c r="CG135" s="31">
        <v>175</v>
      </c>
      <c r="CH135" s="35">
        <v>79</v>
      </c>
      <c r="CI135" s="35">
        <v>510</v>
      </c>
      <c r="CJ135" s="35">
        <v>558</v>
      </c>
      <c r="CK135" s="32">
        <v>168</v>
      </c>
    </row>
    <row r="136" spans="1:89" ht="13" x14ac:dyDescent="0.25">
      <c r="A136" s="27">
        <v>2302</v>
      </c>
      <c r="B136" s="28" t="s">
        <v>159</v>
      </c>
      <c r="C136" s="29">
        <v>1455</v>
      </c>
      <c r="D136" s="30">
        <v>477</v>
      </c>
      <c r="E136" s="20">
        <f t="shared" si="2"/>
        <v>0.32783505154639175</v>
      </c>
      <c r="F136" s="31">
        <v>0</v>
      </c>
      <c r="G136" s="111">
        <v>0</v>
      </c>
      <c r="H136" s="111">
        <v>0</v>
      </c>
      <c r="I136" s="111">
        <v>0</v>
      </c>
      <c r="J136" s="111">
        <v>2</v>
      </c>
      <c r="K136" s="111">
        <v>0</v>
      </c>
      <c r="L136" s="111">
        <v>0</v>
      </c>
      <c r="M136" s="111">
        <v>404</v>
      </c>
      <c r="N136" s="111">
        <v>0</v>
      </c>
      <c r="O136" s="111">
        <v>0</v>
      </c>
      <c r="P136" s="35">
        <v>3</v>
      </c>
      <c r="Q136" s="35">
        <v>2</v>
      </c>
      <c r="R136" s="35">
        <v>61</v>
      </c>
      <c r="S136" s="32">
        <v>0</v>
      </c>
      <c r="T136" s="37">
        <v>397</v>
      </c>
      <c r="U136" s="38">
        <v>67</v>
      </c>
      <c r="V136" s="37">
        <v>73</v>
      </c>
      <c r="W136" s="32">
        <v>389</v>
      </c>
      <c r="X136" s="31">
        <v>400</v>
      </c>
      <c r="Y136" s="32">
        <v>58</v>
      </c>
      <c r="Z136" s="111">
        <v>396</v>
      </c>
      <c r="AA136" s="35">
        <v>0</v>
      </c>
      <c r="AB136" s="35">
        <v>17</v>
      </c>
      <c r="AC136" s="35">
        <v>53</v>
      </c>
      <c r="AD136" s="35">
        <v>0</v>
      </c>
      <c r="AE136" s="33">
        <v>0</v>
      </c>
      <c r="AF136" s="116">
        <v>0</v>
      </c>
      <c r="AG136" s="120">
        <v>410</v>
      </c>
      <c r="AH136" s="38">
        <v>52</v>
      </c>
      <c r="AI136" s="37"/>
      <c r="AJ136" s="36"/>
      <c r="AK136" s="37"/>
      <c r="AL136" s="38"/>
      <c r="AM136" s="37"/>
      <c r="AN136" s="116"/>
      <c r="AO136" s="120">
        <v>58</v>
      </c>
      <c r="AP136" s="38">
        <v>403</v>
      </c>
      <c r="AQ136" s="37"/>
      <c r="AR136" s="116"/>
      <c r="AS136" s="120"/>
      <c r="AT136" s="38"/>
      <c r="AU136" s="37"/>
      <c r="AV136" s="120"/>
      <c r="AW136" s="120"/>
      <c r="AX136" s="37"/>
      <c r="AY136" s="38"/>
      <c r="AZ136" s="37"/>
      <c r="BA136" s="116"/>
      <c r="BB136" s="31">
        <v>65</v>
      </c>
      <c r="BC136" s="32">
        <v>391</v>
      </c>
      <c r="BD136" s="31">
        <v>62</v>
      </c>
      <c r="BE136" s="116">
        <v>390</v>
      </c>
      <c r="BF136" s="120">
        <v>392</v>
      </c>
      <c r="BG136" s="38">
        <v>59</v>
      </c>
      <c r="BH136" s="37">
        <v>59</v>
      </c>
      <c r="BI136" s="38">
        <v>391</v>
      </c>
      <c r="BJ136" s="111">
        <v>9</v>
      </c>
      <c r="BK136" s="33">
        <v>47</v>
      </c>
      <c r="BL136" s="115">
        <v>403</v>
      </c>
      <c r="BM136" s="111">
        <v>391</v>
      </c>
      <c r="BN136" s="35">
        <v>48</v>
      </c>
      <c r="BO136" s="32">
        <v>13</v>
      </c>
      <c r="BP136" s="31">
        <v>58</v>
      </c>
      <c r="BQ136" s="32">
        <v>389</v>
      </c>
      <c r="BR136" s="31">
        <v>376</v>
      </c>
      <c r="BS136" s="32">
        <v>78</v>
      </c>
      <c r="BT136" s="31">
        <v>54</v>
      </c>
      <c r="BU136" s="33">
        <v>13</v>
      </c>
      <c r="BV136" s="115">
        <v>387</v>
      </c>
      <c r="BW136" s="111">
        <v>395</v>
      </c>
      <c r="BX136" s="32">
        <v>61</v>
      </c>
      <c r="BY136" s="31">
        <v>394</v>
      </c>
      <c r="BZ136" s="32">
        <v>54</v>
      </c>
      <c r="CA136" s="111">
        <v>54</v>
      </c>
      <c r="CB136" s="32">
        <v>397</v>
      </c>
      <c r="CC136" s="33">
        <v>174</v>
      </c>
      <c r="CD136" s="34">
        <v>413</v>
      </c>
      <c r="CE136" s="120">
        <v>163</v>
      </c>
      <c r="CF136" s="38">
        <v>232</v>
      </c>
      <c r="CG136" s="31">
        <v>104</v>
      </c>
      <c r="CH136" s="35">
        <v>40</v>
      </c>
      <c r="CI136" s="35">
        <v>203</v>
      </c>
      <c r="CJ136" s="35">
        <v>233</v>
      </c>
      <c r="CK136" s="32">
        <v>108</v>
      </c>
    </row>
    <row r="137" spans="1:89" ht="13" x14ac:dyDescent="0.25">
      <c r="A137" s="27">
        <v>2303</v>
      </c>
      <c r="B137" s="28" t="s">
        <v>160</v>
      </c>
      <c r="C137" s="29">
        <v>916</v>
      </c>
      <c r="D137" s="30">
        <v>686</v>
      </c>
      <c r="E137" s="20">
        <f t="shared" si="2"/>
        <v>0.74890829694323147</v>
      </c>
      <c r="F137" s="31">
        <v>0</v>
      </c>
      <c r="G137" s="111">
        <v>0</v>
      </c>
      <c r="H137" s="111">
        <v>0</v>
      </c>
      <c r="I137" s="111">
        <v>2</v>
      </c>
      <c r="J137" s="111">
        <v>0</v>
      </c>
      <c r="K137" s="111">
        <v>0</v>
      </c>
      <c r="L137" s="111">
        <v>0</v>
      </c>
      <c r="M137" s="111">
        <v>608</v>
      </c>
      <c r="N137" s="111">
        <v>0</v>
      </c>
      <c r="O137" s="111">
        <v>0</v>
      </c>
      <c r="P137" s="35">
        <v>4</v>
      </c>
      <c r="Q137" s="35">
        <v>2</v>
      </c>
      <c r="R137" s="35">
        <v>56</v>
      </c>
      <c r="S137" s="32">
        <v>2</v>
      </c>
      <c r="T137" s="37">
        <v>604</v>
      </c>
      <c r="U137" s="38">
        <v>71</v>
      </c>
      <c r="V137" s="37">
        <v>76</v>
      </c>
      <c r="W137" s="32">
        <v>600</v>
      </c>
      <c r="X137" s="31">
        <v>610</v>
      </c>
      <c r="Y137" s="32">
        <v>63</v>
      </c>
      <c r="Z137" s="111">
        <v>610</v>
      </c>
      <c r="AA137" s="35">
        <v>0</v>
      </c>
      <c r="AB137" s="35">
        <v>13</v>
      </c>
      <c r="AC137" s="35">
        <v>55</v>
      </c>
      <c r="AD137" s="35">
        <v>0</v>
      </c>
      <c r="AE137" s="33">
        <v>0</v>
      </c>
      <c r="AF137" s="116">
        <v>0</v>
      </c>
      <c r="AG137" s="120">
        <v>594</v>
      </c>
      <c r="AH137" s="38">
        <v>66</v>
      </c>
      <c r="AI137" s="37"/>
      <c r="AJ137" s="36"/>
      <c r="AK137" s="37"/>
      <c r="AL137" s="38"/>
      <c r="AM137" s="37"/>
      <c r="AN137" s="116"/>
      <c r="AO137" s="120">
        <v>60</v>
      </c>
      <c r="AP137" s="38">
        <v>611</v>
      </c>
      <c r="AQ137" s="37"/>
      <c r="AR137" s="116"/>
      <c r="AS137" s="120"/>
      <c r="AT137" s="38"/>
      <c r="AU137" s="37"/>
      <c r="AV137" s="120"/>
      <c r="AW137" s="120"/>
      <c r="AX137" s="37"/>
      <c r="AY137" s="38"/>
      <c r="AZ137" s="37"/>
      <c r="BA137" s="116"/>
      <c r="BB137" s="31">
        <v>79</v>
      </c>
      <c r="BC137" s="32">
        <v>582</v>
      </c>
      <c r="BD137" s="31">
        <v>65</v>
      </c>
      <c r="BE137" s="116">
        <v>604</v>
      </c>
      <c r="BF137" s="120">
        <v>602</v>
      </c>
      <c r="BG137" s="38">
        <v>66</v>
      </c>
      <c r="BH137" s="37">
        <v>82</v>
      </c>
      <c r="BI137" s="38">
        <v>583</v>
      </c>
      <c r="BJ137" s="111">
        <v>17</v>
      </c>
      <c r="BK137" s="33">
        <v>63</v>
      </c>
      <c r="BL137" s="115">
        <v>587</v>
      </c>
      <c r="BM137" s="111">
        <v>599</v>
      </c>
      <c r="BN137" s="35">
        <v>61</v>
      </c>
      <c r="BO137" s="32">
        <v>14</v>
      </c>
      <c r="BP137" s="31">
        <v>72</v>
      </c>
      <c r="BQ137" s="32">
        <v>597</v>
      </c>
      <c r="BR137" s="31">
        <v>579</v>
      </c>
      <c r="BS137" s="32">
        <v>81</v>
      </c>
      <c r="BT137" s="31">
        <v>61</v>
      </c>
      <c r="BU137" s="33">
        <v>18</v>
      </c>
      <c r="BV137" s="115">
        <v>586</v>
      </c>
      <c r="BW137" s="111">
        <v>609</v>
      </c>
      <c r="BX137" s="32">
        <v>62</v>
      </c>
      <c r="BY137" s="31">
        <v>599</v>
      </c>
      <c r="BZ137" s="32">
        <v>61</v>
      </c>
      <c r="CA137" s="111">
        <v>68</v>
      </c>
      <c r="CB137" s="32">
        <v>596</v>
      </c>
      <c r="CC137" s="33">
        <v>227</v>
      </c>
      <c r="CD137" s="34">
        <v>591</v>
      </c>
      <c r="CE137" s="120">
        <v>142</v>
      </c>
      <c r="CF137" s="38">
        <v>433</v>
      </c>
      <c r="CG137" s="31">
        <v>107</v>
      </c>
      <c r="CH137" s="35">
        <v>31</v>
      </c>
      <c r="CI137" s="35">
        <v>433</v>
      </c>
      <c r="CJ137" s="35">
        <v>472</v>
      </c>
      <c r="CK137" s="32">
        <v>85</v>
      </c>
    </row>
    <row r="138" spans="1:89" ht="13" x14ac:dyDescent="0.25">
      <c r="A138" s="27">
        <v>2304</v>
      </c>
      <c r="B138" s="28" t="s">
        <v>161</v>
      </c>
      <c r="C138" s="29">
        <v>1171</v>
      </c>
      <c r="D138" s="30">
        <v>854</v>
      </c>
      <c r="E138" s="20">
        <f t="shared" si="2"/>
        <v>0.72929120409906067</v>
      </c>
      <c r="F138" s="31">
        <v>0</v>
      </c>
      <c r="G138" s="111">
        <v>0</v>
      </c>
      <c r="H138" s="111">
        <v>0</v>
      </c>
      <c r="I138" s="111">
        <v>4</v>
      </c>
      <c r="J138" s="111">
        <v>0</v>
      </c>
      <c r="K138" s="111">
        <v>0</v>
      </c>
      <c r="L138" s="111">
        <v>0</v>
      </c>
      <c r="M138" s="111">
        <v>764</v>
      </c>
      <c r="N138" s="111">
        <v>0</v>
      </c>
      <c r="O138" s="111">
        <v>0</v>
      </c>
      <c r="P138" s="35">
        <v>3</v>
      </c>
      <c r="Q138" s="35">
        <v>1</v>
      </c>
      <c r="R138" s="35">
        <v>64</v>
      </c>
      <c r="S138" s="32">
        <v>1</v>
      </c>
      <c r="T138" s="37">
        <v>773</v>
      </c>
      <c r="U138" s="38">
        <v>75</v>
      </c>
      <c r="V138" s="37">
        <v>79</v>
      </c>
      <c r="W138" s="32">
        <v>765</v>
      </c>
      <c r="X138" s="31">
        <v>777</v>
      </c>
      <c r="Y138" s="32">
        <v>65</v>
      </c>
      <c r="Z138" s="111">
        <v>772</v>
      </c>
      <c r="AA138" s="35">
        <v>0</v>
      </c>
      <c r="AB138" s="35">
        <v>22</v>
      </c>
      <c r="AC138" s="35">
        <v>50</v>
      </c>
      <c r="AD138" s="35">
        <v>0</v>
      </c>
      <c r="AE138" s="33">
        <v>0</v>
      </c>
      <c r="AF138" s="116">
        <v>0</v>
      </c>
      <c r="AG138" s="120">
        <v>756</v>
      </c>
      <c r="AH138" s="38">
        <v>68</v>
      </c>
      <c r="AI138" s="37"/>
      <c r="AJ138" s="36"/>
      <c r="AK138" s="37"/>
      <c r="AL138" s="38"/>
      <c r="AM138" s="37"/>
      <c r="AN138" s="116"/>
      <c r="AO138" s="120">
        <v>65</v>
      </c>
      <c r="AP138" s="38">
        <v>777</v>
      </c>
      <c r="AQ138" s="37"/>
      <c r="AR138" s="116"/>
      <c r="AS138" s="120"/>
      <c r="AT138" s="38"/>
      <c r="AU138" s="37"/>
      <c r="AV138" s="120"/>
      <c r="AW138" s="120"/>
      <c r="AX138" s="37"/>
      <c r="AY138" s="38"/>
      <c r="AZ138" s="37"/>
      <c r="BA138" s="116"/>
      <c r="BB138" s="31">
        <v>73</v>
      </c>
      <c r="BC138" s="32">
        <v>764</v>
      </c>
      <c r="BD138" s="31">
        <v>68</v>
      </c>
      <c r="BE138" s="116">
        <v>767</v>
      </c>
      <c r="BF138" s="120">
        <v>758</v>
      </c>
      <c r="BG138" s="38">
        <v>74</v>
      </c>
      <c r="BH138" s="37">
        <v>88</v>
      </c>
      <c r="BI138" s="38">
        <v>746</v>
      </c>
      <c r="BJ138" s="111">
        <v>24</v>
      </c>
      <c r="BK138" s="33">
        <v>55</v>
      </c>
      <c r="BL138" s="115">
        <v>757</v>
      </c>
      <c r="BM138" s="111">
        <v>761</v>
      </c>
      <c r="BN138" s="35">
        <v>65</v>
      </c>
      <c r="BO138" s="32">
        <v>17</v>
      </c>
      <c r="BP138" s="31">
        <v>73</v>
      </c>
      <c r="BQ138" s="32">
        <v>764</v>
      </c>
      <c r="BR138" s="31">
        <v>747</v>
      </c>
      <c r="BS138" s="32">
        <v>89</v>
      </c>
      <c r="BT138" s="31">
        <v>66</v>
      </c>
      <c r="BU138" s="33">
        <v>23</v>
      </c>
      <c r="BV138" s="115">
        <v>744</v>
      </c>
      <c r="BW138" s="111">
        <v>766</v>
      </c>
      <c r="BX138" s="32">
        <v>75</v>
      </c>
      <c r="BY138" s="31">
        <v>767</v>
      </c>
      <c r="BZ138" s="32">
        <v>63</v>
      </c>
      <c r="CA138" s="111">
        <v>78</v>
      </c>
      <c r="CB138" s="32">
        <v>758</v>
      </c>
      <c r="CC138" s="33">
        <v>266</v>
      </c>
      <c r="CD138" s="34">
        <v>772</v>
      </c>
      <c r="CE138" s="120">
        <v>185</v>
      </c>
      <c r="CF138" s="38">
        <v>564</v>
      </c>
      <c r="CG138" s="31">
        <v>133</v>
      </c>
      <c r="CH138" s="35">
        <v>42</v>
      </c>
      <c r="CI138" s="35">
        <v>558</v>
      </c>
      <c r="CJ138" s="35">
        <v>614</v>
      </c>
      <c r="CK138" s="32">
        <v>81</v>
      </c>
    </row>
    <row r="139" spans="1:89" ht="13" x14ac:dyDescent="0.25">
      <c r="A139" s="27">
        <v>2305</v>
      </c>
      <c r="B139" s="28" t="s">
        <v>162</v>
      </c>
      <c r="C139" s="29">
        <v>1045</v>
      </c>
      <c r="D139" s="30">
        <v>600</v>
      </c>
      <c r="E139" s="20">
        <f t="shared" si="2"/>
        <v>0.57416267942583732</v>
      </c>
      <c r="F139" s="31">
        <v>0</v>
      </c>
      <c r="G139" s="111">
        <v>0</v>
      </c>
      <c r="H139" s="111">
        <v>0</v>
      </c>
      <c r="I139" s="111">
        <v>0</v>
      </c>
      <c r="J139" s="111">
        <v>1</v>
      </c>
      <c r="K139" s="111">
        <v>0</v>
      </c>
      <c r="L139" s="111">
        <v>0</v>
      </c>
      <c r="M139" s="111">
        <v>547</v>
      </c>
      <c r="N139" s="111">
        <v>0</v>
      </c>
      <c r="O139" s="111">
        <v>0</v>
      </c>
      <c r="P139" s="35">
        <v>3</v>
      </c>
      <c r="Q139" s="35">
        <v>0</v>
      </c>
      <c r="R139" s="35">
        <v>38</v>
      </c>
      <c r="S139" s="32">
        <v>0</v>
      </c>
      <c r="T139" s="37">
        <v>533</v>
      </c>
      <c r="U139" s="38">
        <v>42</v>
      </c>
      <c r="V139" s="37">
        <v>59</v>
      </c>
      <c r="W139" s="32">
        <v>516</v>
      </c>
      <c r="X139" s="31">
        <v>527</v>
      </c>
      <c r="Y139" s="32">
        <v>43</v>
      </c>
      <c r="Z139" s="111">
        <v>529</v>
      </c>
      <c r="AA139" s="35">
        <v>0</v>
      </c>
      <c r="AB139" s="35">
        <v>16</v>
      </c>
      <c r="AC139" s="35">
        <v>36</v>
      </c>
      <c r="AD139" s="35">
        <v>0</v>
      </c>
      <c r="AE139" s="33">
        <v>0</v>
      </c>
      <c r="AF139" s="116">
        <v>1</v>
      </c>
      <c r="AG139" s="120">
        <v>529</v>
      </c>
      <c r="AH139" s="38">
        <v>43</v>
      </c>
      <c r="AI139" s="37"/>
      <c r="AJ139" s="36"/>
      <c r="AK139" s="37"/>
      <c r="AL139" s="38"/>
      <c r="AM139" s="37"/>
      <c r="AN139" s="116"/>
      <c r="AO139" s="120">
        <v>32</v>
      </c>
      <c r="AP139" s="38">
        <v>554</v>
      </c>
      <c r="AQ139" s="37"/>
      <c r="AR139" s="116"/>
      <c r="AS139" s="120"/>
      <c r="AT139" s="38"/>
      <c r="AU139" s="37"/>
      <c r="AV139" s="120"/>
      <c r="AW139" s="120"/>
      <c r="AX139" s="37"/>
      <c r="AY139" s="38"/>
      <c r="AZ139" s="37"/>
      <c r="BA139" s="116"/>
      <c r="BB139" s="31">
        <v>46</v>
      </c>
      <c r="BC139" s="32">
        <v>519</v>
      </c>
      <c r="BD139" s="31">
        <v>44</v>
      </c>
      <c r="BE139" s="116">
        <v>521</v>
      </c>
      <c r="BF139" s="120">
        <v>525</v>
      </c>
      <c r="BG139" s="38">
        <v>41</v>
      </c>
      <c r="BH139" s="37">
        <v>50</v>
      </c>
      <c r="BI139" s="38">
        <v>514</v>
      </c>
      <c r="BJ139" s="111">
        <v>14</v>
      </c>
      <c r="BK139" s="33">
        <v>28</v>
      </c>
      <c r="BL139" s="115">
        <v>546</v>
      </c>
      <c r="BM139" s="111">
        <v>523</v>
      </c>
      <c r="BN139" s="35">
        <v>30</v>
      </c>
      <c r="BO139" s="32">
        <v>14</v>
      </c>
      <c r="BP139" s="31">
        <v>41</v>
      </c>
      <c r="BQ139" s="32">
        <v>528</v>
      </c>
      <c r="BR139" s="31">
        <v>505</v>
      </c>
      <c r="BS139" s="32">
        <v>69</v>
      </c>
      <c r="BT139" s="31">
        <v>39</v>
      </c>
      <c r="BU139" s="33">
        <v>22</v>
      </c>
      <c r="BV139" s="115">
        <v>509</v>
      </c>
      <c r="BW139" s="111">
        <v>535</v>
      </c>
      <c r="BX139" s="32">
        <v>47</v>
      </c>
      <c r="BY139" s="31">
        <v>530</v>
      </c>
      <c r="BZ139" s="32">
        <v>40</v>
      </c>
      <c r="CA139" s="111">
        <v>38</v>
      </c>
      <c r="CB139" s="32">
        <v>536</v>
      </c>
      <c r="CC139" s="33">
        <v>191</v>
      </c>
      <c r="CD139" s="34">
        <v>542</v>
      </c>
      <c r="CE139" s="120">
        <v>190</v>
      </c>
      <c r="CF139" s="38">
        <v>290</v>
      </c>
      <c r="CG139" s="31">
        <v>139</v>
      </c>
      <c r="CH139" s="35">
        <v>43</v>
      </c>
      <c r="CI139" s="35">
        <v>276</v>
      </c>
      <c r="CJ139" s="35">
        <v>281</v>
      </c>
      <c r="CK139" s="32">
        <v>107</v>
      </c>
    </row>
    <row r="140" spans="1:89" ht="13" x14ac:dyDescent="0.25">
      <c r="A140" s="27">
        <v>2306</v>
      </c>
      <c r="B140" s="28" t="s">
        <v>163</v>
      </c>
      <c r="C140" s="29">
        <v>1305</v>
      </c>
      <c r="D140" s="30">
        <v>850</v>
      </c>
      <c r="E140" s="20">
        <f t="shared" si="2"/>
        <v>0.65134099616858232</v>
      </c>
      <c r="F140" s="31">
        <v>0</v>
      </c>
      <c r="G140" s="111">
        <v>0</v>
      </c>
      <c r="H140" s="111">
        <v>0</v>
      </c>
      <c r="I140" s="111">
        <v>3</v>
      </c>
      <c r="J140" s="111">
        <v>2</v>
      </c>
      <c r="K140" s="111">
        <v>0</v>
      </c>
      <c r="L140" s="111">
        <v>0</v>
      </c>
      <c r="M140" s="111">
        <v>693</v>
      </c>
      <c r="N140" s="111">
        <v>0</v>
      </c>
      <c r="O140" s="111">
        <v>0</v>
      </c>
      <c r="P140" s="35">
        <v>1</v>
      </c>
      <c r="Q140" s="35">
        <v>0</v>
      </c>
      <c r="R140" s="35">
        <v>141</v>
      </c>
      <c r="S140" s="32">
        <v>0</v>
      </c>
      <c r="T140" s="37">
        <v>679</v>
      </c>
      <c r="U140" s="38">
        <v>145</v>
      </c>
      <c r="V140" s="37">
        <v>167</v>
      </c>
      <c r="W140" s="32">
        <v>653</v>
      </c>
      <c r="X140" s="31">
        <v>671</v>
      </c>
      <c r="Y140" s="32">
        <v>139</v>
      </c>
      <c r="Z140" s="111">
        <v>680</v>
      </c>
      <c r="AA140" s="35">
        <v>0</v>
      </c>
      <c r="AB140" s="35">
        <v>27</v>
      </c>
      <c r="AC140" s="35">
        <v>126</v>
      </c>
      <c r="AD140" s="35">
        <v>0</v>
      </c>
      <c r="AE140" s="33">
        <v>0</v>
      </c>
      <c r="AF140" s="116">
        <v>0</v>
      </c>
      <c r="AG140" s="120">
        <v>682</v>
      </c>
      <c r="AH140" s="38">
        <v>131</v>
      </c>
      <c r="AI140" s="37"/>
      <c r="AJ140" s="36"/>
      <c r="AK140" s="37"/>
      <c r="AL140" s="38"/>
      <c r="AM140" s="37"/>
      <c r="AN140" s="116"/>
      <c r="AO140" s="120">
        <v>132</v>
      </c>
      <c r="AP140" s="38">
        <v>693</v>
      </c>
      <c r="AQ140" s="37"/>
      <c r="AR140" s="116"/>
      <c r="AS140" s="120"/>
      <c r="AT140" s="38"/>
      <c r="AU140" s="37"/>
      <c r="AV140" s="120"/>
      <c r="AW140" s="120"/>
      <c r="AX140" s="37"/>
      <c r="AY140" s="38"/>
      <c r="AZ140" s="37"/>
      <c r="BA140" s="116"/>
      <c r="BB140" s="31">
        <v>151</v>
      </c>
      <c r="BC140" s="32">
        <v>648</v>
      </c>
      <c r="BD140" s="31">
        <v>137</v>
      </c>
      <c r="BE140" s="116">
        <v>666</v>
      </c>
      <c r="BF140" s="120">
        <v>660</v>
      </c>
      <c r="BG140" s="38">
        <v>141</v>
      </c>
      <c r="BH140" s="37">
        <v>154</v>
      </c>
      <c r="BI140" s="38">
        <v>640</v>
      </c>
      <c r="BJ140" s="111">
        <v>25</v>
      </c>
      <c r="BK140" s="33">
        <v>123</v>
      </c>
      <c r="BL140" s="115">
        <v>672</v>
      </c>
      <c r="BM140" s="111">
        <v>664</v>
      </c>
      <c r="BN140" s="35">
        <v>121</v>
      </c>
      <c r="BO140" s="32">
        <v>27</v>
      </c>
      <c r="BP140" s="31">
        <v>144</v>
      </c>
      <c r="BQ140" s="32">
        <v>658</v>
      </c>
      <c r="BR140" s="31">
        <v>630</v>
      </c>
      <c r="BS140" s="32">
        <v>181</v>
      </c>
      <c r="BT140" s="31">
        <v>146</v>
      </c>
      <c r="BU140" s="33">
        <v>23</v>
      </c>
      <c r="BV140" s="115">
        <v>641</v>
      </c>
      <c r="BW140" s="111">
        <v>687</v>
      </c>
      <c r="BX140" s="32">
        <v>138</v>
      </c>
      <c r="BY140" s="31">
        <v>653</v>
      </c>
      <c r="BZ140" s="32">
        <v>145</v>
      </c>
      <c r="CA140" s="111">
        <v>136</v>
      </c>
      <c r="CB140" s="32">
        <v>670</v>
      </c>
      <c r="CC140" s="33">
        <v>352</v>
      </c>
      <c r="CD140" s="34">
        <v>730</v>
      </c>
      <c r="CE140" s="120">
        <v>260</v>
      </c>
      <c r="CF140" s="38">
        <v>440</v>
      </c>
      <c r="CG140" s="31">
        <v>170</v>
      </c>
      <c r="CH140" s="35">
        <v>79</v>
      </c>
      <c r="CI140" s="35">
        <v>425</v>
      </c>
      <c r="CJ140" s="35">
        <v>437</v>
      </c>
      <c r="CK140" s="32">
        <v>176</v>
      </c>
    </row>
    <row r="141" spans="1:89" ht="13" x14ac:dyDescent="0.25">
      <c r="A141" s="27">
        <v>2307</v>
      </c>
      <c r="B141" s="28" t="s">
        <v>164</v>
      </c>
      <c r="C141" s="29">
        <v>587</v>
      </c>
      <c r="D141" s="30">
        <v>363</v>
      </c>
      <c r="E141" s="20">
        <f t="shared" si="2"/>
        <v>0.61839863713798982</v>
      </c>
      <c r="F141" s="31">
        <v>0</v>
      </c>
      <c r="G141" s="111">
        <v>0</v>
      </c>
      <c r="H141" s="111">
        <v>0</v>
      </c>
      <c r="I141" s="111">
        <v>0</v>
      </c>
      <c r="J141" s="111">
        <v>1</v>
      </c>
      <c r="K141" s="111">
        <v>0</v>
      </c>
      <c r="L141" s="111">
        <v>0</v>
      </c>
      <c r="M141" s="111">
        <v>323</v>
      </c>
      <c r="N141" s="111">
        <v>0</v>
      </c>
      <c r="O141" s="111">
        <v>0</v>
      </c>
      <c r="P141" s="35">
        <v>1</v>
      </c>
      <c r="Q141" s="35">
        <v>0</v>
      </c>
      <c r="R141" s="35">
        <v>26</v>
      </c>
      <c r="S141" s="32">
        <v>0</v>
      </c>
      <c r="T141" s="37">
        <v>322</v>
      </c>
      <c r="U141" s="38">
        <v>33</v>
      </c>
      <c r="V141" s="37">
        <v>41</v>
      </c>
      <c r="W141" s="32">
        <v>318</v>
      </c>
      <c r="X141" s="31">
        <v>323</v>
      </c>
      <c r="Y141" s="32">
        <v>30</v>
      </c>
      <c r="Z141" s="111">
        <v>323</v>
      </c>
      <c r="AA141" s="35">
        <v>0</v>
      </c>
      <c r="AB141" s="35">
        <v>13</v>
      </c>
      <c r="AC141" s="35">
        <v>19</v>
      </c>
      <c r="AD141" s="35">
        <v>0</v>
      </c>
      <c r="AE141" s="33">
        <v>0</v>
      </c>
      <c r="AF141" s="116">
        <v>0</v>
      </c>
      <c r="AG141" s="120">
        <v>314</v>
      </c>
      <c r="AH141" s="38">
        <v>30</v>
      </c>
      <c r="AI141" s="37"/>
      <c r="AJ141" s="36"/>
      <c r="AK141" s="37"/>
      <c r="AL141" s="38"/>
      <c r="AM141" s="37"/>
      <c r="AN141" s="116"/>
      <c r="AO141" s="120">
        <v>26</v>
      </c>
      <c r="AP141" s="38">
        <v>328</v>
      </c>
      <c r="AQ141" s="37"/>
      <c r="AR141" s="116"/>
      <c r="AS141" s="120"/>
      <c r="AT141" s="38"/>
      <c r="AU141" s="37"/>
      <c r="AV141" s="120"/>
      <c r="AW141" s="120"/>
      <c r="AX141" s="37"/>
      <c r="AY141" s="38"/>
      <c r="AZ141" s="37"/>
      <c r="BA141" s="116"/>
      <c r="BB141" s="31">
        <v>38</v>
      </c>
      <c r="BC141" s="32">
        <v>308</v>
      </c>
      <c r="BD141" s="31">
        <v>30</v>
      </c>
      <c r="BE141" s="116">
        <v>320</v>
      </c>
      <c r="BF141" s="120">
        <v>316</v>
      </c>
      <c r="BG141" s="38">
        <v>28</v>
      </c>
      <c r="BH141" s="37">
        <v>41</v>
      </c>
      <c r="BI141" s="38">
        <v>307</v>
      </c>
      <c r="BJ141" s="111">
        <v>8</v>
      </c>
      <c r="BK141" s="33">
        <v>24</v>
      </c>
      <c r="BL141" s="115">
        <v>322</v>
      </c>
      <c r="BM141" s="111">
        <v>324</v>
      </c>
      <c r="BN141" s="35">
        <v>23</v>
      </c>
      <c r="BO141" s="32">
        <v>3</v>
      </c>
      <c r="BP141" s="31">
        <v>27</v>
      </c>
      <c r="BQ141" s="32">
        <v>317</v>
      </c>
      <c r="BR141" s="31">
        <v>299</v>
      </c>
      <c r="BS141" s="32">
        <v>45</v>
      </c>
      <c r="BT141" s="31">
        <v>27</v>
      </c>
      <c r="BU141" s="33">
        <v>8</v>
      </c>
      <c r="BV141" s="115">
        <v>311</v>
      </c>
      <c r="BW141" s="111">
        <v>321</v>
      </c>
      <c r="BX141" s="32">
        <v>33</v>
      </c>
      <c r="BY141" s="31">
        <v>320</v>
      </c>
      <c r="BZ141" s="32">
        <v>23</v>
      </c>
      <c r="CA141" s="111">
        <v>30</v>
      </c>
      <c r="CB141" s="32">
        <v>313</v>
      </c>
      <c r="CC141" s="33">
        <v>117</v>
      </c>
      <c r="CD141" s="34">
        <v>320</v>
      </c>
      <c r="CE141" s="120">
        <v>99</v>
      </c>
      <c r="CF141" s="38">
        <v>205</v>
      </c>
      <c r="CG141" s="31">
        <v>72</v>
      </c>
      <c r="CH141" s="35">
        <v>27</v>
      </c>
      <c r="CI141" s="35">
        <v>181</v>
      </c>
      <c r="CJ141" s="35">
        <v>177</v>
      </c>
      <c r="CK141" s="32">
        <v>74</v>
      </c>
    </row>
    <row r="142" spans="1:89" ht="13" x14ac:dyDescent="0.25">
      <c r="A142" s="27">
        <v>2308</v>
      </c>
      <c r="B142" s="28" t="s">
        <v>165</v>
      </c>
      <c r="C142" s="29">
        <v>1037</v>
      </c>
      <c r="D142" s="30">
        <v>851</v>
      </c>
      <c r="E142" s="20">
        <f t="shared" si="2"/>
        <v>0.82063645130183216</v>
      </c>
      <c r="F142" s="31">
        <v>0</v>
      </c>
      <c r="G142" s="111">
        <v>0</v>
      </c>
      <c r="H142" s="111">
        <v>0</v>
      </c>
      <c r="I142" s="111">
        <v>0</v>
      </c>
      <c r="J142" s="111">
        <v>1</v>
      </c>
      <c r="K142" s="111">
        <v>0</v>
      </c>
      <c r="L142" s="111">
        <v>0</v>
      </c>
      <c r="M142" s="111">
        <v>653</v>
      </c>
      <c r="N142" s="111">
        <v>0</v>
      </c>
      <c r="O142" s="111">
        <v>0</v>
      </c>
      <c r="P142" s="35">
        <v>9</v>
      </c>
      <c r="Q142" s="35">
        <v>4</v>
      </c>
      <c r="R142" s="35">
        <v>171</v>
      </c>
      <c r="S142" s="32">
        <v>0</v>
      </c>
      <c r="T142" s="37">
        <v>619</v>
      </c>
      <c r="U142" s="38">
        <v>208</v>
      </c>
      <c r="V142" s="37">
        <v>222</v>
      </c>
      <c r="W142" s="32">
        <v>605</v>
      </c>
      <c r="X142" s="31">
        <v>616</v>
      </c>
      <c r="Y142" s="32">
        <v>202</v>
      </c>
      <c r="Z142" s="111">
        <v>646</v>
      </c>
      <c r="AA142" s="35">
        <v>0</v>
      </c>
      <c r="AB142" s="35">
        <v>19</v>
      </c>
      <c r="AC142" s="35">
        <v>169</v>
      </c>
      <c r="AD142" s="35">
        <v>0</v>
      </c>
      <c r="AE142" s="33">
        <v>0</v>
      </c>
      <c r="AF142" s="116">
        <v>0</v>
      </c>
      <c r="AG142" s="120">
        <v>653</v>
      </c>
      <c r="AH142" s="38">
        <v>173</v>
      </c>
      <c r="AI142" s="37"/>
      <c r="AJ142" s="36"/>
      <c r="AK142" s="37"/>
      <c r="AL142" s="38"/>
      <c r="AM142" s="37"/>
      <c r="AN142" s="116"/>
      <c r="AO142" s="120">
        <v>180</v>
      </c>
      <c r="AP142" s="38">
        <v>641</v>
      </c>
      <c r="AQ142" s="37"/>
      <c r="AR142" s="116"/>
      <c r="AS142" s="120"/>
      <c r="AT142" s="38"/>
      <c r="AU142" s="37"/>
      <c r="AV142" s="120"/>
      <c r="AW142" s="120"/>
      <c r="AX142" s="37"/>
      <c r="AY142" s="38"/>
      <c r="AZ142" s="37"/>
      <c r="BA142" s="116"/>
      <c r="BB142" s="31">
        <v>206</v>
      </c>
      <c r="BC142" s="32">
        <v>598</v>
      </c>
      <c r="BD142" s="31">
        <v>181</v>
      </c>
      <c r="BE142" s="116">
        <v>631</v>
      </c>
      <c r="BF142" s="120">
        <v>609</v>
      </c>
      <c r="BG142" s="38">
        <v>194</v>
      </c>
      <c r="BH142" s="37">
        <v>226</v>
      </c>
      <c r="BI142" s="38">
        <v>578</v>
      </c>
      <c r="BJ142" s="111">
        <v>22</v>
      </c>
      <c r="BK142" s="33">
        <v>176</v>
      </c>
      <c r="BL142" s="115">
        <v>612</v>
      </c>
      <c r="BM142" s="111">
        <v>622</v>
      </c>
      <c r="BN142" s="35">
        <v>172</v>
      </c>
      <c r="BO142" s="32">
        <v>25</v>
      </c>
      <c r="BP142" s="31">
        <v>197</v>
      </c>
      <c r="BQ142" s="32">
        <v>613</v>
      </c>
      <c r="BR142" s="31">
        <v>555</v>
      </c>
      <c r="BS142" s="32">
        <v>260</v>
      </c>
      <c r="BT142" s="31">
        <v>177</v>
      </c>
      <c r="BU142" s="33">
        <v>25</v>
      </c>
      <c r="BV142" s="115">
        <v>610</v>
      </c>
      <c r="BW142" s="111">
        <v>610</v>
      </c>
      <c r="BX142" s="32">
        <v>209</v>
      </c>
      <c r="BY142" s="31">
        <v>631</v>
      </c>
      <c r="BZ142" s="32">
        <v>175</v>
      </c>
      <c r="CA142" s="111">
        <v>180</v>
      </c>
      <c r="CB142" s="32">
        <v>630</v>
      </c>
      <c r="CC142" s="33">
        <v>360</v>
      </c>
      <c r="CD142" s="34">
        <v>680</v>
      </c>
      <c r="CE142" s="120">
        <v>241</v>
      </c>
      <c r="CF142" s="38">
        <v>460</v>
      </c>
      <c r="CG142" s="31">
        <v>188</v>
      </c>
      <c r="CH142" s="35">
        <v>83</v>
      </c>
      <c r="CI142" s="35">
        <v>424</v>
      </c>
      <c r="CJ142" s="35">
        <v>439</v>
      </c>
      <c r="CK142" s="32">
        <v>228</v>
      </c>
    </row>
    <row r="143" spans="1:89" ht="13" x14ac:dyDescent="0.25">
      <c r="A143" s="27">
        <v>2309</v>
      </c>
      <c r="B143" s="28" t="s">
        <v>166</v>
      </c>
      <c r="C143" s="29">
        <v>1031</v>
      </c>
      <c r="D143" s="30">
        <v>749</v>
      </c>
      <c r="E143" s="20">
        <f t="shared" si="2"/>
        <v>0.72647914645974787</v>
      </c>
      <c r="F143" s="31">
        <v>0</v>
      </c>
      <c r="G143" s="111">
        <v>0</v>
      </c>
      <c r="H143" s="111">
        <v>0</v>
      </c>
      <c r="I143" s="111">
        <v>0</v>
      </c>
      <c r="J143" s="111">
        <v>1</v>
      </c>
      <c r="K143" s="111">
        <v>0</v>
      </c>
      <c r="L143" s="111">
        <v>0</v>
      </c>
      <c r="M143" s="111">
        <v>566</v>
      </c>
      <c r="N143" s="111">
        <v>0</v>
      </c>
      <c r="O143" s="111">
        <v>0</v>
      </c>
      <c r="P143" s="35">
        <v>3</v>
      </c>
      <c r="Q143" s="35">
        <v>2</v>
      </c>
      <c r="R143" s="35">
        <v>159</v>
      </c>
      <c r="S143" s="32">
        <v>0</v>
      </c>
      <c r="T143" s="31">
        <v>569</v>
      </c>
      <c r="U143" s="32">
        <v>164</v>
      </c>
      <c r="V143" s="31">
        <v>181</v>
      </c>
      <c r="W143" s="32">
        <v>553</v>
      </c>
      <c r="X143" s="31">
        <v>569</v>
      </c>
      <c r="Y143" s="32">
        <v>157</v>
      </c>
      <c r="Z143" s="111">
        <v>578</v>
      </c>
      <c r="AA143" s="35">
        <v>0</v>
      </c>
      <c r="AB143" s="35">
        <v>16</v>
      </c>
      <c r="AC143" s="35">
        <v>145</v>
      </c>
      <c r="AD143" s="35">
        <v>0</v>
      </c>
      <c r="AE143" s="33">
        <v>0</v>
      </c>
      <c r="AF143" s="115">
        <v>0</v>
      </c>
      <c r="AG143" s="111">
        <v>581</v>
      </c>
      <c r="AH143" s="32">
        <v>146</v>
      </c>
      <c r="AI143" s="31"/>
      <c r="AJ143" s="33"/>
      <c r="AK143" s="31"/>
      <c r="AL143" s="32"/>
      <c r="AM143" s="31"/>
      <c r="AN143" s="115"/>
      <c r="AO143" s="111">
        <v>150</v>
      </c>
      <c r="AP143" s="32">
        <v>579</v>
      </c>
      <c r="AQ143" s="31"/>
      <c r="AR143" s="115"/>
      <c r="AS143" s="111"/>
      <c r="AT143" s="32"/>
      <c r="AU143" s="31"/>
      <c r="AV143" s="111"/>
      <c r="AW143" s="111"/>
      <c r="AX143" s="31"/>
      <c r="AY143" s="32"/>
      <c r="AZ143" s="31"/>
      <c r="BA143" s="115"/>
      <c r="BB143" s="31">
        <v>166</v>
      </c>
      <c r="BC143" s="32">
        <v>555</v>
      </c>
      <c r="BD143" s="31">
        <v>159</v>
      </c>
      <c r="BE143" s="115">
        <v>561</v>
      </c>
      <c r="BF143" s="111">
        <v>565</v>
      </c>
      <c r="BG143" s="32">
        <v>151</v>
      </c>
      <c r="BH143" s="31">
        <v>179</v>
      </c>
      <c r="BI143" s="32">
        <v>534</v>
      </c>
      <c r="BJ143" s="111">
        <v>14</v>
      </c>
      <c r="BK143" s="33">
        <v>144</v>
      </c>
      <c r="BL143" s="115">
        <v>571</v>
      </c>
      <c r="BM143" s="111">
        <v>568</v>
      </c>
      <c r="BN143" s="35">
        <v>147</v>
      </c>
      <c r="BO143" s="32">
        <v>9</v>
      </c>
      <c r="BP143" s="31">
        <v>165</v>
      </c>
      <c r="BQ143" s="32">
        <v>555</v>
      </c>
      <c r="BR143" s="31">
        <v>529</v>
      </c>
      <c r="BS143" s="32">
        <v>192</v>
      </c>
      <c r="BT143" s="31">
        <v>148</v>
      </c>
      <c r="BU143" s="33">
        <v>17</v>
      </c>
      <c r="BV143" s="115">
        <v>553</v>
      </c>
      <c r="BW143" s="111">
        <v>568</v>
      </c>
      <c r="BX143" s="32">
        <v>163</v>
      </c>
      <c r="BY143" s="31">
        <v>559</v>
      </c>
      <c r="BZ143" s="32">
        <v>155</v>
      </c>
      <c r="CA143" s="111">
        <v>152</v>
      </c>
      <c r="CB143" s="32">
        <v>565</v>
      </c>
      <c r="CC143" s="33">
        <v>331</v>
      </c>
      <c r="CD143" s="34">
        <v>615</v>
      </c>
      <c r="CE143" s="111">
        <v>266</v>
      </c>
      <c r="CF143" s="38">
        <v>364</v>
      </c>
      <c r="CG143" s="31">
        <v>189</v>
      </c>
      <c r="CH143" s="35">
        <v>92</v>
      </c>
      <c r="CI143" s="35">
        <v>340</v>
      </c>
      <c r="CJ143" s="35">
        <v>361</v>
      </c>
      <c r="CK143" s="32">
        <v>199</v>
      </c>
    </row>
    <row r="144" spans="1:89" ht="13" x14ac:dyDescent="0.25">
      <c r="A144" s="27">
        <v>2310</v>
      </c>
      <c r="B144" s="28" t="s">
        <v>167</v>
      </c>
      <c r="C144" s="29">
        <v>1334</v>
      </c>
      <c r="D144" s="30">
        <v>839</v>
      </c>
      <c r="E144" s="20">
        <f t="shared" si="2"/>
        <v>0.6289355322338831</v>
      </c>
      <c r="F144" s="31">
        <v>0</v>
      </c>
      <c r="G144" s="111">
        <v>0</v>
      </c>
      <c r="H144" s="111">
        <v>0</v>
      </c>
      <c r="I144" s="111">
        <v>0</v>
      </c>
      <c r="J144" s="111">
        <v>0</v>
      </c>
      <c r="K144" s="111">
        <v>0</v>
      </c>
      <c r="L144" s="111">
        <v>0</v>
      </c>
      <c r="M144" s="111">
        <v>628</v>
      </c>
      <c r="N144" s="111">
        <v>0</v>
      </c>
      <c r="O144" s="111">
        <v>0</v>
      </c>
      <c r="P144" s="35">
        <v>2</v>
      </c>
      <c r="Q144" s="35">
        <v>4</v>
      </c>
      <c r="R144" s="35">
        <v>193</v>
      </c>
      <c r="S144" s="32">
        <v>0</v>
      </c>
      <c r="T144" s="37">
        <v>623</v>
      </c>
      <c r="U144" s="38">
        <v>195</v>
      </c>
      <c r="V144" s="37">
        <v>222</v>
      </c>
      <c r="W144" s="32">
        <v>600</v>
      </c>
      <c r="X144" s="31">
        <v>612</v>
      </c>
      <c r="Y144" s="32">
        <v>195</v>
      </c>
      <c r="Z144" s="111">
        <v>630</v>
      </c>
      <c r="AA144" s="35">
        <v>0</v>
      </c>
      <c r="AB144" s="35">
        <v>27</v>
      </c>
      <c r="AC144" s="35">
        <v>172</v>
      </c>
      <c r="AD144" s="35">
        <v>0</v>
      </c>
      <c r="AE144" s="33">
        <v>0</v>
      </c>
      <c r="AF144" s="116">
        <v>0</v>
      </c>
      <c r="AG144" s="120">
        <v>620</v>
      </c>
      <c r="AH144" s="38">
        <v>191</v>
      </c>
      <c r="AI144" s="37"/>
      <c r="AJ144" s="36"/>
      <c r="AK144" s="37"/>
      <c r="AL144" s="38"/>
      <c r="AM144" s="37"/>
      <c r="AN144" s="116"/>
      <c r="AO144" s="120">
        <v>188</v>
      </c>
      <c r="AP144" s="38">
        <v>629</v>
      </c>
      <c r="AQ144" s="37"/>
      <c r="AR144" s="116"/>
      <c r="AS144" s="120"/>
      <c r="AT144" s="38"/>
      <c r="AU144" s="37"/>
      <c r="AV144" s="120"/>
      <c r="AW144" s="120"/>
      <c r="AX144" s="37"/>
      <c r="AY144" s="38"/>
      <c r="AZ144" s="37"/>
      <c r="BA144" s="116"/>
      <c r="BB144" s="31">
        <v>212</v>
      </c>
      <c r="BC144" s="32">
        <v>598</v>
      </c>
      <c r="BD144" s="31">
        <v>198</v>
      </c>
      <c r="BE144" s="116">
        <v>613</v>
      </c>
      <c r="BF144" s="120">
        <v>612</v>
      </c>
      <c r="BG144" s="38">
        <v>196</v>
      </c>
      <c r="BH144" s="37">
        <v>213</v>
      </c>
      <c r="BI144" s="38">
        <v>588</v>
      </c>
      <c r="BJ144" s="111">
        <v>31</v>
      </c>
      <c r="BK144" s="33">
        <v>163</v>
      </c>
      <c r="BL144" s="115">
        <v>623</v>
      </c>
      <c r="BM144" s="111">
        <v>623</v>
      </c>
      <c r="BN144" s="35">
        <v>164</v>
      </c>
      <c r="BO144" s="32">
        <v>22</v>
      </c>
      <c r="BP144" s="31">
        <v>194</v>
      </c>
      <c r="BQ144" s="32">
        <v>610</v>
      </c>
      <c r="BR144" s="31">
        <v>571</v>
      </c>
      <c r="BS144" s="32">
        <v>240</v>
      </c>
      <c r="BT144" s="31">
        <v>187</v>
      </c>
      <c r="BU144" s="33">
        <v>29</v>
      </c>
      <c r="BV144" s="115">
        <v>590</v>
      </c>
      <c r="BW144" s="111">
        <v>612</v>
      </c>
      <c r="BX144" s="32">
        <v>202</v>
      </c>
      <c r="BY144" s="31">
        <v>624</v>
      </c>
      <c r="BZ144" s="32">
        <v>178</v>
      </c>
      <c r="CA144" s="111">
        <v>178</v>
      </c>
      <c r="CB144" s="32">
        <v>625</v>
      </c>
      <c r="CC144" s="33">
        <v>395</v>
      </c>
      <c r="CD144" s="34">
        <v>709</v>
      </c>
      <c r="CE144" s="120">
        <v>281</v>
      </c>
      <c r="CF144" s="38">
        <v>429</v>
      </c>
      <c r="CG144" s="31">
        <v>176</v>
      </c>
      <c r="CH144" s="35">
        <v>122</v>
      </c>
      <c r="CI144" s="35">
        <v>347</v>
      </c>
      <c r="CJ144" s="35">
        <v>371</v>
      </c>
      <c r="CK144" s="32">
        <v>254</v>
      </c>
    </row>
    <row r="145" spans="1:89" ht="13" x14ac:dyDescent="0.25">
      <c r="A145" s="27">
        <v>2311</v>
      </c>
      <c r="B145" s="28" t="s">
        <v>168</v>
      </c>
      <c r="C145" s="29">
        <v>1163</v>
      </c>
      <c r="D145" s="30">
        <v>812</v>
      </c>
      <c r="E145" s="20">
        <f t="shared" si="2"/>
        <v>0.69819432502149614</v>
      </c>
      <c r="F145" s="31">
        <v>0</v>
      </c>
      <c r="G145" s="111">
        <v>0</v>
      </c>
      <c r="H145" s="111">
        <v>0</v>
      </c>
      <c r="I145" s="111">
        <v>1</v>
      </c>
      <c r="J145" s="111">
        <v>2</v>
      </c>
      <c r="K145" s="111">
        <v>0</v>
      </c>
      <c r="L145" s="111">
        <v>0</v>
      </c>
      <c r="M145" s="111">
        <v>689</v>
      </c>
      <c r="N145" s="111">
        <v>0</v>
      </c>
      <c r="O145" s="111">
        <v>0</v>
      </c>
      <c r="P145" s="35">
        <v>0</v>
      </c>
      <c r="Q145" s="35">
        <v>2</v>
      </c>
      <c r="R145" s="35">
        <v>101</v>
      </c>
      <c r="S145" s="32">
        <v>0</v>
      </c>
      <c r="T145" s="37">
        <v>664</v>
      </c>
      <c r="U145" s="38">
        <v>114</v>
      </c>
      <c r="V145" s="37">
        <v>144</v>
      </c>
      <c r="W145" s="32">
        <v>638</v>
      </c>
      <c r="X145" s="31">
        <v>663</v>
      </c>
      <c r="Y145" s="32">
        <v>113</v>
      </c>
      <c r="Z145" s="111">
        <v>687</v>
      </c>
      <c r="AA145" s="35">
        <v>0</v>
      </c>
      <c r="AB145" s="35">
        <v>15</v>
      </c>
      <c r="AC145" s="35">
        <v>95</v>
      </c>
      <c r="AD145" s="35">
        <v>0</v>
      </c>
      <c r="AE145" s="33">
        <v>0</v>
      </c>
      <c r="AF145" s="116">
        <v>1</v>
      </c>
      <c r="AG145" s="120">
        <v>674</v>
      </c>
      <c r="AH145" s="38">
        <v>103</v>
      </c>
      <c r="AI145" s="37"/>
      <c r="AJ145" s="36"/>
      <c r="AK145" s="37"/>
      <c r="AL145" s="38"/>
      <c r="AM145" s="37"/>
      <c r="AN145" s="116"/>
      <c r="AO145" s="120">
        <v>99</v>
      </c>
      <c r="AP145" s="38">
        <v>686</v>
      </c>
      <c r="AQ145" s="37"/>
      <c r="AR145" s="116"/>
      <c r="AS145" s="120"/>
      <c r="AT145" s="38"/>
      <c r="AU145" s="37"/>
      <c r="AV145" s="120"/>
      <c r="AW145" s="120"/>
      <c r="AX145" s="37"/>
      <c r="AY145" s="38"/>
      <c r="AZ145" s="37"/>
      <c r="BA145" s="116"/>
      <c r="BB145" s="31">
        <v>137</v>
      </c>
      <c r="BC145" s="32">
        <v>619</v>
      </c>
      <c r="BD145" s="31">
        <v>110</v>
      </c>
      <c r="BE145" s="116">
        <v>656</v>
      </c>
      <c r="BF145" s="120">
        <v>651</v>
      </c>
      <c r="BG145" s="38">
        <v>117</v>
      </c>
      <c r="BH145" s="37">
        <v>133</v>
      </c>
      <c r="BI145" s="38">
        <v>631</v>
      </c>
      <c r="BJ145" s="111">
        <v>13</v>
      </c>
      <c r="BK145" s="33">
        <v>99</v>
      </c>
      <c r="BL145" s="115">
        <v>676</v>
      </c>
      <c r="BM145" s="111">
        <v>667</v>
      </c>
      <c r="BN145" s="35">
        <v>89</v>
      </c>
      <c r="BO145" s="32">
        <v>18</v>
      </c>
      <c r="BP145" s="31">
        <v>121</v>
      </c>
      <c r="BQ145" s="32">
        <v>655</v>
      </c>
      <c r="BR145" s="31">
        <v>626</v>
      </c>
      <c r="BS145" s="32">
        <v>152</v>
      </c>
      <c r="BT145" s="31">
        <v>104</v>
      </c>
      <c r="BU145" s="33">
        <v>20</v>
      </c>
      <c r="BV145" s="115">
        <v>646</v>
      </c>
      <c r="BW145" s="111">
        <v>666</v>
      </c>
      <c r="BX145" s="32">
        <v>117</v>
      </c>
      <c r="BY145" s="31">
        <v>664</v>
      </c>
      <c r="BZ145" s="32">
        <v>108</v>
      </c>
      <c r="CA145" s="111">
        <v>111</v>
      </c>
      <c r="CB145" s="32">
        <v>666</v>
      </c>
      <c r="CC145" s="33">
        <v>273</v>
      </c>
      <c r="CD145" s="34">
        <v>689</v>
      </c>
      <c r="CE145" s="120">
        <v>220</v>
      </c>
      <c r="CF145" s="38">
        <v>426</v>
      </c>
      <c r="CG145" s="31">
        <v>171</v>
      </c>
      <c r="CH145" s="35">
        <v>58</v>
      </c>
      <c r="CI145" s="35">
        <v>391</v>
      </c>
      <c r="CJ145" s="35">
        <v>458</v>
      </c>
      <c r="CK145" s="32">
        <v>149</v>
      </c>
    </row>
    <row r="146" spans="1:89" ht="13" x14ac:dyDescent="0.25">
      <c r="A146" s="27">
        <v>2312</v>
      </c>
      <c r="B146" s="28" t="s">
        <v>169</v>
      </c>
      <c r="C146" s="29">
        <v>615</v>
      </c>
      <c r="D146" s="30">
        <v>329</v>
      </c>
      <c r="E146" s="20">
        <f t="shared" si="2"/>
        <v>0.53495934959349589</v>
      </c>
      <c r="F146" s="31">
        <v>0</v>
      </c>
      <c r="G146" s="111">
        <v>0</v>
      </c>
      <c r="H146" s="111">
        <v>0</v>
      </c>
      <c r="I146" s="111">
        <v>0</v>
      </c>
      <c r="J146" s="111">
        <v>2</v>
      </c>
      <c r="K146" s="111">
        <v>0</v>
      </c>
      <c r="L146" s="111">
        <v>0</v>
      </c>
      <c r="M146" s="111">
        <v>260</v>
      </c>
      <c r="N146" s="111">
        <v>0</v>
      </c>
      <c r="O146" s="111">
        <v>0</v>
      </c>
      <c r="P146" s="35">
        <v>0</v>
      </c>
      <c r="Q146" s="35">
        <v>1</v>
      </c>
      <c r="R146" s="35">
        <v>57</v>
      </c>
      <c r="S146" s="32">
        <v>0</v>
      </c>
      <c r="T146" s="37">
        <v>254</v>
      </c>
      <c r="U146" s="38">
        <v>62</v>
      </c>
      <c r="V146" s="37">
        <v>66</v>
      </c>
      <c r="W146" s="32">
        <v>249</v>
      </c>
      <c r="X146" s="31">
        <v>261</v>
      </c>
      <c r="Y146" s="32">
        <v>52</v>
      </c>
      <c r="Z146" s="111">
        <v>261</v>
      </c>
      <c r="AA146" s="35">
        <v>0</v>
      </c>
      <c r="AB146" s="35">
        <v>12</v>
      </c>
      <c r="AC146" s="35">
        <v>48</v>
      </c>
      <c r="AD146" s="35">
        <v>0</v>
      </c>
      <c r="AE146" s="33">
        <v>0</v>
      </c>
      <c r="AF146" s="116">
        <v>0</v>
      </c>
      <c r="AG146" s="120">
        <v>266</v>
      </c>
      <c r="AH146" s="38">
        <v>45</v>
      </c>
      <c r="AI146" s="37"/>
      <c r="AJ146" s="36"/>
      <c r="AK146" s="37"/>
      <c r="AL146" s="38"/>
      <c r="AM146" s="37"/>
      <c r="AN146" s="116"/>
      <c r="AO146" s="120">
        <v>53</v>
      </c>
      <c r="AP146" s="38">
        <v>265</v>
      </c>
      <c r="AQ146" s="37"/>
      <c r="AR146" s="116"/>
      <c r="AS146" s="120"/>
      <c r="AT146" s="38"/>
      <c r="AU146" s="37"/>
      <c r="AV146" s="120"/>
      <c r="AW146" s="120"/>
      <c r="AX146" s="37"/>
      <c r="AY146" s="38"/>
      <c r="AZ146" s="37"/>
      <c r="BA146" s="116"/>
      <c r="BB146" s="31">
        <v>61</v>
      </c>
      <c r="BC146" s="32">
        <v>251</v>
      </c>
      <c r="BD146" s="31">
        <v>59</v>
      </c>
      <c r="BE146" s="116">
        <v>255</v>
      </c>
      <c r="BF146" s="120">
        <v>253</v>
      </c>
      <c r="BG146" s="38">
        <v>59</v>
      </c>
      <c r="BH146" s="37">
        <v>69</v>
      </c>
      <c r="BI146" s="38">
        <v>247</v>
      </c>
      <c r="BJ146" s="111">
        <v>11</v>
      </c>
      <c r="BK146" s="33">
        <v>45</v>
      </c>
      <c r="BL146" s="115">
        <v>263</v>
      </c>
      <c r="BM146" s="111">
        <v>255</v>
      </c>
      <c r="BN146" s="35">
        <v>51</v>
      </c>
      <c r="BO146" s="32">
        <v>10</v>
      </c>
      <c r="BP146" s="31">
        <v>59</v>
      </c>
      <c r="BQ146" s="32">
        <v>252</v>
      </c>
      <c r="BR146" s="31">
        <v>231</v>
      </c>
      <c r="BS146" s="32">
        <v>86</v>
      </c>
      <c r="BT146" s="31">
        <v>55</v>
      </c>
      <c r="BU146" s="33">
        <v>10</v>
      </c>
      <c r="BV146" s="115">
        <v>250</v>
      </c>
      <c r="BW146" s="111">
        <v>254</v>
      </c>
      <c r="BX146" s="32">
        <v>62</v>
      </c>
      <c r="BY146" s="31">
        <v>257</v>
      </c>
      <c r="BZ146" s="32">
        <v>51</v>
      </c>
      <c r="CA146" s="111">
        <v>54</v>
      </c>
      <c r="CB146" s="32">
        <v>259</v>
      </c>
      <c r="CC146" s="33">
        <v>131</v>
      </c>
      <c r="CD146" s="34">
        <v>281</v>
      </c>
      <c r="CE146" s="120">
        <v>94</v>
      </c>
      <c r="CF146" s="38">
        <v>181</v>
      </c>
      <c r="CG146" s="31">
        <v>81</v>
      </c>
      <c r="CH146" s="35">
        <v>34</v>
      </c>
      <c r="CI146" s="35">
        <v>136</v>
      </c>
      <c r="CJ146" s="35">
        <v>140</v>
      </c>
      <c r="CK146" s="32">
        <v>92</v>
      </c>
    </row>
    <row r="147" spans="1:89" ht="13" x14ac:dyDescent="0.25">
      <c r="A147" s="27">
        <v>2313</v>
      </c>
      <c r="B147" s="28" t="s">
        <v>170</v>
      </c>
      <c r="C147" s="29">
        <v>1078</v>
      </c>
      <c r="D147" s="30">
        <v>653</v>
      </c>
      <c r="E147" s="20">
        <f t="shared" si="2"/>
        <v>0.60575139146567714</v>
      </c>
      <c r="F147" s="31">
        <v>0</v>
      </c>
      <c r="G147" s="111">
        <v>0</v>
      </c>
      <c r="H147" s="111">
        <v>0</v>
      </c>
      <c r="I147" s="111">
        <v>1</v>
      </c>
      <c r="J147" s="111">
        <v>0</v>
      </c>
      <c r="K147" s="111">
        <v>0</v>
      </c>
      <c r="L147" s="111">
        <v>0</v>
      </c>
      <c r="M147" s="111">
        <v>540</v>
      </c>
      <c r="N147" s="111">
        <v>0</v>
      </c>
      <c r="O147" s="111">
        <v>0</v>
      </c>
      <c r="P147" s="35">
        <v>0</v>
      </c>
      <c r="Q147" s="35">
        <v>2</v>
      </c>
      <c r="R147" s="35">
        <v>94</v>
      </c>
      <c r="S147" s="32">
        <v>0</v>
      </c>
      <c r="T147" s="31">
        <v>511</v>
      </c>
      <c r="U147" s="32">
        <v>103</v>
      </c>
      <c r="V147" s="31">
        <v>131</v>
      </c>
      <c r="W147" s="32">
        <v>492</v>
      </c>
      <c r="X147" s="31">
        <v>510</v>
      </c>
      <c r="Y147" s="32">
        <v>97</v>
      </c>
      <c r="Z147" s="111">
        <v>536</v>
      </c>
      <c r="AA147" s="35">
        <v>0</v>
      </c>
      <c r="AB147" s="35">
        <v>20</v>
      </c>
      <c r="AC147" s="35">
        <v>83</v>
      </c>
      <c r="AD147" s="35">
        <v>0</v>
      </c>
      <c r="AE147" s="33">
        <v>0</v>
      </c>
      <c r="AF147" s="115">
        <v>0</v>
      </c>
      <c r="AG147" s="111">
        <v>528</v>
      </c>
      <c r="AH147" s="32">
        <v>90</v>
      </c>
      <c r="AI147" s="31"/>
      <c r="AJ147" s="33"/>
      <c r="AK147" s="31"/>
      <c r="AL147" s="32"/>
      <c r="AM147" s="31"/>
      <c r="AN147" s="115"/>
      <c r="AO147" s="111">
        <v>92</v>
      </c>
      <c r="AP147" s="32">
        <v>531</v>
      </c>
      <c r="AQ147" s="31"/>
      <c r="AR147" s="115"/>
      <c r="AS147" s="111"/>
      <c r="AT147" s="32"/>
      <c r="AU147" s="31"/>
      <c r="AV147" s="111"/>
      <c r="AW147" s="111"/>
      <c r="AX147" s="31"/>
      <c r="AY147" s="32"/>
      <c r="AZ147" s="31"/>
      <c r="BA147" s="115"/>
      <c r="BB147" s="31">
        <v>104</v>
      </c>
      <c r="BC147" s="32">
        <v>499</v>
      </c>
      <c r="BD147" s="31">
        <v>95</v>
      </c>
      <c r="BE147" s="115">
        <v>511</v>
      </c>
      <c r="BF147" s="111">
        <v>517</v>
      </c>
      <c r="BG147" s="32">
        <v>91</v>
      </c>
      <c r="BH147" s="31">
        <v>130</v>
      </c>
      <c r="BI147" s="32">
        <v>479</v>
      </c>
      <c r="BJ147" s="111">
        <v>22</v>
      </c>
      <c r="BK147" s="33">
        <v>81</v>
      </c>
      <c r="BL147" s="115">
        <v>513</v>
      </c>
      <c r="BM147" s="111">
        <v>508</v>
      </c>
      <c r="BN147" s="35">
        <v>78</v>
      </c>
      <c r="BO147" s="32">
        <v>24</v>
      </c>
      <c r="BP147" s="31">
        <v>109</v>
      </c>
      <c r="BQ147" s="32">
        <v>499</v>
      </c>
      <c r="BR147" s="31">
        <v>479</v>
      </c>
      <c r="BS147" s="32">
        <v>131</v>
      </c>
      <c r="BT147" s="31">
        <v>94</v>
      </c>
      <c r="BU147" s="33">
        <v>26</v>
      </c>
      <c r="BV147" s="115">
        <v>488</v>
      </c>
      <c r="BW147" s="111">
        <v>517</v>
      </c>
      <c r="BX147" s="32">
        <v>103</v>
      </c>
      <c r="BY147" s="31">
        <v>507</v>
      </c>
      <c r="BZ147" s="32">
        <v>90</v>
      </c>
      <c r="CA147" s="111">
        <v>87</v>
      </c>
      <c r="CB147" s="32">
        <v>521</v>
      </c>
      <c r="CC147" s="33">
        <v>242</v>
      </c>
      <c r="CD147" s="34">
        <v>539</v>
      </c>
      <c r="CE147" s="111">
        <v>202</v>
      </c>
      <c r="CF147" s="38">
        <v>301</v>
      </c>
      <c r="CG147" s="31">
        <v>144</v>
      </c>
      <c r="CH147" s="35">
        <v>52</v>
      </c>
      <c r="CI147" s="35">
        <v>294</v>
      </c>
      <c r="CJ147" s="35">
        <v>298</v>
      </c>
      <c r="CK147" s="32">
        <v>144</v>
      </c>
    </row>
    <row r="148" spans="1:89" ht="13" x14ac:dyDescent="0.25">
      <c r="A148" s="27">
        <v>2314</v>
      </c>
      <c r="B148" s="28" t="s">
        <v>171</v>
      </c>
      <c r="C148" s="29">
        <v>1222</v>
      </c>
      <c r="D148" s="30">
        <v>855</v>
      </c>
      <c r="E148" s="20">
        <f t="shared" si="2"/>
        <v>0.69967266775777415</v>
      </c>
      <c r="F148" s="31">
        <v>0</v>
      </c>
      <c r="G148" s="111">
        <v>0</v>
      </c>
      <c r="H148" s="111">
        <v>0</v>
      </c>
      <c r="I148" s="111">
        <v>0</v>
      </c>
      <c r="J148" s="111">
        <v>1</v>
      </c>
      <c r="K148" s="111">
        <v>0</v>
      </c>
      <c r="L148" s="111">
        <v>0</v>
      </c>
      <c r="M148" s="111">
        <v>693</v>
      </c>
      <c r="N148" s="111">
        <v>0</v>
      </c>
      <c r="O148" s="111">
        <v>0</v>
      </c>
      <c r="P148" s="35">
        <v>2</v>
      </c>
      <c r="Q148" s="35">
        <v>3</v>
      </c>
      <c r="R148" s="35">
        <v>139</v>
      </c>
      <c r="S148" s="32">
        <v>2</v>
      </c>
      <c r="T148" s="37">
        <v>669</v>
      </c>
      <c r="U148" s="38">
        <v>158</v>
      </c>
      <c r="V148" s="37">
        <v>182</v>
      </c>
      <c r="W148" s="32">
        <v>648</v>
      </c>
      <c r="X148" s="31">
        <v>674</v>
      </c>
      <c r="Y148" s="32">
        <v>143</v>
      </c>
      <c r="Z148" s="111">
        <v>678</v>
      </c>
      <c r="AA148" s="35">
        <v>0</v>
      </c>
      <c r="AB148" s="35">
        <v>21</v>
      </c>
      <c r="AC148" s="35">
        <v>127</v>
      </c>
      <c r="AD148" s="35">
        <v>0</v>
      </c>
      <c r="AE148" s="33">
        <v>0</v>
      </c>
      <c r="AF148" s="116">
        <v>0</v>
      </c>
      <c r="AG148" s="120">
        <v>700</v>
      </c>
      <c r="AH148" s="38">
        <v>130</v>
      </c>
      <c r="AI148" s="37"/>
      <c r="AJ148" s="36"/>
      <c r="AK148" s="37"/>
      <c r="AL148" s="38"/>
      <c r="AM148" s="37"/>
      <c r="AN148" s="116"/>
      <c r="AO148" s="120">
        <v>149</v>
      </c>
      <c r="AP148" s="38">
        <v>679</v>
      </c>
      <c r="AQ148" s="37"/>
      <c r="AR148" s="116"/>
      <c r="AS148" s="120"/>
      <c r="AT148" s="38"/>
      <c r="AU148" s="37"/>
      <c r="AV148" s="120"/>
      <c r="AW148" s="120"/>
      <c r="AX148" s="37"/>
      <c r="AY148" s="38"/>
      <c r="AZ148" s="37"/>
      <c r="BA148" s="116"/>
      <c r="BB148" s="31">
        <v>158</v>
      </c>
      <c r="BC148" s="32">
        <v>649</v>
      </c>
      <c r="BD148" s="31">
        <v>147</v>
      </c>
      <c r="BE148" s="116">
        <v>663</v>
      </c>
      <c r="BF148" s="120">
        <v>655</v>
      </c>
      <c r="BG148" s="38">
        <v>151</v>
      </c>
      <c r="BH148" s="37">
        <v>180</v>
      </c>
      <c r="BI148" s="38">
        <v>627</v>
      </c>
      <c r="BJ148" s="111">
        <v>26</v>
      </c>
      <c r="BK148" s="33">
        <v>129</v>
      </c>
      <c r="BL148" s="115">
        <v>671</v>
      </c>
      <c r="BM148" s="111">
        <v>671</v>
      </c>
      <c r="BN148" s="35">
        <v>119</v>
      </c>
      <c r="BO148" s="32">
        <v>20</v>
      </c>
      <c r="BP148" s="31">
        <v>163</v>
      </c>
      <c r="BQ148" s="32">
        <v>650</v>
      </c>
      <c r="BR148" s="31">
        <v>614</v>
      </c>
      <c r="BS148" s="32">
        <v>214</v>
      </c>
      <c r="BT148" s="31">
        <v>135</v>
      </c>
      <c r="BU148" s="33">
        <v>36</v>
      </c>
      <c r="BV148" s="115">
        <v>643</v>
      </c>
      <c r="BW148" s="111">
        <v>683</v>
      </c>
      <c r="BX148" s="32">
        <v>150</v>
      </c>
      <c r="BY148" s="31">
        <v>669</v>
      </c>
      <c r="BZ148" s="32">
        <v>139</v>
      </c>
      <c r="CA148" s="111">
        <v>135</v>
      </c>
      <c r="CB148" s="32">
        <v>682</v>
      </c>
      <c r="CC148" s="33">
        <v>367</v>
      </c>
      <c r="CD148" s="34">
        <v>732</v>
      </c>
      <c r="CE148" s="120">
        <v>264</v>
      </c>
      <c r="CF148" s="38">
        <v>435</v>
      </c>
      <c r="CG148" s="31">
        <v>204</v>
      </c>
      <c r="CH148" s="35">
        <v>80</v>
      </c>
      <c r="CI148" s="35">
        <v>399</v>
      </c>
      <c r="CJ148" s="35">
        <v>402</v>
      </c>
      <c r="CK148" s="32">
        <v>219</v>
      </c>
    </row>
    <row r="149" spans="1:89" ht="13" x14ac:dyDescent="0.25">
      <c r="A149" s="27">
        <v>2315</v>
      </c>
      <c r="B149" s="28" t="s">
        <v>172</v>
      </c>
      <c r="C149" s="29">
        <v>1080</v>
      </c>
      <c r="D149" s="30">
        <v>814</v>
      </c>
      <c r="E149" s="20">
        <f t="shared" si="2"/>
        <v>0.75370370370370365</v>
      </c>
      <c r="F149" s="31">
        <v>0</v>
      </c>
      <c r="G149" s="111">
        <v>0</v>
      </c>
      <c r="H149" s="111">
        <v>0</v>
      </c>
      <c r="I149" s="111">
        <v>0</v>
      </c>
      <c r="J149" s="111">
        <v>0</v>
      </c>
      <c r="K149" s="111">
        <v>0</v>
      </c>
      <c r="L149" s="111">
        <v>0</v>
      </c>
      <c r="M149" s="111">
        <v>666</v>
      </c>
      <c r="N149" s="111">
        <v>0</v>
      </c>
      <c r="O149" s="111">
        <v>0</v>
      </c>
      <c r="P149" s="35">
        <v>4</v>
      </c>
      <c r="Q149" s="35">
        <v>1</v>
      </c>
      <c r="R149" s="35">
        <v>129</v>
      </c>
      <c r="S149" s="32">
        <v>2</v>
      </c>
      <c r="T149" s="37">
        <v>661</v>
      </c>
      <c r="U149" s="38">
        <v>136</v>
      </c>
      <c r="V149" s="37">
        <v>147</v>
      </c>
      <c r="W149" s="32">
        <v>653</v>
      </c>
      <c r="X149" s="31">
        <v>656</v>
      </c>
      <c r="Y149" s="32">
        <v>136</v>
      </c>
      <c r="Z149" s="111">
        <v>660</v>
      </c>
      <c r="AA149" s="35">
        <v>0</v>
      </c>
      <c r="AB149" s="35">
        <v>27</v>
      </c>
      <c r="AC149" s="35">
        <v>116</v>
      </c>
      <c r="AD149" s="35">
        <v>0</v>
      </c>
      <c r="AE149" s="33">
        <v>0</v>
      </c>
      <c r="AF149" s="116">
        <v>0</v>
      </c>
      <c r="AG149" s="120">
        <v>672</v>
      </c>
      <c r="AH149" s="38">
        <v>118</v>
      </c>
      <c r="AI149" s="37"/>
      <c r="AJ149" s="36"/>
      <c r="AK149" s="37"/>
      <c r="AL149" s="38"/>
      <c r="AM149" s="37"/>
      <c r="AN149" s="116"/>
      <c r="AO149" s="120">
        <v>119</v>
      </c>
      <c r="AP149" s="38">
        <v>677</v>
      </c>
      <c r="AQ149" s="37"/>
      <c r="AR149" s="116"/>
      <c r="AS149" s="120"/>
      <c r="AT149" s="38"/>
      <c r="AU149" s="37"/>
      <c r="AV149" s="120"/>
      <c r="AW149" s="120"/>
      <c r="AX149" s="37"/>
      <c r="AY149" s="38"/>
      <c r="AZ149" s="37"/>
      <c r="BA149" s="116"/>
      <c r="BB149" s="31">
        <v>131</v>
      </c>
      <c r="BC149" s="32">
        <v>654</v>
      </c>
      <c r="BD149" s="31">
        <v>130</v>
      </c>
      <c r="BE149" s="116">
        <v>659</v>
      </c>
      <c r="BF149" s="120">
        <v>655</v>
      </c>
      <c r="BG149" s="38">
        <v>131</v>
      </c>
      <c r="BH149" s="37">
        <v>148</v>
      </c>
      <c r="BI149" s="38">
        <v>641</v>
      </c>
      <c r="BJ149" s="111">
        <v>19</v>
      </c>
      <c r="BK149" s="33">
        <v>111</v>
      </c>
      <c r="BL149" s="115">
        <v>672</v>
      </c>
      <c r="BM149" s="111">
        <v>662</v>
      </c>
      <c r="BN149" s="35">
        <v>112</v>
      </c>
      <c r="BO149" s="32">
        <v>19</v>
      </c>
      <c r="BP149" s="31">
        <v>141</v>
      </c>
      <c r="BQ149" s="32">
        <v>644</v>
      </c>
      <c r="BR149" s="31">
        <v>624</v>
      </c>
      <c r="BS149" s="32">
        <v>165</v>
      </c>
      <c r="BT149" s="31">
        <v>119</v>
      </c>
      <c r="BU149" s="33">
        <v>23</v>
      </c>
      <c r="BV149" s="115">
        <v>651</v>
      </c>
      <c r="BW149" s="111">
        <v>665</v>
      </c>
      <c r="BX149" s="32">
        <v>128</v>
      </c>
      <c r="BY149" s="31">
        <v>653</v>
      </c>
      <c r="BZ149" s="32">
        <v>134</v>
      </c>
      <c r="CA149" s="111">
        <v>139</v>
      </c>
      <c r="CB149" s="32">
        <v>652</v>
      </c>
      <c r="CC149" s="33">
        <v>334</v>
      </c>
      <c r="CD149" s="34">
        <v>716</v>
      </c>
      <c r="CE149" s="120">
        <v>278</v>
      </c>
      <c r="CF149" s="38">
        <v>420</v>
      </c>
      <c r="CG149" s="31">
        <v>184</v>
      </c>
      <c r="CH149" s="35">
        <v>92</v>
      </c>
      <c r="CI149" s="35">
        <v>422</v>
      </c>
      <c r="CJ149" s="35">
        <v>420</v>
      </c>
      <c r="CK149" s="32">
        <v>173</v>
      </c>
    </row>
    <row r="150" spans="1:89" ht="13" x14ac:dyDescent="0.25">
      <c r="A150" s="27">
        <v>2316</v>
      </c>
      <c r="B150" s="28" t="s">
        <v>173</v>
      </c>
      <c r="C150" s="29">
        <v>1508</v>
      </c>
      <c r="D150" s="30">
        <v>890</v>
      </c>
      <c r="E150" s="20">
        <f t="shared" si="2"/>
        <v>0.59018567639257291</v>
      </c>
      <c r="F150" s="31">
        <v>0</v>
      </c>
      <c r="G150" s="111">
        <v>0</v>
      </c>
      <c r="H150" s="111">
        <v>0</v>
      </c>
      <c r="I150" s="111">
        <v>2</v>
      </c>
      <c r="J150" s="111">
        <v>0</v>
      </c>
      <c r="K150" s="111">
        <v>0</v>
      </c>
      <c r="L150" s="111">
        <v>0</v>
      </c>
      <c r="M150" s="111">
        <v>698</v>
      </c>
      <c r="N150" s="111">
        <v>0</v>
      </c>
      <c r="O150" s="111">
        <v>0</v>
      </c>
      <c r="P150" s="35">
        <v>2</v>
      </c>
      <c r="Q150" s="35">
        <v>2</v>
      </c>
      <c r="R150" s="35">
        <v>167</v>
      </c>
      <c r="S150" s="32">
        <v>1</v>
      </c>
      <c r="T150" s="37">
        <v>676</v>
      </c>
      <c r="U150" s="38">
        <v>181</v>
      </c>
      <c r="V150" s="37">
        <v>196</v>
      </c>
      <c r="W150" s="32">
        <v>669</v>
      </c>
      <c r="X150" s="31">
        <v>682</v>
      </c>
      <c r="Y150" s="32">
        <v>167</v>
      </c>
      <c r="Z150" s="111">
        <v>692</v>
      </c>
      <c r="AA150" s="35">
        <v>0</v>
      </c>
      <c r="AB150" s="35">
        <v>28</v>
      </c>
      <c r="AC150" s="35">
        <v>154</v>
      </c>
      <c r="AD150" s="35">
        <v>0</v>
      </c>
      <c r="AE150" s="33">
        <v>0</v>
      </c>
      <c r="AF150" s="116">
        <v>0</v>
      </c>
      <c r="AG150" s="120">
        <v>696</v>
      </c>
      <c r="AH150" s="38">
        <v>155</v>
      </c>
      <c r="AI150" s="37"/>
      <c r="AJ150" s="36"/>
      <c r="AK150" s="37"/>
      <c r="AL150" s="38"/>
      <c r="AM150" s="37"/>
      <c r="AN150" s="116"/>
      <c r="AO150" s="120">
        <v>158</v>
      </c>
      <c r="AP150" s="38">
        <v>692</v>
      </c>
      <c r="AQ150" s="37"/>
      <c r="AR150" s="116"/>
      <c r="AS150" s="120"/>
      <c r="AT150" s="38"/>
      <c r="AU150" s="37"/>
      <c r="AV150" s="120"/>
      <c r="AW150" s="120"/>
      <c r="AX150" s="37"/>
      <c r="AY150" s="38"/>
      <c r="AZ150" s="37"/>
      <c r="BA150" s="116"/>
      <c r="BB150" s="31">
        <v>178</v>
      </c>
      <c r="BC150" s="32">
        <v>657</v>
      </c>
      <c r="BD150" s="31">
        <v>159</v>
      </c>
      <c r="BE150" s="116">
        <v>677</v>
      </c>
      <c r="BF150" s="120">
        <v>666</v>
      </c>
      <c r="BG150" s="38">
        <v>169</v>
      </c>
      <c r="BH150" s="37">
        <v>182</v>
      </c>
      <c r="BI150" s="38">
        <v>655</v>
      </c>
      <c r="BJ150" s="111">
        <v>21</v>
      </c>
      <c r="BK150" s="33">
        <v>138</v>
      </c>
      <c r="BL150" s="115">
        <v>693</v>
      </c>
      <c r="BM150" s="111">
        <v>680</v>
      </c>
      <c r="BN150" s="35">
        <v>151</v>
      </c>
      <c r="BO150" s="32">
        <v>20</v>
      </c>
      <c r="BP150" s="31">
        <v>163</v>
      </c>
      <c r="BQ150" s="32">
        <v>684</v>
      </c>
      <c r="BR150" s="31">
        <v>647</v>
      </c>
      <c r="BS150" s="32">
        <v>200</v>
      </c>
      <c r="BT150" s="31">
        <v>160</v>
      </c>
      <c r="BU150" s="33">
        <v>32</v>
      </c>
      <c r="BV150" s="115">
        <v>651</v>
      </c>
      <c r="BW150" s="111">
        <v>710</v>
      </c>
      <c r="BX150" s="32">
        <v>153</v>
      </c>
      <c r="BY150" s="31">
        <v>678</v>
      </c>
      <c r="BZ150" s="32">
        <v>158</v>
      </c>
      <c r="CA150" s="111">
        <v>165</v>
      </c>
      <c r="CB150" s="32">
        <v>681</v>
      </c>
      <c r="CC150" s="33">
        <v>340</v>
      </c>
      <c r="CD150" s="34">
        <v>746</v>
      </c>
      <c r="CE150" s="120">
        <v>270</v>
      </c>
      <c r="CF150" s="38">
        <v>474</v>
      </c>
      <c r="CG150" s="31">
        <v>186</v>
      </c>
      <c r="CH150" s="35">
        <v>83</v>
      </c>
      <c r="CI150" s="35">
        <v>432</v>
      </c>
      <c r="CJ150" s="35">
        <v>430</v>
      </c>
      <c r="CK150" s="32">
        <v>195</v>
      </c>
    </row>
    <row r="151" spans="1:89" ht="13" x14ac:dyDescent="0.25">
      <c r="A151" s="27">
        <v>2317</v>
      </c>
      <c r="B151" s="28" t="s">
        <v>174</v>
      </c>
      <c r="C151" s="29">
        <v>835</v>
      </c>
      <c r="D151" s="30">
        <v>487</v>
      </c>
      <c r="E151" s="20">
        <f t="shared" si="2"/>
        <v>0.58323353293413172</v>
      </c>
      <c r="F151" s="3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v>0</v>
      </c>
      <c r="M151" s="111">
        <v>354</v>
      </c>
      <c r="N151" s="111">
        <v>0</v>
      </c>
      <c r="O151" s="111">
        <v>0</v>
      </c>
      <c r="P151" s="35">
        <v>0</v>
      </c>
      <c r="Q151" s="35">
        <v>0</v>
      </c>
      <c r="R151" s="35">
        <v>125</v>
      </c>
      <c r="S151" s="32">
        <v>0</v>
      </c>
      <c r="T151" s="37">
        <v>322</v>
      </c>
      <c r="U151" s="38">
        <v>134</v>
      </c>
      <c r="V151" s="37">
        <v>160</v>
      </c>
      <c r="W151" s="32">
        <v>307</v>
      </c>
      <c r="X151" s="31">
        <v>316</v>
      </c>
      <c r="Y151" s="32">
        <v>130</v>
      </c>
      <c r="Z151" s="111">
        <v>340</v>
      </c>
      <c r="AA151" s="35">
        <v>0</v>
      </c>
      <c r="AB151" s="35">
        <v>14</v>
      </c>
      <c r="AC151" s="35">
        <v>124</v>
      </c>
      <c r="AD151" s="35">
        <v>0</v>
      </c>
      <c r="AE151" s="33">
        <v>0</v>
      </c>
      <c r="AF151" s="116">
        <v>0</v>
      </c>
      <c r="AG151" s="120">
        <v>357</v>
      </c>
      <c r="AH151" s="38">
        <v>111</v>
      </c>
      <c r="AI151" s="37"/>
      <c r="AJ151" s="36"/>
      <c r="AK151" s="37"/>
      <c r="AL151" s="38"/>
      <c r="AM151" s="37"/>
      <c r="AN151" s="116"/>
      <c r="AO151" s="120">
        <v>122</v>
      </c>
      <c r="AP151" s="38">
        <v>340</v>
      </c>
      <c r="AQ151" s="37"/>
      <c r="AR151" s="116"/>
      <c r="AS151" s="120"/>
      <c r="AT151" s="38"/>
      <c r="AU151" s="37"/>
      <c r="AV151" s="120"/>
      <c r="AW151" s="120"/>
      <c r="AX151" s="37"/>
      <c r="AY151" s="38"/>
      <c r="AZ151" s="37"/>
      <c r="BA151" s="116"/>
      <c r="BB151" s="31">
        <v>139</v>
      </c>
      <c r="BC151" s="32">
        <v>307</v>
      </c>
      <c r="BD151" s="31">
        <v>132</v>
      </c>
      <c r="BE151" s="116">
        <v>308</v>
      </c>
      <c r="BF151" s="120">
        <v>319</v>
      </c>
      <c r="BG151" s="38">
        <v>120</v>
      </c>
      <c r="BH151" s="37">
        <v>157</v>
      </c>
      <c r="BI151" s="38">
        <v>293</v>
      </c>
      <c r="BJ151" s="111">
        <v>6</v>
      </c>
      <c r="BK151" s="33">
        <v>117</v>
      </c>
      <c r="BL151" s="115">
        <v>339</v>
      </c>
      <c r="BM151" s="111">
        <v>329</v>
      </c>
      <c r="BN151" s="35">
        <v>114</v>
      </c>
      <c r="BO151" s="32">
        <v>7</v>
      </c>
      <c r="BP151" s="31">
        <v>146</v>
      </c>
      <c r="BQ151" s="32">
        <v>307</v>
      </c>
      <c r="BR151" s="31">
        <v>294</v>
      </c>
      <c r="BS151" s="32">
        <v>158</v>
      </c>
      <c r="BT151" s="31">
        <v>132</v>
      </c>
      <c r="BU151" s="33">
        <v>15</v>
      </c>
      <c r="BV151" s="115">
        <v>302</v>
      </c>
      <c r="BW151" s="111">
        <v>329</v>
      </c>
      <c r="BX151" s="32">
        <v>134</v>
      </c>
      <c r="BY151" s="31">
        <v>314</v>
      </c>
      <c r="BZ151" s="32">
        <v>133</v>
      </c>
      <c r="CA151" s="111">
        <v>136</v>
      </c>
      <c r="CB151" s="32">
        <v>309</v>
      </c>
      <c r="CC151" s="33">
        <v>238</v>
      </c>
      <c r="CD151" s="34">
        <v>384</v>
      </c>
      <c r="CE151" s="120">
        <v>164</v>
      </c>
      <c r="CF151" s="38">
        <v>204</v>
      </c>
      <c r="CG151" s="31">
        <v>127</v>
      </c>
      <c r="CH151" s="35">
        <v>56</v>
      </c>
      <c r="CI151" s="35">
        <v>169</v>
      </c>
      <c r="CJ151" s="35">
        <v>182</v>
      </c>
      <c r="CK151" s="32">
        <v>178</v>
      </c>
    </row>
    <row r="152" spans="1:89" ht="13" x14ac:dyDescent="0.25">
      <c r="A152" s="27">
        <v>2318</v>
      </c>
      <c r="B152" s="28" t="s">
        <v>175</v>
      </c>
      <c r="C152" s="29">
        <v>680</v>
      </c>
      <c r="D152" s="30">
        <v>425</v>
      </c>
      <c r="E152" s="20">
        <f t="shared" si="2"/>
        <v>0.625</v>
      </c>
      <c r="F152" s="3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v>0</v>
      </c>
      <c r="M152" s="111">
        <v>342</v>
      </c>
      <c r="N152" s="111">
        <v>0</v>
      </c>
      <c r="O152" s="111">
        <v>0</v>
      </c>
      <c r="P152" s="35">
        <v>2</v>
      </c>
      <c r="Q152" s="35">
        <v>2</v>
      </c>
      <c r="R152" s="35">
        <v>74</v>
      </c>
      <c r="S152" s="32">
        <v>0</v>
      </c>
      <c r="T152" s="37">
        <v>335</v>
      </c>
      <c r="U152" s="38">
        <v>79</v>
      </c>
      <c r="V152" s="37">
        <v>84</v>
      </c>
      <c r="W152" s="32">
        <v>333</v>
      </c>
      <c r="X152" s="31">
        <v>334</v>
      </c>
      <c r="Y152" s="32">
        <v>73</v>
      </c>
      <c r="Z152" s="111">
        <v>337</v>
      </c>
      <c r="AA152" s="35">
        <v>0</v>
      </c>
      <c r="AB152" s="35">
        <v>7</v>
      </c>
      <c r="AC152" s="35">
        <v>75</v>
      </c>
      <c r="AD152" s="35">
        <v>0</v>
      </c>
      <c r="AE152" s="33">
        <v>0</v>
      </c>
      <c r="AF152" s="116">
        <v>0</v>
      </c>
      <c r="AG152" s="120">
        <v>341</v>
      </c>
      <c r="AH152" s="38">
        <v>71</v>
      </c>
      <c r="AI152" s="37"/>
      <c r="AJ152" s="36"/>
      <c r="AK152" s="37"/>
      <c r="AL152" s="38"/>
      <c r="AM152" s="37"/>
      <c r="AN152" s="116"/>
      <c r="AO152" s="120">
        <v>73</v>
      </c>
      <c r="AP152" s="38">
        <v>341</v>
      </c>
      <c r="AQ152" s="37"/>
      <c r="AR152" s="116"/>
      <c r="AS152" s="120"/>
      <c r="AT152" s="38"/>
      <c r="AU152" s="37"/>
      <c r="AV152" s="120"/>
      <c r="AW152" s="120"/>
      <c r="AX152" s="37"/>
      <c r="AY152" s="38"/>
      <c r="AZ152" s="37"/>
      <c r="BA152" s="116"/>
      <c r="BB152" s="31">
        <v>81</v>
      </c>
      <c r="BC152" s="32">
        <v>329</v>
      </c>
      <c r="BD152" s="31">
        <v>75</v>
      </c>
      <c r="BE152" s="116">
        <v>333</v>
      </c>
      <c r="BF152" s="120">
        <v>334</v>
      </c>
      <c r="BG152" s="38">
        <v>74</v>
      </c>
      <c r="BH152" s="37">
        <v>78</v>
      </c>
      <c r="BI152" s="38">
        <v>325</v>
      </c>
      <c r="BJ152" s="111">
        <v>15</v>
      </c>
      <c r="BK152" s="33">
        <v>59</v>
      </c>
      <c r="BL152" s="115">
        <v>335</v>
      </c>
      <c r="BM152" s="111">
        <v>333</v>
      </c>
      <c r="BN152" s="35">
        <v>68</v>
      </c>
      <c r="BO152" s="32">
        <v>9</v>
      </c>
      <c r="BP152" s="31">
        <v>72</v>
      </c>
      <c r="BQ152" s="32">
        <v>336</v>
      </c>
      <c r="BR152" s="31">
        <v>321</v>
      </c>
      <c r="BS152" s="32">
        <v>93</v>
      </c>
      <c r="BT152" s="31">
        <v>73</v>
      </c>
      <c r="BU152" s="33">
        <v>9</v>
      </c>
      <c r="BV152" s="115">
        <v>326</v>
      </c>
      <c r="BW152" s="111">
        <v>337</v>
      </c>
      <c r="BX152" s="32">
        <v>74</v>
      </c>
      <c r="BY152" s="31">
        <v>331</v>
      </c>
      <c r="BZ152" s="32">
        <v>69</v>
      </c>
      <c r="CA152" s="111">
        <v>70</v>
      </c>
      <c r="CB152" s="32">
        <v>338</v>
      </c>
      <c r="CC152" s="33">
        <v>166</v>
      </c>
      <c r="CD152" s="34">
        <v>362</v>
      </c>
      <c r="CE152" s="120">
        <v>139</v>
      </c>
      <c r="CF152" s="38">
        <v>208</v>
      </c>
      <c r="CG152" s="31">
        <v>87</v>
      </c>
      <c r="CH152" s="35">
        <v>42</v>
      </c>
      <c r="CI152" s="35">
        <v>201</v>
      </c>
      <c r="CJ152" s="35">
        <v>204</v>
      </c>
      <c r="CK152" s="32">
        <v>121</v>
      </c>
    </row>
    <row r="153" spans="1:89" ht="13" x14ac:dyDescent="0.25">
      <c r="A153" s="27">
        <v>2401</v>
      </c>
      <c r="B153" s="28" t="s">
        <v>176</v>
      </c>
      <c r="C153" s="29">
        <v>1365</v>
      </c>
      <c r="D153" s="30">
        <v>893</v>
      </c>
      <c r="E153" s="20">
        <f t="shared" si="2"/>
        <v>0.65421245421245422</v>
      </c>
      <c r="F153" s="31">
        <v>0</v>
      </c>
      <c r="G153" s="111">
        <v>0</v>
      </c>
      <c r="H153" s="111">
        <v>0</v>
      </c>
      <c r="I153" s="111">
        <v>0</v>
      </c>
      <c r="J153" s="111">
        <v>1</v>
      </c>
      <c r="K153" s="111">
        <v>0</v>
      </c>
      <c r="L153" s="111">
        <v>0</v>
      </c>
      <c r="M153" s="111">
        <v>812</v>
      </c>
      <c r="N153" s="111">
        <v>0</v>
      </c>
      <c r="O153" s="111">
        <v>0</v>
      </c>
      <c r="P153" s="35">
        <v>2</v>
      </c>
      <c r="Q153" s="35">
        <v>0</v>
      </c>
      <c r="R153" s="35">
        <v>59</v>
      </c>
      <c r="S153" s="32">
        <v>1</v>
      </c>
      <c r="T153" s="37">
        <v>810</v>
      </c>
      <c r="U153" s="38">
        <v>62</v>
      </c>
      <c r="V153" s="37">
        <v>85</v>
      </c>
      <c r="W153" s="32">
        <v>789</v>
      </c>
      <c r="X153" s="31">
        <v>797</v>
      </c>
      <c r="Y153" s="32">
        <v>64</v>
      </c>
      <c r="Z153" s="111">
        <v>794</v>
      </c>
      <c r="AA153" s="35">
        <v>0</v>
      </c>
      <c r="AB153" s="35">
        <v>23</v>
      </c>
      <c r="AC153" s="35">
        <v>63</v>
      </c>
      <c r="AD153" s="35">
        <v>0</v>
      </c>
      <c r="AE153" s="33">
        <v>0</v>
      </c>
      <c r="AF153" s="116">
        <v>2</v>
      </c>
      <c r="AG153" s="120">
        <v>799</v>
      </c>
      <c r="AH153" s="38">
        <v>64</v>
      </c>
      <c r="AI153" s="37"/>
      <c r="AJ153" s="36"/>
      <c r="AK153" s="37"/>
      <c r="AL153" s="38"/>
      <c r="AM153" s="37"/>
      <c r="AN153" s="116"/>
      <c r="AO153" s="120">
        <v>58</v>
      </c>
      <c r="AP153" s="38">
        <v>816</v>
      </c>
      <c r="AQ153" s="37"/>
      <c r="AR153" s="116"/>
      <c r="AS153" s="120"/>
      <c r="AT153" s="38"/>
      <c r="AU153" s="37"/>
      <c r="AV153" s="120"/>
      <c r="AW153" s="120"/>
      <c r="AX153" s="37"/>
      <c r="AY153" s="38"/>
      <c r="AZ153" s="37"/>
      <c r="BA153" s="116"/>
      <c r="BB153" s="31">
        <v>72</v>
      </c>
      <c r="BC153" s="32">
        <v>796</v>
      </c>
      <c r="BD153" s="31">
        <v>60</v>
      </c>
      <c r="BE153" s="116">
        <v>808</v>
      </c>
      <c r="BF153" s="120">
        <v>801</v>
      </c>
      <c r="BG153" s="38">
        <v>66</v>
      </c>
      <c r="BH153" s="37">
        <v>79</v>
      </c>
      <c r="BI153" s="38">
        <v>784</v>
      </c>
      <c r="BJ153" s="111">
        <v>20</v>
      </c>
      <c r="BK153" s="33">
        <v>51</v>
      </c>
      <c r="BL153" s="115">
        <v>807</v>
      </c>
      <c r="BM153" s="111">
        <v>793</v>
      </c>
      <c r="BN153" s="35">
        <v>52</v>
      </c>
      <c r="BO153" s="32">
        <v>21</v>
      </c>
      <c r="BP153" s="31">
        <v>62</v>
      </c>
      <c r="BQ153" s="32">
        <v>808</v>
      </c>
      <c r="BR153" s="31">
        <v>768</v>
      </c>
      <c r="BS153" s="32">
        <v>99</v>
      </c>
      <c r="BT153" s="31">
        <v>62</v>
      </c>
      <c r="BU153" s="33">
        <v>24</v>
      </c>
      <c r="BV153" s="115">
        <v>785</v>
      </c>
      <c r="BW153" s="111">
        <v>794</v>
      </c>
      <c r="BX153" s="32">
        <v>81</v>
      </c>
      <c r="BY153" s="31">
        <v>802</v>
      </c>
      <c r="BZ153" s="32">
        <v>60</v>
      </c>
      <c r="CA153" s="111">
        <v>67</v>
      </c>
      <c r="CB153" s="32">
        <v>800</v>
      </c>
      <c r="CC153" s="33">
        <v>246</v>
      </c>
      <c r="CD153" s="34">
        <v>812</v>
      </c>
      <c r="CE153" s="120">
        <v>237</v>
      </c>
      <c r="CF153" s="38">
        <v>516</v>
      </c>
      <c r="CG153" s="31">
        <v>182</v>
      </c>
      <c r="CH153" s="35">
        <v>42</v>
      </c>
      <c r="CI153" s="35">
        <v>519</v>
      </c>
      <c r="CJ153" s="35">
        <v>512</v>
      </c>
      <c r="CK153" s="32">
        <v>126</v>
      </c>
    </row>
    <row r="154" spans="1:89" ht="13" x14ac:dyDescent="0.25">
      <c r="A154" s="27">
        <v>2402</v>
      </c>
      <c r="B154" s="28" t="s">
        <v>177</v>
      </c>
      <c r="C154" s="29">
        <v>1455</v>
      </c>
      <c r="D154" s="30">
        <v>852</v>
      </c>
      <c r="E154" s="20">
        <f t="shared" si="2"/>
        <v>0.58556701030927838</v>
      </c>
      <c r="F154" s="31">
        <v>0</v>
      </c>
      <c r="G154" s="111">
        <v>0</v>
      </c>
      <c r="H154" s="111">
        <v>0</v>
      </c>
      <c r="I154" s="111">
        <v>1</v>
      </c>
      <c r="J154" s="111">
        <v>3</v>
      </c>
      <c r="K154" s="111">
        <v>0</v>
      </c>
      <c r="L154" s="111">
        <v>0</v>
      </c>
      <c r="M154" s="111">
        <v>693</v>
      </c>
      <c r="N154" s="111">
        <v>0</v>
      </c>
      <c r="O154" s="111">
        <v>0</v>
      </c>
      <c r="P154" s="35">
        <v>3</v>
      </c>
      <c r="Q154" s="35">
        <v>0</v>
      </c>
      <c r="R154" s="35">
        <v>137</v>
      </c>
      <c r="S154" s="32">
        <v>1</v>
      </c>
      <c r="T154" s="37">
        <v>691</v>
      </c>
      <c r="U154" s="38">
        <v>141</v>
      </c>
      <c r="V154" s="37">
        <v>155</v>
      </c>
      <c r="W154" s="32">
        <v>681</v>
      </c>
      <c r="X154" s="31">
        <v>694</v>
      </c>
      <c r="Y154" s="32">
        <v>138</v>
      </c>
      <c r="Z154" s="111">
        <v>684</v>
      </c>
      <c r="AA154" s="35">
        <v>0</v>
      </c>
      <c r="AB154" s="35">
        <v>30</v>
      </c>
      <c r="AC154" s="35">
        <v>123</v>
      </c>
      <c r="AD154" s="35">
        <v>0</v>
      </c>
      <c r="AE154" s="33">
        <v>0</v>
      </c>
      <c r="AF154" s="116">
        <v>0</v>
      </c>
      <c r="AG154" s="120">
        <v>699</v>
      </c>
      <c r="AH154" s="38">
        <v>128</v>
      </c>
      <c r="AI154" s="37"/>
      <c r="AJ154" s="36"/>
      <c r="AK154" s="37"/>
      <c r="AL154" s="38"/>
      <c r="AM154" s="37"/>
      <c r="AN154" s="116"/>
      <c r="AO154" s="120">
        <v>131</v>
      </c>
      <c r="AP154" s="38">
        <v>693</v>
      </c>
      <c r="AQ154" s="37"/>
      <c r="AR154" s="116"/>
      <c r="AS154" s="120"/>
      <c r="AT154" s="38"/>
      <c r="AU154" s="37"/>
      <c r="AV154" s="120"/>
      <c r="AW154" s="120"/>
      <c r="AX154" s="37"/>
      <c r="AY154" s="38"/>
      <c r="AZ154" s="37"/>
      <c r="BA154" s="116"/>
      <c r="BB154" s="31">
        <v>146</v>
      </c>
      <c r="BC154" s="32">
        <v>671</v>
      </c>
      <c r="BD154" s="31">
        <v>139</v>
      </c>
      <c r="BE154" s="116">
        <v>670</v>
      </c>
      <c r="BF154" s="120">
        <v>674</v>
      </c>
      <c r="BG154" s="38">
        <v>133</v>
      </c>
      <c r="BH154" s="37">
        <v>152</v>
      </c>
      <c r="BI154" s="38">
        <v>654</v>
      </c>
      <c r="BJ154" s="111">
        <v>37</v>
      </c>
      <c r="BK154" s="33">
        <v>117</v>
      </c>
      <c r="BL154" s="115">
        <v>674</v>
      </c>
      <c r="BM154" s="111">
        <v>658</v>
      </c>
      <c r="BN154" s="35">
        <v>123</v>
      </c>
      <c r="BO154" s="32">
        <v>35</v>
      </c>
      <c r="BP154" s="31">
        <v>139</v>
      </c>
      <c r="BQ154" s="32">
        <v>674</v>
      </c>
      <c r="BR154" s="31">
        <v>636</v>
      </c>
      <c r="BS154" s="32">
        <v>176</v>
      </c>
      <c r="BT154" s="31">
        <v>133</v>
      </c>
      <c r="BU154" s="33">
        <v>36</v>
      </c>
      <c r="BV154" s="115">
        <v>643</v>
      </c>
      <c r="BW154" s="111">
        <v>676</v>
      </c>
      <c r="BX154" s="32">
        <v>150</v>
      </c>
      <c r="BY154" s="31">
        <v>683</v>
      </c>
      <c r="BZ154" s="32">
        <v>130</v>
      </c>
      <c r="CA154" s="111">
        <v>151</v>
      </c>
      <c r="CB154" s="32">
        <v>662</v>
      </c>
      <c r="CC154" s="33">
        <v>324</v>
      </c>
      <c r="CD154" s="34">
        <v>735</v>
      </c>
      <c r="CE154" s="120">
        <v>243</v>
      </c>
      <c r="CF154" s="38">
        <v>478</v>
      </c>
      <c r="CG154" s="31">
        <v>165</v>
      </c>
      <c r="CH154" s="35">
        <v>83</v>
      </c>
      <c r="CI154" s="35">
        <v>450</v>
      </c>
      <c r="CJ154" s="35">
        <v>458</v>
      </c>
      <c r="CK154" s="32">
        <v>154</v>
      </c>
    </row>
    <row r="155" spans="1:89" ht="13" x14ac:dyDescent="0.25">
      <c r="A155" s="27">
        <v>2403</v>
      </c>
      <c r="B155" s="28" t="s">
        <v>178</v>
      </c>
      <c r="C155" s="29">
        <v>1232</v>
      </c>
      <c r="D155" s="30">
        <v>582</v>
      </c>
      <c r="E155" s="20">
        <f t="shared" si="2"/>
        <v>0.47240259740259738</v>
      </c>
      <c r="F155" s="31">
        <v>0</v>
      </c>
      <c r="G155" s="111">
        <v>0</v>
      </c>
      <c r="H155" s="111">
        <v>0</v>
      </c>
      <c r="I155" s="111">
        <v>0</v>
      </c>
      <c r="J155" s="111">
        <v>1</v>
      </c>
      <c r="K155" s="111">
        <v>0</v>
      </c>
      <c r="L155" s="111">
        <v>0</v>
      </c>
      <c r="M155" s="111">
        <v>447</v>
      </c>
      <c r="N155" s="111">
        <v>0</v>
      </c>
      <c r="O155" s="111">
        <v>0</v>
      </c>
      <c r="P155" s="35">
        <v>2</v>
      </c>
      <c r="Q155" s="35">
        <v>1</v>
      </c>
      <c r="R155" s="35">
        <v>121</v>
      </c>
      <c r="S155" s="32">
        <v>0</v>
      </c>
      <c r="T155" s="37">
        <v>430</v>
      </c>
      <c r="U155" s="38">
        <v>123</v>
      </c>
      <c r="V155" s="37">
        <v>138</v>
      </c>
      <c r="W155" s="32">
        <v>419</v>
      </c>
      <c r="X155" s="31">
        <v>419</v>
      </c>
      <c r="Y155" s="32">
        <v>121</v>
      </c>
      <c r="Z155" s="111">
        <v>438</v>
      </c>
      <c r="AA155" s="35">
        <v>0</v>
      </c>
      <c r="AB155" s="35">
        <v>19</v>
      </c>
      <c r="AC155" s="35">
        <v>110</v>
      </c>
      <c r="AD155" s="35">
        <v>0</v>
      </c>
      <c r="AE155" s="33">
        <v>0</v>
      </c>
      <c r="AF155" s="116">
        <v>0</v>
      </c>
      <c r="AG155" s="120">
        <v>440</v>
      </c>
      <c r="AH155" s="38">
        <v>113</v>
      </c>
      <c r="AI155" s="37"/>
      <c r="AJ155" s="36"/>
      <c r="AK155" s="37"/>
      <c r="AL155" s="38"/>
      <c r="AM155" s="37"/>
      <c r="AN155" s="116"/>
      <c r="AO155" s="120">
        <v>112</v>
      </c>
      <c r="AP155" s="38">
        <v>442</v>
      </c>
      <c r="AQ155" s="37"/>
      <c r="AR155" s="116"/>
      <c r="AS155" s="120"/>
      <c r="AT155" s="38"/>
      <c r="AU155" s="37"/>
      <c r="AV155" s="120"/>
      <c r="AW155" s="120"/>
      <c r="AX155" s="37"/>
      <c r="AY155" s="38"/>
      <c r="AZ155" s="37"/>
      <c r="BA155" s="116"/>
      <c r="BB155" s="31">
        <v>130</v>
      </c>
      <c r="BC155" s="32">
        <v>415</v>
      </c>
      <c r="BD155" s="31">
        <v>115</v>
      </c>
      <c r="BE155" s="116">
        <v>429</v>
      </c>
      <c r="BF155" s="120">
        <v>421</v>
      </c>
      <c r="BG155" s="38">
        <v>124</v>
      </c>
      <c r="BH155" s="37">
        <v>130</v>
      </c>
      <c r="BI155" s="38">
        <v>413</v>
      </c>
      <c r="BJ155" s="111">
        <v>17</v>
      </c>
      <c r="BK155" s="33">
        <v>102</v>
      </c>
      <c r="BL155" s="115">
        <v>434</v>
      </c>
      <c r="BM155" s="111">
        <v>419</v>
      </c>
      <c r="BN155" s="35">
        <v>103</v>
      </c>
      <c r="BO155" s="32">
        <v>20</v>
      </c>
      <c r="BP155" s="31">
        <v>131</v>
      </c>
      <c r="BQ155" s="32">
        <v>416</v>
      </c>
      <c r="BR155" s="31">
        <v>388</v>
      </c>
      <c r="BS155" s="32">
        <v>152</v>
      </c>
      <c r="BT155" s="31">
        <v>112</v>
      </c>
      <c r="BU155" s="33">
        <v>20</v>
      </c>
      <c r="BV155" s="115">
        <v>408</v>
      </c>
      <c r="BW155" s="111">
        <v>431</v>
      </c>
      <c r="BX155" s="32">
        <v>120</v>
      </c>
      <c r="BY155" s="31">
        <v>422</v>
      </c>
      <c r="BZ155" s="32">
        <v>117</v>
      </c>
      <c r="CA155" s="111">
        <v>121</v>
      </c>
      <c r="CB155" s="32">
        <v>422</v>
      </c>
      <c r="CC155" s="33">
        <v>248</v>
      </c>
      <c r="CD155" s="34">
        <v>475</v>
      </c>
      <c r="CE155" s="120">
        <v>193</v>
      </c>
      <c r="CF155" s="42">
        <v>281</v>
      </c>
      <c r="CG155" s="31">
        <v>116</v>
      </c>
      <c r="CH155" s="35">
        <v>52</v>
      </c>
      <c r="CI155" s="35">
        <v>258</v>
      </c>
      <c r="CJ155" s="35">
        <v>263</v>
      </c>
      <c r="CK155" s="32">
        <v>135</v>
      </c>
    </row>
    <row r="156" spans="1:89" ht="13" x14ac:dyDescent="0.25">
      <c r="A156" s="27">
        <v>2404</v>
      </c>
      <c r="B156" s="28" t="s">
        <v>179</v>
      </c>
      <c r="C156" s="29">
        <v>1468</v>
      </c>
      <c r="D156" s="30">
        <v>838</v>
      </c>
      <c r="E156" s="20">
        <f t="shared" si="2"/>
        <v>0.57084468664850141</v>
      </c>
      <c r="F156" s="31">
        <v>0</v>
      </c>
      <c r="G156" s="111">
        <v>0</v>
      </c>
      <c r="H156" s="111">
        <v>0</v>
      </c>
      <c r="I156" s="111">
        <v>0</v>
      </c>
      <c r="J156" s="111">
        <v>2</v>
      </c>
      <c r="K156" s="111">
        <v>0</v>
      </c>
      <c r="L156" s="111">
        <v>0</v>
      </c>
      <c r="M156" s="111">
        <v>521</v>
      </c>
      <c r="N156" s="111">
        <v>0</v>
      </c>
      <c r="O156" s="111">
        <v>0</v>
      </c>
      <c r="P156" s="35">
        <v>5</v>
      </c>
      <c r="Q156" s="35">
        <v>1</v>
      </c>
      <c r="R156" s="35">
        <v>301</v>
      </c>
      <c r="S156" s="32">
        <v>0</v>
      </c>
      <c r="T156" s="37">
        <v>514</v>
      </c>
      <c r="U156" s="38">
        <v>294</v>
      </c>
      <c r="V156" s="37">
        <v>311</v>
      </c>
      <c r="W156" s="32">
        <v>502</v>
      </c>
      <c r="X156" s="31">
        <v>512</v>
      </c>
      <c r="Y156" s="32">
        <v>275</v>
      </c>
      <c r="Z156" s="111">
        <v>538</v>
      </c>
      <c r="AA156" s="35">
        <v>0</v>
      </c>
      <c r="AB156" s="35">
        <v>36</v>
      </c>
      <c r="AC156" s="35">
        <v>246</v>
      </c>
      <c r="AD156" s="35">
        <v>0</v>
      </c>
      <c r="AE156" s="33">
        <v>0</v>
      </c>
      <c r="AF156" s="116">
        <v>0</v>
      </c>
      <c r="AG156" s="120">
        <v>548</v>
      </c>
      <c r="AH156" s="38">
        <v>254</v>
      </c>
      <c r="AI156" s="37"/>
      <c r="AJ156" s="36"/>
      <c r="AK156" s="37"/>
      <c r="AL156" s="38"/>
      <c r="AM156" s="37"/>
      <c r="AN156" s="116"/>
      <c r="AO156" s="120">
        <v>272</v>
      </c>
      <c r="AP156" s="38">
        <v>535</v>
      </c>
      <c r="AQ156" s="37"/>
      <c r="AR156" s="116"/>
      <c r="AS156" s="120"/>
      <c r="AT156" s="38"/>
      <c r="AU156" s="37"/>
      <c r="AV156" s="120"/>
      <c r="AW156" s="120"/>
      <c r="AX156" s="37"/>
      <c r="AY156" s="38"/>
      <c r="AZ156" s="37"/>
      <c r="BA156" s="116"/>
      <c r="BB156" s="31">
        <v>284</v>
      </c>
      <c r="BC156" s="32">
        <v>507</v>
      </c>
      <c r="BD156" s="31">
        <v>273</v>
      </c>
      <c r="BE156" s="116">
        <v>517</v>
      </c>
      <c r="BF156" s="120">
        <v>512</v>
      </c>
      <c r="BG156" s="38">
        <v>277</v>
      </c>
      <c r="BH156" s="37">
        <v>292</v>
      </c>
      <c r="BI156" s="38">
        <v>505</v>
      </c>
      <c r="BJ156" s="111">
        <v>32</v>
      </c>
      <c r="BK156" s="33">
        <v>246</v>
      </c>
      <c r="BL156" s="115">
        <v>530</v>
      </c>
      <c r="BM156" s="111">
        <v>525</v>
      </c>
      <c r="BN156" s="35">
        <v>248</v>
      </c>
      <c r="BO156" s="32">
        <v>28</v>
      </c>
      <c r="BP156" s="31">
        <v>281</v>
      </c>
      <c r="BQ156" s="32">
        <v>512</v>
      </c>
      <c r="BR156" s="31">
        <v>489</v>
      </c>
      <c r="BS156" s="32">
        <v>309</v>
      </c>
      <c r="BT156" s="31">
        <v>257</v>
      </c>
      <c r="BU156" s="33">
        <v>40</v>
      </c>
      <c r="BV156" s="115">
        <v>498</v>
      </c>
      <c r="BW156" s="111">
        <v>523</v>
      </c>
      <c r="BX156" s="32">
        <v>286</v>
      </c>
      <c r="BY156" s="31">
        <v>523</v>
      </c>
      <c r="BZ156" s="32">
        <v>257</v>
      </c>
      <c r="CA156" s="111">
        <v>266</v>
      </c>
      <c r="CB156" s="32">
        <v>524</v>
      </c>
      <c r="CC156" s="33">
        <v>450</v>
      </c>
      <c r="CD156" s="34">
        <v>650</v>
      </c>
      <c r="CE156" s="120">
        <v>281</v>
      </c>
      <c r="CF156" s="38">
        <v>391</v>
      </c>
      <c r="CG156" s="31">
        <v>183</v>
      </c>
      <c r="CH156" s="35">
        <v>112</v>
      </c>
      <c r="CI156" s="35">
        <v>293</v>
      </c>
      <c r="CJ156" s="35">
        <v>307</v>
      </c>
      <c r="CK156" s="32">
        <v>281</v>
      </c>
    </row>
    <row r="157" spans="1:89" ht="13" x14ac:dyDescent="0.25">
      <c r="A157" s="27">
        <v>2405</v>
      </c>
      <c r="B157" s="28" t="s">
        <v>180</v>
      </c>
      <c r="C157" s="29">
        <v>1013</v>
      </c>
      <c r="D157" s="30">
        <v>252</v>
      </c>
      <c r="E157" s="20">
        <f t="shared" si="2"/>
        <v>0.24876604146100692</v>
      </c>
      <c r="F157" s="31">
        <v>0</v>
      </c>
      <c r="G157" s="111">
        <v>0</v>
      </c>
      <c r="H157" s="111">
        <v>0</v>
      </c>
      <c r="I157" s="111">
        <v>0</v>
      </c>
      <c r="J157" s="111">
        <v>1</v>
      </c>
      <c r="K157" s="111">
        <v>0</v>
      </c>
      <c r="L157" s="111">
        <v>0</v>
      </c>
      <c r="M157" s="111">
        <v>211</v>
      </c>
      <c r="N157" s="111">
        <v>0</v>
      </c>
      <c r="O157" s="111">
        <v>0</v>
      </c>
      <c r="P157" s="35">
        <v>2</v>
      </c>
      <c r="Q157" s="35">
        <v>2</v>
      </c>
      <c r="R157" s="35">
        <v>27</v>
      </c>
      <c r="S157" s="32">
        <v>3</v>
      </c>
      <c r="T157" s="37">
        <v>215</v>
      </c>
      <c r="U157" s="38">
        <v>26</v>
      </c>
      <c r="V157" s="37">
        <v>32</v>
      </c>
      <c r="W157" s="32">
        <v>210</v>
      </c>
      <c r="X157" s="31">
        <v>216</v>
      </c>
      <c r="Y157" s="32">
        <v>21</v>
      </c>
      <c r="Z157" s="111">
        <v>203</v>
      </c>
      <c r="AA157" s="35">
        <v>0</v>
      </c>
      <c r="AB157" s="35">
        <v>19</v>
      </c>
      <c r="AC157" s="35">
        <v>25</v>
      </c>
      <c r="AD157" s="35">
        <v>0</v>
      </c>
      <c r="AE157" s="33">
        <v>0</v>
      </c>
      <c r="AF157" s="116">
        <v>0</v>
      </c>
      <c r="AG157" s="120">
        <v>209</v>
      </c>
      <c r="AH157" s="38">
        <v>25</v>
      </c>
      <c r="AI157" s="37"/>
      <c r="AJ157" s="36"/>
      <c r="AK157" s="37"/>
      <c r="AL157" s="38"/>
      <c r="AM157" s="37"/>
      <c r="AN157" s="116"/>
      <c r="AO157" s="120">
        <v>19</v>
      </c>
      <c r="AP157" s="38">
        <v>228</v>
      </c>
      <c r="AQ157" s="37"/>
      <c r="AR157" s="116"/>
      <c r="AS157" s="120"/>
      <c r="AT157" s="38"/>
      <c r="AU157" s="37"/>
      <c r="AV157" s="120"/>
      <c r="AW157" s="120"/>
      <c r="AX157" s="37"/>
      <c r="AY157" s="38"/>
      <c r="AZ157" s="37"/>
      <c r="BA157" s="116"/>
      <c r="BB157" s="31">
        <v>28</v>
      </c>
      <c r="BC157" s="32">
        <v>213</v>
      </c>
      <c r="BD157" s="31">
        <v>23</v>
      </c>
      <c r="BE157" s="116">
        <v>218</v>
      </c>
      <c r="BF157" s="120">
        <v>219</v>
      </c>
      <c r="BG157" s="38">
        <v>23</v>
      </c>
      <c r="BH157" s="37">
        <v>27</v>
      </c>
      <c r="BI157" s="38">
        <v>212</v>
      </c>
      <c r="BJ157" s="111">
        <v>6</v>
      </c>
      <c r="BK157" s="33">
        <v>15</v>
      </c>
      <c r="BL157" s="115">
        <v>227</v>
      </c>
      <c r="BM157" s="111">
        <v>213</v>
      </c>
      <c r="BN157" s="35">
        <v>25</v>
      </c>
      <c r="BO157" s="32">
        <v>6</v>
      </c>
      <c r="BP157" s="31">
        <v>23</v>
      </c>
      <c r="BQ157" s="32">
        <v>219</v>
      </c>
      <c r="BR157" s="31">
        <v>210</v>
      </c>
      <c r="BS157" s="32">
        <v>32</v>
      </c>
      <c r="BT157" s="31">
        <v>21</v>
      </c>
      <c r="BU157" s="33">
        <v>13</v>
      </c>
      <c r="BV157" s="115">
        <v>209</v>
      </c>
      <c r="BW157" s="111">
        <v>215</v>
      </c>
      <c r="BX157" s="32">
        <v>27</v>
      </c>
      <c r="BY157" s="31">
        <v>217</v>
      </c>
      <c r="BZ157" s="32">
        <v>17</v>
      </c>
      <c r="CA157" s="111">
        <v>21</v>
      </c>
      <c r="CB157" s="32">
        <v>219</v>
      </c>
      <c r="CC157" s="33">
        <v>87</v>
      </c>
      <c r="CD157" s="34">
        <v>226</v>
      </c>
      <c r="CE157" s="120">
        <v>91</v>
      </c>
      <c r="CF157" s="38">
        <v>123</v>
      </c>
      <c r="CG157" s="31">
        <v>57</v>
      </c>
      <c r="CH157" s="35">
        <v>14</v>
      </c>
      <c r="CI157" s="35">
        <v>101</v>
      </c>
      <c r="CJ157" s="35">
        <v>108</v>
      </c>
      <c r="CK157" s="32">
        <v>63</v>
      </c>
    </row>
    <row r="158" spans="1:89" ht="13" x14ac:dyDescent="0.25">
      <c r="A158" s="27">
        <v>2406</v>
      </c>
      <c r="B158" s="28" t="s">
        <v>181</v>
      </c>
      <c r="C158" s="29">
        <v>892</v>
      </c>
      <c r="D158" s="30">
        <v>519</v>
      </c>
      <c r="E158" s="20">
        <f t="shared" si="2"/>
        <v>0.58183856502242148</v>
      </c>
      <c r="F158" s="31">
        <v>0</v>
      </c>
      <c r="G158" s="111">
        <v>0</v>
      </c>
      <c r="H158" s="111">
        <v>0</v>
      </c>
      <c r="I158" s="111">
        <v>0</v>
      </c>
      <c r="J158" s="111">
        <v>1</v>
      </c>
      <c r="K158" s="111">
        <v>0</v>
      </c>
      <c r="L158" s="111">
        <v>0</v>
      </c>
      <c r="M158" s="111">
        <v>457</v>
      </c>
      <c r="N158" s="111">
        <v>0</v>
      </c>
      <c r="O158" s="111">
        <v>0</v>
      </c>
      <c r="P158" s="35">
        <v>2</v>
      </c>
      <c r="Q158" s="35">
        <v>1</v>
      </c>
      <c r="R158" s="35">
        <v>48</v>
      </c>
      <c r="S158" s="32">
        <v>0</v>
      </c>
      <c r="T158" s="37">
        <v>440</v>
      </c>
      <c r="U158" s="38">
        <v>59</v>
      </c>
      <c r="V158" s="37">
        <v>71</v>
      </c>
      <c r="W158" s="32">
        <v>431</v>
      </c>
      <c r="X158" s="31">
        <v>444</v>
      </c>
      <c r="Y158" s="32">
        <v>49</v>
      </c>
      <c r="Z158" s="111">
        <v>436</v>
      </c>
      <c r="AA158" s="35">
        <v>0</v>
      </c>
      <c r="AB158" s="35">
        <v>17</v>
      </c>
      <c r="AC158" s="35">
        <v>52</v>
      </c>
      <c r="AD158" s="35">
        <v>0</v>
      </c>
      <c r="AE158" s="33">
        <v>0</v>
      </c>
      <c r="AF158" s="116">
        <v>0</v>
      </c>
      <c r="AG158" s="120">
        <v>455</v>
      </c>
      <c r="AH158" s="38">
        <v>46</v>
      </c>
      <c r="AI158" s="37"/>
      <c r="AJ158" s="36"/>
      <c r="AK158" s="37"/>
      <c r="AL158" s="38"/>
      <c r="AM158" s="37"/>
      <c r="AN158" s="116"/>
      <c r="AO158" s="120">
        <v>48</v>
      </c>
      <c r="AP158" s="38">
        <v>462</v>
      </c>
      <c r="AQ158" s="37"/>
      <c r="AR158" s="116"/>
      <c r="AS158" s="120"/>
      <c r="AT158" s="38"/>
      <c r="AU158" s="37"/>
      <c r="AV158" s="120"/>
      <c r="AW158" s="120"/>
      <c r="AX158" s="37"/>
      <c r="AY158" s="38"/>
      <c r="AZ158" s="37"/>
      <c r="BA158" s="116"/>
      <c r="BB158" s="31">
        <v>60</v>
      </c>
      <c r="BC158" s="32">
        <v>435</v>
      </c>
      <c r="BD158" s="31">
        <v>52</v>
      </c>
      <c r="BE158" s="116">
        <v>441</v>
      </c>
      <c r="BF158" s="120">
        <v>446</v>
      </c>
      <c r="BG158" s="38">
        <v>48</v>
      </c>
      <c r="BH158" s="37">
        <v>67</v>
      </c>
      <c r="BI158" s="38">
        <v>421</v>
      </c>
      <c r="BJ158" s="111">
        <v>7</v>
      </c>
      <c r="BK158" s="33">
        <v>44</v>
      </c>
      <c r="BL158" s="115">
        <v>456</v>
      </c>
      <c r="BM158" s="111">
        <v>443</v>
      </c>
      <c r="BN158" s="35">
        <v>45</v>
      </c>
      <c r="BO158" s="32">
        <v>7</v>
      </c>
      <c r="BP158" s="31">
        <v>55</v>
      </c>
      <c r="BQ158" s="32">
        <v>435</v>
      </c>
      <c r="BR158" s="31">
        <v>419</v>
      </c>
      <c r="BS158" s="32">
        <v>73</v>
      </c>
      <c r="BT158" s="31">
        <v>53</v>
      </c>
      <c r="BU158" s="33">
        <v>8</v>
      </c>
      <c r="BV158" s="115">
        <v>436</v>
      </c>
      <c r="BW158" s="111">
        <v>445</v>
      </c>
      <c r="BX158" s="32">
        <v>54</v>
      </c>
      <c r="BY158" s="31">
        <v>435</v>
      </c>
      <c r="BZ158" s="32">
        <v>54</v>
      </c>
      <c r="CA158" s="111">
        <v>53</v>
      </c>
      <c r="CB158" s="32">
        <v>440</v>
      </c>
      <c r="CC158" s="33">
        <v>148</v>
      </c>
      <c r="CD158" s="34">
        <v>468</v>
      </c>
      <c r="CE158" s="120">
        <v>152</v>
      </c>
      <c r="CF158" s="38">
        <v>277</v>
      </c>
      <c r="CG158" s="31">
        <v>119</v>
      </c>
      <c r="CH158" s="35">
        <v>27</v>
      </c>
      <c r="CI158" s="35">
        <v>270</v>
      </c>
      <c r="CJ158" s="35">
        <v>268</v>
      </c>
      <c r="CK158" s="32">
        <v>107</v>
      </c>
    </row>
    <row r="159" spans="1:89" ht="13" x14ac:dyDescent="0.25">
      <c r="A159" s="27">
        <v>2407</v>
      </c>
      <c r="B159" s="28" t="s">
        <v>182</v>
      </c>
      <c r="C159" s="29">
        <v>1366</v>
      </c>
      <c r="D159" s="30">
        <v>869</v>
      </c>
      <c r="E159" s="20">
        <f t="shared" si="2"/>
        <v>0.63616398243045391</v>
      </c>
      <c r="F159" s="31">
        <v>0</v>
      </c>
      <c r="G159" s="111">
        <v>0</v>
      </c>
      <c r="H159" s="111">
        <v>0</v>
      </c>
      <c r="I159" s="111">
        <v>0</v>
      </c>
      <c r="J159" s="111">
        <v>7</v>
      </c>
      <c r="K159" s="111">
        <v>0</v>
      </c>
      <c r="L159" s="111">
        <v>0</v>
      </c>
      <c r="M159" s="111">
        <v>534</v>
      </c>
      <c r="N159" s="111">
        <v>0</v>
      </c>
      <c r="O159" s="111">
        <v>0</v>
      </c>
      <c r="P159" s="35">
        <v>3</v>
      </c>
      <c r="Q159" s="35">
        <v>4</v>
      </c>
      <c r="R159" s="35">
        <v>310</v>
      </c>
      <c r="S159" s="32">
        <v>0</v>
      </c>
      <c r="T159" s="37">
        <v>515</v>
      </c>
      <c r="U159" s="38">
        <v>322</v>
      </c>
      <c r="V159" s="37">
        <v>358</v>
      </c>
      <c r="W159" s="32">
        <v>487</v>
      </c>
      <c r="X159" s="31">
        <v>513</v>
      </c>
      <c r="Y159" s="32">
        <v>315</v>
      </c>
      <c r="Z159" s="111">
        <v>521</v>
      </c>
      <c r="AA159" s="35">
        <v>0</v>
      </c>
      <c r="AB159" s="35">
        <v>36</v>
      </c>
      <c r="AC159" s="35">
        <v>289</v>
      </c>
      <c r="AD159" s="35">
        <v>0</v>
      </c>
      <c r="AE159" s="33">
        <v>0</v>
      </c>
      <c r="AF159" s="116">
        <v>0</v>
      </c>
      <c r="AG159" s="120">
        <v>538</v>
      </c>
      <c r="AH159" s="38">
        <v>297</v>
      </c>
      <c r="AI159" s="37"/>
      <c r="AJ159" s="36"/>
      <c r="AK159" s="37"/>
      <c r="AL159" s="38"/>
      <c r="AM159" s="37"/>
      <c r="AN159" s="116"/>
      <c r="AO159" s="120">
        <v>310</v>
      </c>
      <c r="AP159" s="38">
        <v>523</v>
      </c>
      <c r="AQ159" s="37"/>
      <c r="AR159" s="116"/>
      <c r="AS159" s="120"/>
      <c r="AT159" s="38"/>
      <c r="AU159" s="37"/>
      <c r="AV159" s="120"/>
      <c r="AW159" s="120"/>
      <c r="AX159" s="37"/>
      <c r="AY159" s="38"/>
      <c r="AZ159" s="37"/>
      <c r="BA159" s="116"/>
      <c r="BB159" s="31">
        <v>315</v>
      </c>
      <c r="BC159" s="32">
        <v>505</v>
      </c>
      <c r="BD159" s="31">
        <v>307</v>
      </c>
      <c r="BE159" s="116">
        <v>512</v>
      </c>
      <c r="BF159" s="120">
        <v>497</v>
      </c>
      <c r="BG159" s="38">
        <v>313</v>
      </c>
      <c r="BH159" s="37">
        <v>336</v>
      </c>
      <c r="BI159" s="38">
        <v>475</v>
      </c>
      <c r="BJ159" s="111">
        <v>45</v>
      </c>
      <c r="BK159" s="33">
        <v>288</v>
      </c>
      <c r="BL159" s="115">
        <v>495</v>
      </c>
      <c r="BM159" s="111">
        <v>497</v>
      </c>
      <c r="BN159" s="35">
        <v>298</v>
      </c>
      <c r="BO159" s="32">
        <v>30</v>
      </c>
      <c r="BP159" s="31">
        <v>317</v>
      </c>
      <c r="BQ159" s="32">
        <v>504</v>
      </c>
      <c r="BR159" s="31">
        <v>470</v>
      </c>
      <c r="BS159" s="32">
        <v>354</v>
      </c>
      <c r="BT159" s="31">
        <v>302</v>
      </c>
      <c r="BU159" s="33">
        <v>31</v>
      </c>
      <c r="BV159" s="115">
        <v>489</v>
      </c>
      <c r="BW159" s="111">
        <v>509</v>
      </c>
      <c r="BX159" s="32">
        <v>326</v>
      </c>
      <c r="BY159" s="31">
        <v>507</v>
      </c>
      <c r="BZ159" s="32">
        <v>305</v>
      </c>
      <c r="CA159" s="111">
        <v>322</v>
      </c>
      <c r="CB159" s="32">
        <v>497</v>
      </c>
      <c r="CC159" s="33">
        <v>486</v>
      </c>
      <c r="CD159" s="34">
        <v>658</v>
      </c>
      <c r="CE159" s="120">
        <v>322</v>
      </c>
      <c r="CF159" s="42">
        <v>396</v>
      </c>
      <c r="CG159" s="31">
        <v>193</v>
      </c>
      <c r="CH159" s="35">
        <v>159</v>
      </c>
      <c r="CI159" s="35">
        <v>330</v>
      </c>
      <c r="CJ159" s="35">
        <v>334</v>
      </c>
      <c r="CK159" s="32">
        <v>287</v>
      </c>
    </row>
    <row r="160" spans="1:89" ht="13" x14ac:dyDescent="0.25">
      <c r="A160" s="27">
        <v>2408</v>
      </c>
      <c r="B160" s="28" t="s">
        <v>183</v>
      </c>
      <c r="C160" s="29">
        <v>613</v>
      </c>
      <c r="D160" s="30">
        <v>114</v>
      </c>
      <c r="E160" s="20">
        <f t="shared" si="2"/>
        <v>0.18597063621533441</v>
      </c>
      <c r="F160" s="31">
        <v>0</v>
      </c>
      <c r="G160" s="111">
        <v>0</v>
      </c>
      <c r="H160" s="111">
        <v>0</v>
      </c>
      <c r="I160" s="111">
        <v>0</v>
      </c>
      <c r="J160" s="111">
        <v>0</v>
      </c>
      <c r="K160" s="111">
        <v>0</v>
      </c>
      <c r="L160" s="111">
        <v>0</v>
      </c>
      <c r="M160" s="111">
        <v>101</v>
      </c>
      <c r="N160" s="111">
        <v>0</v>
      </c>
      <c r="O160" s="111">
        <v>0</v>
      </c>
      <c r="P160" s="35">
        <v>0</v>
      </c>
      <c r="Q160" s="35">
        <v>0</v>
      </c>
      <c r="R160" s="35">
        <v>9</v>
      </c>
      <c r="S160" s="32">
        <v>1</v>
      </c>
      <c r="T160" s="37">
        <v>101</v>
      </c>
      <c r="U160" s="38">
        <v>10</v>
      </c>
      <c r="V160" s="37">
        <v>14</v>
      </c>
      <c r="W160" s="32">
        <v>96</v>
      </c>
      <c r="X160" s="31">
        <v>107</v>
      </c>
      <c r="Y160" s="32">
        <v>4</v>
      </c>
      <c r="Z160" s="111">
        <v>95</v>
      </c>
      <c r="AA160" s="35">
        <v>0</v>
      </c>
      <c r="AB160" s="35">
        <v>8</v>
      </c>
      <c r="AC160" s="35">
        <v>9</v>
      </c>
      <c r="AD160" s="35">
        <v>0</v>
      </c>
      <c r="AE160" s="33">
        <v>0</v>
      </c>
      <c r="AF160" s="116">
        <v>0</v>
      </c>
      <c r="AG160" s="120">
        <v>103</v>
      </c>
      <c r="AH160" s="38">
        <v>7</v>
      </c>
      <c r="AI160" s="37"/>
      <c r="AJ160" s="36"/>
      <c r="AK160" s="37"/>
      <c r="AL160" s="38"/>
      <c r="AM160" s="37"/>
      <c r="AN160" s="116"/>
      <c r="AO160" s="120">
        <v>5</v>
      </c>
      <c r="AP160" s="38">
        <v>105</v>
      </c>
      <c r="AQ160" s="37"/>
      <c r="AR160" s="116"/>
      <c r="AS160" s="120"/>
      <c r="AT160" s="38"/>
      <c r="AU160" s="37"/>
      <c r="AV160" s="120"/>
      <c r="AW160" s="120"/>
      <c r="AX160" s="37"/>
      <c r="AY160" s="38"/>
      <c r="AZ160" s="37"/>
      <c r="BA160" s="116"/>
      <c r="BB160" s="31">
        <v>7</v>
      </c>
      <c r="BC160" s="32">
        <v>100</v>
      </c>
      <c r="BD160" s="31">
        <v>7</v>
      </c>
      <c r="BE160" s="116">
        <v>100</v>
      </c>
      <c r="BF160" s="120">
        <v>101</v>
      </c>
      <c r="BG160" s="38">
        <v>7</v>
      </c>
      <c r="BH160" s="37">
        <v>8</v>
      </c>
      <c r="BI160" s="38">
        <v>98</v>
      </c>
      <c r="BJ160" s="111">
        <v>1</v>
      </c>
      <c r="BK160" s="33">
        <v>4</v>
      </c>
      <c r="BL160" s="115">
        <v>104</v>
      </c>
      <c r="BM160" s="111">
        <v>98</v>
      </c>
      <c r="BN160" s="35">
        <v>6</v>
      </c>
      <c r="BO160" s="32">
        <v>3</v>
      </c>
      <c r="BP160" s="31">
        <v>7</v>
      </c>
      <c r="BQ160" s="32">
        <v>100</v>
      </c>
      <c r="BR160" s="31">
        <v>94</v>
      </c>
      <c r="BS160" s="32">
        <v>13</v>
      </c>
      <c r="BT160" s="31">
        <v>6</v>
      </c>
      <c r="BU160" s="33">
        <v>2</v>
      </c>
      <c r="BV160" s="115">
        <v>100</v>
      </c>
      <c r="BW160" s="111">
        <v>97</v>
      </c>
      <c r="BX160" s="32">
        <v>9</v>
      </c>
      <c r="BY160" s="31">
        <v>102</v>
      </c>
      <c r="BZ160" s="32">
        <v>3</v>
      </c>
      <c r="CA160" s="111">
        <v>7</v>
      </c>
      <c r="CB160" s="32">
        <v>100</v>
      </c>
      <c r="CC160" s="33">
        <v>49</v>
      </c>
      <c r="CD160" s="34">
        <v>103</v>
      </c>
      <c r="CE160" s="120">
        <v>41</v>
      </c>
      <c r="CF160" s="38">
        <v>57</v>
      </c>
      <c r="CG160" s="31">
        <v>24</v>
      </c>
      <c r="CH160" s="35">
        <v>10</v>
      </c>
      <c r="CI160" s="35">
        <v>52</v>
      </c>
      <c r="CJ160" s="35">
        <v>48</v>
      </c>
      <c r="CK160" s="32">
        <v>24</v>
      </c>
    </row>
    <row r="161" spans="1:89" ht="13" x14ac:dyDescent="0.25">
      <c r="A161" s="27">
        <v>2409</v>
      </c>
      <c r="B161" s="28" t="s">
        <v>184</v>
      </c>
      <c r="C161" s="29">
        <v>723</v>
      </c>
      <c r="D161" s="30">
        <v>175</v>
      </c>
      <c r="E161" s="20">
        <f t="shared" si="2"/>
        <v>0.24204702627939143</v>
      </c>
      <c r="F161" s="31">
        <v>0</v>
      </c>
      <c r="G161" s="111">
        <v>0</v>
      </c>
      <c r="H161" s="111">
        <v>0</v>
      </c>
      <c r="I161" s="111">
        <v>0</v>
      </c>
      <c r="J161" s="111">
        <v>0</v>
      </c>
      <c r="K161" s="111">
        <v>0</v>
      </c>
      <c r="L161" s="111">
        <v>0</v>
      </c>
      <c r="M161" s="111">
        <v>150</v>
      </c>
      <c r="N161" s="111">
        <v>0</v>
      </c>
      <c r="O161" s="111">
        <v>0</v>
      </c>
      <c r="P161" s="35">
        <v>2</v>
      </c>
      <c r="Q161" s="35">
        <v>0</v>
      </c>
      <c r="R161" s="35">
        <v>15</v>
      </c>
      <c r="S161" s="32">
        <v>0</v>
      </c>
      <c r="T161" s="37">
        <v>152</v>
      </c>
      <c r="U161" s="38">
        <v>18</v>
      </c>
      <c r="V161" s="37">
        <v>16</v>
      </c>
      <c r="W161" s="32">
        <v>151</v>
      </c>
      <c r="X161" s="31">
        <v>153</v>
      </c>
      <c r="Y161" s="32">
        <v>13</v>
      </c>
      <c r="Z161" s="111">
        <v>145</v>
      </c>
      <c r="AA161" s="35">
        <v>0</v>
      </c>
      <c r="AB161" s="35">
        <v>10</v>
      </c>
      <c r="AC161" s="35">
        <v>13</v>
      </c>
      <c r="AD161" s="35">
        <v>0</v>
      </c>
      <c r="AE161" s="33">
        <v>0</v>
      </c>
      <c r="AF161" s="116">
        <v>0</v>
      </c>
      <c r="AG161" s="120">
        <v>156</v>
      </c>
      <c r="AH161" s="38">
        <v>11</v>
      </c>
      <c r="AI161" s="37"/>
      <c r="AJ161" s="36"/>
      <c r="AK161" s="37"/>
      <c r="AL161" s="38"/>
      <c r="AM161" s="37"/>
      <c r="AN161" s="116"/>
      <c r="AO161" s="120">
        <v>7</v>
      </c>
      <c r="AP161" s="38">
        <v>162</v>
      </c>
      <c r="AQ161" s="37"/>
      <c r="AR161" s="116"/>
      <c r="AS161" s="120"/>
      <c r="AT161" s="38"/>
      <c r="AU161" s="37"/>
      <c r="AV161" s="120"/>
      <c r="AW161" s="120"/>
      <c r="AX161" s="37"/>
      <c r="AY161" s="38"/>
      <c r="AZ161" s="37"/>
      <c r="BA161" s="116"/>
      <c r="BB161" s="31">
        <v>20</v>
      </c>
      <c r="BC161" s="32">
        <v>148</v>
      </c>
      <c r="BD161" s="31">
        <v>13</v>
      </c>
      <c r="BE161" s="116">
        <v>152</v>
      </c>
      <c r="BF161" s="120">
        <v>155</v>
      </c>
      <c r="BG161" s="38">
        <v>12</v>
      </c>
      <c r="BH161" s="37">
        <v>14</v>
      </c>
      <c r="BI161" s="38">
        <v>149</v>
      </c>
      <c r="BJ161" s="111">
        <v>5</v>
      </c>
      <c r="BK161" s="33">
        <v>9</v>
      </c>
      <c r="BL161" s="115">
        <v>155</v>
      </c>
      <c r="BM161" s="111">
        <v>153</v>
      </c>
      <c r="BN161" s="35">
        <v>9</v>
      </c>
      <c r="BO161" s="32">
        <v>4</v>
      </c>
      <c r="BP161" s="31">
        <v>13</v>
      </c>
      <c r="BQ161" s="32">
        <v>154</v>
      </c>
      <c r="BR161" s="31">
        <v>146</v>
      </c>
      <c r="BS161" s="32">
        <v>19</v>
      </c>
      <c r="BT161" s="31">
        <v>14</v>
      </c>
      <c r="BU161" s="33">
        <v>6</v>
      </c>
      <c r="BV161" s="115">
        <v>146</v>
      </c>
      <c r="BW161" s="111">
        <v>158</v>
      </c>
      <c r="BX161" s="32">
        <v>10</v>
      </c>
      <c r="BY161" s="31">
        <v>151</v>
      </c>
      <c r="BZ161" s="32">
        <v>11</v>
      </c>
      <c r="CA161" s="111">
        <v>21</v>
      </c>
      <c r="CB161" s="32">
        <v>146</v>
      </c>
      <c r="CC161" s="33">
        <v>54</v>
      </c>
      <c r="CD161" s="34">
        <v>159</v>
      </c>
      <c r="CE161" s="120">
        <v>47</v>
      </c>
      <c r="CF161" s="38">
        <v>99</v>
      </c>
      <c r="CG161" s="31">
        <v>27</v>
      </c>
      <c r="CH161" s="35">
        <v>11</v>
      </c>
      <c r="CI161" s="35">
        <v>85</v>
      </c>
      <c r="CJ161" s="35">
        <v>79</v>
      </c>
      <c r="CK161" s="32">
        <v>25</v>
      </c>
    </row>
    <row r="162" spans="1:89" ht="13" x14ac:dyDescent="0.25">
      <c r="A162" s="27">
        <v>2501</v>
      </c>
      <c r="B162" s="28" t="s">
        <v>185</v>
      </c>
      <c r="C162" s="29">
        <v>1093</v>
      </c>
      <c r="D162" s="30">
        <v>541</v>
      </c>
      <c r="E162" s="20">
        <f t="shared" si="2"/>
        <v>0.49496797804208598</v>
      </c>
      <c r="F162" s="31">
        <v>0</v>
      </c>
      <c r="G162" s="111">
        <v>0</v>
      </c>
      <c r="H162" s="111">
        <v>0</v>
      </c>
      <c r="I162" s="111">
        <v>0</v>
      </c>
      <c r="J162" s="111">
        <v>1</v>
      </c>
      <c r="K162" s="111">
        <v>0</v>
      </c>
      <c r="L162" s="111">
        <v>0</v>
      </c>
      <c r="M162" s="111">
        <v>454</v>
      </c>
      <c r="N162" s="111">
        <v>0</v>
      </c>
      <c r="O162" s="111">
        <v>0</v>
      </c>
      <c r="P162" s="35">
        <v>2</v>
      </c>
      <c r="Q162" s="35">
        <v>2</v>
      </c>
      <c r="R162" s="35">
        <v>71</v>
      </c>
      <c r="S162" s="32">
        <v>1</v>
      </c>
      <c r="T162" s="37">
        <v>450</v>
      </c>
      <c r="U162" s="38">
        <v>65</v>
      </c>
      <c r="V162" s="37">
        <v>70</v>
      </c>
      <c r="W162" s="32">
        <v>443</v>
      </c>
      <c r="X162" s="31">
        <v>451</v>
      </c>
      <c r="Y162" s="32">
        <v>58</v>
      </c>
      <c r="Z162" s="111">
        <v>456</v>
      </c>
      <c r="AA162" s="35">
        <v>0</v>
      </c>
      <c r="AB162" s="35">
        <v>18</v>
      </c>
      <c r="AC162" s="35">
        <v>52</v>
      </c>
      <c r="AD162" s="35">
        <v>0</v>
      </c>
      <c r="AE162" s="33">
        <v>0</v>
      </c>
      <c r="AF162" s="116">
        <v>0</v>
      </c>
      <c r="AG162" s="120">
        <v>454</v>
      </c>
      <c r="AH162" s="38">
        <v>60</v>
      </c>
      <c r="AI162" s="37"/>
      <c r="AJ162" s="36"/>
      <c r="AK162" s="37"/>
      <c r="AL162" s="38"/>
      <c r="AM162" s="37">
        <v>456</v>
      </c>
      <c r="AN162" s="116">
        <v>56</v>
      </c>
      <c r="AO162" s="120"/>
      <c r="AP162" s="38"/>
      <c r="AQ162" s="37"/>
      <c r="AR162" s="116"/>
      <c r="AS162" s="120"/>
      <c r="AT162" s="38"/>
      <c r="AU162" s="37"/>
      <c r="AV162" s="120"/>
      <c r="AW162" s="120"/>
      <c r="AX162" s="37"/>
      <c r="AY162" s="38"/>
      <c r="AZ162" s="37"/>
      <c r="BA162" s="116"/>
      <c r="BB162" s="31">
        <v>65</v>
      </c>
      <c r="BC162" s="32">
        <v>445</v>
      </c>
      <c r="BD162" s="31">
        <v>54</v>
      </c>
      <c r="BE162" s="116">
        <v>457</v>
      </c>
      <c r="BF162" s="120">
        <v>451</v>
      </c>
      <c r="BG162" s="38">
        <v>58</v>
      </c>
      <c r="BH162" s="37">
        <v>65</v>
      </c>
      <c r="BI162" s="38">
        <v>444</v>
      </c>
      <c r="BJ162" s="111">
        <v>14</v>
      </c>
      <c r="BK162" s="33">
        <v>52</v>
      </c>
      <c r="BL162" s="115">
        <v>452</v>
      </c>
      <c r="BM162" s="111">
        <v>454</v>
      </c>
      <c r="BN162" s="35">
        <v>51</v>
      </c>
      <c r="BO162" s="32">
        <v>11</v>
      </c>
      <c r="BP162" s="31">
        <v>57</v>
      </c>
      <c r="BQ162" s="32">
        <v>451</v>
      </c>
      <c r="BR162" s="31">
        <v>434</v>
      </c>
      <c r="BS162" s="32">
        <v>76</v>
      </c>
      <c r="BT162" s="31">
        <v>53</v>
      </c>
      <c r="BU162" s="33">
        <v>29</v>
      </c>
      <c r="BV162" s="115">
        <v>433</v>
      </c>
      <c r="BW162" s="111">
        <v>457</v>
      </c>
      <c r="BX162" s="32">
        <v>59</v>
      </c>
      <c r="BY162" s="31">
        <v>451</v>
      </c>
      <c r="BZ162" s="32">
        <v>51</v>
      </c>
      <c r="CA162" s="111">
        <v>65</v>
      </c>
      <c r="CB162" s="32">
        <v>440</v>
      </c>
      <c r="CC162" s="33">
        <v>209</v>
      </c>
      <c r="CD162" s="34">
        <v>465</v>
      </c>
      <c r="CE162" s="120">
        <v>160</v>
      </c>
      <c r="CF162" s="38">
        <v>281</v>
      </c>
      <c r="CG162" s="31">
        <v>105</v>
      </c>
      <c r="CH162" s="35">
        <v>39</v>
      </c>
      <c r="CI162" s="35">
        <v>278</v>
      </c>
      <c r="CJ162" s="35">
        <v>270</v>
      </c>
      <c r="CK162" s="32">
        <v>82</v>
      </c>
    </row>
    <row r="163" spans="1:89" ht="13" x14ac:dyDescent="0.25">
      <c r="A163" s="27">
        <v>2502</v>
      </c>
      <c r="B163" s="28" t="s">
        <v>186</v>
      </c>
      <c r="C163" s="29">
        <v>1144</v>
      </c>
      <c r="D163" s="30">
        <v>431</v>
      </c>
      <c r="E163" s="20">
        <f t="shared" si="2"/>
        <v>0.37674825174825177</v>
      </c>
      <c r="F163" s="31">
        <v>0</v>
      </c>
      <c r="G163" s="111">
        <v>0</v>
      </c>
      <c r="H163" s="111">
        <v>0</v>
      </c>
      <c r="I163" s="111">
        <v>0</v>
      </c>
      <c r="J163" s="111">
        <v>0</v>
      </c>
      <c r="K163" s="111">
        <v>0</v>
      </c>
      <c r="L163" s="111">
        <v>0</v>
      </c>
      <c r="M163" s="111">
        <v>283</v>
      </c>
      <c r="N163" s="111">
        <v>0</v>
      </c>
      <c r="O163" s="111">
        <v>0</v>
      </c>
      <c r="P163" s="35">
        <v>1</v>
      </c>
      <c r="Q163" s="35">
        <v>2</v>
      </c>
      <c r="R163" s="35">
        <v>139</v>
      </c>
      <c r="S163" s="32">
        <v>1</v>
      </c>
      <c r="T163" s="37">
        <v>279</v>
      </c>
      <c r="U163" s="38">
        <v>135</v>
      </c>
      <c r="V163" s="37">
        <v>156</v>
      </c>
      <c r="W163" s="32">
        <v>260</v>
      </c>
      <c r="X163" s="31">
        <v>278</v>
      </c>
      <c r="Y163" s="32">
        <v>130</v>
      </c>
      <c r="Z163" s="111">
        <v>274</v>
      </c>
      <c r="AA163" s="35">
        <v>0</v>
      </c>
      <c r="AB163" s="35">
        <v>22</v>
      </c>
      <c r="AC163" s="35">
        <v>123</v>
      </c>
      <c r="AD163" s="35">
        <v>0</v>
      </c>
      <c r="AE163" s="33">
        <v>0</v>
      </c>
      <c r="AF163" s="116">
        <v>0</v>
      </c>
      <c r="AG163" s="120">
        <v>280</v>
      </c>
      <c r="AH163" s="38">
        <v>125</v>
      </c>
      <c r="AI163" s="37"/>
      <c r="AJ163" s="36"/>
      <c r="AK163" s="37"/>
      <c r="AL163" s="38"/>
      <c r="AM163" s="37">
        <v>280</v>
      </c>
      <c r="AN163" s="116">
        <v>128</v>
      </c>
      <c r="AO163" s="120"/>
      <c r="AP163" s="38"/>
      <c r="AQ163" s="37"/>
      <c r="AR163" s="116"/>
      <c r="AS163" s="120"/>
      <c r="AT163" s="38"/>
      <c r="AU163" s="37"/>
      <c r="AV163" s="120"/>
      <c r="AW163" s="120"/>
      <c r="AX163" s="37"/>
      <c r="AY163" s="38"/>
      <c r="AZ163" s="37"/>
      <c r="BA163" s="116"/>
      <c r="BB163" s="31">
        <v>132</v>
      </c>
      <c r="BC163" s="32">
        <v>269</v>
      </c>
      <c r="BD163" s="31">
        <v>124</v>
      </c>
      <c r="BE163" s="116">
        <v>277</v>
      </c>
      <c r="BF163" s="120">
        <v>275</v>
      </c>
      <c r="BG163" s="38">
        <v>125</v>
      </c>
      <c r="BH163" s="37">
        <v>136</v>
      </c>
      <c r="BI163" s="38">
        <v>259</v>
      </c>
      <c r="BJ163" s="111">
        <v>24</v>
      </c>
      <c r="BK163" s="33">
        <v>112</v>
      </c>
      <c r="BL163" s="115">
        <v>277</v>
      </c>
      <c r="BM163" s="111">
        <v>269</v>
      </c>
      <c r="BN163" s="35">
        <v>115</v>
      </c>
      <c r="BO163" s="32">
        <v>16</v>
      </c>
      <c r="BP163" s="31">
        <v>127</v>
      </c>
      <c r="BQ163" s="32">
        <v>267</v>
      </c>
      <c r="BR163" s="31">
        <v>266</v>
      </c>
      <c r="BS163" s="32">
        <v>148</v>
      </c>
      <c r="BT163" s="31">
        <v>126</v>
      </c>
      <c r="BU163" s="33">
        <v>21</v>
      </c>
      <c r="BV163" s="115">
        <v>258</v>
      </c>
      <c r="BW163" s="111">
        <v>279</v>
      </c>
      <c r="BX163" s="32">
        <v>135</v>
      </c>
      <c r="BY163" s="31">
        <v>278</v>
      </c>
      <c r="BZ163" s="32">
        <v>127</v>
      </c>
      <c r="CA163" s="111">
        <v>123</v>
      </c>
      <c r="CB163" s="32">
        <v>283</v>
      </c>
      <c r="CC163" s="33">
        <v>229</v>
      </c>
      <c r="CD163" s="34">
        <v>339</v>
      </c>
      <c r="CE163" s="120">
        <v>168</v>
      </c>
      <c r="CF163" s="38">
        <v>188</v>
      </c>
      <c r="CG163" s="31">
        <v>102</v>
      </c>
      <c r="CH163" s="35">
        <v>53</v>
      </c>
      <c r="CI163" s="35">
        <v>137</v>
      </c>
      <c r="CJ163" s="35">
        <v>152</v>
      </c>
      <c r="CK163" s="32">
        <v>152</v>
      </c>
    </row>
    <row r="164" spans="1:89" ht="13" x14ac:dyDescent="0.25">
      <c r="A164" s="27">
        <v>2503</v>
      </c>
      <c r="B164" s="28" t="s">
        <v>187</v>
      </c>
      <c r="C164" s="29">
        <v>1133</v>
      </c>
      <c r="D164" s="30">
        <v>834</v>
      </c>
      <c r="E164" s="20">
        <f t="shared" si="2"/>
        <v>0.736098852603707</v>
      </c>
      <c r="F164" s="31">
        <v>0</v>
      </c>
      <c r="G164" s="111">
        <v>0</v>
      </c>
      <c r="H164" s="111">
        <v>0</v>
      </c>
      <c r="I164" s="111">
        <v>1</v>
      </c>
      <c r="J164" s="111">
        <v>3</v>
      </c>
      <c r="K164" s="111">
        <v>0</v>
      </c>
      <c r="L164" s="111">
        <v>0</v>
      </c>
      <c r="M164" s="111">
        <v>453</v>
      </c>
      <c r="N164" s="111">
        <v>0</v>
      </c>
      <c r="O164" s="111">
        <v>0</v>
      </c>
      <c r="P164" s="35">
        <v>9</v>
      </c>
      <c r="Q164" s="35">
        <v>1</v>
      </c>
      <c r="R164" s="35">
        <v>355</v>
      </c>
      <c r="S164" s="32">
        <v>0</v>
      </c>
      <c r="T164" s="37">
        <v>448</v>
      </c>
      <c r="U164" s="38">
        <v>357</v>
      </c>
      <c r="V164" s="37">
        <v>369</v>
      </c>
      <c r="W164" s="32">
        <v>437</v>
      </c>
      <c r="X164" s="31">
        <v>453</v>
      </c>
      <c r="Y164" s="32">
        <v>335</v>
      </c>
      <c r="Z164" s="111">
        <v>472</v>
      </c>
      <c r="AA164" s="35">
        <v>0</v>
      </c>
      <c r="AB164" s="35">
        <v>27</v>
      </c>
      <c r="AC164" s="35">
        <v>317</v>
      </c>
      <c r="AD164" s="35">
        <v>0</v>
      </c>
      <c r="AE164" s="33">
        <v>0</v>
      </c>
      <c r="AF164" s="116">
        <v>1</v>
      </c>
      <c r="AG164" s="120">
        <v>470</v>
      </c>
      <c r="AH164" s="38">
        <v>329</v>
      </c>
      <c r="AI164" s="37"/>
      <c r="AJ164" s="36"/>
      <c r="AK164" s="37"/>
      <c r="AL164" s="38"/>
      <c r="AM164" s="37">
        <v>448</v>
      </c>
      <c r="AN164" s="116">
        <v>335</v>
      </c>
      <c r="AO164" s="120"/>
      <c r="AP164" s="38"/>
      <c r="AQ164" s="37"/>
      <c r="AR164" s="116"/>
      <c r="AS164" s="120"/>
      <c r="AT164" s="38"/>
      <c r="AU164" s="37"/>
      <c r="AV164" s="120"/>
      <c r="AW164" s="120"/>
      <c r="AX164" s="37"/>
      <c r="AY164" s="38"/>
      <c r="AZ164" s="37"/>
      <c r="BA164" s="116"/>
      <c r="BB164" s="31">
        <v>351</v>
      </c>
      <c r="BC164" s="32">
        <v>437</v>
      </c>
      <c r="BD164" s="31">
        <v>324</v>
      </c>
      <c r="BE164" s="116">
        <v>460</v>
      </c>
      <c r="BF164" s="120">
        <v>436</v>
      </c>
      <c r="BG164" s="38">
        <v>340</v>
      </c>
      <c r="BH164" s="37">
        <v>352</v>
      </c>
      <c r="BI164" s="38">
        <v>431</v>
      </c>
      <c r="BJ164" s="111">
        <v>49</v>
      </c>
      <c r="BK164" s="33">
        <v>310</v>
      </c>
      <c r="BL164" s="115">
        <v>435</v>
      </c>
      <c r="BM164" s="111">
        <v>462</v>
      </c>
      <c r="BN164" s="35">
        <v>306</v>
      </c>
      <c r="BO164" s="32">
        <v>32</v>
      </c>
      <c r="BP164" s="31">
        <v>348</v>
      </c>
      <c r="BQ164" s="32">
        <v>436</v>
      </c>
      <c r="BR164" s="31">
        <v>411</v>
      </c>
      <c r="BS164" s="32">
        <v>389</v>
      </c>
      <c r="BT164" s="31">
        <v>308</v>
      </c>
      <c r="BU164" s="33">
        <v>52</v>
      </c>
      <c r="BV164" s="115">
        <v>423</v>
      </c>
      <c r="BW164" s="111">
        <v>451</v>
      </c>
      <c r="BX164" s="32">
        <v>357</v>
      </c>
      <c r="BY164" s="31">
        <v>449</v>
      </c>
      <c r="BZ164" s="32">
        <v>324</v>
      </c>
      <c r="CA164" s="111">
        <v>321</v>
      </c>
      <c r="CB164" s="32">
        <v>463</v>
      </c>
      <c r="CC164" s="33">
        <v>481</v>
      </c>
      <c r="CD164" s="34">
        <v>595</v>
      </c>
      <c r="CE164" s="120">
        <v>321</v>
      </c>
      <c r="CF164" s="38">
        <v>351</v>
      </c>
      <c r="CG164" s="31">
        <v>177</v>
      </c>
      <c r="CH164" s="35">
        <v>191</v>
      </c>
      <c r="CI164" s="35">
        <v>273</v>
      </c>
      <c r="CJ164" s="35">
        <v>290</v>
      </c>
      <c r="CK164" s="32">
        <v>294</v>
      </c>
    </row>
    <row r="165" spans="1:89" ht="13" x14ac:dyDescent="0.25">
      <c r="A165" s="27">
        <v>2504</v>
      </c>
      <c r="B165" s="28" t="s">
        <v>188</v>
      </c>
      <c r="C165" s="29">
        <v>1181</v>
      </c>
      <c r="D165" s="30">
        <v>624</v>
      </c>
      <c r="E165" s="20">
        <f t="shared" si="2"/>
        <v>0.52836579170194753</v>
      </c>
      <c r="F165" s="31">
        <v>0</v>
      </c>
      <c r="G165" s="111">
        <v>0</v>
      </c>
      <c r="H165" s="111">
        <v>0</v>
      </c>
      <c r="I165" s="111">
        <v>1</v>
      </c>
      <c r="J165" s="111">
        <v>2</v>
      </c>
      <c r="K165" s="111">
        <v>0</v>
      </c>
      <c r="L165" s="111">
        <v>0</v>
      </c>
      <c r="M165" s="111">
        <v>348</v>
      </c>
      <c r="N165" s="111">
        <v>0</v>
      </c>
      <c r="O165" s="111">
        <v>0</v>
      </c>
      <c r="P165" s="35">
        <v>5</v>
      </c>
      <c r="Q165" s="35">
        <v>2</v>
      </c>
      <c r="R165" s="35">
        <v>254</v>
      </c>
      <c r="S165" s="32">
        <v>0</v>
      </c>
      <c r="T165" s="37">
        <v>343</v>
      </c>
      <c r="U165" s="38">
        <v>260</v>
      </c>
      <c r="V165" s="37">
        <v>295</v>
      </c>
      <c r="W165" s="32">
        <v>309</v>
      </c>
      <c r="X165" s="31">
        <v>339</v>
      </c>
      <c r="Y165" s="32">
        <v>253</v>
      </c>
      <c r="Z165" s="111">
        <v>357</v>
      </c>
      <c r="AA165" s="35">
        <v>0</v>
      </c>
      <c r="AB165" s="35">
        <v>22</v>
      </c>
      <c r="AC165" s="35">
        <v>233</v>
      </c>
      <c r="AD165" s="35">
        <v>0</v>
      </c>
      <c r="AE165" s="33">
        <v>0</v>
      </c>
      <c r="AF165" s="116">
        <v>1</v>
      </c>
      <c r="AG165" s="120">
        <v>373</v>
      </c>
      <c r="AH165" s="38">
        <v>233</v>
      </c>
      <c r="AI165" s="37"/>
      <c r="AJ165" s="36"/>
      <c r="AK165" s="37"/>
      <c r="AL165" s="38"/>
      <c r="AM165" s="37">
        <v>347</v>
      </c>
      <c r="AN165" s="116">
        <v>252</v>
      </c>
      <c r="AO165" s="120"/>
      <c r="AP165" s="38"/>
      <c r="AQ165" s="37"/>
      <c r="AR165" s="116"/>
      <c r="AS165" s="120"/>
      <c r="AT165" s="38"/>
      <c r="AU165" s="37"/>
      <c r="AV165" s="120"/>
      <c r="AW165" s="120"/>
      <c r="AX165" s="37"/>
      <c r="AY165" s="38"/>
      <c r="AZ165" s="37"/>
      <c r="BA165" s="116"/>
      <c r="BB165" s="31">
        <v>261</v>
      </c>
      <c r="BC165" s="32">
        <v>331</v>
      </c>
      <c r="BD165" s="31">
        <v>245</v>
      </c>
      <c r="BE165" s="116">
        <v>345</v>
      </c>
      <c r="BF165" s="120">
        <v>346</v>
      </c>
      <c r="BG165" s="38">
        <v>240</v>
      </c>
      <c r="BH165" s="37">
        <v>272</v>
      </c>
      <c r="BI165" s="38">
        <v>323</v>
      </c>
      <c r="BJ165" s="111">
        <v>37</v>
      </c>
      <c r="BK165" s="33">
        <v>224</v>
      </c>
      <c r="BL165" s="115">
        <v>339</v>
      </c>
      <c r="BM165" s="111">
        <v>345</v>
      </c>
      <c r="BN165" s="35">
        <v>231</v>
      </c>
      <c r="BO165" s="32">
        <v>24</v>
      </c>
      <c r="BP165" s="31">
        <v>255</v>
      </c>
      <c r="BQ165" s="32">
        <v>335</v>
      </c>
      <c r="BR165" s="31">
        <v>317</v>
      </c>
      <c r="BS165" s="32">
        <v>283</v>
      </c>
      <c r="BT165" s="31">
        <v>239</v>
      </c>
      <c r="BU165" s="33">
        <v>30</v>
      </c>
      <c r="BV165" s="115">
        <v>327</v>
      </c>
      <c r="BW165" s="111">
        <v>341</v>
      </c>
      <c r="BX165" s="32">
        <v>261</v>
      </c>
      <c r="BY165" s="31">
        <v>350</v>
      </c>
      <c r="BZ165" s="32">
        <v>240</v>
      </c>
      <c r="CA165" s="111">
        <v>235</v>
      </c>
      <c r="CB165" s="32">
        <v>354</v>
      </c>
      <c r="CC165" s="33">
        <v>379</v>
      </c>
      <c r="CD165" s="34">
        <v>481</v>
      </c>
      <c r="CE165" s="120">
        <v>296</v>
      </c>
      <c r="CF165" s="38">
        <v>214</v>
      </c>
      <c r="CG165" s="31">
        <v>164</v>
      </c>
      <c r="CH165" s="35">
        <v>104</v>
      </c>
      <c r="CI165" s="35">
        <v>168</v>
      </c>
      <c r="CJ165" s="35">
        <v>195</v>
      </c>
      <c r="CK165" s="32">
        <v>249</v>
      </c>
    </row>
    <row r="166" spans="1:89" ht="13" x14ac:dyDescent="0.25">
      <c r="A166" s="27">
        <v>2505</v>
      </c>
      <c r="B166" s="28" t="s">
        <v>189</v>
      </c>
      <c r="C166" s="29">
        <v>1264</v>
      </c>
      <c r="D166" s="30">
        <v>870</v>
      </c>
      <c r="E166" s="20">
        <f t="shared" si="2"/>
        <v>0.68829113924050633</v>
      </c>
      <c r="F166" s="31">
        <v>0</v>
      </c>
      <c r="G166" s="111">
        <v>0</v>
      </c>
      <c r="H166" s="111">
        <v>0</v>
      </c>
      <c r="I166" s="111">
        <v>0</v>
      </c>
      <c r="J166" s="111">
        <v>2</v>
      </c>
      <c r="K166" s="111">
        <v>0</v>
      </c>
      <c r="L166" s="111">
        <v>0</v>
      </c>
      <c r="M166" s="111">
        <v>449</v>
      </c>
      <c r="N166" s="111">
        <v>0</v>
      </c>
      <c r="O166" s="111">
        <v>0</v>
      </c>
      <c r="P166" s="35">
        <v>4</v>
      </c>
      <c r="Q166" s="35">
        <v>4</v>
      </c>
      <c r="R166" s="35">
        <v>395</v>
      </c>
      <c r="S166" s="32">
        <v>0</v>
      </c>
      <c r="T166" s="37">
        <v>422</v>
      </c>
      <c r="U166" s="38">
        <v>420</v>
      </c>
      <c r="V166" s="37">
        <v>432</v>
      </c>
      <c r="W166" s="32">
        <v>411</v>
      </c>
      <c r="X166" s="31">
        <v>438</v>
      </c>
      <c r="Y166" s="32">
        <v>394</v>
      </c>
      <c r="Z166" s="111">
        <v>454</v>
      </c>
      <c r="AA166" s="35">
        <v>0</v>
      </c>
      <c r="AB166" s="35">
        <v>50</v>
      </c>
      <c r="AC166" s="35">
        <v>349</v>
      </c>
      <c r="AD166" s="35">
        <v>0</v>
      </c>
      <c r="AE166" s="33">
        <v>0</v>
      </c>
      <c r="AF166" s="116">
        <v>0</v>
      </c>
      <c r="AG166" s="120">
        <v>468</v>
      </c>
      <c r="AH166" s="38">
        <v>368</v>
      </c>
      <c r="AI166" s="37"/>
      <c r="AJ166" s="36"/>
      <c r="AK166" s="37"/>
      <c r="AL166" s="38"/>
      <c r="AM166" s="37">
        <v>431</v>
      </c>
      <c r="AN166" s="116">
        <v>397</v>
      </c>
      <c r="AO166" s="120"/>
      <c r="AP166" s="38"/>
      <c r="AQ166" s="37"/>
      <c r="AR166" s="116"/>
      <c r="AS166" s="120"/>
      <c r="AT166" s="38"/>
      <c r="AU166" s="37"/>
      <c r="AV166" s="120"/>
      <c r="AW166" s="120"/>
      <c r="AX166" s="37"/>
      <c r="AY166" s="38"/>
      <c r="AZ166" s="37"/>
      <c r="BA166" s="116"/>
      <c r="BB166" s="31">
        <v>411</v>
      </c>
      <c r="BC166" s="32">
        <v>408</v>
      </c>
      <c r="BD166" s="31">
        <v>388</v>
      </c>
      <c r="BE166" s="116">
        <v>422</v>
      </c>
      <c r="BF166" s="120">
        <v>418</v>
      </c>
      <c r="BG166" s="38">
        <v>390</v>
      </c>
      <c r="BH166" s="37">
        <v>416</v>
      </c>
      <c r="BI166" s="38">
        <v>398</v>
      </c>
      <c r="BJ166" s="111">
        <v>40</v>
      </c>
      <c r="BK166" s="33">
        <v>354</v>
      </c>
      <c r="BL166" s="115">
        <v>433</v>
      </c>
      <c r="BM166" s="111">
        <v>440</v>
      </c>
      <c r="BN166" s="35">
        <v>351</v>
      </c>
      <c r="BO166" s="32">
        <v>38</v>
      </c>
      <c r="BP166" s="31">
        <v>382</v>
      </c>
      <c r="BQ166" s="32">
        <v>428</v>
      </c>
      <c r="BR166" s="31">
        <v>385</v>
      </c>
      <c r="BS166" s="32">
        <v>439</v>
      </c>
      <c r="BT166" s="31">
        <v>363</v>
      </c>
      <c r="BU166" s="33">
        <v>56</v>
      </c>
      <c r="BV166" s="115">
        <v>399</v>
      </c>
      <c r="BW166" s="111">
        <v>419</v>
      </c>
      <c r="BX166" s="32">
        <v>420</v>
      </c>
      <c r="BY166" s="31">
        <v>430</v>
      </c>
      <c r="BZ166" s="32">
        <v>373</v>
      </c>
      <c r="CA166" s="111">
        <v>378</v>
      </c>
      <c r="CB166" s="32">
        <v>437</v>
      </c>
      <c r="CC166" s="33">
        <v>552</v>
      </c>
      <c r="CD166" s="34">
        <v>620</v>
      </c>
      <c r="CE166" s="120">
        <v>348</v>
      </c>
      <c r="CF166" s="38">
        <v>370</v>
      </c>
      <c r="CG166" s="31">
        <v>193</v>
      </c>
      <c r="CH166" s="35">
        <v>216</v>
      </c>
      <c r="CI166" s="35">
        <v>245</v>
      </c>
      <c r="CJ166" s="35">
        <v>298</v>
      </c>
      <c r="CK166" s="32">
        <v>356</v>
      </c>
    </row>
    <row r="167" spans="1:89" ht="13" x14ac:dyDescent="0.25">
      <c r="A167" s="27">
        <v>2506</v>
      </c>
      <c r="B167" s="28" t="s">
        <v>190</v>
      </c>
      <c r="C167" s="29">
        <v>1221</v>
      </c>
      <c r="D167" s="30">
        <v>680</v>
      </c>
      <c r="E167" s="20">
        <f t="shared" si="2"/>
        <v>0.55692055692055698</v>
      </c>
      <c r="F167" s="31">
        <v>0</v>
      </c>
      <c r="G167" s="111">
        <v>0</v>
      </c>
      <c r="H167" s="111">
        <v>0</v>
      </c>
      <c r="I167" s="111">
        <v>0</v>
      </c>
      <c r="J167" s="111">
        <v>2</v>
      </c>
      <c r="K167" s="111">
        <v>0</v>
      </c>
      <c r="L167" s="111">
        <v>0</v>
      </c>
      <c r="M167" s="111">
        <v>410</v>
      </c>
      <c r="N167" s="111">
        <v>0</v>
      </c>
      <c r="O167" s="111">
        <v>0</v>
      </c>
      <c r="P167" s="35">
        <v>4</v>
      </c>
      <c r="Q167" s="35">
        <v>2</v>
      </c>
      <c r="R167" s="35">
        <v>245</v>
      </c>
      <c r="S167" s="32">
        <v>0</v>
      </c>
      <c r="T167" s="37">
        <v>396</v>
      </c>
      <c r="U167" s="38">
        <v>257</v>
      </c>
      <c r="V167" s="37">
        <v>270</v>
      </c>
      <c r="W167" s="32">
        <v>390</v>
      </c>
      <c r="X167" s="31">
        <v>415</v>
      </c>
      <c r="Y167" s="32">
        <v>238</v>
      </c>
      <c r="Z167" s="111">
        <v>419</v>
      </c>
      <c r="AA167" s="35">
        <v>0</v>
      </c>
      <c r="AB167" s="35">
        <v>30</v>
      </c>
      <c r="AC167" s="35">
        <v>221</v>
      </c>
      <c r="AD167" s="35">
        <v>0</v>
      </c>
      <c r="AE167" s="33">
        <v>0</v>
      </c>
      <c r="AF167" s="116">
        <v>0</v>
      </c>
      <c r="AG167" s="120">
        <v>431</v>
      </c>
      <c r="AH167" s="38">
        <v>227</v>
      </c>
      <c r="AI167" s="37"/>
      <c r="AJ167" s="36"/>
      <c r="AK167" s="37"/>
      <c r="AL167" s="38"/>
      <c r="AM167" s="37">
        <v>412</v>
      </c>
      <c r="AN167" s="116">
        <v>234</v>
      </c>
      <c r="AO167" s="120"/>
      <c r="AP167" s="38"/>
      <c r="AQ167" s="37"/>
      <c r="AR167" s="116"/>
      <c r="AS167" s="120"/>
      <c r="AT167" s="38"/>
      <c r="AU167" s="37"/>
      <c r="AV167" s="120"/>
      <c r="AW167" s="120"/>
      <c r="AX167" s="37"/>
      <c r="AY167" s="38"/>
      <c r="AZ167" s="37"/>
      <c r="BA167" s="116"/>
      <c r="BB167" s="31">
        <v>244</v>
      </c>
      <c r="BC167" s="32">
        <v>401</v>
      </c>
      <c r="BD167" s="31">
        <v>235</v>
      </c>
      <c r="BE167" s="116">
        <v>407</v>
      </c>
      <c r="BF167" s="120">
        <v>407</v>
      </c>
      <c r="BG167" s="38">
        <v>235</v>
      </c>
      <c r="BH167" s="37">
        <v>253</v>
      </c>
      <c r="BI167" s="38">
        <v>386</v>
      </c>
      <c r="BJ167" s="111">
        <v>37</v>
      </c>
      <c r="BK167" s="33">
        <v>217</v>
      </c>
      <c r="BL167" s="115">
        <v>401</v>
      </c>
      <c r="BM167" s="111">
        <v>416</v>
      </c>
      <c r="BN167" s="35">
        <v>209</v>
      </c>
      <c r="BO167" s="32">
        <v>30</v>
      </c>
      <c r="BP167" s="31">
        <v>241</v>
      </c>
      <c r="BQ167" s="32">
        <v>403</v>
      </c>
      <c r="BR167" s="31">
        <v>375</v>
      </c>
      <c r="BS167" s="32">
        <v>272</v>
      </c>
      <c r="BT167" s="31">
        <v>229</v>
      </c>
      <c r="BU167" s="33">
        <v>36</v>
      </c>
      <c r="BV167" s="115">
        <v>378</v>
      </c>
      <c r="BW167" s="111">
        <v>404</v>
      </c>
      <c r="BX167" s="32">
        <v>254</v>
      </c>
      <c r="BY167" s="31">
        <v>410</v>
      </c>
      <c r="BZ167" s="32">
        <v>228</v>
      </c>
      <c r="CA167" s="111">
        <v>234</v>
      </c>
      <c r="CB167" s="32">
        <v>410</v>
      </c>
      <c r="CC167" s="33">
        <v>364</v>
      </c>
      <c r="CD167" s="34">
        <v>495</v>
      </c>
      <c r="CE167" s="120">
        <v>257</v>
      </c>
      <c r="CF167" s="38">
        <v>286</v>
      </c>
      <c r="CG167" s="31">
        <v>167</v>
      </c>
      <c r="CH167" s="35">
        <v>118</v>
      </c>
      <c r="CI167" s="35">
        <v>220</v>
      </c>
      <c r="CJ167" s="35">
        <v>234</v>
      </c>
      <c r="CK167" s="32">
        <v>259</v>
      </c>
    </row>
    <row r="168" spans="1:89" ht="13" x14ac:dyDescent="0.25">
      <c r="A168" s="27">
        <v>2507</v>
      </c>
      <c r="B168" s="28" t="s">
        <v>191</v>
      </c>
      <c r="C168" s="29">
        <v>617</v>
      </c>
      <c r="D168" s="30">
        <v>358</v>
      </c>
      <c r="E168" s="20">
        <f t="shared" si="2"/>
        <v>0.58022690437601299</v>
      </c>
      <c r="F168" s="31">
        <v>0</v>
      </c>
      <c r="G168" s="111">
        <v>0</v>
      </c>
      <c r="H168" s="111">
        <v>0</v>
      </c>
      <c r="I168" s="111">
        <v>1</v>
      </c>
      <c r="J168" s="111">
        <v>0</v>
      </c>
      <c r="K168" s="111">
        <v>0</v>
      </c>
      <c r="L168" s="111">
        <v>0</v>
      </c>
      <c r="M168" s="111">
        <v>216</v>
      </c>
      <c r="N168" s="111">
        <v>0</v>
      </c>
      <c r="O168" s="111">
        <v>0</v>
      </c>
      <c r="P168" s="35">
        <v>2</v>
      </c>
      <c r="Q168" s="35">
        <v>0</v>
      </c>
      <c r="R168" s="35">
        <v>134</v>
      </c>
      <c r="S168" s="32">
        <v>0</v>
      </c>
      <c r="T168" s="37">
        <v>213</v>
      </c>
      <c r="U168" s="38">
        <v>137</v>
      </c>
      <c r="V168" s="37">
        <v>139</v>
      </c>
      <c r="W168" s="32">
        <v>213</v>
      </c>
      <c r="X168" s="31">
        <v>218</v>
      </c>
      <c r="Y168" s="32">
        <v>126</v>
      </c>
      <c r="Z168" s="111">
        <v>218</v>
      </c>
      <c r="AA168" s="35">
        <v>0</v>
      </c>
      <c r="AB168" s="35">
        <v>17</v>
      </c>
      <c r="AC168" s="35">
        <v>120</v>
      </c>
      <c r="AD168" s="35">
        <v>0</v>
      </c>
      <c r="AE168" s="33">
        <v>0</v>
      </c>
      <c r="AF168" s="116">
        <v>0</v>
      </c>
      <c r="AG168" s="120">
        <v>227</v>
      </c>
      <c r="AH168" s="38">
        <v>118</v>
      </c>
      <c r="AI168" s="37"/>
      <c r="AJ168" s="36"/>
      <c r="AK168" s="37"/>
      <c r="AL168" s="38"/>
      <c r="AM168" s="37">
        <v>210</v>
      </c>
      <c r="AN168" s="116">
        <v>129</v>
      </c>
      <c r="AO168" s="120"/>
      <c r="AP168" s="38"/>
      <c r="AQ168" s="37"/>
      <c r="AR168" s="116"/>
      <c r="AS168" s="120"/>
      <c r="AT168" s="38"/>
      <c r="AU168" s="37"/>
      <c r="AV168" s="120"/>
      <c r="AW168" s="120"/>
      <c r="AX168" s="37"/>
      <c r="AY168" s="38"/>
      <c r="AZ168" s="37"/>
      <c r="BA168" s="116"/>
      <c r="BB168" s="31">
        <v>130</v>
      </c>
      <c r="BC168" s="32">
        <v>209</v>
      </c>
      <c r="BD168" s="31">
        <v>126</v>
      </c>
      <c r="BE168" s="116">
        <v>210</v>
      </c>
      <c r="BF168" s="120">
        <v>205</v>
      </c>
      <c r="BG168" s="38">
        <v>132</v>
      </c>
      <c r="BH168" s="37">
        <v>136</v>
      </c>
      <c r="BI168" s="38">
        <v>203</v>
      </c>
      <c r="BJ168" s="111">
        <v>15</v>
      </c>
      <c r="BK168" s="33">
        <v>111</v>
      </c>
      <c r="BL168" s="115">
        <v>217</v>
      </c>
      <c r="BM168" s="111">
        <v>223</v>
      </c>
      <c r="BN168" s="35">
        <v>105</v>
      </c>
      <c r="BO168" s="32">
        <v>15</v>
      </c>
      <c r="BP168" s="31">
        <v>132</v>
      </c>
      <c r="BQ168" s="32">
        <v>205</v>
      </c>
      <c r="BR168" s="31">
        <v>197</v>
      </c>
      <c r="BS168" s="32">
        <v>144</v>
      </c>
      <c r="BT168" s="31">
        <v>117</v>
      </c>
      <c r="BU168" s="33">
        <v>14</v>
      </c>
      <c r="BV168" s="115">
        <v>207</v>
      </c>
      <c r="BW168" s="111">
        <v>219</v>
      </c>
      <c r="BX168" s="32">
        <v>129</v>
      </c>
      <c r="BY168" s="31">
        <v>218</v>
      </c>
      <c r="BZ168" s="32">
        <v>115</v>
      </c>
      <c r="CA168" s="111">
        <v>119</v>
      </c>
      <c r="CB168" s="32">
        <v>214</v>
      </c>
      <c r="CC168" s="33">
        <v>183</v>
      </c>
      <c r="CD168" s="34">
        <v>276</v>
      </c>
      <c r="CE168" s="120">
        <v>134</v>
      </c>
      <c r="CF168" s="38">
        <v>152</v>
      </c>
      <c r="CG168" s="31">
        <v>92</v>
      </c>
      <c r="CH168" s="35">
        <v>71</v>
      </c>
      <c r="CI168" s="35">
        <v>102</v>
      </c>
      <c r="CJ168" s="35">
        <v>117</v>
      </c>
      <c r="CK168" s="32">
        <v>142</v>
      </c>
    </row>
    <row r="169" spans="1:89" ht="13" x14ac:dyDescent="0.25">
      <c r="A169" s="27">
        <v>2508</v>
      </c>
      <c r="B169" s="28" t="s">
        <v>192</v>
      </c>
      <c r="C169" s="29">
        <v>1416</v>
      </c>
      <c r="D169" s="30">
        <v>882</v>
      </c>
      <c r="E169" s="20">
        <f t="shared" si="2"/>
        <v>0.6228813559322034</v>
      </c>
      <c r="F169" s="31">
        <v>0</v>
      </c>
      <c r="G169" s="111">
        <v>0</v>
      </c>
      <c r="H169" s="111">
        <v>0</v>
      </c>
      <c r="I169" s="111">
        <v>0</v>
      </c>
      <c r="J169" s="111">
        <v>1</v>
      </c>
      <c r="K169" s="111">
        <v>0</v>
      </c>
      <c r="L169" s="111">
        <v>0</v>
      </c>
      <c r="M169" s="111">
        <v>534</v>
      </c>
      <c r="N169" s="111">
        <v>0</v>
      </c>
      <c r="O169" s="111">
        <v>0</v>
      </c>
      <c r="P169" s="35">
        <v>7</v>
      </c>
      <c r="Q169" s="35">
        <v>3</v>
      </c>
      <c r="R169" s="35">
        <v>328</v>
      </c>
      <c r="S169" s="32">
        <v>0</v>
      </c>
      <c r="T169" s="37">
        <v>525</v>
      </c>
      <c r="U169" s="38">
        <v>316</v>
      </c>
      <c r="V169" s="37">
        <v>346</v>
      </c>
      <c r="W169" s="32">
        <v>498</v>
      </c>
      <c r="X169" s="31">
        <v>511</v>
      </c>
      <c r="Y169" s="32">
        <v>313</v>
      </c>
      <c r="Z169" s="111">
        <v>522</v>
      </c>
      <c r="AA169" s="35">
        <v>0</v>
      </c>
      <c r="AB169" s="35">
        <v>38</v>
      </c>
      <c r="AC169" s="35">
        <v>294</v>
      </c>
      <c r="AD169" s="35">
        <v>0</v>
      </c>
      <c r="AE169" s="33">
        <v>0</v>
      </c>
      <c r="AF169" s="116">
        <v>1</v>
      </c>
      <c r="AG169" s="120">
        <v>544</v>
      </c>
      <c r="AH169" s="38">
        <v>286</v>
      </c>
      <c r="AI169" s="37"/>
      <c r="AJ169" s="36"/>
      <c r="AK169" s="37"/>
      <c r="AL169" s="38"/>
      <c r="AM169" s="37">
        <v>512</v>
      </c>
      <c r="AN169" s="116">
        <v>312</v>
      </c>
      <c r="AO169" s="120"/>
      <c r="AP169" s="38"/>
      <c r="AQ169" s="37"/>
      <c r="AR169" s="116"/>
      <c r="AS169" s="120"/>
      <c r="AT169" s="38"/>
      <c r="AU169" s="37"/>
      <c r="AV169" s="120"/>
      <c r="AW169" s="120"/>
      <c r="AX169" s="37"/>
      <c r="AY169" s="38"/>
      <c r="AZ169" s="37"/>
      <c r="BA169" s="116"/>
      <c r="BB169" s="31">
        <v>336</v>
      </c>
      <c r="BC169" s="32">
        <v>491</v>
      </c>
      <c r="BD169" s="31">
        <v>312</v>
      </c>
      <c r="BE169" s="116">
        <v>507</v>
      </c>
      <c r="BF169" s="120">
        <v>508</v>
      </c>
      <c r="BG169" s="38">
        <v>310</v>
      </c>
      <c r="BH169" s="37">
        <v>337</v>
      </c>
      <c r="BI169" s="38">
        <v>485</v>
      </c>
      <c r="BJ169" s="111">
        <v>46</v>
      </c>
      <c r="BK169" s="33">
        <v>286</v>
      </c>
      <c r="BL169" s="115">
        <v>501</v>
      </c>
      <c r="BM169" s="111">
        <v>509</v>
      </c>
      <c r="BN169" s="35">
        <v>284</v>
      </c>
      <c r="BO169" s="32">
        <v>38</v>
      </c>
      <c r="BP169" s="31">
        <v>327</v>
      </c>
      <c r="BQ169" s="32">
        <v>495</v>
      </c>
      <c r="BR169" s="31">
        <v>473</v>
      </c>
      <c r="BS169" s="32">
        <v>350</v>
      </c>
      <c r="BT169" s="31">
        <v>289</v>
      </c>
      <c r="BU169" s="33">
        <v>51</v>
      </c>
      <c r="BV169" s="115">
        <v>485</v>
      </c>
      <c r="BW169" s="111">
        <v>527</v>
      </c>
      <c r="BX169" s="32">
        <v>312</v>
      </c>
      <c r="BY169" s="31">
        <v>518</v>
      </c>
      <c r="BZ169" s="32">
        <v>295</v>
      </c>
      <c r="CA169" s="111">
        <v>308</v>
      </c>
      <c r="CB169" s="32">
        <v>516</v>
      </c>
      <c r="CC169" s="33">
        <v>472</v>
      </c>
      <c r="CD169" s="34">
        <v>662</v>
      </c>
      <c r="CE169" s="120">
        <v>361</v>
      </c>
      <c r="CF169" s="38">
        <v>339</v>
      </c>
      <c r="CG169" s="31">
        <v>207</v>
      </c>
      <c r="CH169" s="35">
        <v>150</v>
      </c>
      <c r="CI169" s="35">
        <v>266</v>
      </c>
      <c r="CJ169" s="35">
        <v>305</v>
      </c>
      <c r="CK169" s="32">
        <v>304</v>
      </c>
    </row>
    <row r="170" spans="1:89" ht="13" x14ac:dyDescent="0.25">
      <c r="A170" s="27">
        <v>2509</v>
      </c>
      <c r="B170" s="28" t="s">
        <v>193</v>
      </c>
      <c r="C170" s="29">
        <v>1214</v>
      </c>
      <c r="D170" s="30">
        <v>667</v>
      </c>
      <c r="E170" s="20">
        <f t="shared" si="2"/>
        <v>0.5494233937397035</v>
      </c>
      <c r="F170" s="31">
        <v>0</v>
      </c>
      <c r="G170" s="111">
        <v>0</v>
      </c>
      <c r="H170" s="111">
        <v>0</v>
      </c>
      <c r="I170" s="111">
        <v>0</v>
      </c>
      <c r="J170" s="111">
        <v>1</v>
      </c>
      <c r="K170" s="111">
        <v>0</v>
      </c>
      <c r="L170" s="111">
        <v>0</v>
      </c>
      <c r="M170" s="111">
        <v>348</v>
      </c>
      <c r="N170" s="111">
        <v>0</v>
      </c>
      <c r="O170" s="111">
        <v>0</v>
      </c>
      <c r="P170" s="35">
        <v>2</v>
      </c>
      <c r="Q170" s="35">
        <v>0</v>
      </c>
      <c r="R170" s="35">
        <v>310</v>
      </c>
      <c r="S170" s="32">
        <v>0</v>
      </c>
      <c r="T170" s="37">
        <v>343</v>
      </c>
      <c r="U170" s="38">
        <v>305</v>
      </c>
      <c r="V170" s="37">
        <v>323</v>
      </c>
      <c r="W170" s="32">
        <v>329</v>
      </c>
      <c r="X170" s="31">
        <v>345</v>
      </c>
      <c r="Y170" s="32">
        <v>292</v>
      </c>
      <c r="Z170" s="111">
        <v>353</v>
      </c>
      <c r="AA170" s="35">
        <v>0</v>
      </c>
      <c r="AB170" s="35">
        <v>23</v>
      </c>
      <c r="AC170" s="35">
        <v>270</v>
      </c>
      <c r="AD170" s="35">
        <v>0</v>
      </c>
      <c r="AE170" s="33">
        <v>0</v>
      </c>
      <c r="AF170" s="116">
        <v>0</v>
      </c>
      <c r="AG170" s="120">
        <v>363</v>
      </c>
      <c r="AH170" s="38">
        <v>280</v>
      </c>
      <c r="AI170" s="37"/>
      <c r="AJ170" s="36"/>
      <c r="AK170" s="37"/>
      <c r="AL170" s="38"/>
      <c r="AM170" s="37">
        <v>340</v>
      </c>
      <c r="AN170" s="116">
        <v>296</v>
      </c>
      <c r="AO170" s="120"/>
      <c r="AP170" s="38"/>
      <c r="AQ170" s="37"/>
      <c r="AR170" s="116"/>
      <c r="AS170" s="120"/>
      <c r="AT170" s="38"/>
      <c r="AU170" s="37"/>
      <c r="AV170" s="120"/>
      <c r="AW170" s="120"/>
      <c r="AX170" s="37"/>
      <c r="AY170" s="38"/>
      <c r="AZ170" s="37"/>
      <c r="BA170" s="116"/>
      <c r="BB170" s="31">
        <v>298</v>
      </c>
      <c r="BC170" s="32">
        <v>333</v>
      </c>
      <c r="BD170" s="31">
        <v>292</v>
      </c>
      <c r="BE170" s="116">
        <v>333</v>
      </c>
      <c r="BF170" s="120">
        <v>335</v>
      </c>
      <c r="BG170" s="38">
        <v>288</v>
      </c>
      <c r="BH170" s="37">
        <v>314</v>
      </c>
      <c r="BI170" s="38">
        <v>316</v>
      </c>
      <c r="BJ170" s="111">
        <v>36</v>
      </c>
      <c r="BK170" s="33">
        <v>264</v>
      </c>
      <c r="BL170" s="115">
        <v>333</v>
      </c>
      <c r="BM170" s="111">
        <v>346</v>
      </c>
      <c r="BN170" s="35">
        <v>262</v>
      </c>
      <c r="BO170" s="32">
        <v>32</v>
      </c>
      <c r="BP170" s="31">
        <v>299</v>
      </c>
      <c r="BQ170" s="32">
        <v>324</v>
      </c>
      <c r="BR170" s="31">
        <v>309</v>
      </c>
      <c r="BS170" s="32">
        <v>331</v>
      </c>
      <c r="BT170" s="31">
        <v>281</v>
      </c>
      <c r="BU170" s="33">
        <v>39</v>
      </c>
      <c r="BV170" s="115">
        <v>306</v>
      </c>
      <c r="BW170" s="111">
        <v>345</v>
      </c>
      <c r="BX170" s="32">
        <v>293</v>
      </c>
      <c r="BY170" s="31">
        <v>343</v>
      </c>
      <c r="BZ170" s="32">
        <v>284</v>
      </c>
      <c r="CA170" s="111">
        <v>285</v>
      </c>
      <c r="CB170" s="32">
        <v>339</v>
      </c>
      <c r="CC170" s="33">
        <v>392</v>
      </c>
      <c r="CD170" s="34">
        <v>471</v>
      </c>
      <c r="CE170" s="120">
        <v>265</v>
      </c>
      <c r="CF170" s="38">
        <v>273</v>
      </c>
      <c r="CG170" s="31">
        <v>175</v>
      </c>
      <c r="CH170" s="35">
        <v>147</v>
      </c>
      <c r="CI170" s="35">
        <v>182</v>
      </c>
      <c r="CJ170" s="35">
        <v>215</v>
      </c>
      <c r="CK170" s="32">
        <v>261</v>
      </c>
    </row>
    <row r="171" spans="1:89" ht="13" x14ac:dyDescent="0.25">
      <c r="A171" s="27">
        <v>2510</v>
      </c>
      <c r="B171" s="28" t="s">
        <v>194</v>
      </c>
      <c r="C171" s="29">
        <v>1175</v>
      </c>
      <c r="D171" s="30">
        <v>641</v>
      </c>
      <c r="E171" s="20">
        <f t="shared" si="2"/>
        <v>0.54553191489361708</v>
      </c>
      <c r="F171" s="31">
        <v>0</v>
      </c>
      <c r="G171" s="111">
        <v>0</v>
      </c>
      <c r="H171" s="111">
        <v>0</v>
      </c>
      <c r="I171" s="111">
        <v>0</v>
      </c>
      <c r="J171" s="111">
        <v>4</v>
      </c>
      <c r="K171" s="111">
        <v>0</v>
      </c>
      <c r="L171" s="111">
        <v>0</v>
      </c>
      <c r="M171" s="111">
        <v>484</v>
      </c>
      <c r="N171" s="111">
        <v>0</v>
      </c>
      <c r="O171" s="111">
        <v>0</v>
      </c>
      <c r="P171" s="35">
        <v>2</v>
      </c>
      <c r="Q171" s="35">
        <v>0</v>
      </c>
      <c r="R171" s="35">
        <v>132</v>
      </c>
      <c r="S171" s="32">
        <v>0</v>
      </c>
      <c r="T171" s="37">
        <v>481</v>
      </c>
      <c r="U171" s="38">
        <v>133</v>
      </c>
      <c r="V171" s="37">
        <v>154</v>
      </c>
      <c r="W171" s="32">
        <v>457</v>
      </c>
      <c r="X171" s="31">
        <v>480</v>
      </c>
      <c r="Y171" s="32">
        <v>122</v>
      </c>
      <c r="Z171" s="111">
        <v>478</v>
      </c>
      <c r="AA171" s="35">
        <v>0</v>
      </c>
      <c r="AB171" s="35">
        <v>28</v>
      </c>
      <c r="AC171" s="35">
        <v>114</v>
      </c>
      <c r="AD171" s="35">
        <v>0</v>
      </c>
      <c r="AE171" s="33">
        <v>0</v>
      </c>
      <c r="AF171" s="116">
        <v>0</v>
      </c>
      <c r="AG171" s="120">
        <v>496</v>
      </c>
      <c r="AH171" s="38">
        <v>115</v>
      </c>
      <c r="AI171" s="37"/>
      <c r="AJ171" s="36"/>
      <c r="AK171" s="37"/>
      <c r="AL171" s="38"/>
      <c r="AM171" s="37">
        <v>475</v>
      </c>
      <c r="AN171" s="116">
        <v>127</v>
      </c>
      <c r="AO171" s="120"/>
      <c r="AP171" s="38"/>
      <c r="AQ171" s="37"/>
      <c r="AR171" s="116"/>
      <c r="AS171" s="120"/>
      <c r="AT171" s="38"/>
      <c r="AU171" s="37"/>
      <c r="AV171" s="120"/>
      <c r="AW171" s="120"/>
      <c r="AX171" s="37"/>
      <c r="AY171" s="38"/>
      <c r="AZ171" s="37"/>
      <c r="BA171" s="116"/>
      <c r="BB171" s="31">
        <v>138</v>
      </c>
      <c r="BC171" s="32">
        <v>465</v>
      </c>
      <c r="BD171" s="31">
        <v>132</v>
      </c>
      <c r="BE171" s="116">
        <v>472</v>
      </c>
      <c r="BF171" s="120">
        <v>474</v>
      </c>
      <c r="BG171" s="38">
        <v>128</v>
      </c>
      <c r="BH171" s="37">
        <v>143</v>
      </c>
      <c r="BI171" s="38">
        <v>458</v>
      </c>
      <c r="BJ171" s="111">
        <v>21</v>
      </c>
      <c r="BK171" s="33">
        <v>118</v>
      </c>
      <c r="BL171" s="115">
        <v>473</v>
      </c>
      <c r="BM171" s="111">
        <v>476</v>
      </c>
      <c r="BN171" s="35">
        <v>113</v>
      </c>
      <c r="BO171" s="32">
        <v>16</v>
      </c>
      <c r="BP171" s="31">
        <v>137</v>
      </c>
      <c r="BQ171" s="32">
        <v>461</v>
      </c>
      <c r="BR171" s="31">
        <v>449</v>
      </c>
      <c r="BS171" s="32">
        <v>156</v>
      </c>
      <c r="BT171" s="31">
        <v>136</v>
      </c>
      <c r="BU171" s="33">
        <v>19</v>
      </c>
      <c r="BV171" s="115">
        <v>450</v>
      </c>
      <c r="BW171" s="111">
        <v>480</v>
      </c>
      <c r="BX171" s="32">
        <v>131</v>
      </c>
      <c r="BY171" s="31">
        <v>480</v>
      </c>
      <c r="BZ171" s="32">
        <v>122</v>
      </c>
      <c r="CA171" s="111">
        <v>129</v>
      </c>
      <c r="CB171" s="32">
        <v>474</v>
      </c>
      <c r="CC171" s="33">
        <v>267</v>
      </c>
      <c r="CD171" s="34">
        <v>531</v>
      </c>
      <c r="CE171" s="120">
        <v>242</v>
      </c>
      <c r="CF171" s="38">
        <v>272</v>
      </c>
      <c r="CG171" s="31">
        <v>145</v>
      </c>
      <c r="CH171" s="35">
        <v>81</v>
      </c>
      <c r="CI171" s="35">
        <v>237</v>
      </c>
      <c r="CJ171" s="35">
        <v>254</v>
      </c>
      <c r="CK171" s="32">
        <v>187</v>
      </c>
    </row>
    <row r="172" spans="1:89" ht="13" x14ac:dyDescent="0.25">
      <c r="A172" s="27">
        <v>2511</v>
      </c>
      <c r="B172" s="28" t="s">
        <v>195</v>
      </c>
      <c r="C172" s="29">
        <v>1449</v>
      </c>
      <c r="D172" s="30">
        <v>686</v>
      </c>
      <c r="E172" s="20">
        <f t="shared" si="2"/>
        <v>0.47342995169082125</v>
      </c>
      <c r="F172" s="31">
        <v>0</v>
      </c>
      <c r="G172" s="111">
        <v>0</v>
      </c>
      <c r="H172" s="111">
        <v>0</v>
      </c>
      <c r="I172" s="111">
        <v>2</v>
      </c>
      <c r="J172" s="111">
        <v>3</v>
      </c>
      <c r="K172" s="111">
        <v>0</v>
      </c>
      <c r="L172" s="111">
        <v>0</v>
      </c>
      <c r="M172" s="111">
        <v>442</v>
      </c>
      <c r="N172" s="111">
        <v>0</v>
      </c>
      <c r="O172" s="111">
        <v>0</v>
      </c>
      <c r="P172" s="35">
        <v>2</v>
      </c>
      <c r="Q172" s="35">
        <v>2</v>
      </c>
      <c r="R172" s="35">
        <v>224</v>
      </c>
      <c r="S172" s="32">
        <v>1</v>
      </c>
      <c r="T172" s="37">
        <v>434</v>
      </c>
      <c r="U172" s="38">
        <v>229</v>
      </c>
      <c r="V172" s="37">
        <v>231</v>
      </c>
      <c r="W172" s="32">
        <v>431</v>
      </c>
      <c r="X172" s="31">
        <v>450</v>
      </c>
      <c r="Y172" s="32">
        <v>204</v>
      </c>
      <c r="Z172" s="111">
        <v>441</v>
      </c>
      <c r="AA172" s="35">
        <v>0</v>
      </c>
      <c r="AB172" s="35">
        <v>37</v>
      </c>
      <c r="AC172" s="35">
        <v>191</v>
      </c>
      <c r="AD172" s="35">
        <v>0</v>
      </c>
      <c r="AE172" s="33">
        <v>0</v>
      </c>
      <c r="AF172" s="116">
        <v>2</v>
      </c>
      <c r="AG172" s="120">
        <v>454</v>
      </c>
      <c r="AH172" s="38">
        <v>207</v>
      </c>
      <c r="AI172" s="37"/>
      <c r="AJ172" s="36"/>
      <c r="AK172" s="37"/>
      <c r="AL172" s="38"/>
      <c r="AM172" s="37">
        <v>435</v>
      </c>
      <c r="AN172" s="116">
        <v>218</v>
      </c>
      <c r="AO172" s="120"/>
      <c r="AP172" s="38"/>
      <c r="AQ172" s="37"/>
      <c r="AR172" s="116"/>
      <c r="AS172" s="120"/>
      <c r="AT172" s="38"/>
      <c r="AU172" s="37"/>
      <c r="AV172" s="120"/>
      <c r="AW172" s="120"/>
      <c r="AX172" s="37"/>
      <c r="AY172" s="38"/>
      <c r="AZ172" s="37"/>
      <c r="BA172" s="116"/>
      <c r="BB172" s="31">
        <v>221</v>
      </c>
      <c r="BC172" s="32">
        <v>431</v>
      </c>
      <c r="BD172" s="31">
        <v>210</v>
      </c>
      <c r="BE172" s="116">
        <v>436</v>
      </c>
      <c r="BF172" s="120">
        <v>441</v>
      </c>
      <c r="BG172" s="38">
        <v>204</v>
      </c>
      <c r="BH172" s="37">
        <v>230</v>
      </c>
      <c r="BI172" s="38">
        <v>416</v>
      </c>
      <c r="BJ172" s="111">
        <v>31</v>
      </c>
      <c r="BK172" s="33">
        <v>193</v>
      </c>
      <c r="BL172" s="115">
        <v>437</v>
      </c>
      <c r="BM172" s="111">
        <v>432</v>
      </c>
      <c r="BN172" s="35">
        <v>189</v>
      </c>
      <c r="BO172" s="32">
        <v>31</v>
      </c>
      <c r="BP172" s="31">
        <v>214</v>
      </c>
      <c r="BQ172" s="32">
        <v>431</v>
      </c>
      <c r="BR172" s="31">
        <v>394</v>
      </c>
      <c r="BS172" s="32">
        <v>260</v>
      </c>
      <c r="BT172" s="31">
        <v>195</v>
      </c>
      <c r="BU172" s="33">
        <v>46</v>
      </c>
      <c r="BV172" s="115">
        <v>411</v>
      </c>
      <c r="BW172" s="111">
        <v>430</v>
      </c>
      <c r="BX172" s="32">
        <v>229</v>
      </c>
      <c r="BY172" s="31">
        <v>443</v>
      </c>
      <c r="BZ172" s="32">
        <v>205</v>
      </c>
      <c r="CA172" s="111">
        <v>215</v>
      </c>
      <c r="CB172" s="32">
        <v>436</v>
      </c>
      <c r="CC172" s="33">
        <v>376</v>
      </c>
      <c r="CD172" s="34">
        <v>538</v>
      </c>
      <c r="CE172" s="120">
        <v>276</v>
      </c>
      <c r="CF172" s="38">
        <v>284</v>
      </c>
      <c r="CG172" s="31">
        <v>175</v>
      </c>
      <c r="CH172" s="35">
        <v>90</v>
      </c>
      <c r="CI172" s="35">
        <v>218</v>
      </c>
      <c r="CJ172" s="35">
        <v>246</v>
      </c>
      <c r="CK172" s="32">
        <v>260</v>
      </c>
    </row>
    <row r="173" spans="1:89" ht="13" x14ac:dyDescent="0.25">
      <c r="A173" s="27">
        <v>2512</v>
      </c>
      <c r="B173" s="28" t="s">
        <v>196</v>
      </c>
      <c r="C173" s="29">
        <v>787</v>
      </c>
      <c r="D173" s="30">
        <v>343</v>
      </c>
      <c r="E173" s="20">
        <f t="shared" si="2"/>
        <v>0.43583227445997458</v>
      </c>
      <c r="F173" s="31">
        <v>0</v>
      </c>
      <c r="G173" s="111">
        <v>0</v>
      </c>
      <c r="H173" s="111">
        <v>0</v>
      </c>
      <c r="I173" s="111">
        <v>1</v>
      </c>
      <c r="J173" s="111">
        <v>0</v>
      </c>
      <c r="K173" s="111">
        <v>0</v>
      </c>
      <c r="L173" s="111">
        <v>0</v>
      </c>
      <c r="M173" s="111">
        <v>235</v>
      </c>
      <c r="N173" s="111">
        <v>0</v>
      </c>
      <c r="O173" s="111">
        <v>0</v>
      </c>
      <c r="P173" s="35">
        <v>1</v>
      </c>
      <c r="Q173" s="35">
        <v>0</v>
      </c>
      <c r="R173" s="35">
        <v>81</v>
      </c>
      <c r="S173" s="32">
        <v>0</v>
      </c>
      <c r="T173" s="37">
        <v>252</v>
      </c>
      <c r="U173" s="38">
        <v>71</v>
      </c>
      <c r="V173" s="37">
        <v>78</v>
      </c>
      <c r="W173" s="32">
        <v>244</v>
      </c>
      <c r="X173" s="31">
        <v>253</v>
      </c>
      <c r="Y173" s="32">
        <v>68</v>
      </c>
      <c r="Z173" s="111">
        <v>251</v>
      </c>
      <c r="AA173" s="35">
        <v>0</v>
      </c>
      <c r="AB173" s="35">
        <v>14</v>
      </c>
      <c r="AC173" s="35">
        <v>67</v>
      </c>
      <c r="AD173" s="35">
        <v>0</v>
      </c>
      <c r="AE173" s="33">
        <v>0</v>
      </c>
      <c r="AF173" s="116">
        <v>0</v>
      </c>
      <c r="AG173" s="120">
        <v>253</v>
      </c>
      <c r="AH173" s="38">
        <v>67</v>
      </c>
      <c r="AI173" s="37"/>
      <c r="AJ173" s="36"/>
      <c r="AK173" s="37"/>
      <c r="AL173" s="38"/>
      <c r="AM173" s="37">
        <v>251</v>
      </c>
      <c r="AN173" s="116">
        <v>71</v>
      </c>
      <c r="AO173" s="120"/>
      <c r="AP173" s="38"/>
      <c r="AQ173" s="37"/>
      <c r="AR173" s="116"/>
      <c r="AS173" s="120"/>
      <c r="AT173" s="38"/>
      <c r="AU173" s="37"/>
      <c r="AV173" s="120"/>
      <c r="AW173" s="120"/>
      <c r="AX173" s="37"/>
      <c r="AY173" s="38"/>
      <c r="AZ173" s="37"/>
      <c r="BA173" s="116"/>
      <c r="BB173" s="31">
        <v>66</v>
      </c>
      <c r="BC173" s="32">
        <v>251</v>
      </c>
      <c r="BD173" s="31">
        <v>66</v>
      </c>
      <c r="BE173" s="116">
        <v>253</v>
      </c>
      <c r="BF173" s="120">
        <v>253</v>
      </c>
      <c r="BG173" s="38">
        <v>63</v>
      </c>
      <c r="BH173" s="37">
        <v>69</v>
      </c>
      <c r="BI173" s="38">
        <v>247</v>
      </c>
      <c r="BJ173" s="111">
        <v>9</v>
      </c>
      <c r="BK173" s="33">
        <v>55</v>
      </c>
      <c r="BL173" s="115">
        <v>255</v>
      </c>
      <c r="BM173" s="111">
        <v>247</v>
      </c>
      <c r="BN173" s="35">
        <v>59</v>
      </c>
      <c r="BO173" s="32">
        <v>12</v>
      </c>
      <c r="BP173" s="31">
        <v>65</v>
      </c>
      <c r="BQ173" s="32">
        <v>251</v>
      </c>
      <c r="BR173" s="31">
        <v>232</v>
      </c>
      <c r="BS173" s="32">
        <v>83</v>
      </c>
      <c r="BT173" s="31">
        <v>62</v>
      </c>
      <c r="BU173" s="33">
        <v>10</v>
      </c>
      <c r="BV173" s="115">
        <v>246</v>
      </c>
      <c r="BW173" s="111">
        <v>251</v>
      </c>
      <c r="BX173" s="32">
        <v>73</v>
      </c>
      <c r="BY173" s="31">
        <v>251</v>
      </c>
      <c r="BZ173" s="32">
        <v>64</v>
      </c>
      <c r="CA173" s="111">
        <v>64</v>
      </c>
      <c r="CB173" s="32">
        <v>253</v>
      </c>
      <c r="CC173" s="33">
        <v>143</v>
      </c>
      <c r="CD173" s="34">
        <v>283</v>
      </c>
      <c r="CE173" s="120">
        <v>121</v>
      </c>
      <c r="CF173" s="38">
        <v>159</v>
      </c>
      <c r="CG173" s="31">
        <v>64</v>
      </c>
      <c r="CH173" s="35">
        <v>45</v>
      </c>
      <c r="CI173" s="35">
        <v>134</v>
      </c>
      <c r="CJ173" s="35">
        <v>154</v>
      </c>
      <c r="CK173" s="32">
        <v>73</v>
      </c>
    </row>
    <row r="174" spans="1:89" ht="13" x14ac:dyDescent="0.25">
      <c r="A174" s="27">
        <v>2601</v>
      </c>
      <c r="B174" s="28" t="s">
        <v>197</v>
      </c>
      <c r="C174" s="29">
        <v>1301</v>
      </c>
      <c r="D174" s="30">
        <v>921</v>
      </c>
      <c r="E174" s="20">
        <f t="shared" si="2"/>
        <v>0.70791698693312832</v>
      </c>
      <c r="F174" s="31">
        <v>0</v>
      </c>
      <c r="G174" s="111">
        <v>0</v>
      </c>
      <c r="H174" s="111">
        <v>0</v>
      </c>
      <c r="I174" s="111">
        <v>2</v>
      </c>
      <c r="J174" s="111">
        <v>5</v>
      </c>
      <c r="K174" s="111">
        <v>0</v>
      </c>
      <c r="L174" s="111">
        <v>0</v>
      </c>
      <c r="M174" s="111">
        <v>548</v>
      </c>
      <c r="N174" s="111">
        <v>0</v>
      </c>
      <c r="O174" s="111">
        <v>0</v>
      </c>
      <c r="P174" s="35">
        <v>2</v>
      </c>
      <c r="Q174" s="35">
        <v>0</v>
      </c>
      <c r="R174" s="35">
        <v>344</v>
      </c>
      <c r="S174" s="32">
        <v>0</v>
      </c>
      <c r="T174" s="37">
        <v>526</v>
      </c>
      <c r="U174" s="38">
        <v>351</v>
      </c>
      <c r="V174" s="37">
        <v>362</v>
      </c>
      <c r="W174" s="32">
        <v>529</v>
      </c>
      <c r="X174" s="31">
        <v>534</v>
      </c>
      <c r="Y174" s="32">
        <v>329</v>
      </c>
      <c r="Z174" s="111">
        <v>570</v>
      </c>
      <c r="AA174" s="35">
        <v>0</v>
      </c>
      <c r="AB174" s="35">
        <v>25</v>
      </c>
      <c r="AC174" s="35">
        <v>312</v>
      </c>
      <c r="AD174" s="35">
        <v>0</v>
      </c>
      <c r="AE174" s="33">
        <v>0</v>
      </c>
      <c r="AF174" s="116">
        <v>0</v>
      </c>
      <c r="AG174" s="120">
        <v>568</v>
      </c>
      <c r="AH174" s="38">
        <v>316</v>
      </c>
      <c r="AI174" s="37"/>
      <c r="AJ174" s="36"/>
      <c r="AK174" s="37"/>
      <c r="AL174" s="38"/>
      <c r="AM174" s="37">
        <v>539</v>
      </c>
      <c r="AN174" s="116">
        <v>329</v>
      </c>
      <c r="AO174" s="120"/>
      <c r="AP174" s="38"/>
      <c r="AQ174" s="37"/>
      <c r="AR174" s="116"/>
      <c r="AS174" s="120"/>
      <c r="AT174" s="38"/>
      <c r="AU174" s="37"/>
      <c r="AV174" s="120"/>
      <c r="AW174" s="120"/>
      <c r="AX174" s="37"/>
      <c r="AY174" s="38"/>
      <c r="AZ174" s="37"/>
      <c r="BA174" s="116"/>
      <c r="BB174" s="31">
        <v>343</v>
      </c>
      <c r="BC174" s="32">
        <v>515</v>
      </c>
      <c r="BD174" s="31">
        <v>325</v>
      </c>
      <c r="BE174" s="116">
        <v>527</v>
      </c>
      <c r="BF174" s="120">
        <v>513</v>
      </c>
      <c r="BG174" s="38">
        <v>341</v>
      </c>
      <c r="BH174" s="37">
        <v>358</v>
      </c>
      <c r="BI174" s="38">
        <v>494</v>
      </c>
      <c r="BJ174" s="111">
        <v>31</v>
      </c>
      <c r="BK174" s="33">
        <v>318</v>
      </c>
      <c r="BL174" s="115">
        <v>519</v>
      </c>
      <c r="BM174" s="111">
        <v>554</v>
      </c>
      <c r="BN174" s="35">
        <v>296</v>
      </c>
      <c r="BO174" s="32">
        <v>18</v>
      </c>
      <c r="BP174" s="31">
        <v>335</v>
      </c>
      <c r="BQ174" s="32">
        <v>521</v>
      </c>
      <c r="BR174" s="31">
        <v>491</v>
      </c>
      <c r="BS174" s="32">
        <v>379</v>
      </c>
      <c r="BT174" s="31">
        <v>320</v>
      </c>
      <c r="BU174" s="33">
        <v>36</v>
      </c>
      <c r="BV174" s="115">
        <v>503</v>
      </c>
      <c r="BW174" s="111">
        <v>537</v>
      </c>
      <c r="BX174" s="32">
        <v>348</v>
      </c>
      <c r="BY174" s="31">
        <v>533</v>
      </c>
      <c r="BZ174" s="32">
        <v>311</v>
      </c>
      <c r="CA174" s="111">
        <v>320</v>
      </c>
      <c r="CB174" s="32">
        <v>532</v>
      </c>
      <c r="CC174" s="33">
        <v>478</v>
      </c>
      <c r="CD174" s="34">
        <v>656</v>
      </c>
      <c r="CE174" s="120">
        <v>352</v>
      </c>
      <c r="CF174" s="38">
        <v>373</v>
      </c>
      <c r="CG174" s="31">
        <v>219</v>
      </c>
      <c r="CH174" s="35">
        <v>198</v>
      </c>
      <c r="CI174" s="35">
        <v>289</v>
      </c>
      <c r="CJ174" s="35">
        <v>320</v>
      </c>
      <c r="CK174" s="32">
        <v>321</v>
      </c>
    </row>
    <row r="175" spans="1:89" ht="13" x14ac:dyDescent="0.25">
      <c r="A175" s="27">
        <v>2602</v>
      </c>
      <c r="B175" s="28" t="s">
        <v>198</v>
      </c>
      <c r="C175" s="29">
        <v>1078</v>
      </c>
      <c r="D175" s="30">
        <v>603</v>
      </c>
      <c r="E175" s="20">
        <f t="shared" si="2"/>
        <v>0.55936920222634512</v>
      </c>
      <c r="F175" s="31">
        <v>0</v>
      </c>
      <c r="G175" s="111">
        <v>0</v>
      </c>
      <c r="H175" s="111">
        <v>0</v>
      </c>
      <c r="I175" s="111">
        <v>1</v>
      </c>
      <c r="J175" s="111">
        <v>2</v>
      </c>
      <c r="K175" s="111">
        <v>0</v>
      </c>
      <c r="L175" s="111">
        <v>0</v>
      </c>
      <c r="M175" s="111">
        <v>467</v>
      </c>
      <c r="N175" s="111">
        <v>0</v>
      </c>
      <c r="O175" s="111">
        <v>0</v>
      </c>
      <c r="P175" s="35">
        <v>1</v>
      </c>
      <c r="Q175" s="35">
        <v>0</v>
      </c>
      <c r="R175" s="35">
        <v>125</v>
      </c>
      <c r="S175" s="32">
        <v>1</v>
      </c>
      <c r="T175" s="37">
        <v>460</v>
      </c>
      <c r="U175" s="38">
        <v>127</v>
      </c>
      <c r="V175" s="37">
        <v>147</v>
      </c>
      <c r="W175" s="32">
        <v>442</v>
      </c>
      <c r="X175" s="31">
        <v>453</v>
      </c>
      <c r="Y175" s="32">
        <v>126</v>
      </c>
      <c r="Z175" s="111">
        <v>473</v>
      </c>
      <c r="AA175" s="35">
        <v>0</v>
      </c>
      <c r="AB175" s="35">
        <v>18</v>
      </c>
      <c r="AC175" s="35">
        <v>106</v>
      </c>
      <c r="AD175" s="35">
        <v>0</v>
      </c>
      <c r="AE175" s="33">
        <v>0</v>
      </c>
      <c r="AF175" s="116">
        <v>0</v>
      </c>
      <c r="AG175" s="120">
        <v>471</v>
      </c>
      <c r="AH175" s="38">
        <v>113</v>
      </c>
      <c r="AI175" s="37"/>
      <c r="AJ175" s="36"/>
      <c r="AK175" s="37"/>
      <c r="AL175" s="38"/>
      <c r="AM175" s="37">
        <v>450</v>
      </c>
      <c r="AN175" s="116">
        <v>121</v>
      </c>
      <c r="AO175" s="120"/>
      <c r="AP175" s="38"/>
      <c r="AQ175" s="37"/>
      <c r="AR175" s="116"/>
      <c r="AS175" s="120"/>
      <c r="AT175" s="38"/>
      <c r="AU175" s="37"/>
      <c r="AV175" s="120"/>
      <c r="AW175" s="120"/>
      <c r="AX175" s="37"/>
      <c r="AY175" s="38"/>
      <c r="AZ175" s="37"/>
      <c r="BA175" s="116"/>
      <c r="BB175" s="31">
        <v>133</v>
      </c>
      <c r="BC175" s="32">
        <v>438</v>
      </c>
      <c r="BD175" s="31">
        <v>114</v>
      </c>
      <c r="BE175" s="116">
        <v>453</v>
      </c>
      <c r="BF175" s="120">
        <v>443</v>
      </c>
      <c r="BG175" s="38">
        <v>121</v>
      </c>
      <c r="BH175" s="37">
        <v>137</v>
      </c>
      <c r="BI175" s="38">
        <v>427</v>
      </c>
      <c r="BJ175" s="111">
        <v>18</v>
      </c>
      <c r="BK175" s="33">
        <v>110</v>
      </c>
      <c r="BL175" s="115">
        <v>451</v>
      </c>
      <c r="BM175" s="111">
        <v>452</v>
      </c>
      <c r="BN175" s="35">
        <v>100</v>
      </c>
      <c r="BO175" s="32">
        <v>23</v>
      </c>
      <c r="BP175" s="31">
        <v>132</v>
      </c>
      <c r="BQ175" s="32">
        <v>444</v>
      </c>
      <c r="BR175" s="31">
        <v>417</v>
      </c>
      <c r="BS175" s="32">
        <v>156</v>
      </c>
      <c r="BT175" s="31">
        <v>110</v>
      </c>
      <c r="BU175" s="33">
        <v>21</v>
      </c>
      <c r="BV175" s="115">
        <v>442</v>
      </c>
      <c r="BW175" s="111">
        <v>454</v>
      </c>
      <c r="BX175" s="32">
        <v>131</v>
      </c>
      <c r="BY175" s="31">
        <v>455</v>
      </c>
      <c r="BZ175" s="32">
        <v>112</v>
      </c>
      <c r="CA175" s="111">
        <v>116</v>
      </c>
      <c r="CB175" s="32">
        <v>453</v>
      </c>
      <c r="CC175" s="33">
        <v>244</v>
      </c>
      <c r="CD175" s="34">
        <v>489</v>
      </c>
      <c r="CE175" s="120">
        <v>198</v>
      </c>
      <c r="CF175" s="38">
        <v>298</v>
      </c>
      <c r="CG175" s="31">
        <v>142</v>
      </c>
      <c r="CH175" s="35">
        <v>57</v>
      </c>
      <c r="CI175" s="35">
        <v>282</v>
      </c>
      <c r="CJ175" s="35">
        <v>304</v>
      </c>
      <c r="CK175" s="32">
        <v>152</v>
      </c>
    </row>
    <row r="176" spans="1:89" ht="13" x14ac:dyDescent="0.25">
      <c r="A176" s="27">
        <v>2603</v>
      </c>
      <c r="B176" s="28" t="s">
        <v>199</v>
      </c>
      <c r="C176" s="29">
        <v>690</v>
      </c>
      <c r="D176" s="30">
        <v>420</v>
      </c>
      <c r="E176" s="20">
        <f t="shared" si="2"/>
        <v>0.60869565217391308</v>
      </c>
      <c r="F176" s="31">
        <v>0</v>
      </c>
      <c r="G176" s="111">
        <v>0</v>
      </c>
      <c r="H176" s="111">
        <v>0</v>
      </c>
      <c r="I176" s="111">
        <v>3</v>
      </c>
      <c r="J176" s="111">
        <v>3</v>
      </c>
      <c r="K176" s="111">
        <v>0</v>
      </c>
      <c r="L176" s="111">
        <v>0</v>
      </c>
      <c r="M176" s="111">
        <v>287</v>
      </c>
      <c r="N176" s="111">
        <v>0</v>
      </c>
      <c r="O176" s="111">
        <v>0</v>
      </c>
      <c r="P176" s="35">
        <v>1</v>
      </c>
      <c r="Q176" s="35">
        <v>2</v>
      </c>
      <c r="R176" s="35">
        <v>115</v>
      </c>
      <c r="S176" s="32">
        <v>0</v>
      </c>
      <c r="T176" s="37">
        <v>288</v>
      </c>
      <c r="U176" s="38">
        <v>117</v>
      </c>
      <c r="V176" s="37">
        <v>122</v>
      </c>
      <c r="W176" s="32">
        <v>281</v>
      </c>
      <c r="X176" s="31">
        <v>286</v>
      </c>
      <c r="Y176" s="32">
        <v>109</v>
      </c>
      <c r="Z176" s="111">
        <v>285</v>
      </c>
      <c r="AA176" s="35">
        <v>0</v>
      </c>
      <c r="AB176" s="35">
        <v>15</v>
      </c>
      <c r="AC176" s="35">
        <v>110</v>
      </c>
      <c r="AD176" s="35">
        <v>0</v>
      </c>
      <c r="AE176" s="33">
        <v>0</v>
      </c>
      <c r="AF176" s="116">
        <v>2</v>
      </c>
      <c r="AG176" s="120">
        <v>293</v>
      </c>
      <c r="AH176" s="38">
        <v>110</v>
      </c>
      <c r="AI176" s="37"/>
      <c r="AJ176" s="36"/>
      <c r="AK176" s="37"/>
      <c r="AL176" s="38"/>
      <c r="AM176" s="37">
        <v>280</v>
      </c>
      <c r="AN176" s="116">
        <v>117</v>
      </c>
      <c r="AO176" s="120"/>
      <c r="AP176" s="38"/>
      <c r="AQ176" s="37"/>
      <c r="AR176" s="116"/>
      <c r="AS176" s="120"/>
      <c r="AT176" s="38"/>
      <c r="AU176" s="37"/>
      <c r="AV176" s="120"/>
      <c r="AW176" s="120"/>
      <c r="AX176" s="37"/>
      <c r="AY176" s="38"/>
      <c r="AZ176" s="37"/>
      <c r="BA176" s="116"/>
      <c r="BB176" s="31">
        <v>121</v>
      </c>
      <c r="BC176" s="32">
        <v>272</v>
      </c>
      <c r="BD176" s="31">
        <v>111</v>
      </c>
      <c r="BE176" s="116">
        <v>283</v>
      </c>
      <c r="BF176" s="120">
        <v>279</v>
      </c>
      <c r="BG176" s="38">
        <v>111</v>
      </c>
      <c r="BH176" s="37">
        <v>118</v>
      </c>
      <c r="BI176" s="38">
        <v>275</v>
      </c>
      <c r="BJ176" s="111">
        <v>18</v>
      </c>
      <c r="BK176" s="33">
        <v>98</v>
      </c>
      <c r="BL176" s="115">
        <v>283</v>
      </c>
      <c r="BM176" s="111">
        <v>284</v>
      </c>
      <c r="BN176" s="35">
        <v>93</v>
      </c>
      <c r="BO176" s="32">
        <v>17</v>
      </c>
      <c r="BP176" s="31">
        <v>111</v>
      </c>
      <c r="BQ176" s="32">
        <v>281</v>
      </c>
      <c r="BR176" s="31">
        <v>267</v>
      </c>
      <c r="BS176" s="32">
        <v>129</v>
      </c>
      <c r="BT176" s="31">
        <v>100</v>
      </c>
      <c r="BU176" s="33">
        <v>23</v>
      </c>
      <c r="BV176" s="115">
        <v>269</v>
      </c>
      <c r="BW176" s="111">
        <v>281</v>
      </c>
      <c r="BX176" s="32">
        <v>120</v>
      </c>
      <c r="BY176" s="31">
        <v>279</v>
      </c>
      <c r="BZ176" s="32">
        <v>108</v>
      </c>
      <c r="CA176" s="111">
        <v>113</v>
      </c>
      <c r="CB176" s="32">
        <v>276</v>
      </c>
      <c r="CC176" s="33">
        <v>206</v>
      </c>
      <c r="CD176" s="34">
        <v>323</v>
      </c>
      <c r="CE176" s="120">
        <v>167</v>
      </c>
      <c r="CF176" s="38">
        <v>156</v>
      </c>
      <c r="CG176" s="31">
        <v>100</v>
      </c>
      <c r="CH176" s="35">
        <v>68</v>
      </c>
      <c r="CI176" s="35">
        <v>129</v>
      </c>
      <c r="CJ176" s="35">
        <v>161</v>
      </c>
      <c r="CK176" s="32">
        <v>132</v>
      </c>
    </row>
    <row r="177" spans="1:89" ht="13" x14ac:dyDescent="0.25">
      <c r="A177" s="27">
        <v>2604</v>
      </c>
      <c r="B177" s="28" t="s">
        <v>200</v>
      </c>
      <c r="C177" s="29">
        <v>1093</v>
      </c>
      <c r="D177" s="30">
        <v>432</v>
      </c>
      <c r="E177" s="20">
        <f t="shared" si="2"/>
        <v>0.39524245196706315</v>
      </c>
      <c r="F177" s="3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374</v>
      </c>
      <c r="N177" s="111">
        <v>0</v>
      </c>
      <c r="O177" s="111">
        <v>0</v>
      </c>
      <c r="P177" s="35">
        <v>0</v>
      </c>
      <c r="Q177" s="35">
        <v>0</v>
      </c>
      <c r="R177" s="35">
        <v>53</v>
      </c>
      <c r="S177" s="32">
        <v>0</v>
      </c>
      <c r="T177" s="31">
        <v>356</v>
      </c>
      <c r="U177" s="32">
        <v>54</v>
      </c>
      <c r="V177" s="31">
        <v>54</v>
      </c>
      <c r="W177" s="32">
        <v>356</v>
      </c>
      <c r="X177" s="31">
        <v>361</v>
      </c>
      <c r="Y177" s="32">
        <v>47</v>
      </c>
      <c r="Z177" s="111">
        <v>360</v>
      </c>
      <c r="AA177" s="35">
        <v>0</v>
      </c>
      <c r="AB177" s="35">
        <v>14</v>
      </c>
      <c r="AC177" s="35">
        <v>49</v>
      </c>
      <c r="AD177" s="35">
        <v>0</v>
      </c>
      <c r="AE177" s="33">
        <v>0</v>
      </c>
      <c r="AF177" s="115">
        <v>0</v>
      </c>
      <c r="AG177" s="111">
        <v>362</v>
      </c>
      <c r="AH177" s="32">
        <v>44</v>
      </c>
      <c r="AI177" s="31"/>
      <c r="AJ177" s="33"/>
      <c r="AK177" s="31"/>
      <c r="AL177" s="32"/>
      <c r="AM177" s="31">
        <v>357</v>
      </c>
      <c r="AN177" s="115">
        <v>51</v>
      </c>
      <c r="AO177" s="111"/>
      <c r="AP177" s="32"/>
      <c r="AQ177" s="31"/>
      <c r="AR177" s="115"/>
      <c r="AS177" s="111"/>
      <c r="AT177" s="32"/>
      <c r="AU177" s="31"/>
      <c r="AV177" s="111"/>
      <c r="AW177" s="111"/>
      <c r="AX177" s="31"/>
      <c r="AY177" s="32"/>
      <c r="AZ177" s="31"/>
      <c r="BA177" s="115"/>
      <c r="BB177" s="31">
        <v>49</v>
      </c>
      <c r="BC177" s="32">
        <v>357</v>
      </c>
      <c r="BD177" s="31">
        <v>50</v>
      </c>
      <c r="BE177" s="115">
        <v>353</v>
      </c>
      <c r="BF177" s="111">
        <v>355</v>
      </c>
      <c r="BG177" s="32">
        <v>47</v>
      </c>
      <c r="BH177" s="31">
        <v>59</v>
      </c>
      <c r="BI177" s="32">
        <v>347</v>
      </c>
      <c r="BJ177" s="111">
        <v>10</v>
      </c>
      <c r="BK177" s="33">
        <v>37</v>
      </c>
      <c r="BL177" s="115">
        <v>372</v>
      </c>
      <c r="BM177" s="111">
        <v>350</v>
      </c>
      <c r="BN177" s="35">
        <v>44</v>
      </c>
      <c r="BO177" s="32">
        <v>13</v>
      </c>
      <c r="BP177" s="31">
        <v>51</v>
      </c>
      <c r="BQ177" s="32">
        <v>351</v>
      </c>
      <c r="BR177" s="31">
        <v>342</v>
      </c>
      <c r="BS177" s="32">
        <v>68</v>
      </c>
      <c r="BT177" s="31">
        <v>49</v>
      </c>
      <c r="BU177" s="33">
        <v>12</v>
      </c>
      <c r="BV177" s="115">
        <v>353</v>
      </c>
      <c r="BW177" s="111">
        <v>367</v>
      </c>
      <c r="BX177" s="32">
        <v>49</v>
      </c>
      <c r="BY177" s="31">
        <v>359</v>
      </c>
      <c r="BZ177" s="32">
        <v>47</v>
      </c>
      <c r="CA177" s="111">
        <v>51</v>
      </c>
      <c r="CB177" s="32">
        <v>360</v>
      </c>
      <c r="CC177" s="33">
        <v>152</v>
      </c>
      <c r="CD177" s="34">
        <v>381</v>
      </c>
      <c r="CE177" s="111">
        <v>153</v>
      </c>
      <c r="CF177" s="38">
        <v>190</v>
      </c>
      <c r="CG177" s="31">
        <v>89</v>
      </c>
      <c r="CH177" s="35">
        <v>41</v>
      </c>
      <c r="CI177" s="35">
        <v>167</v>
      </c>
      <c r="CJ177" s="35">
        <v>173</v>
      </c>
      <c r="CK177" s="32">
        <v>122</v>
      </c>
    </row>
    <row r="178" spans="1:89" ht="13" x14ac:dyDescent="0.25">
      <c r="A178" s="27">
        <v>2605</v>
      </c>
      <c r="B178" s="28" t="s">
        <v>201</v>
      </c>
      <c r="C178" s="29">
        <v>1264</v>
      </c>
      <c r="D178" s="30">
        <v>527</v>
      </c>
      <c r="E178" s="20">
        <f t="shared" si="2"/>
        <v>0.41693037974683544</v>
      </c>
      <c r="F178" s="31">
        <v>0</v>
      </c>
      <c r="G178" s="111">
        <v>0</v>
      </c>
      <c r="H178" s="111">
        <v>0</v>
      </c>
      <c r="I178" s="111">
        <v>2</v>
      </c>
      <c r="J178" s="111">
        <v>0</v>
      </c>
      <c r="K178" s="111">
        <v>0</v>
      </c>
      <c r="L178" s="111">
        <v>0</v>
      </c>
      <c r="M178" s="111">
        <v>454</v>
      </c>
      <c r="N178" s="111">
        <v>0</v>
      </c>
      <c r="O178" s="111">
        <v>0</v>
      </c>
      <c r="P178" s="35">
        <v>2</v>
      </c>
      <c r="Q178" s="35">
        <v>0</v>
      </c>
      <c r="R178" s="35">
        <v>64</v>
      </c>
      <c r="S178" s="32">
        <v>0</v>
      </c>
      <c r="T178" s="31">
        <v>437</v>
      </c>
      <c r="U178" s="32">
        <v>65</v>
      </c>
      <c r="V178" s="31">
        <v>82</v>
      </c>
      <c r="W178" s="32">
        <v>420</v>
      </c>
      <c r="X178" s="31">
        <v>439</v>
      </c>
      <c r="Y178" s="32">
        <v>58</v>
      </c>
      <c r="Z178" s="111">
        <v>447</v>
      </c>
      <c r="AA178" s="35">
        <v>0</v>
      </c>
      <c r="AB178" s="35">
        <v>11</v>
      </c>
      <c r="AC178" s="35">
        <v>52</v>
      </c>
      <c r="AD178" s="35">
        <v>0</v>
      </c>
      <c r="AE178" s="33">
        <v>0</v>
      </c>
      <c r="AF178" s="115">
        <v>0</v>
      </c>
      <c r="AG178" s="111">
        <v>449</v>
      </c>
      <c r="AH178" s="32">
        <v>54</v>
      </c>
      <c r="AI178" s="31"/>
      <c r="AJ178" s="33"/>
      <c r="AK178" s="31"/>
      <c r="AL178" s="32"/>
      <c r="AM178" s="31">
        <v>437</v>
      </c>
      <c r="AN178" s="115">
        <v>59</v>
      </c>
      <c r="AO178" s="111"/>
      <c r="AP178" s="32"/>
      <c r="AQ178" s="31"/>
      <c r="AR178" s="115"/>
      <c r="AS178" s="111"/>
      <c r="AT178" s="32"/>
      <c r="AU178" s="31"/>
      <c r="AV178" s="111"/>
      <c r="AW178" s="111"/>
      <c r="AX178" s="31"/>
      <c r="AY178" s="32"/>
      <c r="AZ178" s="31"/>
      <c r="BA178" s="115"/>
      <c r="BB178" s="31">
        <v>66</v>
      </c>
      <c r="BC178" s="32">
        <v>426</v>
      </c>
      <c r="BD178" s="31">
        <v>54</v>
      </c>
      <c r="BE178" s="115">
        <v>439</v>
      </c>
      <c r="BF178" s="111">
        <v>432</v>
      </c>
      <c r="BG178" s="32">
        <v>56</v>
      </c>
      <c r="BH178" s="31">
        <v>58</v>
      </c>
      <c r="BI178" s="32">
        <v>421</v>
      </c>
      <c r="BJ178" s="111">
        <v>12</v>
      </c>
      <c r="BK178" s="33">
        <v>44</v>
      </c>
      <c r="BL178" s="115">
        <v>449</v>
      </c>
      <c r="BM178" s="111">
        <v>436</v>
      </c>
      <c r="BN178" s="35">
        <v>45</v>
      </c>
      <c r="BO178" s="32">
        <v>10</v>
      </c>
      <c r="BP178" s="31">
        <v>59</v>
      </c>
      <c r="BQ178" s="32">
        <v>428</v>
      </c>
      <c r="BR178" s="31">
        <v>424</v>
      </c>
      <c r="BS178" s="32">
        <v>75</v>
      </c>
      <c r="BT178" s="31">
        <v>55</v>
      </c>
      <c r="BU178" s="33">
        <v>17</v>
      </c>
      <c r="BV178" s="115">
        <v>428</v>
      </c>
      <c r="BW178" s="111">
        <v>443</v>
      </c>
      <c r="BX178" s="32">
        <v>59</v>
      </c>
      <c r="BY178" s="31">
        <v>438</v>
      </c>
      <c r="BZ178" s="32">
        <v>50</v>
      </c>
      <c r="CA178" s="111">
        <v>57</v>
      </c>
      <c r="CB178" s="32">
        <v>430</v>
      </c>
      <c r="CC178" s="33">
        <v>157</v>
      </c>
      <c r="CD178" s="34">
        <v>450</v>
      </c>
      <c r="CE178" s="111">
        <v>166</v>
      </c>
      <c r="CF178" s="38">
        <v>254</v>
      </c>
      <c r="CG178" s="31">
        <v>114</v>
      </c>
      <c r="CH178" s="35">
        <v>35</v>
      </c>
      <c r="CI178" s="35">
        <v>231</v>
      </c>
      <c r="CJ178" s="35">
        <v>233</v>
      </c>
      <c r="CK178" s="32">
        <v>94</v>
      </c>
    </row>
    <row r="179" spans="1:89" ht="13" x14ac:dyDescent="0.25">
      <c r="A179" s="27">
        <v>2606</v>
      </c>
      <c r="B179" s="28" t="s">
        <v>202</v>
      </c>
      <c r="C179" s="29">
        <v>863</v>
      </c>
      <c r="D179" s="30">
        <v>415</v>
      </c>
      <c r="E179" s="20">
        <f t="shared" si="2"/>
        <v>0.48088064889918886</v>
      </c>
      <c r="F179" s="31">
        <v>0</v>
      </c>
      <c r="G179" s="111">
        <v>0</v>
      </c>
      <c r="H179" s="111">
        <v>0</v>
      </c>
      <c r="I179" s="111">
        <v>0</v>
      </c>
      <c r="J179" s="111">
        <v>1</v>
      </c>
      <c r="K179" s="111">
        <v>0</v>
      </c>
      <c r="L179" s="111">
        <v>0</v>
      </c>
      <c r="M179" s="111">
        <v>340</v>
      </c>
      <c r="N179" s="111">
        <v>0</v>
      </c>
      <c r="O179" s="111">
        <v>0</v>
      </c>
      <c r="P179" s="35">
        <v>2</v>
      </c>
      <c r="Q179" s="35">
        <v>0</v>
      </c>
      <c r="R179" s="35">
        <v>66</v>
      </c>
      <c r="S179" s="32">
        <v>0</v>
      </c>
      <c r="T179" s="31">
        <v>339</v>
      </c>
      <c r="U179" s="32">
        <v>68</v>
      </c>
      <c r="V179" s="31">
        <v>71</v>
      </c>
      <c r="W179" s="32">
        <v>334</v>
      </c>
      <c r="X179" s="31">
        <v>342</v>
      </c>
      <c r="Y179" s="32">
        <v>60</v>
      </c>
      <c r="Z179" s="111">
        <v>331</v>
      </c>
      <c r="AA179" s="35">
        <v>0</v>
      </c>
      <c r="AB179" s="35">
        <v>18</v>
      </c>
      <c r="AC179" s="35">
        <v>54</v>
      </c>
      <c r="AD179" s="35">
        <v>0</v>
      </c>
      <c r="AE179" s="33">
        <v>0</v>
      </c>
      <c r="AF179" s="115">
        <v>0</v>
      </c>
      <c r="AG179" s="111">
        <v>336</v>
      </c>
      <c r="AH179" s="32">
        <v>61</v>
      </c>
      <c r="AI179" s="31"/>
      <c r="AJ179" s="33"/>
      <c r="AK179" s="31"/>
      <c r="AL179" s="32"/>
      <c r="AM179" s="31">
        <v>342</v>
      </c>
      <c r="AN179" s="115">
        <v>63</v>
      </c>
      <c r="AO179" s="111"/>
      <c r="AP179" s="32"/>
      <c r="AQ179" s="31"/>
      <c r="AR179" s="115"/>
      <c r="AS179" s="111"/>
      <c r="AT179" s="32"/>
      <c r="AU179" s="31"/>
      <c r="AV179" s="111"/>
      <c r="AW179" s="111"/>
      <c r="AX179" s="31"/>
      <c r="AY179" s="32"/>
      <c r="AZ179" s="31"/>
      <c r="BA179" s="115"/>
      <c r="BB179" s="31">
        <v>62</v>
      </c>
      <c r="BC179" s="32">
        <v>340</v>
      </c>
      <c r="BD179" s="31">
        <v>61</v>
      </c>
      <c r="BE179" s="115">
        <v>337</v>
      </c>
      <c r="BF179" s="111">
        <v>325</v>
      </c>
      <c r="BG179" s="32">
        <v>71</v>
      </c>
      <c r="BH179" s="31">
        <v>75</v>
      </c>
      <c r="BI179" s="32">
        <v>318</v>
      </c>
      <c r="BJ179" s="111">
        <v>20</v>
      </c>
      <c r="BK179" s="33">
        <v>49</v>
      </c>
      <c r="BL179" s="115">
        <v>334</v>
      </c>
      <c r="BM179" s="111">
        <v>332</v>
      </c>
      <c r="BN179" s="35">
        <v>51</v>
      </c>
      <c r="BO179" s="32">
        <v>17</v>
      </c>
      <c r="BP179" s="31">
        <v>60</v>
      </c>
      <c r="BQ179" s="32">
        <v>336</v>
      </c>
      <c r="BR179" s="31">
        <v>312</v>
      </c>
      <c r="BS179" s="32">
        <v>80</v>
      </c>
      <c r="BT179" s="31">
        <v>55</v>
      </c>
      <c r="BU179" s="33">
        <v>23</v>
      </c>
      <c r="BV179" s="115">
        <v>319</v>
      </c>
      <c r="BW179" s="111">
        <v>342</v>
      </c>
      <c r="BX179" s="32">
        <v>60</v>
      </c>
      <c r="BY179" s="31">
        <v>331</v>
      </c>
      <c r="BZ179" s="32">
        <v>64</v>
      </c>
      <c r="CA179" s="111">
        <v>59</v>
      </c>
      <c r="CB179" s="32">
        <v>339</v>
      </c>
      <c r="CC179" s="33">
        <v>157</v>
      </c>
      <c r="CD179" s="34">
        <v>361</v>
      </c>
      <c r="CE179" s="111">
        <v>140</v>
      </c>
      <c r="CF179" s="38">
        <v>206</v>
      </c>
      <c r="CG179" s="31">
        <v>78</v>
      </c>
      <c r="CH179" s="35">
        <v>42</v>
      </c>
      <c r="CI179" s="35">
        <v>183</v>
      </c>
      <c r="CJ179" s="35">
        <v>199</v>
      </c>
      <c r="CK179" s="32">
        <v>93</v>
      </c>
    </row>
    <row r="180" spans="1:89" ht="13" x14ac:dyDescent="0.25">
      <c r="A180" s="27">
        <v>2607</v>
      </c>
      <c r="B180" s="28" t="s">
        <v>203</v>
      </c>
      <c r="C180" s="29">
        <v>1033</v>
      </c>
      <c r="D180" s="30">
        <v>587</v>
      </c>
      <c r="E180" s="20">
        <f t="shared" si="2"/>
        <v>0.56824782187802514</v>
      </c>
      <c r="F180" s="31">
        <v>0</v>
      </c>
      <c r="G180" s="111">
        <v>0</v>
      </c>
      <c r="H180" s="111">
        <v>0</v>
      </c>
      <c r="I180" s="111">
        <v>1</v>
      </c>
      <c r="J180" s="111">
        <v>3</v>
      </c>
      <c r="K180" s="111">
        <v>0</v>
      </c>
      <c r="L180" s="111">
        <v>0</v>
      </c>
      <c r="M180" s="111">
        <v>337</v>
      </c>
      <c r="N180" s="111">
        <v>0</v>
      </c>
      <c r="O180" s="111">
        <v>0</v>
      </c>
      <c r="P180" s="35">
        <v>2</v>
      </c>
      <c r="Q180" s="35">
        <v>2</v>
      </c>
      <c r="R180" s="35">
        <v>230</v>
      </c>
      <c r="S180" s="32">
        <v>0</v>
      </c>
      <c r="T180" s="31">
        <v>330</v>
      </c>
      <c r="U180" s="32">
        <v>233</v>
      </c>
      <c r="V180" s="31">
        <v>244</v>
      </c>
      <c r="W180" s="32">
        <v>316</v>
      </c>
      <c r="X180" s="31">
        <v>335</v>
      </c>
      <c r="Y180" s="32">
        <v>219</v>
      </c>
      <c r="Z180" s="111">
        <v>346</v>
      </c>
      <c r="AA180" s="35">
        <v>0</v>
      </c>
      <c r="AB180" s="35">
        <v>19</v>
      </c>
      <c r="AC180" s="35">
        <v>201</v>
      </c>
      <c r="AD180" s="35">
        <v>0</v>
      </c>
      <c r="AE180" s="33">
        <v>0</v>
      </c>
      <c r="AF180" s="115">
        <v>0</v>
      </c>
      <c r="AG180" s="111">
        <v>356</v>
      </c>
      <c r="AH180" s="32">
        <v>195</v>
      </c>
      <c r="AI180" s="31"/>
      <c r="AJ180" s="33"/>
      <c r="AK180" s="31"/>
      <c r="AL180" s="32"/>
      <c r="AM180" s="31">
        <v>340</v>
      </c>
      <c r="AN180" s="115">
        <v>212</v>
      </c>
      <c r="AO180" s="111"/>
      <c r="AP180" s="32"/>
      <c r="AQ180" s="31"/>
      <c r="AR180" s="115"/>
      <c r="AS180" s="111"/>
      <c r="AT180" s="32"/>
      <c r="AU180" s="31"/>
      <c r="AV180" s="111"/>
      <c r="AW180" s="111"/>
      <c r="AX180" s="31"/>
      <c r="AY180" s="32"/>
      <c r="AZ180" s="31"/>
      <c r="BA180" s="115"/>
      <c r="BB180" s="31">
        <v>227</v>
      </c>
      <c r="BC180" s="32">
        <v>320</v>
      </c>
      <c r="BD180" s="31">
        <v>216</v>
      </c>
      <c r="BE180" s="115">
        <v>335</v>
      </c>
      <c r="BF180" s="111">
        <v>327</v>
      </c>
      <c r="BG180" s="32">
        <v>217</v>
      </c>
      <c r="BH180" s="31">
        <v>233</v>
      </c>
      <c r="BI180" s="32">
        <v>311</v>
      </c>
      <c r="BJ180" s="111">
        <v>28</v>
      </c>
      <c r="BK180" s="33">
        <v>187</v>
      </c>
      <c r="BL180" s="115">
        <v>337</v>
      </c>
      <c r="BM180" s="111">
        <v>333</v>
      </c>
      <c r="BN180" s="35">
        <v>191</v>
      </c>
      <c r="BO180" s="32">
        <v>19</v>
      </c>
      <c r="BP180" s="31">
        <v>221</v>
      </c>
      <c r="BQ180" s="32">
        <v>320</v>
      </c>
      <c r="BR180" s="31">
        <v>299</v>
      </c>
      <c r="BS180" s="32">
        <v>254</v>
      </c>
      <c r="BT180" s="31">
        <v>209</v>
      </c>
      <c r="BU180" s="33">
        <v>22</v>
      </c>
      <c r="BV180" s="115">
        <v>308</v>
      </c>
      <c r="BW180" s="111">
        <v>330</v>
      </c>
      <c r="BX180" s="32">
        <v>224</v>
      </c>
      <c r="BY180" s="31">
        <v>329</v>
      </c>
      <c r="BZ180" s="32">
        <v>209</v>
      </c>
      <c r="CA180" s="111">
        <v>204</v>
      </c>
      <c r="CB180" s="32">
        <v>336</v>
      </c>
      <c r="CC180" s="33">
        <v>324</v>
      </c>
      <c r="CD180" s="34">
        <v>428</v>
      </c>
      <c r="CE180" s="111">
        <v>215</v>
      </c>
      <c r="CF180" s="38">
        <v>254</v>
      </c>
      <c r="CG180" s="31">
        <v>146</v>
      </c>
      <c r="CH180" s="35">
        <v>101</v>
      </c>
      <c r="CI180" s="35">
        <v>178</v>
      </c>
      <c r="CJ180" s="35">
        <v>180</v>
      </c>
      <c r="CK180" s="32">
        <v>216</v>
      </c>
    </row>
    <row r="181" spans="1:89" ht="13" x14ac:dyDescent="0.25">
      <c r="A181" s="27">
        <v>2608</v>
      </c>
      <c r="B181" s="28" t="s">
        <v>204</v>
      </c>
      <c r="C181" s="29">
        <v>945</v>
      </c>
      <c r="D181" s="30">
        <v>234</v>
      </c>
      <c r="E181" s="20">
        <f t="shared" si="2"/>
        <v>0.24761904761904763</v>
      </c>
      <c r="F181" s="31">
        <v>0</v>
      </c>
      <c r="G181" s="111">
        <v>0</v>
      </c>
      <c r="H181" s="111">
        <v>0</v>
      </c>
      <c r="I181" s="111">
        <v>0</v>
      </c>
      <c r="J181" s="111">
        <v>1</v>
      </c>
      <c r="K181" s="111">
        <v>0</v>
      </c>
      <c r="L181" s="111">
        <v>0</v>
      </c>
      <c r="M181" s="111">
        <v>192</v>
      </c>
      <c r="N181" s="111">
        <v>0</v>
      </c>
      <c r="O181" s="111">
        <v>0</v>
      </c>
      <c r="P181" s="35">
        <v>0</v>
      </c>
      <c r="Q181" s="35">
        <v>0</v>
      </c>
      <c r="R181" s="35">
        <v>29</v>
      </c>
      <c r="S181" s="32">
        <v>0</v>
      </c>
      <c r="T181" s="31">
        <v>193</v>
      </c>
      <c r="U181" s="32">
        <v>33</v>
      </c>
      <c r="V181" s="31">
        <v>30</v>
      </c>
      <c r="W181" s="32">
        <v>193</v>
      </c>
      <c r="X181" s="31">
        <v>193</v>
      </c>
      <c r="Y181" s="32">
        <v>30</v>
      </c>
      <c r="Z181" s="111">
        <v>182</v>
      </c>
      <c r="AA181" s="35">
        <v>0</v>
      </c>
      <c r="AB181" s="35">
        <v>15</v>
      </c>
      <c r="AC181" s="35">
        <v>27</v>
      </c>
      <c r="AD181" s="35">
        <v>0</v>
      </c>
      <c r="AE181" s="33">
        <v>0</v>
      </c>
      <c r="AF181" s="115">
        <v>0</v>
      </c>
      <c r="AG181" s="111">
        <v>191</v>
      </c>
      <c r="AH181" s="32">
        <v>25</v>
      </c>
      <c r="AI181" s="31"/>
      <c r="AJ181" s="33"/>
      <c r="AK181" s="31"/>
      <c r="AL181" s="32"/>
      <c r="AM181" s="31">
        <v>188</v>
      </c>
      <c r="AN181" s="115">
        <v>30</v>
      </c>
      <c r="AO181" s="111"/>
      <c r="AP181" s="32"/>
      <c r="AQ181" s="31"/>
      <c r="AR181" s="115"/>
      <c r="AS181" s="111"/>
      <c r="AT181" s="32"/>
      <c r="AU181" s="31"/>
      <c r="AV181" s="111"/>
      <c r="AW181" s="111"/>
      <c r="AX181" s="31"/>
      <c r="AY181" s="32"/>
      <c r="AZ181" s="31"/>
      <c r="BA181" s="115"/>
      <c r="BB181" s="31">
        <v>27</v>
      </c>
      <c r="BC181" s="32">
        <v>190</v>
      </c>
      <c r="BD181" s="31">
        <v>30</v>
      </c>
      <c r="BE181" s="115">
        <v>187</v>
      </c>
      <c r="BF181" s="111">
        <v>186</v>
      </c>
      <c r="BG181" s="32">
        <v>29</v>
      </c>
      <c r="BH181" s="31">
        <v>33</v>
      </c>
      <c r="BI181" s="32">
        <v>184</v>
      </c>
      <c r="BJ181" s="111">
        <v>6</v>
      </c>
      <c r="BK181" s="33">
        <v>21</v>
      </c>
      <c r="BL181" s="115">
        <v>196</v>
      </c>
      <c r="BM181" s="111">
        <v>190</v>
      </c>
      <c r="BN181" s="35">
        <v>20</v>
      </c>
      <c r="BO181" s="32">
        <v>10</v>
      </c>
      <c r="BP181" s="31">
        <v>29</v>
      </c>
      <c r="BQ181" s="32">
        <v>190</v>
      </c>
      <c r="BR181" s="31">
        <v>184</v>
      </c>
      <c r="BS181" s="32">
        <v>35</v>
      </c>
      <c r="BT181" s="31">
        <v>28</v>
      </c>
      <c r="BU181" s="33">
        <v>11</v>
      </c>
      <c r="BV181" s="115">
        <v>178</v>
      </c>
      <c r="BW181" s="111">
        <v>188</v>
      </c>
      <c r="BX181" s="32">
        <v>34</v>
      </c>
      <c r="BY181" s="31">
        <v>185</v>
      </c>
      <c r="BZ181" s="32">
        <v>24</v>
      </c>
      <c r="CA181" s="111">
        <v>26</v>
      </c>
      <c r="CB181" s="32">
        <v>192</v>
      </c>
      <c r="CC181" s="33">
        <v>88</v>
      </c>
      <c r="CD181" s="34">
        <v>197</v>
      </c>
      <c r="CE181" s="111">
        <v>105</v>
      </c>
      <c r="CF181" s="38">
        <v>77</v>
      </c>
      <c r="CG181" s="31">
        <v>48</v>
      </c>
      <c r="CH181" s="35">
        <v>18</v>
      </c>
      <c r="CI181" s="35">
        <v>95</v>
      </c>
      <c r="CJ181" s="35">
        <v>101</v>
      </c>
      <c r="CK181" s="32">
        <v>47</v>
      </c>
    </row>
    <row r="182" spans="1:89" ht="13" x14ac:dyDescent="0.25">
      <c r="A182" s="27">
        <v>2609</v>
      </c>
      <c r="B182" s="28" t="s">
        <v>205</v>
      </c>
      <c r="C182" s="29">
        <v>1141</v>
      </c>
      <c r="D182" s="30">
        <v>719</v>
      </c>
      <c r="E182" s="20">
        <f t="shared" si="2"/>
        <v>0.63014899211218234</v>
      </c>
      <c r="F182" s="31">
        <v>0</v>
      </c>
      <c r="G182" s="111">
        <v>0</v>
      </c>
      <c r="H182" s="111">
        <v>0</v>
      </c>
      <c r="I182" s="111">
        <v>0</v>
      </c>
      <c r="J182" s="111">
        <v>1</v>
      </c>
      <c r="K182" s="111">
        <v>0</v>
      </c>
      <c r="L182" s="111">
        <v>0</v>
      </c>
      <c r="M182" s="111">
        <v>439</v>
      </c>
      <c r="N182" s="111">
        <v>0</v>
      </c>
      <c r="O182" s="111">
        <v>0</v>
      </c>
      <c r="P182" s="35">
        <v>5</v>
      </c>
      <c r="Q182" s="35">
        <v>0</v>
      </c>
      <c r="R182" s="35">
        <v>253</v>
      </c>
      <c r="S182" s="32">
        <v>1</v>
      </c>
      <c r="T182" s="31">
        <v>423</v>
      </c>
      <c r="U182" s="32">
        <v>257</v>
      </c>
      <c r="V182" s="31">
        <v>279</v>
      </c>
      <c r="W182" s="32">
        <v>409</v>
      </c>
      <c r="X182" s="31">
        <v>431</v>
      </c>
      <c r="Y182" s="32">
        <v>243</v>
      </c>
      <c r="Z182" s="111">
        <v>456</v>
      </c>
      <c r="AA182" s="35">
        <v>0</v>
      </c>
      <c r="AB182" s="35">
        <v>19</v>
      </c>
      <c r="AC182" s="35">
        <v>225</v>
      </c>
      <c r="AD182" s="35">
        <v>0</v>
      </c>
      <c r="AE182" s="33">
        <v>0</v>
      </c>
      <c r="AF182" s="115">
        <v>0</v>
      </c>
      <c r="AG182" s="111">
        <v>453</v>
      </c>
      <c r="AH182" s="32">
        <v>230</v>
      </c>
      <c r="AI182" s="31"/>
      <c r="AJ182" s="33"/>
      <c r="AK182" s="31"/>
      <c r="AL182" s="32"/>
      <c r="AM182" s="31">
        <v>419</v>
      </c>
      <c r="AN182" s="115">
        <v>250</v>
      </c>
      <c r="AO182" s="111"/>
      <c r="AP182" s="32"/>
      <c r="AQ182" s="31"/>
      <c r="AR182" s="115"/>
      <c r="AS182" s="111"/>
      <c r="AT182" s="32"/>
      <c r="AU182" s="31"/>
      <c r="AV182" s="111"/>
      <c r="AW182" s="111"/>
      <c r="AX182" s="31"/>
      <c r="AY182" s="32"/>
      <c r="AZ182" s="31"/>
      <c r="BA182" s="115"/>
      <c r="BB182" s="31">
        <v>248</v>
      </c>
      <c r="BC182" s="32">
        <v>418</v>
      </c>
      <c r="BD182" s="31">
        <v>246</v>
      </c>
      <c r="BE182" s="115">
        <v>420</v>
      </c>
      <c r="BF182" s="111">
        <v>412</v>
      </c>
      <c r="BG182" s="32">
        <v>250</v>
      </c>
      <c r="BH182" s="31">
        <v>275</v>
      </c>
      <c r="BI182" s="32">
        <v>395</v>
      </c>
      <c r="BJ182" s="111">
        <v>32</v>
      </c>
      <c r="BK182" s="33">
        <v>207</v>
      </c>
      <c r="BL182" s="115">
        <v>437</v>
      </c>
      <c r="BM182" s="111">
        <v>437</v>
      </c>
      <c r="BN182" s="35">
        <v>212</v>
      </c>
      <c r="BO182" s="32">
        <v>28</v>
      </c>
      <c r="BP182" s="31">
        <v>255</v>
      </c>
      <c r="BQ182" s="32">
        <v>415</v>
      </c>
      <c r="BR182" s="31">
        <v>396</v>
      </c>
      <c r="BS182" s="32">
        <v>288</v>
      </c>
      <c r="BT182" s="31">
        <v>232</v>
      </c>
      <c r="BU182" s="33">
        <v>35</v>
      </c>
      <c r="BV182" s="115">
        <v>398</v>
      </c>
      <c r="BW182" s="111">
        <v>434</v>
      </c>
      <c r="BX182" s="32">
        <v>252</v>
      </c>
      <c r="BY182" s="31">
        <v>428</v>
      </c>
      <c r="BZ182" s="32">
        <v>227</v>
      </c>
      <c r="CA182" s="111">
        <v>238</v>
      </c>
      <c r="CB182" s="32">
        <v>430</v>
      </c>
      <c r="CC182" s="33">
        <v>360</v>
      </c>
      <c r="CD182" s="34">
        <v>522</v>
      </c>
      <c r="CE182" s="111">
        <v>268</v>
      </c>
      <c r="CF182" s="38">
        <v>289</v>
      </c>
      <c r="CG182" s="31">
        <v>157</v>
      </c>
      <c r="CH182" s="35">
        <v>119</v>
      </c>
      <c r="CI182" s="35">
        <v>222</v>
      </c>
      <c r="CJ182" s="35">
        <v>246</v>
      </c>
      <c r="CK182" s="32">
        <v>278</v>
      </c>
    </row>
    <row r="183" spans="1:89" ht="13" x14ac:dyDescent="0.25">
      <c r="A183" s="27">
        <v>2610</v>
      </c>
      <c r="B183" s="28" t="s">
        <v>206</v>
      </c>
      <c r="C183" s="29">
        <v>1312</v>
      </c>
      <c r="D183" s="30">
        <v>696</v>
      </c>
      <c r="E183" s="20">
        <f t="shared" si="2"/>
        <v>0.53048780487804881</v>
      </c>
      <c r="F183" s="31">
        <v>0</v>
      </c>
      <c r="G183" s="111">
        <v>0</v>
      </c>
      <c r="H183" s="111">
        <v>0</v>
      </c>
      <c r="I183" s="111">
        <v>0</v>
      </c>
      <c r="J183" s="111">
        <v>6</v>
      </c>
      <c r="K183" s="111">
        <v>0</v>
      </c>
      <c r="L183" s="111">
        <v>0</v>
      </c>
      <c r="M183" s="111">
        <v>584</v>
      </c>
      <c r="N183" s="111">
        <v>0</v>
      </c>
      <c r="O183" s="111">
        <v>0</v>
      </c>
      <c r="P183" s="35">
        <v>7</v>
      </c>
      <c r="Q183" s="35">
        <v>3</v>
      </c>
      <c r="R183" s="35">
        <v>78</v>
      </c>
      <c r="S183" s="32">
        <v>1</v>
      </c>
      <c r="T183" s="31">
        <v>575</v>
      </c>
      <c r="U183" s="32">
        <v>84</v>
      </c>
      <c r="V183" s="31">
        <v>109</v>
      </c>
      <c r="W183" s="32">
        <v>561</v>
      </c>
      <c r="X183" s="31">
        <v>580</v>
      </c>
      <c r="Y183" s="32">
        <v>76</v>
      </c>
      <c r="Z183" s="111">
        <v>580</v>
      </c>
      <c r="AA183" s="35">
        <v>0</v>
      </c>
      <c r="AB183" s="35">
        <v>32</v>
      </c>
      <c r="AC183" s="35">
        <v>66</v>
      </c>
      <c r="AD183" s="35">
        <v>0</v>
      </c>
      <c r="AE183" s="33">
        <v>0</v>
      </c>
      <c r="AF183" s="115">
        <v>0</v>
      </c>
      <c r="AG183" s="111">
        <v>581</v>
      </c>
      <c r="AH183" s="32">
        <v>82</v>
      </c>
      <c r="AI183" s="31"/>
      <c r="AJ183" s="33"/>
      <c r="AK183" s="31"/>
      <c r="AL183" s="32"/>
      <c r="AM183" s="31">
        <v>565</v>
      </c>
      <c r="AN183" s="115">
        <v>82</v>
      </c>
      <c r="AO183" s="111"/>
      <c r="AP183" s="32"/>
      <c r="AQ183" s="31"/>
      <c r="AR183" s="115"/>
      <c r="AS183" s="111"/>
      <c r="AT183" s="32"/>
      <c r="AU183" s="31"/>
      <c r="AV183" s="111"/>
      <c r="AW183" s="111"/>
      <c r="AX183" s="31"/>
      <c r="AY183" s="32"/>
      <c r="AZ183" s="31"/>
      <c r="BA183" s="115"/>
      <c r="BB183" s="31">
        <v>85</v>
      </c>
      <c r="BC183" s="32">
        <v>562</v>
      </c>
      <c r="BD183" s="31">
        <v>79</v>
      </c>
      <c r="BE183" s="115">
        <v>567</v>
      </c>
      <c r="BF183" s="111">
        <v>573</v>
      </c>
      <c r="BG183" s="32">
        <v>75</v>
      </c>
      <c r="BH183" s="31">
        <v>93</v>
      </c>
      <c r="BI183" s="32">
        <v>552</v>
      </c>
      <c r="BJ183" s="111">
        <v>28</v>
      </c>
      <c r="BK183" s="33">
        <v>63</v>
      </c>
      <c r="BL183" s="115">
        <v>571</v>
      </c>
      <c r="BM183" s="111">
        <v>565</v>
      </c>
      <c r="BN183" s="35">
        <v>60</v>
      </c>
      <c r="BO183" s="32">
        <v>27</v>
      </c>
      <c r="BP183" s="31">
        <v>79</v>
      </c>
      <c r="BQ183" s="32">
        <v>566</v>
      </c>
      <c r="BR183" s="31">
        <v>548</v>
      </c>
      <c r="BS183" s="32">
        <v>97</v>
      </c>
      <c r="BT183" s="31">
        <v>73</v>
      </c>
      <c r="BU183" s="33">
        <v>32</v>
      </c>
      <c r="BV183" s="115">
        <v>534</v>
      </c>
      <c r="BW183" s="111">
        <v>581</v>
      </c>
      <c r="BX183" s="32">
        <v>80</v>
      </c>
      <c r="BY183" s="31">
        <v>568</v>
      </c>
      <c r="BZ183" s="32">
        <v>79</v>
      </c>
      <c r="CA183" s="111">
        <v>83</v>
      </c>
      <c r="CB183" s="32">
        <v>566</v>
      </c>
      <c r="CC183" s="33">
        <v>239</v>
      </c>
      <c r="CD183" s="34">
        <v>595</v>
      </c>
      <c r="CE183" s="111">
        <v>222</v>
      </c>
      <c r="CF183" s="38">
        <v>329</v>
      </c>
      <c r="CG183" s="31">
        <v>162</v>
      </c>
      <c r="CH183" s="35">
        <v>70</v>
      </c>
      <c r="CI183" s="35">
        <v>303</v>
      </c>
      <c r="CJ183" s="35">
        <v>322</v>
      </c>
      <c r="CK183" s="32">
        <v>141</v>
      </c>
    </row>
    <row r="184" spans="1:89" ht="13" x14ac:dyDescent="0.25">
      <c r="A184" s="27">
        <v>2611</v>
      </c>
      <c r="B184" s="28" t="s">
        <v>207</v>
      </c>
      <c r="C184" s="29">
        <v>1290</v>
      </c>
      <c r="D184" s="30">
        <v>837</v>
      </c>
      <c r="E184" s="20">
        <f t="shared" si="2"/>
        <v>0.64883720930232558</v>
      </c>
      <c r="F184" s="31">
        <v>0</v>
      </c>
      <c r="G184" s="111">
        <v>0</v>
      </c>
      <c r="H184" s="111">
        <v>0</v>
      </c>
      <c r="I184" s="111">
        <v>4</v>
      </c>
      <c r="J184" s="111">
        <v>0</v>
      </c>
      <c r="K184" s="111">
        <v>0</v>
      </c>
      <c r="L184" s="111">
        <v>0</v>
      </c>
      <c r="M184" s="111">
        <v>541</v>
      </c>
      <c r="N184" s="111">
        <v>0</v>
      </c>
      <c r="O184" s="111">
        <v>0</v>
      </c>
      <c r="P184" s="35">
        <v>5</v>
      </c>
      <c r="Q184" s="35">
        <v>0</v>
      </c>
      <c r="R184" s="35">
        <v>274</v>
      </c>
      <c r="S184" s="32">
        <v>0</v>
      </c>
      <c r="T184" s="31">
        <v>532</v>
      </c>
      <c r="U184" s="32">
        <v>269</v>
      </c>
      <c r="V184" s="31">
        <v>294</v>
      </c>
      <c r="W184" s="32">
        <v>516</v>
      </c>
      <c r="X184" s="31">
        <v>527</v>
      </c>
      <c r="Y184" s="32">
        <v>263</v>
      </c>
      <c r="Z184" s="111">
        <v>552</v>
      </c>
      <c r="AA184" s="35">
        <v>0</v>
      </c>
      <c r="AB184" s="35">
        <v>31</v>
      </c>
      <c r="AC184" s="35">
        <v>230</v>
      </c>
      <c r="AD184" s="35">
        <v>0</v>
      </c>
      <c r="AE184" s="33">
        <v>0</v>
      </c>
      <c r="AF184" s="115">
        <v>0</v>
      </c>
      <c r="AG184" s="111">
        <v>551</v>
      </c>
      <c r="AH184" s="32">
        <v>244</v>
      </c>
      <c r="AI184" s="31"/>
      <c r="AJ184" s="33"/>
      <c r="AK184" s="31"/>
      <c r="AL184" s="32"/>
      <c r="AM184" s="31">
        <v>528</v>
      </c>
      <c r="AN184" s="115">
        <v>260</v>
      </c>
      <c r="AO184" s="111"/>
      <c r="AP184" s="32"/>
      <c r="AQ184" s="31"/>
      <c r="AR184" s="115"/>
      <c r="AS184" s="111"/>
      <c r="AT184" s="32"/>
      <c r="AU184" s="31"/>
      <c r="AV184" s="111"/>
      <c r="AW184" s="111"/>
      <c r="AX184" s="31"/>
      <c r="AY184" s="32"/>
      <c r="AZ184" s="31"/>
      <c r="BA184" s="115"/>
      <c r="BB184" s="31">
        <v>271</v>
      </c>
      <c r="BC184" s="32">
        <v>515</v>
      </c>
      <c r="BD184" s="31">
        <v>262</v>
      </c>
      <c r="BE184" s="115">
        <v>512</v>
      </c>
      <c r="BF184" s="111">
        <v>514</v>
      </c>
      <c r="BG184" s="32">
        <v>269</v>
      </c>
      <c r="BH184" s="31">
        <v>295</v>
      </c>
      <c r="BI184" s="32">
        <v>489</v>
      </c>
      <c r="BJ184" s="111">
        <v>29</v>
      </c>
      <c r="BK184" s="33">
        <v>242</v>
      </c>
      <c r="BL184" s="115">
        <v>528</v>
      </c>
      <c r="BM184" s="111">
        <v>526</v>
      </c>
      <c r="BN184" s="35">
        <v>230</v>
      </c>
      <c r="BO184" s="32">
        <v>38</v>
      </c>
      <c r="BP184" s="31">
        <v>263</v>
      </c>
      <c r="BQ184" s="32">
        <v>524</v>
      </c>
      <c r="BR184" s="31">
        <v>481</v>
      </c>
      <c r="BS184" s="32">
        <v>316</v>
      </c>
      <c r="BT184" s="31">
        <v>238</v>
      </c>
      <c r="BU184" s="33">
        <v>41</v>
      </c>
      <c r="BV184" s="115">
        <v>505</v>
      </c>
      <c r="BW184" s="111">
        <v>520</v>
      </c>
      <c r="BX184" s="32">
        <v>285</v>
      </c>
      <c r="BY184" s="31">
        <v>540</v>
      </c>
      <c r="BZ184" s="32">
        <v>241</v>
      </c>
      <c r="CA184" s="111">
        <v>270</v>
      </c>
      <c r="CB184" s="32">
        <v>515</v>
      </c>
      <c r="CC184" s="33">
        <v>453</v>
      </c>
      <c r="CD184" s="34">
        <v>642</v>
      </c>
      <c r="CE184" s="111">
        <v>315</v>
      </c>
      <c r="CF184" s="38">
        <v>361</v>
      </c>
      <c r="CG184" s="31">
        <v>212</v>
      </c>
      <c r="CH184" s="35">
        <v>168</v>
      </c>
      <c r="CI184" s="35">
        <v>264</v>
      </c>
      <c r="CJ184" s="35">
        <v>314</v>
      </c>
      <c r="CK184" s="32">
        <v>265</v>
      </c>
    </row>
    <row r="185" spans="1:89" ht="13" x14ac:dyDescent="0.25">
      <c r="A185" s="27">
        <v>2612</v>
      </c>
      <c r="B185" s="28" t="s">
        <v>208</v>
      </c>
      <c r="C185" s="29">
        <v>846</v>
      </c>
      <c r="D185" s="30">
        <v>465</v>
      </c>
      <c r="E185" s="20">
        <f t="shared" si="2"/>
        <v>0.54964539007092195</v>
      </c>
      <c r="F185" s="31">
        <v>0</v>
      </c>
      <c r="G185" s="111">
        <v>0</v>
      </c>
      <c r="H185" s="111">
        <v>0</v>
      </c>
      <c r="I185" s="111">
        <v>0</v>
      </c>
      <c r="J185" s="111">
        <v>2</v>
      </c>
      <c r="K185" s="111">
        <v>0</v>
      </c>
      <c r="L185" s="111">
        <v>0</v>
      </c>
      <c r="M185" s="111">
        <v>311</v>
      </c>
      <c r="N185" s="111">
        <v>0</v>
      </c>
      <c r="O185" s="111">
        <v>0</v>
      </c>
      <c r="P185" s="35">
        <v>2</v>
      </c>
      <c r="Q185" s="35">
        <v>0</v>
      </c>
      <c r="R185" s="35">
        <v>134</v>
      </c>
      <c r="S185" s="32">
        <v>0</v>
      </c>
      <c r="T185" s="31">
        <v>303</v>
      </c>
      <c r="U185" s="32">
        <v>138</v>
      </c>
      <c r="V185" s="31">
        <v>158</v>
      </c>
      <c r="W185" s="32">
        <v>285</v>
      </c>
      <c r="X185" s="31">
        <v>299</v>
      </c>
      <c r="Y185" s="32">
        <v>138</v>
      </c>
      <c r="Z185" s="111">
        <v>309</v>
      </c>
      <c r="AA185" s="35">
        <v>0</v>
      </c>
      <c r="AB185" s="35">
        <v>13</v>
      </c>
      <c r="AC185" s="35">
        <v>130</v>
      </c>
      <c r="AD185" s="35">
        <v>0</v>
      </c>
      <c r="AE185" s="33">
        <v>0</v>
      </c>
      <c r="AF185" s="115">
        <v>0</v>
      </c>
      <c r="AG185" s="111">
        <v>310</v>
      </c>
      <c r="AH185" s="32">
        <v>127</v>
      </c>
      <c r="AI185" s="31"/>
      <c r="AJ185" s="33"/>
      <c r="AK185" s="31"/>
      <c r="AL185" s="32"/>
      <c r="AM185" s="31">
        <v>291</v>
      </c>
      <c r="AN185" s="115">
        <v>144</v>
      </c>
      <c r="AO185" s="111"/>
      <c r="AP185" s="32"/>
      <c r="AQ185" s="31"/>
      <c r="AR185" s="115"/>
      <c r="AS185" s="111"/>
      <c r="AT185" s="32"/>
      <c r="AU185" s="31"/>
      <c r="AV185" s="111"/>
      <c r="AW185" s="111"/>
      <c r="AX185" s="31"/>
      <c r="AY185" s="32"/>
      <c r="AZ185" s="31"/>
      <c r="BA185" s="115"/>
      <c r="BB185" s="31">
        <v>142</v>
      </c>
      <c r="BC185" s="32">
        <v>291</v>
      </c>
      <c r="BD185" s="31">
        <v>134</v>
      </c>
      <c r="BE185" s="115">
        <v>293</v>
      </c>
      <c r="BF185" s="111">
        <v>301</v>
      </c>
      <c r="BG185" s="32">
        <v>129</v>
      </c>
      <c r="BH185" s="31">
        <v>152</v>
      </c>
      <c r="BI185" s="32">
        <v>277</v>
      </c>
      <c r="BJ185" s="111">
        <v>19</v>
      </c>
      <c r="BK185" s="33">
        <v>121</v>
      </c>
      <c r="BL185" s="115">
        <v>299</v>
      </c>
      <c r="BM185" s="111">
        <v>308</v>
      </c>
      <c r="BN185" s="35">
        <v>113</v>
      </c>
      <c r="BO185" s="32">
        <v>12</v>
      </c>
      <c r="BP185" s="31">
        <v>130</v>
      </c>
      <c r="BQ185" s="32">
        <v>304</v>
      </c>
      <c r="BR185" s="31">
        <v>280</v>
      </c>
      <c r="BS185" s="32">
        <v>159</v>
      </c>
      <c r="BT185" s="31">
        <v>135</v>
      </c>
      <c r="BU185" s="33">
        <v>13</v>
      </c>
      <c r="BV185" s="115">
        <v>285</v>
      </c>
      <c r="BW185" s="111">
        <v>304</v>
      </c>
      <c r="BX185" s="32">
        <v>138</v>
      </c>
      <c r="BY185" s="31">
        <v>296</v>
      </c>
      <c r="BZ185" s="32">
        <v>132</v>
      </c>
      <c r="CA185" s="111">
        <v>136</v>
      </c>
      <c r="CB185" s="32">
        <v>298</v>
      </c>
      <c r="CC185" s="33">
        <v>240</v>
      </c>
      <c r="CD185" s="34">
        <v>364</v>
      </c>
      <c r="CE185" s="111">
        <v>177</v>
      </c>
      <c r="CF185" s="38">
        <v>201</v>
      </c>
      <c r="CG185" s="31">
        <v>119</v>
      </c>
      <c r="CH185" s="35">
        <v>73</v>
      </c>
      <c r="CI185" s="35">
        <v>168</v>
      </c>
      <c r="CJ185" s="35">
        <v>181</v>
      </c>
      <c r="CK185" s="32">
        <v>131</v>
      </c>
    </row>
    <row r="186" spans="1:89" ht="13" x14ac:dyDescent="0.25">
      <c r="A186" s="27">
        <v>2613</v>
      </c>
      <c r="B186" s="28" t="s">
        <v>209</v>
      </c>
      <c r="C186" s="29">
        <v>669</v>
      </c>
      <c r="D186" s="30">
        <v>290</v>
      </c>
      <c r="E186" s="20">
        <f t="shared" si="2"/>
        <v>0.43348281016442453</v>
      </c>
      <c r="F186" s="31">
        <v>0</v>
      </c>
      <c r="G186" s="111">
        <v>0</v>
      </c>
      <c r="H186" s="111">
        <v>0</v>
      </c>
      <c r="I186" s="111">
        <v>0</v>
      </c>
      <c r="J186" s="111">
        <v>1</v>
      </c>
      <c r="K186" s="111">
        <v>0</v>
      </c>
      <c r="L186" s="111">
        <v>0</v>
      </c>
      <c r="M186" s="111">
        <v>228</v>
      </c>
      <c r="N186" s="111">
        <v>0</v>
      </c>
      <c r="O186" s="111">
        <v>0</v>
      </c>
      <c r="P186" s="35">
        <v>2</v>
      </c>
      <c r="Q186" s="35">
        <v>0</v>
      </c>
      <c r="R186" s="35">
        <v>51</v>
      </c>
      <c r="S186" s="32">
        <v>2</v>
      </c>
      <c r="T186" s="37">
        <v>229</v>
      </c>
      <c r="U186" s="38">
        <v>51</v>
      </c>
      <c r="V186" s="37">
        <v>56</v>
      </c>
      <c r="W186" s="32">
        <v>217</v>
      </c>
      <c r="X186" s="31">
        <v>220</v>
      </c>
      <c r="Y186" s="32">
        <v>54</v>
      </c>
      <c r="Z186" s="111">
        <v>219</v>
      </c>
      <c r="AA186" s="35">
        <v>0</v>
      </c>
      <c r="AB186" s="35">
        <v>10</v>
      </c>
      <c r="AC186" s="35">
        <v>51</v>
      </c>
      <c r="AD186" s="35">
        <v>0</v>
      </c>
      <c r="AE186" s="33">
        <v>0</v>
      </c>
      <c r="AF186" s="116">
        <v>0</v>
      </c>
      <c r="AG186" s="120">
        <v>224</v>
      </c>
      <c r="AH186" s="38">
        <v>47</v>
      </c>
      <c r="AI186" s="37"/>
      <c r="AJ186" s="36"/>
      <c r="AK186" s="37"/>
      <c r="AL186" s="38"/>
      <c r="AM186" s="37">
        <v>227</v>
      </c>
      <c r="AN186" s="116">
        <v>52</v>
      </c>
      <c r="AO186" s="120"/>
      <c r="AP186" s="38"/>
      <c r="AQ186" s="37"/>
      <c r="AR186" s="116"/>
      <c r="AS186" s="120"/>
      <c r="AT186" s="38"/>
      <c r="AU186" s="37"/>
      <c r="AV186" s="120"/>
      <c r="AW186" s="120"/>
      <c r="AX186" s="37"/>
      <c r="AY186" s="38"/>
      <c r="AZ186" s="37"/>
      <c r="BA186" s="116"/>
      <c r="BB186" s="31">
        <v>56</v>
      </c>
      <c r="BC186" s="32">
        <v>220</v>
      </c>
      <c r="BD186" s="31">
        <v>51</v>
      </c>
      <c r="BE186" s="116">
        <v>222</v>
      </c>
      <c r="BF186" s="120">
        <v>217</v>
      </c>
      <c r="BG186" s="38">
        <v>55</v>
      </c>
      <c r="BH186" s="37">
        <v>57</v>
      </c>
      <c r="BI186" s="38">
        <v>215</v>
      </c>
      <c r="BJ186" s="111">
        <v>10</v>
      </c>
      <c r="BK186" s="33">
        <v>47</v>
      </c>
      <c r="BL186" s="115">
        <v>222</v>
      </c>
      <c r="BM186" s="111">
        <v>211</v>
      </c>
      <c r="BN186" s="35">
        <v>51</v>
      </c>
      <c r="BO186" s="32">
        <v>8</v>
      </c>
      <c r="BP186" s="31">
        <v>56</v>
      </c>
      <c r="BQ186" s="32">
        <v>217</v>
      </c>
      <c r="BR186" s="31">
        <v>206</v>
      </c>
      <c r="BS186" s="32">
        <v>71</v>
      </c>
      <c r="BT186" s="31">
        <v>53</v>
      </c>
      <c r="BU186" s="33">
        <v>13</v>
      </c>
      <c r="BV186" s="115">
        <v>211</v>
      </c>
      <c r="BW186" s="111">
        <v>221</v>
      </c>
      <c r="BX186" s="32">
        <v>58</v>
      </c>
      <c r="BY186" s="31">
        <v>217</v>
      </c>
      <c r="BZ186" s="32">
        <v>53</v>
      </c>
      <c r="CA186" s="111">
        <v>56</v>
      </c>
      <c r="CB186" s="32">
        <v>213</v>
      </c>
      <c r="CC186" s="33">
        <v>109</v>
      </c>
      <c r="CD186" s="34">
        <v>237</v>
      </c>
      <c r="CE186" s="120">
        <v>86</v>
      </c>
      <c r="CF186" s="38">
        <v>148</v>
      </c>
      <c r="CG186" s="31">
        <v>60</v>
      </c>
      <c r="CH186" s="35">
        <v>31</v>
      </c>
      <c r="CI186" s="35">
        <v>120</v>
      </c>
      <c r="CJ186" s="35">
        <v>129</v>
      </c>
      <c r="CK186" s="32">
        <v>67</v>
      </c>
    </row>
    <row r="187" spans="1:89" ht="13" x14ac:dyDescent="0.25">
      <c r="A187" s="27">
        <v>2614</v>
      </c>
      <c r="B187" s="28" t="s">
        <v>210</v>
      </c>
      <c r="C187" s="29">
        <v>1161</v>
      </c>
      <c r="D187" s="30">
        <v>606</v>
      </c>
      <c r="E187" s="20">
        <f t="shared" si="2"/>
        <v>0.52196382428940569</v>
      </c>
      <c r="F187" s="31">
        <v>0</v>
      </c>
      <c r="G187" s="111">
        <v>0</v>
      </c>
      <c r="H187" s="111">
        <v>0</v>
      </c>
      <c r="I187" s="111">
        <v>1</v>
      </c>
      <c r="J187" s="111">
        <v>0</v>
      </c>
      <c r="K187" s="111">
        <v>0</v>
      </c>
      <c r="L187" s="111">
        <v>0</v>
      </c>
      <c r="M187" s="111">
        <v>436</v>
      </c>
      <c r="N187" s="111">
        <v>0</v>
      </c>
      <c r="O187" s="111">
        <v>0</v>
      </c>
      <c r="P187" s="35">
        <v>7</v>
      </c>
      <c r="Q187" s="35">
        <v>0</v>
      </c>
      <c r="R187" s="35">
        <v>148</v>
      </c>
      <c r="S187" s="32">
        <v>0</v>
      </c>
      <c r="T187" s="37">
        <v>428</v>
      </c>
      <c r="U187" s="38">
        <v>154</v>
      </c>
      <c r="V187" s="37">
        <v>167</v>
      </c>
      <c r="W187" s="32">
        <v>416</v>
      </c>
      <c r="X187" s="31">
        <v>432</v>
      </c>
      <c r="Y187" s="32">
        <v>139</v>
      </c>
      <c r="Z187" s="111">
        <v>429</v>
      </c>
      <c r="AA187" s="35">
        <v>0</v>
      </c>
      <c r="AB187" s="35">
        <v>30</v>
      </c>
      <c r="AC187" s="35">
        <v>123</v>
      </c>
      <c r="AD187" s="35">
        <v>0</v>
      </c>
      <c r="AE187" s="33">
        <v>0</v>
      </c>
      <c r="AF187" s="116">
        <v>0</v>
      </c>
      <c r="AG187" s="120">
        <v>437</v>
      </c>
      <c r="AH187" s="38">
        <v>131</v>
      </c>
      <c r="AI187" s="37"/>
      <c r="AJ187" s="36"/>
      <c r="AK187" s="37"/>
      <c r="AL187" s="38"/>
      <c r="AM187" s="37">
        <v>426</v>
      </c>
      <c r="AN187" s="116">
        <v>141</v>
      </c>
      <c r="AO187" s="120"/>
      <c r="AP187" s="38"/>
      <c r="AQ187" s="37"/>
      <c r="AR187" s="116"/>
      <c r="AS187" s="120"/>
      <c r="AT187" s="38"/>
      <c r="AU187" s="37"/>
      <c r="AV187" s="120"/>
      <c r="AW187" s="120"/>
      <c r="AX187" s="37"/>
      <c r="AY187" s="38"/>
      <c r="AZ187" s="37"/>
      <c r="BA187" s="116"/>
      <c r="BB187" s="31">
        <v>148</v>
      </c>
      <c r="BC187" s="32">
        <v>419</v>
      </c>
      <c r="BD187" s="31">
        <v>139</v>
      </c>
      <c r="BE187" s="116">
        <v>428</v>
      </c>
      <c r="BF187" s="120">
        <v>418</v>
      </c>
      <c r="BG187" s="38">
        <v>146</v>
      </c>
      <c r="BH187" s="37">
        <v>154</v>
      </c>
      <c r="BI187" s="38">
        <v>411</v>
      </c>
      <c r="BJ187" s="111">
        <v>27</v>
      </c>
      <c r="BK187" s="33">
        <v>114</v>
      </c>
      <c r="BL187" s="115">
        <v>447</v>
      </c>
      <c r="BM187" s="111">
        <v>437</v>
      </c>
      <c r="BN187" s="35">
        <v>114</v>
      </c>
      <c r="BO187" s="32">
        <v>24</v>
      </c>
      <c r="BP187" s="31">
        <v>140</v>
      </c>
      <c r="BQ187" s="32">
        <v>429</v>
      </c>
      <c r="BR187" s="31">
        <v>400</v>
      </c>
      <c r="BS187" s="32">
        <v>179</v>
      </c>
      <c r="BT187" s="31">
        <v>129</v>
      </c>
      <c r="BU187" s="33">
        <v>33</v>
      </c>
      <c r="BV187" s="115">
        <v>412</v>
      </c>
      <c r="BW187" s="111">
        <v>440</v>
      </c>
      <c r="BX187" s="32">
        <v>145</v>
      </c>
      <c r="BY187" s="31">
        <v>432</v>
      </c>
      <c r="BZ187" s="32">
        <v>129</v>
      </c>
      <c r="CA187" s="111">
        <v>140</v>
      </c>
      <c r="CB187" s="32">
        <v>424</v>
      </c>
      <c r="CC187" s="33">
        <v>245</v>
      </c>
      <c r="CD187" s="34">
        <v>481</v>
      </c>
      <c r="CE187" s="120">
        <v>210</v>
      </c>
      <c r="CF187" s="38">
        <v>268</v>
      </c>
      <c r="CG187" s="31">
        <v>130</v>
      </c>
      <c r="CH187" s="35">
        <v>76</v>
      </c>
      <c r="CI187" s="35">
        <v>237</v>
      </c>
      <c r="CJ187" s="35">
        <v>256</v>
      </c>
      <c r="CK187" s="32">
        <v>176</v>
      </c>
    </row>
    <row r="188" spans="1:89" ht="13" x14ac:dyDescent="0.25">
      <c r="A188" s="27">
        <v>2615</v>
      </c>
      <c r="B188" s="28" t="s">
        <v>211</v>
      </c>
      <c r="C188" s="29">
        <v>1147</v>
      </c>
      <c r="D188" s="30">
        <v>785</v>
      </c>
      <c r="E188" s="20">
        <f t="shared" si="2"/>
        <v>0.68439407149084563</v>
      </c>
      <c r="F188" s="31">
        <v>0</v>
      </c>
      <c r="G188" s="111">
        <v>0</v>
      </c>
      <c r="H188" s="111">
        <v>0</v>
      </c>
      <c r="I188" s="111">
        <v>0</v>
      </c>
      <c r="J188" s="111">
        <v>3</v>
      </c>
      <c r="K188" s="111">
        <v>0</v>
      </c>
      <c r="L188" s="111">
        <v>0</v>
      </c>
      <c r="M188" s="111">
        <v>546</v>
      </c>
      <c r="N188" s="111">
        <v>0</v>
      </c>
      <c r="O188" s="111">
        <v>0</v>
      </c>
      <c r="P188" s="35">
        <v>5</v>
      </c>
      <c r="Q188" s="35">
        <v>4</v>
      </c>
      <c r="R188" s="35">
        <v>216</v>
      </c>
      <c r="S188" s="32">
        <v>0</v>
      </c>
      <c r="T188" s="37">
        <v>533</v>
      </c>
      <c r="U188" s="38">
        <v>235</v>
      </c>
      <c r="V188" s="37">
        <v>250</v>
      </c>
      <c r="W188" s="32">
        <v>518</v>
      </c>
      <c r="X188" s="31">
        <v>529</v>
      </c>
      <c r="Y188" s="32">
        <v>224</v>
      </c>
      <c r="Z188" s="111">
        <v>552</v>
      </c>
      <c r="AA188" s="35">
        <v>0</v>
      </c>
      <c r="AB188" s="35">
        <v>24</v>
      </c>
      <c r="AC188" s="35">
        <v>201</v>
      </c>
      <c r="AD188" s="35">
        <v>0</v>
      </c>
      <c r="AE188" s="33">
        <v>0</v>
      </c>
      <c r="AF188" s="116">
        <v>1</v>
      </c>
      <c r="AG188" s="120">
        <v>562</v>
      </c>
      <c r="AH188" s="38">
        <v>197</v>
      </c>
      <c r="AI188" s="37"/>
      <c r="AJ188" s="36"/>
      <c r="AK188" s="37"/>
      <c r="AL188" s="38"/>
      <c r="AM188" s="37">
        <v>532</v>
      </c>
      <c r="AN188" s="116">
        <v>217</v>
      </c>
      <c r="AO188" s="120"/>
      <c r="AP188" s="38"/>
      <c r="AQ188" s="37"/>
      <c r="AR188" s="116"/>
      <c r="AS188" s="120"/>
      <c r="AT188" s="38"/>
      <c r="AU188" s="37"/>
      <c r="AV188" s="120"/>
      <c r="AW188" s="120"/>
      <c r="AX188" s="37"/>
      <c r="AY188" s="38"/>
      <c r="AZ188" s="37"/>
      <c r="BA188" s="116"/>
      <c r="BB188" s="31">
        <v>227</v>
      </c>
      <c r="BC188" s="32">
        <v>520</v>
      </c>
      <c r="BD188" s="31">
        <v>217</v>
      </c>
      <c r="BE188" s="116">
        <v>526</v>
      </c>
      <c r="BF188" s="120">
        <v>520</v>
      </c>
      <c r="BG188" s="38">
        <v>220</v>
      </c>
      <c r="BH188" s="37">
        <v>231</v>
      </c>
      <c r="BI188" s="38">
        <v>503</v>
      </c>
      <c r="BJ188" s="111">
        <v>30</v>
      </c>
      <c r="BK188" s="33">
        <v>202</v>
      </c>
      <c r="BL188" s="115">
        <v>521</v>
      </c>
      <c r="BM188" s="111">
        <v>523</v>
      </c>
      <c r="BN188" s="35">
        <v>202</v>
      </c>
      <c r="BO188" s="32">
        <v>29</v>
      </c>
      <c r="BP188" s="31">
        <v>231</v>
      </c>
      <c r="BQ188" s="32">
        <v>516</v>
      </c>
      <c r="BR188" s="31">
        <v>491</v>
      </c>
      <c r="BS188" s="32">
        <v>258</v>
      </c>
      <c r="BT188" s="31">
        <v>200</v>
      </c>
      <c r="BU188" s="33">
        <v>35</v>
      </c>
      <c r="BV188" s="115">
        <v>510</v>
      </c>
      <c r="BW188" s="111">
        <v>540</v>
      </c>
      <c r="BX188" s="32">
        <v>223</v>
      </c>
      <c r="BY188" s="31">
        <v>525</v>
      </c>
      <c r="BZ188" s="32">
        <v>215</v>
      </c>
      <c r="CA188" s="111">
        <v>224</v>
      </c>
      <c r="CB188" s="32">
        <v>526</v>
      </c>
      <c r="CC188" s="33">
        <v>387</v>
      </c>
      <c r="CD188" s="34">
        <v>637</v>
      </c>
      <c r="CE188" s="120">
        <v>310</v>
      </c>
      <c r="CF188" s="38">
        <v>337</v>
      </c>
      <c r="CG188" s="31">
        <v>188</v>
      </c>
      <c r="CH188" s="35">
        <v>128</v>
      </c>
      <c r="CI188" s="35">
        <v>295</v>
      </c>
      <c r="CJ188" s="35">
        <v>334</v>
      </c>
      <c r="CK188" s="32">
        <v>247</v>
      </c>
    </row>
    <row r="189" spans="1:89" ht="13" x14ac:dyDescent="0.25">
      <c r="A189" s="27">
        <v>2616</v>
      </c>
      <c r="B189" s="28" t="s">
        <v>212</v>
      </c>
      <c r="C189" s="29">
        <v>1291</v>
      </c>
      <c r="D189" s="30">
        <v>738</v>
      </c>
      <c r="E189" s="20">
        <f t="shared" si="2"/>
        <v>0.57164988381099924</v>
      </c>
      <c r="F189" s="31">
        <v>0</v>
      </c>
      <c r="G189" s="111">
        <v>0</v>
      </c>
      <c r="H189" s="111">
        <v>0</v>
      </c>
      <c r="I189" s="111">
        <v>0</v>
      </c>
      <c r="J189" s="111">
        <v>5</v>
      </c>
      <c r="K189" s="111">
        <v>0</v>
      </c>
      <c r="L189" s="111">
        <v>0</v>
      </c>
      <c r="M189" s="111">
        <v>575</v>
      </c>
      <c r="N189" s="111">
        <v>0</v>
      </c>
      <c r="O189" s="111">
        <v>0</v>
      </c>
      <c r="P189" s="35">
        <v>2</v>
      </c>
      <c r="Q189" s="35">
        <v>2</v>
      </c>
      <c r="R189" s="35">
        <v>143</v>
      </c>
      <c r="S189" s="32">
        <v>0</v>
      </c>
      <c r="T189" s="37">
        <v>577</v>
      </c>
      <c r="U189" s="38">
        <v>136</v>
      </c>
      <c r="V189" s="37">
        <v>159</v>
      </c>
      <c r="W189" s="32">
        <v>550</v>
      </c>
      <c r="X189" s="31">
        <v>577</v>
      </c>
      <c r="Y189" s="32">
        <v>128</v>
      </c>
      <c r="Z189" s="111">
        <v>564</v>
      </c>
      <c r="AA189" s="35">
        <v>0</v>
      </c>
      <c r="AB189" s="35">
        <v>26</v>
      </c>
      <c r="AC189" s="35">
        <v>125</v>
      </c>
      <c r="AD189" s="35">
        <v>0</v>
      </c>
      <c r="AE189" s="33">
        <v>0</v>
      </c>
      <c r="AF189" s="116">
        <v>1</v>
      </c>
      <c r="AG189" s="120">
        <v>583</v>
      </c>
      <c r="AH189" s="38">
        <v>119</v>
      </c>
      <c r="AI189" s="37"/>
      <c r="AJ189" s="36"/>
      <c r="AK189" s="37"/>
      <c r="AL189" s="38"/>
      <c r="AM189" s="37">
        <v>571</v>
      </c>
      <c r="AN189" s="116">
        <v>136</v>
      </c>
      <c r="AO189" s="120"/>
      <c r="AP189" s="38"/>
      <c r="AQ189" s="37"/>
      <c r="AR189" s="116"/>
      <c r="AS189" s="120"/>
      <c r="AT189" s="38"/>
      <c r="AU189" s="37"/>
      <c r="AV189" s="120"/>
      <c r="AW189" s="120"/>
      <c r="AX189" s="37"/>
      <c r="AY189" s="38"/>
      <c r="AZ189" s="37"/>
      <c r="BA189" s="116"/>
      <c r="BB189" s="31">
        <v>141</v>
      </c>
      <c r="BC189" s="32">
        <v>554</v>
      </c>
      <c r="BD189" s="31">
        <v>132</v>
      </c>
      <c r="BE189" s="116">
        <v>560</v>
      </c>
      <c r="BF189" s="120">
        <v>555</v>
      </c>
      <c r="BG189" s="38">
        <v>126</v>
      </c>
      <c r="BH189" s="37">
        <v>157</v>
      </c>
      <c r="BI189" s="38">
        <v>534</v>
      </c>
      <c r="BJ189" s="111">
        <v>26</v>
      </c>
      <c r="BK189" s="33">
        <v>112</v>
      </c>
      <c r="BL189" s="115">
        <v>565</v>
      </c>
      <c r="BM189" s="111">
        <v>557</v>
      </c>
      <c r="BN189" s="35">
        <v>108</v>
      </c>
      <c r="BO189" s="32">
        <v>28</v>
      </c>
      <c r="BP189" s="31">
        <v>141</v>
      </c>
      <c r="BQ189" s="32">
        <v>554</v>
      </c>
      <c r="BR189" s="31">
        <v>528</v>
      </c>
      <c r="BS189" s="32">
        <v>167</v>
      </c>
      <c r="BT189" s="31">
        <v>128</v>
      </c>
      <c r="BU189" s="33">
        <v>32</v>
      </c>
      <c r="BV189" s="115">
        <v>536</v>
      </c>
      <c r="BW189" s="111">
        <v>573</v>
      </c>
      <c r="BX189" s="32">
        <v>138</v>
      </c>
      <c r="BY189" s="31">
        <v>572</v>
      </c>
      <c r="BZ189" s="32">
        <v>116</v>
      </c>
      <c r="CA189" s="111">
        <v>129</v>
      </c>
      <c r="CB189" s="32">
        <v>565</v>
      </c>
      <c r="CC189" s="33">
        <v>312</v>
      </c>
      <c r="CD189" s="34">
        <v>619</v>
      </c>
      <c r="CE189" s="120">
        <v>259</v>
      </c>
      <c r="CF189" s="38">
        <v>356</v>
      </c>
      <c r="CG189" s="31">
        <v>148</v>
      </c>
      <c r="CH189" s="35">
        <v>89</v>
      </c>
      <c r="CI189" s="35">
        <v>320</v>
      </c>
      <c r="CJ189" s="35">
        <v>361</v>
      </c>
      <c r="CK189" s="32">
        <v>184</v>
      </c>
    </row>
    <row r="190" spans="1:89" ht="13" x14ac:dyDescent="0.25">
      <c r="A190" s="27">
        <v>2617</v>
      </c>
      <c r="B190" s="28" t="s">
        <v>213</v>
      </c>
      <c r="C190" s="29">
        <v>1165</v>
      </c>
      <c r="D190" s="30">
        <v>410</v>
      </c>
      <c r="E190" s="20">
        <f t="shared" si="2"/>
        <v>0.35193133047210301</v>
      </c>
      <c r="F190" s="31">
        <v>0</v>
      </c>
      <c r="G190" s="111">
        <v>0</v>
      </c>
      <c r="H190" s="111">
        <v>0</v>
      </c>
      <c r="I190" s="111">
        <v>0</v>
      </c>
      <c r="J190" s="111">
        <v>0</v>
      </c>
      <c r="K190" s="111">
        <v>0</v>
      </c>
      <c r="L190" s="111">
        <v>0</v>
      </c>
      <c r="M190" s="111">
        <v>345</v>
      </c>
      <c r="N190" s="111">
        <v>0</v>
      </c>
      <c r="O190" s="111">
        <v>0</v>
      </c>
      <c r="P190" s="35">
        <v>4</v>
      </c>
      <c r="Q190" s="35">
        <v>2</v>
      </c>
      <c r="R190" s="35">
        <v>52</v>
      </c>
      <c r="S190" s="32">
        <v>0</v>
      </c>
      <c r="T190" s="31">
        <v>344</v>
      </c>
      <c r="U190" s="32">
        <v>51</v>
      </c>
      <c r="V190" s="31">
        <v>61</v>
      </c>
      <c r="W190" s="32">
        <v>330</v>
      </c>
      <c r="X190" s="31">
        <v>335</v>
      </c>
      <c r="Y190" s="32">
        <v>53</v>
      </c>
      <c r="Z190" s="111">
        <v>338</v>
      </c>
      <c r="AA190" s="35">
        <v>0</v>
      </c>
      <c r="AB190" s="35">
        <v>17</v>
      </c>
      <c r="AC190" s="35">
        <v>39</v>
      </c>
      <c r="AD190" s="35">
        <v>0</v>
      </c>
      <c r="AE190" s="33">
        <v>0</v>
      </c>
      <c r="AF190" s="115">
        <v>1</v>
      </c>
      <c r="AG190" s="111">
        <v>336</v>
      </c>
      <c r="AH190" s="32">
        <v>51</v>
      </c>
      <c r="AI190" s="31"/>
      <c r="AJ190" s="33"/>
      <c r="AK190" s="31"/>
      <c r="AL190" s="32"/>
      <c r="AM190" s="31">
        <v>335</v>
      </c>
      <c r="AN190" s="115">
        <v>56</v>
      </c>
      <c r="AO190" s="111"/>
      <c r="AP190" s="32"/>
      <c r="AQ190" s="31"/>
      <c r="AR190" s="115"/>
      <c r="AS190" s="111"/>
      <c r="AT190" s="32"/>
      <c r="AU190" s="31"/>
      <c r="AV190" s="111"/>
      <c r="AW190" s="111"/>
      <c r="AX190" s="31"/>
      <c r="AY190" s="32"/>
      <c r="AZ190" s="31"/>
      <c r="BA190" s="115"/>
      <c r="BB190" s="31">
        <v>52</v>
      </c>
      <c r="BC190" s="32">
        <v>333</v>
      </c>
      <c r="BD190" s="31">
        <v>51</v>
      </c>
      <c r="BE190" s="115">
        <v>336</v>
      </c>
      <c r="BF190" s="111">
        <v>323</v>
      </c>
      <c r="BG190" s="32">
        <v>55</v>
      </c>
      <c r="BH190" s="31">
        <v>58</v>
      </c>
      <c r="BI190" s="32">
        <v>319</v>
      </c>
      <c r="BJ190" s="111">
        <v>19</v>
      </c>
      <c r="BK190" s="33">
        <v>43</v>
      </c>
      <c r="BL190" s="115">
        <v>335</v>
      </c>
      <c r="BM190" s="111">
        <v>328</v>
      </c>
      <c r="BN190" s="35">
        <v>43</v>
      </c>
      <c r="BO190" s="32">
        <v>16</v>
      </c>
      <c r="BP190" s="31">
        <v>49</v>
      </c>
      <c r="BQ190" s="32">
        <v>337</v>
      </c>
      <c r="BR190" s="31">
        <v>322</v>
      </c>
      <c r="BS190" s="32">
        <v>66</v>
      </c>
      <c r="BT190" s="31">
        <v>44</v>
      </c>
      <c r="BU190" s="33">
        <v>20</v>
      </c>
      <c r="BV190" s="115">
        <v>324</v>
      </c>
      <c r="BW190" s="111">
        <v>337</v>
      </c>
      <c r="BX190" s="32">
        <v>55</v>
      </c>
      <c r="BY190" s="31">
        <v>328</v>
      </c>
      <c r="BZ190" s="32">
        <v>55</v>
      </c>
      <c r="CA190" s="111">
        <v>53</v>
      </c>
      <c r="CB190" s="32">
        <v>331</v>
      </c>
      <c r="CC190" s="33">
        <v>152</v>
      </c>
      <c r="CD190" s="34">
        <v>349</v>
      </c>
      <c r="CE190" s="111">
        <v>132</v>
      </c>
      <c r="CF190" s="38">
        <v>198</v>
      </c>
      <c r="CG190" s="31">
        <v>90</v>
      </c>
      <c r="CH190" s="35">
        <v>34</v>
      </c>
      <c r="CI190" s="35">
        <v>174</v>
      </c>
      <c r="CJ190" s="35">
        <v>182</v>
      </c>
      <c r="CK190" s="32">
        <v>102</v>
      </c>
    </row>
    <row r="191" spans="1:89" ht="13" x14ac:dyDescent="0.25">
      <c r="A191" s="27">
        <v>2618</v>
      </c>
      <c r="B191" s="28" t="s">
        <v>214</v>
      </c>
      <c r="C191" s="29">
        <v>774</v>
      </c>
      <c r="D191" s="30">
        <v>306</v>
      </c>
      <c r="E191" s="20">
        <f t="shared" si="2"/>
        <v>0.39534883720930231</v>
      </c>
      <c r="F191" s="31">
        <v>0</v>
      </c>
      <c r="G191" s="111">
        <v>0</v>
      </c>
      <c r="H191" s="111">
        <v>0</v>
      </c>
      <c r="I191" s="111">
        <v>1</v>
      </c>
      <c r="J191" s="111">
        <v>2</v>
      </c>
      <c r="K191" s="111">
        <v>0</v>
      </c>
      <c r="L191" s="111">
        <v>0</v>
      </c>
      <c r="M191" s="111">
        <v>254</v>
      </c>
      <c r="N191" s="111">
        <v>0</v>
      </c>
      <c r="O191" s="111">
        <v>0</v>
      </c>
      <c r="P191" s="35">
        <v>2</v>
      </c>
      <c r="Q191" s="35">
        <v>0</v>
      </c>
      <c r="R191" s="35">
        <v>41</v>
      </c>
      <c r="S191" s="32">
        <v>0</v>
      </c>
      <c r="T191" s="31">
        <v>264</v>
      </c>
      <c r="U191" s="32">
        <v>39</v>
      </c>
      <c r="V191" s="31">
        <v>44</v>
      </c>
      <c r="W191" s="32">
        <v>260</v>
      </c>
      <c r="X191" s="31">
        <v>260</v>
      </c>
      <c r="Y191" s="32">
        <v>38</v>
      </c>
      <c r="Z191" s="111">
        <v>247</v>
      </c>
      <c r="AA191" s="35">
        <v>0</v>
      </c>
      <c r="AB191" s="35">
        <v>16</v>
      </c>
      <c r="AC191" s="35">
        <v>38</v>
      </c>
      <c r="AD191" s="35">
        <v>0</v>
      </c>
      <c r="AE191" s="33">
        <v>0</v>
      </c>
      <c r="AF191" s="115">
        <v>0</v>
      </c>
      <c r="AG191" s="111">
        <v>264</v>
      </c>
      <c r="AH191" s="32">
        <v>35</v>
      </c>
      <c r="AI191" s="31"/>
      <c r="AJ191" s="33"/>
      <c r="AK191" s="31"/>
      <c r="AL191" s="32"/>
      <c r="AM191" s="31">
        <v>258</v>
      </c>
      <c r="AN191" s="115">
        <v>37</v>
      </c>
      <c r="AO191" s="111"/>
      <c r="AP191" s="32"/>
      <c r="AQ191" s="31"/>
      <c r="AR191" s="115"/>
      <c r="AS191" s="111"/>
      <c r="AT191" s="32"/>
      <c r="AU191" s="31"/>
      <c r="AV191" s="111"/>
      <c r="AW191" s="111"/>
      <c r="AX191" s="31"/>
      <c r="AY191" s="32"/>
      <c r="AZ191" s="31"/>
      <c r="BA191" s="115"/>
      <c r="BB191" s="31">
        <v>43</v>
      </c>
      <c r="BC191" s="32">
        <v>253</v>
      </c>
      <c r="BD191" s="31">
        <v>42</v>
      </c>
      <c r="BE191" s="115">
        <v>250</v>
      </c>
      <c r="BF191" s="111">
        <v>256</v>
      </c>
      <c r="BG191" s="32">
        <v>36</v>
      </c>
      <c r="BH191" s="31">
        <v>41</v>
      </c>
      <c r="BI191" s="32">
        <v>247</v>
      </c>
      <c r="BJ191" s="111">
        <v>6</v>
      </c>
      <c r="BK191" s="33">
        <v>29</v>
      </c>
      <c r="BL191" s="115">
        <v>264</v>
      </c>
      <c r="BM191" s="111">
        <v>256</v>
      </c>
      <c r="BN191" s="35">
        <v>32</v>
      </c>
      <c r="BO191" s="32">
        <v>10</v>
      </c>
      <c r="BP191" s="31">
        <v>40</v>
      </c>
      <c r="BQ191" s="32">
        <v>251</v>
      </c>
      <c r="BR191" s="31">
        <v>247</v>
      </c>
      <c r="BS191" s="32">
        <v>48</v>
      </c>
      <c r="BT191" s="31">
        <v>40</v>
      </c>
      <c r="BU191" s="33">
        <v>11</v>
      </c>
      <c r="BV191" s="115">
        <v>246</v>
      </c>
      <c r="BW191" s="111">
        <v>258</v>
      </c>
      <c r="BX191" s="32">
        <v>43</v>
      </c>
      <c r="BY191" s="31">
        <v>253</v>
      </c>
      <c r="BZ191" s="32">
        <v>40</v>
      </c>
      <c r="CA191" s="111">
        <v>43</v>
      </c>
      <c r="CB191" s="32">
        <v>251</v>
      </c>
      <c r="CC191" s="33">
        <v>99</v>
      </c>
      <c r="CD191" s="34">
        <v>263</v>
      </c>
      <c r="CE191" s="111">
        <v>92</v>
      </c>
      <c r="CF191" s="38">
        <v>163</v>
      </c>
      <c r="CG191" s="31">
        <v>65</v>
      </c>
      <c r="CH191" s="35">
        <v>25</v>
      </c>
      <c r="CI191" s="35">
        <v>139</v>
      </c>
      <c r="CJ191" s="35">
        <v>155</v>
      </c>
      <c r="CK191" s="32">
        <v>67</v>
      </c>
    </row>
    <row r="192" spans="1:89" ht="13" x14ac:dyDescent="0.25">
      <c r="A192" s="27">
        <v>2619</v>
      </c>
      <c r="B192" s="28" t="s">
        <v>215</v>
      </c>
      <c r="C192" s="29">
        <v>1004</v>
      </c>
      <c r="D192" s="30">
        <v>599</v>
      </c>
      <c r="E192" s="20">
        <f t="shared" si="2"/>
        <v>0.59661354581673309</v>
      </c>
      <c r="F192" s="31">
        <v>0</v>
      </c>
      <c r="G192" s="111">
        <v>0</v>
      </c>
      <c r="H192" s="111">
        <v>0</v>
      </c>
      <c r="I192" s="111">
        <v>0</v>
      </c>
      <c r="J192" s="111">
        <v>4</v>
      </c>
      <c r="K192" s="111">
        <v>0</v>
      </c>
      <c r="L192" s="111">
        <v>0</v>
      </c>
      <c r="M192" s="111">
        <v>365</v>
      </c>
      <c r="N192" s="111">
        <v>0</v>
      </c>
      <c r="O192" s="111">
        <v>0</v>
      </c>
      <c r="P192" s="35">
        <v>5</v>
      </c>
      <c r="Q192" s="35">
        <v>1</v>
      </c>
      <c r="R192" s="35">
        <v>217</v>
      </c>
      <c r="S192" s="32">
        <v>0</v>
      </c>
      <c r="T192" s="31">
        <v>357</v>
      </c>
      <c r="U192" s="32">
        <v>216</v>
      </c>
      <c r="V192" s="31">
        <v>228</v>
      </c>
      <c r="W192" s="32">
        <v>348</v>
      </c>
      <c r="X192" s="31">
        <v>370</v>
      </c>
      <c r="Y192" s="32">
        <v>198</v>
      </c>
      <c r="Z192" s="111">
        <v>369</v>
      </c>
      <c r="AA192" s="35">
        <v>0</v>
      </c>
      <c r="AB192" s="35">
        <v>25</v>
      </c>
      <c r="AC192" s="35">
        <v>192</v>
      </c>
      <c r="AD192" s="35">
        <v>0</v>
      </c>
      <c r="AE192" s="33">
        <v>0</v>
      </c>
      <c r="AF192" s="115">
        <v>0</v>
      </c>
      <c r="AG192" s="111">
        <v>375</v>
      </c>
      <c r="AH192" s="32">
        <v>195</v>
      </c>
      <c r="AI192" s="31"/>
      <c r="AJ192" s="33"/>
      <c r="AK192" s="31"/>
      <c r="AL192" s="32"/>
      <c r="AM192" s="31">
        <v>352</v>
      </c>
      <c r="AN192" s="115">
        <v>217</v>
      </c>
      <c r="AO192" s="111"/>
      <c r="AP192" s="32"/>
      <c r="AQ192" s="31"/>
      <c r="AR192" s="115"/>
      <c r="AS192" s="111"/>
      <c r="AT192" s="32"/>
      <c r="AU192" s="31"/>
      <c r="AV192" s="111"/>
      <c r="AW192" s="111"/>
      <c r="AX192" s="31"/>
      <c r="AY192" s="32"/>
      <c r="AZ192" s="31"/>
      <c r="BA192" s="115"/>
      <c r="BB192" s="31">
        <v>223</v>
      </c>
      <c r="BC192" s="32">
        <v>345</v>
      </c>
      <c r="BD192" s="31">
        <v>204</v>
      </c>
      <c r="BE192" s="115">
        <v>359</v>
      </c>
      <c r="BF192" s="111">
        <v>353</v>
      </c>
      <c r="BG192" s="32">
        <v>207</v>
      </c>
      <c r="BH192" s="31">
        <v>214</v>
      </c>
      <c r="BI192" s="32">
        <v>340</v>
      </c>
      <c r="BJ192" s="111">
        <v>26</v>
      </c>
      <c r="BK192" s="33">
        <v>183</v>
      </c>
      <c r="BL192" s="115">
        <v>363</v>
      </c>
      <c r="BM192" s="111">
        <v>372</v>
      </c>
      <c r="BN192" s="35">
        <v>187</v>
      </c>
      <c r="BO192" s="32">
        <v>16</v>
      </c>
      <c r="BP192" s="31">
        <v>204</v>
      </c>
      <c r="BQ192" s="32">
        <v>359</v>
      </c>
      <c r="BR192" s="31">
        <v>330</v>
      </c>
      <c r="BS192" s="32">
        <v>241</v>
      </c>
      <c r="BT192" s="31">
        <v>193</v>
      </c>
      <c r="BU192" s="33">
        <v>25</v>
      </c>
      <c r="BV192" s="115">
        <v>347</v>
      </c>
      <c r="BW192" s="111">
        <v>364</v>
      </c>
      <c r="BX192" s="32">
        <v>210</v>
      </c>
      <c r="BY192" s="31">
        <v>356</v>
      </c>
      <c r="BZ192" s="32">
        <v>205</v>
      </c>
      <c r="CA192" s="111">
        <v>197</v>
      </c>
      <c r="CB192" s="32">
        <v>368</v>
      </c>
      <c r="CC192" s="33">
        <v>320</v>
      </c>
      <c r="CD192" s="34">
        <v>466</v>
      </c>
      <c r="CE192" s="111">
        <v>223</v>
      </c>
      <c r="CF192" s="38">
        <v>268</v>
      </c>
      <c r="CG192" s="31">
        <v>127</v>
      </c>
      <c r="CH192" s="35">
        <v>92</v>
      </c>
      <c r="CI192" s="35">
        <v>204</v>
      </c>
      <c r="CJ192" s="35">
        <v>206</v>
      </c>
      <c r="CK192" s="32">
        <v>241</v>
      </c>
    </row>
    <row r="193" spans="1:89" ht="13" x14ac:dyDescent="0.25">
      <c r="A193" s="27">
        <v>2811</v>
      </c>
      <c r="B193" s="28" t="s">
        <v>216</v>
      </c>
      <c r="C193" s="29">
        <v>883</v>
      </c>
      <c r="D193" s="30">
        <v>722</v>
      </c>
      <c r="E193" s="20">
        <f t="shared" si="2"/>
        <v>0.81766704416761038</v>
      </c>
      <c r="F193" s="31">
        <v>1</v>
      </c>
      <c r="G193" s="111">
        <v>0</v>
      </c>
      <c r="H193" s="111">
        <v>0</v>
      </c>
      <c r="I193" s="111">
        <v>0</v>
      </c>
      <c r="J193" s="111">
        <v>1</v>
      </c>
      <c r="K193" s="111">
        <v>0</v>
      </c>
      <c r="L193" s="111">
        <v>0</v>
      </c>
      <c r="M193" s="111">
        <v>359</v>
      </c>
      <c r="N193" s="111">
        <v>0</v>
      </c>
      <c r="O193" s="111">
        <v>0</v>
      </c>
      <c r="P193" s="35">
        <v>7</v>
      </c>
      <c r="Q193" s="35">
        <v>0</v>
      </c>
      <c r="R193" s="35">
        <v>340</v>
      </c>
      <c r="S193" s="32">
        <v>0</v>
      </c>
      <c r="T193" s="31">
        <v>345</v>
      </c>
      <c r="U193" s="32">
        <v>356</v>
      </c>
      <c r="V193" s="31">
        <v>378</v>
      </c>
      <c r="W193" s="32">
        <v>323</v>
      </c>
      <c r="X193" s="31">
        <v>344</v>
      </c>
      <c r="Y193" s="32">
        <v>351</v>
      </c>
      <c r="Z193" s="111">
        <v>369</v>
      </c>
      <c r="AA193" s="35">
        <v>0</v>
      </c>
      <c r="AB193" s="35">
        <v>16</v>
      </c>
      <c r="AC193" s="35">
        <v>329</v>
      </c>
      <c r="AD193" s="35">
        <v>0</v>
      </c>
      <c r="AE193" s="33">
        <v>0</v>
      </c>
      <c r="AF193" s="115">
        <v>2</v>
      </c>
      <c r="AG193" s="111">
        <v>362</v>
      </c>
      <c r="AH193" s="32">
        <v>339</v>
      </c>
      <c r="AI193" s="31"/>
      <c r="AJ193" s="33"/>
      <c r="AK193" s="31"/>
      <c r="AL193" s="32"/>
      <c r="AM193" s="31"/>
      <c r="AN193" s="115"/>
      <c r="AO193" s="111"/>
      <c r="AP193" s="32"/>
      <c r="AQ193" s="31"/>
      <c r="AR193" s="115"/>
      <c r="AS193" s="111"/>
      <c r="AT193" s="32"/>
      <c r="AU193" s="31">
        <v>348</v>
      </c>
      <c r="AV193" s="111">
        <v>0</v>
      </c>
      <c r="AW193" s="111">
        <v>343</v>
      </c>
      <c r="AX193" s="31"/>
      <c r="AY193" s="32"/>
      <c r="AZ193" s="31"/>
      <c r="BA193" s="115"/>
      <c r="BB193" s="31">
        <v>358</v>
      </c>
      <c r="BC193" s="32">
        <v>319</v>
      </c>
      <c r="BD193" s="31">
        <v>349</v>
      </c>
      <c r="BE193" s="115">
        <v>326</v>
      </c>
      <c r="BF193" s="111">
        <v>325</v>
      </c>
      <c r="BG193" s="32">
        <v>344</v>
      </c>
      <c r="BH193" s="31">
        <v>357</v>
      </c>
      <c r="BI193" s="32">
        <v>316</v>
      </c>
      <c r="BJ193" s="111">
        <v>40</v>
      </c>
      <c r="BK193" s="33">
        <v>329</v>
      </c>
      <c r="BL193" s="115">
        <v>312</v>
      </c>
      <c r="BM193" s="111">
        <v>336</v>
      </c>
      <c r="BN193" s="35">
        <v>321</v>
      </c>
      <c r="BO193" s="32">
        <v>22</v>
      </c>
      <c r="BP193" s="31">
        <v>349</v>
      </c>
      <c r="BQ193" s="32">
        <v>335</v>
      </c>
      <c r="BR193" s="31">
        <v>299</v>
      </c>
      <c r="BS193" s="32">
        <v>385</v>
      </c>
      <c r="BT193" s="31">
        <v>329</v>
      </c>
      <c r="BU193" s="33">
        <v>26</v>
      </c>
      <c r="BV193" s="115">
        <v>317</v>
      </c>
      <c r="BW193" s="111">
        <v>337</v>
      </c>
      <c r="BX193" s="32">
        <v>358</v>
      </c>
      <c r="BY193" s="31">
        <v>337</v>
      </c>
      <c r="BZ193" s="32">
        <v>332</v>
      </c>
      <c r="CA193" s="111">
        <v>335</v>
      </c>
      <c r="CB193" s="32">
        <v>341</v>
      </c>
      <c r="CC193" s="33">
        <v>470</v>
      </c>
      <c r="CD193" s="34">
        <v>502</v>
      </c>
      <c r="CE193" s="111">
        <v>308</v>
      </c>
      <c r="CF193" s="42">
        <v>271</v>
      </c>
      <c r="CG193" s="31">
        <v>153</v>
      </c>
      <c r="CH193" s="35">
        <v>187</v>
      </c>
      <c r="CI193" s="35">
        <v>193</v>
      </c>
      <c r="CJ193" s="35">
        <v>248</v>
      </c>
      <c r="CK193" s="32">
        <v>316</v>
      </c>
    </row>
    <row r="194" spans="1:89" ht="13" x14ac:dyDescent="0.25">
      <c r="A194" s="27">
        <v>2812</v>
      </c>
      <c r="B194" s="28" t="s">
        <v>217</v>
      </c>
      <c r="C194" s="29">
        <v>1086</v>
      </c>
      <c r="D194" s="30">
        <v>766</v>
      </c>
      <c r="E194" s="20">
        <f t="shared" si="2"/>
        <v>0.70534069981583791</v>
      </c>
      <c r="F194" s="31">
        <v>0</v>
      </c>
      <c r="G194" s="111">
        <v>0</v>
      </c>
      <c r="H194" s="111">
        <v>0</v>
      </c>
      <c r="I194" s="111">
        <v>0</v>
      </c>
      <c r="J194" s="111">
        <v>0</v>
      </c>
      <c r="K194" s="111">
        <v>0</v>
      </c>
      <c r="L194" s="111">
        <v>0</v>
      </c>
      <c r="M194" s="111">
        <v>424</v>
      </c>
      <c r="N194" s="111">
        <v>0</v>
      </c>
      <c r="O194" s="111">
        <v>0</v>
      </c>
      <c r="P194" s="35">
        <v>6</v>
      </c>
      <c r="Q194" s="35">
        <v>0</v>
      </c>
      <c r="R194" s="35">
        <v>329</v>
      </c>
      <c r="S194" s="32">
        <v>0</v>
      </c>
      <c r="T194" s="37">
        <v>411</v>
      </c>
      <c r="U194" s="38">
        <v>319</v>
      </c>
      <c r="V194" s="37">
        <v>331</v>
      </c>
      <c r="W194" s="32">
        <v>402</v>
      </c>
      <c r="X194" s="31">
        <v>405</v>
      </c>
      <c r="Y194" s="32">
        <v>313</v>
      </c>
      <c r="Z194" s="111">
        <v>437</v>
      </c>
      <c r="AA194" s="35">
        <v>0</v>
      </c>
      <c r="AB194" s="35">
        <v>15</v>
      </c>
      <c r="AC194" s="35">
        <v>300</v>
      </c>
      <c r="AD194" s="35">
        <v>0</v>
      </c>
      <c r="AE194" s="33">
        <v>0</v>
      </c>
      <c r="AF194" s="116">
        <v>0</v>
      </c>
      <c r="AG194" s="120">
        <v>429</v>
      </c>
      <c r="AH194" s="38">
        <v>309</v>
      </c>
      <c r="AI194" s="37"/>
      <c r="AJ194" s="36"/>
      <c r="AK194" s="37"/>
      <c r="AL194" s="38"/>
      <c r="AM194" s="37"/>
      <c r="AN194" s="116"/>
      <c r="AO194" s="120"/>
      <c r="AP194" s="38"/>
      <c r="AQ194" s="37"/>
      <c r="AR194" s="116"/>
      <c r="AS194" s="120"/>
      <c r="AT194" s="38"/>
      <c r="AU194" s="37">
        <v>414</v>
      </c>
      <c r="AV194" s="120">
        <v>0</v>
      </c>
      <c r="AW194" s="120">
        <v>313</v>
      </c>
      <c r="AX194" s="37"/>
      <c r="AY194" s="38"/>
      <c r="AZ194" s="37"/>
      <c r="BA194" s="116"/>
      <c r="BB194" s="31">
        <v>328</v>
      </c>
      <c r="BC194" s="32">
        <v>392</v>
      </c>
      <c r="BD194" s="31">
        <v>315</v>
      </c>
      <c r="BE194" s="116">
        <v>396</v>
      </c>
      <c r="BF194" s="120">
        <v>393</v>
      </c>
      <c r="BG194" s="38">
        <v>318</v>
      </c>
      <c r="BH194" s="37">
        <v>340</v>
      </c>
      <c r="BI194" s="38">
        <v>375</v>
      </c>
      <c r="BJ194" s="111">
        <v>24</v>
      </c>
      <c r="BK194" s="33">
        <v>296</v>
      </c>
      <c r="BL194" s="115">
        <v>405</v>
      </c>
      <c r="BM194" s="111">
        <v>402</v>
      </c>
      <c r="BN194" s="35">
        <v>295</v>
      </c>
      <c r="BO194" s="32">
        <v>20</v>
      </c>
      <c r="BP194" s="31">
        <v>313</v>
      </c>
      <c r="BQ194" s="32">
        <v>406</v>
      </c>
      <c r="BR194" s="31">
        <v>373</v>
      </c>
      <c r="BS194" s="32">
        <v>356</v>
      </c>
      <c r="BT194" s="31">
        <v>309</v>
      </c>
      <c r="BU194" s="33">
        <v>20</v>
      </c>
      <c r="BV194" s="115">
        <v>387</v>
      </c>
      <c r="BW194" s="111">
        <v>394</v>
      </c>
      <c r="BX194" s="32">
        <v>332</v>
      </c>
      <c r="BY194" s="31">
        <v>393</v>
      </c>
      <c r="BZ194" s="32">
        <v>315</v>
      </c>
      <c r="CA194" s="111">
        <v>309</v>
      </c>
      <c r="CB194" s="32">
        <v>403</v>
      </c>
      <c r="CC194" s="33">
        <v>475</v>
      </c>
      <c r="CD194" s="34">
        <v>529</v>
      </c>
      <c r="CE194" s="120">
        <v>296</v>
      </c>
      <c r="CF194" s="42">
        <v>284</v>
      </c>
      <c r="CG194" s="31">
        <v>191</v>
      </c>
      <c r="CH194" s="35">
        <v>150</v>
      </c>
      <c r="CI194" s="35">
        <v>227</v>
      </c>
      <c r="CJ194" s="35">
        <v>263</v>
      </c>
      <c r="CK194" s="32">
        <v>269</v>
      </c>
    </row>
    <row r="195" spans="1:89" ht="13" x14ac:dyDescent="0.25">
      <c r="A195" s="27">
        <v>2821</v>
      </c>
      <c r="B195" s="28" t="s">
        <v>218</v>
      </c>
      <c r="C195" s="29">
        <v>721</v>
      </c>
      <c r="D195" s="30">
        <v>588</v>
      </c>
      <c r="E195" s="20">
        <f t="shared" si="2"/>
        <v>0.81553398058252424</v>
      </c>
      <c r="F195" s="31">
        <v>0</v>
      </c>
      <c r="G195" s="111">
        <v>0</v>
      </c>
      <c r="H195" s="111">
        <v>0</v>
      </c>
      <c r="I195" s="111">
        <v>0</v>
      </c>
      <c r="J195" s="111">
        <v>1</v>
      </c>
      <c r="K195" s="111">
        <v>0</v>
      </c>
      <c r="L195" s="111">
        <v>0</v>
      </c>
      <c r="M195" s="111">
        <v>264</v>
      </c>
      <c r="N195" s="111">
        <v>0</v>
      </c>
      <c r="O195" s="111">
        <v>0</v>
      </c>
      <c r="P195" s="35">
        <v>8</v>
      </c>
      <c r="Q195" s="35">
        <v>0</v>
      </c>
      <c r="R195" s="35">
        <v>295</v>
      </c>
      <c r="S195" s="32">
        <v>1</v>
      </c>
      <c r="T195" s="37">
        <v>274</v>
      </c>
      <c r="U195" s="38">
        <v>294</v>
      </c>
      <c r="V195" s="37">
        <v>299</v>
      </c>
      <c r="W195" s="32">
        <v>273</v>
      </c>
      <c r="X195" s="31">
        <v>272</v>
      </c>
      <c r="Y195" s="32">
        <v>291</v>
      </c>
      <c r="Z195" s="111">
        <v>293</v>
      </c>
      <c r="AA195" s="35">
        <v>0</v>
      </c>
      <c r="AB195" s="35">
        <v>16</v>
      </c>
      <c r="AC195" s="35">
        <v>262</v>
      </c>
      <c r="AD195" s="35">
        <v>0</v>
      </c>
      <c r="AE195" s="33">
        <v>0</v>
      </c>
      <c r="AF195" s="116">
        <v>0</v>
      </c>
      <c r="AG195" s="120">
        <v>291</v>
      </c>
      <c r="AH195" s="38">
        <v>274</v>
      </c>
      <c r="AI195" s="37"/>
      <c r="AJ195" s="36"/>
      <c r="AK195" s="37"/>
      <c r="AL195" s="38"/>
      <c r="AM195" s="37"/>
      <c r="AN195" s="116"/>
      <c r="AO195" s="120"/>
      <c r="AP195" s="38"/>
      <c r="AQ195" s="37"/>
      <c r="AR195" s="116"/>
      <c r="AS195" s="120"/>
      <c r="AT195" s="38"/>
      <c r="AU195" s="37">
        <v>276</v>
      </c>
      <c r="AV195" s="120">
        <v>0</v>
      </c>
      <c r="AW195" s="120">
        <v>285</v>
      </c>
      <c r="AX195" s="37"/>
      <c r="AY195" s="38"/>
      <c r="AZ195" s="37"/>
      <c r="BA195" s="116"/>
      <c r="BB195" s="31">
        <v>291</v>
      </c>
      <c r="BC195" s="32">
        <v>262</v>
      </c>
      <c r="BD195" s="31">
        <v>290</v>
      </c>
      <c r="BE195" s="116">
        <v>264</v>
      </c>
      <c r="BF195" s="120">
        <v>265</v>
      </c>
      <c r="BG195" s="38">
        <v>289</v>
      </c>
      <c r="BH195" s="37">
        <v>299</v>
      </c>
      <c r="BI195" s="38">
        <v>255</v>
      </c>
      <c r="BJ195" s="111">
        <v>27</v>
      </c>
      <c r="BK195" s="33">
        <v>271</v>
      </c>
      <c r="BL195" s="115">
        <v>258</v>
      </c>
      <c r="BM195" s="111">
        <v>266</v>
      </c>
      <c r="BN195" s="35">
        <v>269</v>
      </c>
      <c r="BO195" s="32">
        <v>19</v>
      </c>
      <c r="BP195" s="31">
        <v>284</v>
      </c>
      <c r="BQ195" s="32">
        <v>271</v>
      </c>
      <c r="BR195" s="31">
        <v>246</v>
      </c>
      <c r="BS195" s="32">
        <v>313</v>
      </c>
      <c r="BT195" s="31">
        <v>274</v>
      </c>
      <c r="BU195" s="33">
        <v>19</v>
      </c>
      <c r="BV195" s="115">
        <v>260</v>
      </c>
      <c r="BW195" s="111">
        <v>271</v>
      </c>
      <c r="BX195" s="32">
        <v>291</v>
      </c>
      <c r="BY195" s="31">
        <v>269</v>
      </c>
      <c r="BZ195" s="32">
        <v>283</v>
      </c>
      <c r="CA195" s="111">
        <v>284</v>
      </c>
      <c r="CB195" s="32">
        <v>269</v>
      </c>
      <c r="CC195" s="33">
        <v>380</v>
      </c>
      <c r="CD195" s="34">
        <v>389</v>
      </c>
      <c r="CE195" s="120">
        <v>258</v>
      </c>
      <c r="CF195" s="42">
        <v>216</v>
      </c>
      <c r="CG195" s="31">
        <v>104</v>
      </c>
      <c r="CH195" s="35">
        <v>144</v>
      </c>
      <c r="CI195" s="35">
        <v>176</v>
      </c>
      <c r="CJ195" s="35">
        <v>187</v>
      </c>
      <c r="CK195" s="32">
        <v>261</v>
      </c>
    </row>
    <row r="196" spans="1:89" ht="13" x14ac:dyDescent="0.25">
      <c r="A196" s="27">
        <v>2822</v>
      </c>
      <c r="B196" s="28" t="s">
        <v>219</v>
      </c>
      <c r="C196" s="29">
        <v>715</v>
      </c>
      <c r="D196" s="30">
        <v>578</v>
      </c>
      <c r="E196" s="20">
        <f t="shared" ref="E196:E259" si="3">SUM(D196/C196)</f>
        <v>0.8083916083916084</v>
      </c>
      <c r="F196" s="31">
        <v>0</v>
      </c>
      <c r="G196" s="111">
        <v>0</v>
      </c>
      <c r="H196" s="111">
        <v>0</v>
      </c>
      <c r="I196" s="111">
        <v>0</v>
      </c>
      <c r="J196" s="111">
        <v>1</v>
      </c>
      <c r="K196" s="111">
        <v>0</v>
      </c>
      <c r="L196" s="111">
        <v>0</v>
      </c>
      <c r="M196" s="111">
        <v>297</v>
      </c>
      <c r="N196" s="111">
        <v>0</v>
      </c>
      <c r="O196" s="111">
        <v>0</v>
      </c>
      <c r="P196" s="35">
        <v>5</v>
      </c>
      <c r="Q196" s="35">
        <v>0</v>
      </c>
      <c r="R196" s="35">
        <v>267</v>
      </c>
      <c r="S196" s="32">
        <v>0</v>
      </c>
      <c r="T196" s="37">
        <v>280</v>
      </c>
      <c r="U196" s="38">
        <v>276</v>
      </c>
      <c r="V196" s="37">
        <v>273</v>
      </c>
      <c r="W196" s="32">
        <v>279</v>
      </c>
      <c r="X196" s="31">
        <v>281</v>
      </c>
      <c r="Y196" s="32">
        <v>266</v>
      </c>
      <c r="Z196" s="111">
        <v>293</v>
      </c>
      <c r="AA196" s="35">
        <v>0</v>
      </c>
      <c r="AB196" s="35">
        <v>16</v>
      </c>
      <c r="AC196" s="35">
        <v>251</v>
      </c>
      <c r="AD196" s="35">
        <v>0</v>
      </c>
      <c r="AE196" s="33">
        <v>0</v>
      </c>
      <c r="AF196" s="116">
        <v>0</v>
      </c>
      <c r="AG196" s="120">
        <v>308</v>
      </c>
      <c r="AH196" s="38">
        <v>244</v>
      </c>
      <c r="AI196" s="37"/>
      <c r="AJ196" s="36"/>
      <c r="AK196" s="37"/>
      <c r="AL196" s="38"/>
      <c r="AM196" s="37"/>
      <c r="AN196" s="116"/>
      <c r="AO196" s="120"/>
      <c r="AP196" s="38"/>
      <c r="AQ196" s="37"/>
      <c r="AR196" s="116"/>
      <c r="AS196" s="120"/>
      <c r="AT196" s="38"/>
      <c r="AU196" s="37">
        <v>272</v>
      </c>
      <c r="AV196" s="120">
        <v>0</v>
      </c>
      <c r="AW196" s="120">
        <v>264</v>
      </c>
      <c r="AX196" s="37"/>
      <c r="AY196" s="38"/>
      <c r="AZ196" s="37"/>
      <c r="BA196" s="116"/>
      <c r="BB196" s="31">
        <v>274</v>
      </c>
      <c r="BC196" s="32">
        <v>262</v>
      </c>
      <c r="BD196" s="31">
        <v>259</v>
      </c>
      <c r="BE196" s="116">
        <v>274</v>
      </c>
      <c r="BF196" s="120">
        <v>270</v>
      </c>
      <c r="BG196" s="38">
        <v>263</v>
      </c>
      <c r="BH196" s="37">
        <v>275</v>
      </c>
      <c r="BI196" s="38">
        <v>257</v>
      </c>
      <c r="BJ196" s="111">
        <v>25</v>
      </c>
      <c r="BK196" s="33">
        <v>243</v>
      </c>
      <c r="BL196" s="115">
        <v>268</v>
      </c>
      <c r="BM196" s="111">
        <v>271</v>
      </c>
      <c r="BN196" s="35">
        <v>244</v>
      </c>
      <c r="BO196" s="32">
        <v>19</v>
      </c>
      <c r="BP196" s="31">
        <v>258</v>
      </c>
      <c r="BQ196" s="32">
        <v>277</v>
      </c>
      <c r="BR196" s="31">
        <v>267</v>
      </c>
      <c r="BS196" s="32">
        <v>278</v>
      </c>
      <c r="BT196" s="31">
        <v>245</v>
      </c>
      <c r="BU196" s="33">
        <v>20</v>
      </c>
      <c r="BV196" s="115">
        <v>260</v>
      </c>
      <c r="BW196" s="111">
        <v>298</v>
      </c>
      <c r="BX196" s="32">
        <v>254</v>
      </c>
      <c r="BY196" s="31">
        <v>271</v>
      </c>
      <c r="BZ196" s="32">
        <v>255</v>
      </c>
      <c r="CA196" s="111">
        <v>256</v>
      </c>
      <c r="CB196" s="32">
        <v>274</v>
      </c>
      <c r="CC196" s="33">
        <v>363</v>
      </c>
      <c r="CD196" s="34">
        <v>389</v>
      </c>
      <c r="CE196" s="120">
        <v>237</v>
      </c>
      <c r="CF196" s="42">
        <v>218</v>
      </c>
      <c r="CG196" s="31">
        <v>125</v>
      </c>
      <c r="CH196" s="35">
        <v>143</v>
      </c>
      <c r="CI196" s="35">
        <v>177</v>
      </c>
      <c r="CJ196" s="35">
        <v>207</v>
      </c>
      <c r="CK196" s="32">
        <v>221</v>
      </c>
    </row>
    <row r="197" spans="1:89" ht="13" x14ac:dyDescent="0.25">
      <c r="A197" s="27">
        <v>2823</v>
      </c>
      <c r="B197" s="28" t="s">
        <v>220</v>
      </c>
      <c r="C197" s="29">
        <v>1377</v>
      </c>
      <c r="D197" s="30">
        <v>1000</v>
      </c>
      <c r="E197" s="20">
        <f t="shared" si="3"/>
        <v>0.72621641249092228</v>
      </c>
      <c r="F197" s="31">
        <v>0</v>
      </c>
      <c r="G197" s="111">
        <v>0</v>
      </c>
      <c r="H197" s="111">
        <v>0</v>
      </c>
      <c r="I197" s="111">
        <v>1</v>
      </c>
      <c r="J197" s="111">
        <v>1</v>
      </c>
      <c r="K197" s="111">
        <v>0</v>
      </c>
      <c r="L197" s="111">
        <v>0</v>
      </c>
      <c r="M197" s="111">
        <v>615</v>
      </c>
      <c r="N197" s="111">
        <v>0</v>
      </c>
      <c r="O197" s="111">
        <v>0</v>
      </c>
      <c r="P197" s="35">
        <v>4</v>
      </c>
      <c r="Q197" s="35">
        <v>2</v>
      </c>
      <c r="R197" s="35">
        <v>356</v>
      </c>
      <c r="S197" s="32">
        <v>0</v>
      </c>
      <c r="T197" s="37">
        <v>596</v>
      </c>
      <c r="U197" s="38">
        <v>367</v>
      </c>
      <c r="V197" s="37">
        <v>392</v>
      </c>
      <c r="W197" s="32">
        <v>578</v>
      </c>
      <c r="X197" s="31">
        <v>601</v>
      </c>
      <c r="Y197" s="32">
        <v>363</v>
      </c>
      <c r="Z197" s="111">
        <v>618</v>
      </c>
      <c r="AA197" s="35">
        <v>0</v>
      </c>
      <c r="AB197" s="35">
        <v>27</v>
      </c>
      <c r="AC197" s="35">
        <v>338</v>
      </c>
      <c r="AD197" s="35">
        <v>0</v>
      </c>
      <c r="AE197" s="33">
        <v>0</v>
      </c>
      <c r="AF197" s="116">
        <v>0</v>
      </c>
      <c r="AG197" s="120">
        <v>622</v>
      </c>
      <c r="AH197" s="38">
        <v>340</v>
      </c>
      <c r="AI197" s="37"/>
      <c r="AJ197" s="36"/>
      <c r="AK197" s="37"/>
      <c r="AL197" s="38"/>
      <c r="AM197" s="37"/>
      <c r="AN197" s="116"/>
      <c r="AO197" s="120"/>
      <c r="AP197" s="38"/>
      <c r="AQ197" s="37"/>
      <c r="AR197" s="116"/>
      <c r="AS197" s="120"/>
      <c r="AT197" s="38"/>
      <c r="AU197" s="37">
        <v>596</v>
      </c>
      <c r="AV197" s="120">
        <v>0</v>
      </c>
      <c r="AW197" s="120">
        <v>360</v>
      </c>
      <c r="AX197" s="37"/>
      <c r="AY197" s="38"/>
      <c r="AZ197" s="37"/>
      <c r="BA197" s="116"/>
      <c r="BB197" s="31">
        <v>377</v>
      </c>
      <c r="BC197" s="32">
        <v>569</v>
      </c>
      <c r="BD197" s="31">
        <v>373</v>
      </c>
      <c r="BE197" s="116">
        <v>578</v>
      </c>
      <c r="BF197" s="120">
        <v>582</v>
      </c>
      <c r="BG197" s="38">
        <v>363</v>
      </c>
      <c r="BH197" s="37">
        <v>392</v>
      </c>
      <c r="BI197" s="38">
        <v>554</v>
      </c>
      <c r="BJ197" s="111">
        <v>33</v>
      </c>
      <c r="BK197" s="33">
        <v>344</v>
      </c>
      <c r="BL197" s="115">
        <v>577</v>
      </c>
      <c r="BM197" s="111">
        <v>575</v>
      </c>
      <c r="BN197" s="35">
        <v>351</v>
      </c>
      <c r="BO197" s="32">
        <v>23</v>
      </c>
      <c r="BP197" s="31">
        <v>367</v>
      </c>
      <c r="BQ197" s="32">
        <v>588</v>
      </c>
      <c r="BR197" s="31">
        <v>554</v>
      </c>
      <c r="BS197" s="32">
        <v>409</v>
      </c>
      <c r="BT197" s="31">
        <v>349</v>
      </c>
      <c r="BU197" s="33">
        <v>31</v>
      </c>
      <c r="BV197" s="115">
        <v>570</v>
      </c>
      <c r="BW197" s="111">
        <v>591</v>
      </c>
      <c r="BX197" s="32">
        <v>367</v>
      </c>
      <c r="BY197" s="31">
        <v>582</v>
      </c>
      <c r="BZ197" s="32">
        <v>360</v>
      </c>
      <c r="CA197" s="111">
        <v>353</v>
      </c>
      <c r="CB197" s="32">
        <v>596</v>
      </c>
      <c r="CC197" s="33">
        <v>566</v>
      </c>
      <c r="CD197" s="34">
        <v>743</v>
      </c>
      <c r="CE197" s="120">
        <v>417</v>
      </c>
      <c r="CF197" s="42">
        <v>389</v>
      </c>
      <c r="CG197" s="31">
        <v>245</v>
      </c>
      <c r="CH197" s="35">
        <v>188</v>
      </c>
      <c r="CI197" s="35">
        <v>317</v>
      </c>
      <c r="CJ197" s="35">
        <v>356</v>
      </c>
      <c r="CK197" s="32">
        <v>362</v>
      </c>
    </row>
    <row r="198" spans="1:89" ht="13" x14ac:dyDescent="0.25">
      <c r="A198" s="27">
        <v>2831</v>
      </c>
      <c r="B198" s="28" t="s">
        <v>221</v>
      </c>
      <c r="C198" s="29">
        <v>1027</v>
      </c>
      <c r="D198" s="30">
        <v>778</v>
      </c>
      <c r="E198" s="20">
        <f t="shared" si="3"/>
        <v>0.75754625121713726</v>
      </c>
      <c r="F198" s="31">
        <v>0</v>
      </c>
      <c r="G198" s="111">
        <v>0</v>
      </c>
      <c r="H198" s="111">
        <v>1</v>
      </c>
      <c r="I198" s="111">
        <v>0</v>
      </c>
      <c r="J198" s="111">
        <v>2</v>
      </c>
      <c r="K198" s="111">
        <v>0</v>
      </c>
      <c r="L198" s="111">
        <v>0</v>
      </c>
      <c r="M198" s="111">
        <v>456</v>
      </c>
      <c r="N198" s="111">
        <v>0</v>
      </c>
      <c r="O198" s="111">
        <v>0</v>
      </c>
      <c r="P198" s="35">
        <v>9</v>
      </c>
      <c r="Q198" s="35">
        <v>0</v>
      </c>
      <c r="R198" s="35">
        <v>302</v>
      </c>
      <c r="S198" s="32">
        <v>0</v>
      </c>
      <c r="T198" s="37">
        <v>410</v>
      </c>
      <c r="U198" s="38">
        <v>338</v>
      </c>
      <c r="V198" s="37">
        <v>357</v>
      </c>
      <c r="W198" s="32">
        <v>400</v>
      </c>
      <c r="X198" s="31">
        <v>413</v>
      </c>
      <c r="Y198" s="32">
        <v>322</v>
      </c>
      <c r="Z198" s="111">
        <v>457</v>
      </c>
      <c r="AA198" s="35">
        <v>0</v>
      </c>
      <c r="AB198" s="35">
        <v>24</v>
      </c>
      <c r="AC198" s="35">
        <v>287</v>
      </c>
      <c r="AD198" s="35">
        <v>0</v>
      </c>
      <c r="AE198" s="33">
        <v>0</v>
      </c>
      <c r="AF198" s="116">
        <v>0</v>
      </c>
      <c r="AG198" s="120">
        <v>457</v>
      </c>
      <c r="AH198" s="38">
        <v>302</v>
      </c>
      <c r="AI198" s="37"/>
      <c r="AJ198" s="36"/>
      <c r="AK198" s="37"/>
      <c r="AL198" s="38"/>
      <c r="AM198" s="37"/>
      <c r="AN198" s="116"/>
      <c r="AO198" s="120"/>
      <c r="AP198" s="38"/>
      <c r="AQ198" s="37"/>
      <c r="AR198" s="116"/>
      <c r="AS198" s="120"/>
      <c r="AT198" s="38"/>
      <c r="AU198" s="37">
        <v>417</v>
      </c>
      <c r="AV198" s="120">
        <v>0</v>
      </c>
      <c r="AW198" s="120">
        <v>323</v>
      </c>
      <c r="AX198" s="37"/>
      <c r="AY198" s="38"/>
      <c r="AZ198" s="37"/>
      <c r="BA198" s="116"/>
      <c r="BB198" s="31">
        <v>332</v>
      </c>
      <c r="BC198" s="32">
        <v>402</v>
      </c>
      <c r="BD198" s="31">
        <v>335</v>
      </c>
      <c r="BE198" s="116">
        <v>395</v>
      </c>
      <c r="BF198" s="120">
        <v>395</v>
      </c>
      <c r="BG198" s="38">
        <v>329</v>
      </c>
      <c r="BH198" s="37">
        <v>350</v>
      </c>
      <c r="BI198" s="38">
        <v>379</v>
      </c>
      <c r="BJ198" s="111">
        <v>36</v>
      </c>
      <c r="BK198" s="33">
        <v>313</v>
      </c>
      <c r="BL198" s="115">
        <v>387</v>
      </c>
      <c r="BM198" s="111">
        <v>415</v>
      </c>
      <c r="BN198" s="35">
        <v>301</v>
      </c>
      <c r="BO198" s="32">
        <v>23</v>
      </c>
      <c r="BP198" s="31">
        <v>326</v>
      </c>
      <c r="BQ198" s="32">
        <v>408</v>
      </c>
      <c r="BR198" s="31">
        <v>359</v>
      </c>
      <c r="BS198" s="32">
        <v>386</v>
      </c>
      <c r="BT198" s="31">
        <v>304</v>
      </c>
      <c r="BU198" s="33">
        <v>29</v>
      </c>
      <c r="BV198" s="115">
        <v>394</v>
      </c>
      <c r="BW198" s="111">
        <v>419</v>
      </c>
      <c r="BX198" s="32">
        <v>323</v>
      </c>
      <c r="BY198" s="31">
        <v>398</v>
      </c>
      <c r="BZ198" s="32">
        <v>322</v>
      </c>
      <c r="CA198" s="111">
        <v>315</v>
      </c>
      <c r="CB198" s="32">
        <v>410</v>
      </c>
      <c r="CC198" s="33">
        <v>491</v>
      </c>
      <c r="CD198" s="34">
        <v>566</v>
      </c>
      <c r="CE198" s="120">
        <v>310</v>
      </c>
      <c r="CF198" s="42">
        <v>307</v>
      </c>
      <c r="CG198" s="31">
        <v>219</v>
      </c>
      <c r="CH198" s="35">
        <v>149</v>
      </c>
      <c r="CI198" s="35">
        <v>220</v>
      </c>
      <c r="CJ198" s="35">
        <v>258</v>
      </c>
      <c r="CK198" s="32">
        <v>296</v>
      </c>
    </row>
    <row r="199" spans="1:89" ht="13" x14ac:dyDescent="0.25">
      <c r="A199" s="27">
        <v>2832</v>
      </c>
      <c r="B199" s="28" t="s">
        <v>222</v>
      </c>
      <c r="C199" s="29">
        <v>790</v>
      </c>
      <c r="D199" s="30">
        <v>639</v>
      </c>
      <c r="E199" s="20">
        <f t="shared" si="3"/>
        <v>0.80886075949367087</v>
      </c>
      <c r="F199" s="31">
        <v>0</v>
      </c>
      <c r="G199" s="111">
        <v>0</v>
      </c>
      <c r="H199" s="111">
        <v>0</v>
      </c>
      <c r="I199" s="111">
        <v>0</v>
      </c>
      <c r="J199" s="111">
        <v>0</v>
      </c>
      <c r="K199" s="111">
        <v>0</v>
      </c>
      <c r="L199" s="111">
        <v>0</v>
      </c>
      <c r="M199" s="111">
        <v>413</v>
      </c>
      <c r="N199" s="111">
        <v>0</v>
      </c>
      <c r="O199" s="111">
        <v>0</v>
      </c>
      <c r="P199" s="35">
        <v>6</v>
      </c>
      <c r="Q199" s="35">
        <v>3</v>
      </c>
      <c r="R199" s="35">
        <v>208</v>
      </c>
      <c r="S199" s="32">
        <v>0</v>
      </c>
      <c r="T199" s="37">
        <v>412</v>
      </c>
      <c r="U199" s="38">
        <v>215</v>
      </c>
      <c r="V199" s="37">
        <v>239</v>
      </c>
      <c r="W199" s="32">
        <v>384</v>
      </c>
      <c r="X199" s="31">
        <v>403</v>
      </c>
      <c r="Y199" s="32">
        <v>216</v>
      </c>
      <c r="Z199" s="111">
        <v>427</v>
      </c>
      <c r="AA199" s="35">
        <v>0</v>
      </c>
      <c r="AB199" s="35">
        <v>13</v>
      </c>
      <c r="AC199" s="35">
        <v>194</v>
      </c>
      <c r="AD199" s="35">
        <v>0</v>
      </c>
      <c r="AE199" s="33">
        <v>0</v>
      </c>
      <c r="AF199" s="116">
        <v>0</v>
      </c>
      <c r="AG199" s="120">
        <v>415</v>
      </c>
      <c r="AH199" s="38">
        <v>205</v>
      </c>
      <c r="AI199" s="37"/>
      <c r="AJ199" s="36"/>
      <c r="AK199" s="37"/>
      <c r="AL199" s="38"/>
      <c r="AM199" s="37"/>
      <c r="AN199" s="116"/>
      <c r="AO199" s="120"/>
      <c r="AP199" s="38"/>
      <c r="AQ199" s="37"/>
      <c r="AR199" s="116"/>
      <c r="AS199" s="120"/>
      <c r="AT199" s="38"/>
      <c r="AU199" s="37">
        <v>400</v>
      </c>
      <c r="AV199" s="120">
        <v>0</v>
      </c>
      <c r="AW199" s="120">
        <v>211</v>
      </c>
      <c r="AX199" s="37"/>
      <c r="AY199" s="38"/>
      <c r="AZ199" s="37"/>
      <c r="BA199" s="116"/>
      <c r="BB199" s="31">
        <v>232</v>
      </c>
      <c r="BC199" s="32">
        <v>369</v>
      </c>
      <c r="BD199" s="31">
        <v>211</v>
      </c>
      <c r="BE199" s="116">
        <v>389</v>
      </c>
      <c r="BF199" s="120">
        <v>395</v>
      </c>
      <c r="BG199" s="38">
        <v>203</v>
      </c>
      <c r="BH199" s="37">
        <v>262</v>
      </c>
      <c r="BI199" s="38">
        <v>337</v>
      </c>
      <c r="BJ199" s="111">
        <v>22</v>
      </c>
      <c r="BK199" s="33">
        <v>200</v>
      </c>
      <c r="BL199" s="115">
        <v>380</v>
      </c>
      <c r="BM199" s="111">
        <v>389</v>
      </c>
      <c r="BN199" s="35">
        <v>192</v>
      </c>
      <c r="BO199" s="32">
        <v>21</v>
      </c>
      <c r="BP199" s="31">
        <v>213</v>
      </c>
      <c r="BQ199" s="32">
        <v>386</v>
      </c>
      <c r="BR199" s="31">
        <v>346</v>
      </c>
      <c r="BS199" s="32">
        <v>263</v>
      </c>
      <c r="BT199" s="31">
        <v>195</v>
      </c>
      <c r="BU199" s="33">
        <v>29</v>
      </c>
      <c r="BV199" s="115">
        <v>377</v>
      </c>
      <c r="BW199" s="111">
        <v>389</v>
      </c>
      <c r="BX199" s="32">
        <v>219</v>
      </c>
      <c r="BY199" s="31">
        <v>384</v>
      </c>
      <c r="BZ199" s="32">
        <v>206</v>
      </c>
      <c r="CA199" s="111">
        <v>205</v>
      </c>
      <c r="CB199" s="32">
        <v>393</v>
      </c>
      <c r="CC199" s="33">
        <v>355</v>
      </c>
      <c r="CD199" s="34">
        <v>481</v>
      </c>
      <c r="CE199" s="120">
        <v>243</v>
      </c>
      <c r="CF199" s="42">
        <v>274</v>
      </c>
      <c r="CG199" s="31">
        <v>128</v>
      </c>
      <c r="CH199" s="35">
        <v>128</v>
      </c>
      <c r="CI199" s="35">
        <v>248</v>
      </c>
      <c r="CJ199" s="35">
        <v>257</v>
      </c>
      <c r="CK199" s="32">
        <v>212</v>
      </c>
    </row>
    <row r="200" spans="1:89" ht="13" x14ac:dyDescent="0.25">
      <c r="A200" s="27">
        <v>2841</v>
      </c>
      <c r="B200" s="28" t="s">
        <v>223</v>
      </c>
      <c r="C200" s="29">
        <v>1033</v>
      </c>
      <c r="D200" s="30">
        <v>714</v>
      </c>
      <c r="E200" s="20">
        <f t="shared" si="3"/>
        <v>0.69119070667957405</v>
      </c>
      <c r="F200" s="31">
        <v>0</v>
      </c>
      <c r="G200" s="111">
        <v>0</v>
      </c>
      <c r="H200" s="111">
        <v>0</v>
      </c>
      <c r="I200" s="111">
        <v>2</v>
      </c>
      <c r="J200" s="111">
        <v>2</v>
      </c>
      <c r="K200" s="111">
        <v>0</v>
      </c>
      <c r="L200" s="111">
        <v>0</v>
      </c>
      <c r="M200" s="111">
        <v>423</v>
      </c>
      <c r="N200" s="111">
        <v>0</v>
      </c>
      <c r="O200" s="111">
        <v>0</v>
      </c>
      <c r="P200" s="35">
        <v>2</v>
      </c>
      <c r="Q200" s="35">
        <v>0</v>
      </c>
      <c r="R200" s="35">
        <v>279</v>
      </c>
      <c r="S200" s="32">
        <v>0</v>
      </c>
      <c r="T200" s="37">
        <v>418</v>
      </c>
      <c r="U200" s="38">
        <v>271</v>
      </c>
      <c r="V200" s="37">
        <v>290</v>
      </c>
      <c r="W200" s="32">
        <v>406</v>
      </c>
      <c r="X200" s="31">
        <v>420</v>
      </c>
      <c r="Y200" s="32">
        <v>262</v>
      </c>
      <c r="Z200" s="111">
        <v>429</v>
      </c>
      <c r="AA200" s="35">
        <v>0</v>
      </c>
      <c r="AB200" s="35">
        <v>26</v>
      </c>
      <c r="AC200" s="35">
        <v>247</v>
      </c>
      <c r="AD200" s="35">
        <v>0</v>
      </c>
      <c r="AE200" s="33">
        <v>0</v>
      </c>
      <c r="AF200" s="116">
        <v>0</v>
      </c>
      <c r="AG200" s="120">
        <v>435</v>
      </c>
      <c r="AH200" s="38">
        <v>257</v>
      </c>
      <c r="AI200" s="37"/>
      <c r="AJ200" s="36"/>
      <c r="AK200" s="37"/>
      <c r="AL200" s="38"/>
      <c r="AM200" s="37"/>
      <c r="AN200" s="116"/>
      <c r="AO200" s="120"/>
      <c r="AP200" s="38"/>
      <c r="AQ200" s="37"/>
      <c r="AR200" s="116"/>
      <c r="AS200" s="120"/>
      <c r="AT200" s="38"/>
      <c r="AU200" s="37">
        <v>417</v>
      </c>
      <c r="AV200" s="120">
        <v>0</v>
      </c>
      <c r="AW200" s="120">
        <v>271</v>
      </c>
      <c r="AX200" s="37"/>
      <c r="AY200" s="38"/>
      <c r="AZ200" s="37"/>
      <c r="BA200" s="116"/>
      <c r="BB200" s="31">
        <v>271</v>
      </c>
      <c r="BC200" s="32">
        <v>405</v>
      </c>
      <c r="BD200" s="31">
        <v>261</v>
      </c>
      <c r="BE200" s="116">
        <v>412</v>
      </c>
      <c r="BF200" s="120">
        <v>410</v>
      </c>
      <c r="BG200" s="38">
        <v>257</v>
      </c>
      <c r="BH200" s="37">
        <v>288</v>
      </c>
      <c r="BI200" s="38">
        <v>378</v>
      </c>
      <c r="BJ200" s="111">
        <v>29</v>
      </c>
      <c r="BK200" s="33">
        <v>237</v>
      </c>
      <c r="BL200" s="115">
        <v>409</v>
      </c>
      <c r="BM200" s="111">
        <v>397</v>
      </c>
      <c r="BN200" s="35">
        <v>247</v>
      </c>
      <c r="BO200" s="32">
        <v>31</v>
      </c>
      <c r="BP200" s="31">
        <v>269</v>
      </c>
      <c r="BQ200" s="32">
        <v>404</v>
      </c>
      <c r="BR200" s="31">
        <v>384</v>
      </c>
      <c r="BS200" s="32">
        <v>294</v>
      </c>
      <c r="BT200" s="31">
        <v>250</v>
      </c>
      <c r="BU200" s="33">
        <v>30</v>
      </c>
      <c r="BV200" s="115">
        <v>386</v>
      </c>
      <c r="BW200" s="111">
        <v>420</v>
      </c>
      <c r="BX200" s="32">
        <v>264</v>
      </c>
      <c r="BY200" s="31">
        <v>396</v>
      </c>
      <c r="BZ200" s="32">
        <v>264</v>
      </c>
      <c r="CA200" s="111">
        <v>268</v>
      </c>
      <c r="CB200" s="32">
        <v>398</v>
      </c>
      <c r="CC200" s="33">
        <v>433</v>
      </c>
      <c r="CD200" s="34">
        <v>529</v>
      </c>
      <c r="CE200" s="120">
        <v>282</v>
      </c>
      <c r="CF200" s="42">
        <v>295</v>
      </c>
      <c r="CG200" s="31">
        <v>163</v>
      </c>
      <c r="CH200" s="35">
        <v>116</v>
      </c>
      <c r="CI200" s="35">
        <v>235</v>
      </c>
      <c r="CJ200" s="35">
        <v>286</v>
      </c>
      <c r="CK200" s="32">
        <v>233</v>
      </c>
    </row>
    <row r="201" spans="1:89" ht="13" x14ac:dyDescent="0.25">
      <c r="A201" s="27">
        <v>2842</v>
      </c>
      <c r="B201" s="28" t="s">
        <v>224</v>
      </c>
      <c r="C201" s="29">
        <v>992</v>
      </c>
      <c r="D201" s="30">
        <v>822</v>
      </c>
      <c r="E201" s="20">
        <f t="shared" si="3"/>
        <v>0.8286290322580645</v>
      </c>
      <c r="F201" s="31">
        <v>0</v>
      </c>
      <c r="G201" s="111">
        <v>0</v>
      </c>
      <c r="H201" s="111">
        <v>0</v>
      </c>
      <c r="I201" s="111">
        <v>0</v>
      </c>
      <c r="J201" s="111">
        <v>2</v>
      </c>
      <c r="K201" s="111">
        <v>0</v>
      </c>
      <c r="L201" s="111">
        <v>0</v>
      </c>
      <c r="M201" s="111">
        <v>440</v>
      </c>
      <c r="N201" s="111">
        <v>0</v>
      </c>
      <c r="O201" s="111">
        <v>0</v>
      </c>
      <c r="P201" s="35">
        <v>12</v>
      </c>
      <c r="Q201" s="35">
        <v>5</v>
      </c>
      <c r="R201" s="35">
        <v>344</v>
      </c>
      <c r="S201" s="32">
        <v>0</v>
      </c>
      <c r="T201" s="37">
        <v>412</v>
      </c>
      <c r="U201" s="38">
        <v>379</v>
      </c>
      <c r="V201" s="37">
        <v>409</v>
      </c>
      <c r="W201" s="32">
        <v>384</v>
      </c>
      <c r="X201" s="31">
        <v>425</v>
      </c>
      <c r="Y201" s="32">
        <v>350</v>
      </c>
      <c r="Z201" s="111">
        <v>455</v>
      </c>
      <c r="AA201" s="35">
        <v>0</v>
      </c>
      <c r="AB201" s="35">
        <v>27</v>
      </c>
      <c r="AC201" s="35">
        <v>319</v>
      </c>
      <c r="AD201" s="35">
        <v>0</v>
      </c>
      <c r="AE201" s="33">
        <v>0</v>
      </c>
      <c r="AF201" s="116">
        <v>0</v>
      </c>
      <c r="AG201" s="120">
        <v>442</v>
      </c>
      <c r="AH201" s="38">
        <v>345</v>
      </c>
      <c r="AI201" s="37"/>
      <c r="AJ201" s="36"/>
      <c r="AK201" s="37"/>
      <c r="AL201" s="38"/>
      <c r="AM201" s="37"/>
      <c r="AN201" s="116"/>
      <c r="AO201" s="120"/>
      <c r="AP201" s="38"/>
      <c r="AQ201" s="37"/>
      <c r="AR201" s="116"/>
      <c r="AS201" s="120"/>
      <c r="AT201" s="38"/>
      <c r="AU201" s="37">
        <v>427</v>
      </c>
      <c r="AV201" s="120">
        <v>0</v>
      </c>
      <c r="AW201" s="120">
        <v>354</v>
      </c>
      <c r="AX201" s="37"/>
      <c r="AY201" s="38"/>
      <c r="AZ201" s="37"/>
      <c r="BA201" s="116"/>
      <c r="BB201" s="31">
        <v>384</v>
      </c>
      <c r="BC201" s="32">
        <v>383</v>
      </c>
      <c r="BD201" s="31">
        <v>372</v>
      </c>
      <c r="BE201" s="116">
        <v>397</v>
      </c>
      <c r="BF201" s="120">
        <v>395</v>
      </c>
      <c r="BG201" s="38">
        <v>363</v>
      </c>
      <c r="BH201" s="37">
        <v>388</v>
      </c>
      <c r="BI201" s="38">
        <v>374</v>
      </c>
      <c r="BJ201" s="111">
        <v>37</v>
      </c>
      <c r="BK201" s="33">
        <v>341</v>
      </c>
      <c r="BL201" s="115">
        <v>392</v>
      </c>
      <c r="BM201" s="111">
        <v>414</v>
      </c>
      <c r="BN201" s="35">
        <v>331</v>
      </c>
      <c r="BO201" s="32">
        <v>24</v>
      </c>
      <c r="BP201" s="31">
        <v>361</v>
      </c>
      <c r="BQ201" s="32">
        <v>404</v>
      </c>
      <c r="BR201" s="31">
        <v>365</v>
      </c>
      <c r="BS201" s="32">
        <v>410</v>
      </c>
      <c r="BT201" s="31">
        <v>337</v>
      </c>
      <c r="BU201" s="33">
        <v>33</v>
      </c>
      <c r="BV201" s="115">
        <v>395</v>
      </c>
      <c r="BW201" s="111">
        <v>412</v>
      </c>
      <c r="BX201" s="32">
        <v>371</v>
      </c>
      <c r="BY201" s="31">
        <v>397</v>
      </c>
      <c r="BZ201" s="32">
        <v>351</v>
      </c>
      <c r="CA201" s="111">
        <v>349</v>
      </c>
      <c r="CB201" s="32">
        <v>401</v>
      </c>
      <c r="CC201" s="33">
        <v>512</v>
      </c>
      <c r="CD201" s="34">
        <v>564</v>
      </c>
      <c r="CE201" s="120">
        <v>327</v>
      </c>
      <c r="CF201" s="42">
        <v>315</v>
      </c>
      <c r="CG201" s="31">
        <v>207</v>
      </c>
      <c r="CH201" s="35">
        <v>166</v>
      </c>
      <c r="CI201" s="35">
        <v>235</v>
      </c>
      <c r="CJ201" s="35">
        <v>282</v>
      </c>
      <c r="CK201" s="32">
        <v>327</v>
      </c>
    </row>
    <row r="202" spans="1:89" ht="13" x14ac:dyDescent="0.25">
      <c r="A202" s="27">
        <v>2851</v>
      </c>
      <c r="B202" s="28" t="s">
        <v>225</v>
      </c>
      <c r="C202" s="29">
        <v>1081</v>
      </c>
      <c r="D202" s="30">
        <v>885</v>
      </c>
      <c r="E202" s="20">
        <f t="shared" si="3"/>
        <v>0.81868640148011096</v>
      </c>
      <c r="F202" s="31">
        <v>0</v>
      </c>
      <c r="G202" s="111">
        <v>0</v>
      </c>
      <c r="H202" s="111">
        <v>0</v>
      </c>
      <c r="I202" s="111">
        <v>0</v>
      </c>
      <c r="J202" s="111">
        <v>1</v>
      </c>
      <c r="K202" s="111">
        <v>0</v>
      </c>
      <c r="L202" s="111">
        <v>0</v>
      </c>
      <c r="M202" s="111">
        <v>536</v>
      </c>
      <c r="N202" s="111">
        <v>0</v>
      </c>
      <c r="O202" s="111">
        <v>0</v>
      </c>
      <c r="P202" s="35">
        <v>5</v>
      </c>
      <c r="Q202" s="35">
        <v>1</v>
      </c>
      <c r="R202" s="35">
        <v>323</v>
      </c>
      <c r="S202" s="32">
        <v>0</v>
      </c>
      <c r="T202" s="37">
        <v>498</v>
      </c>
      <c r="U202" s="38">
        <v>362</v>
      </c>
      <c r="V202" s="37">
        <v>365</v>
      </c>
      <c r="W202" s="32">
        <v>497</v>
      </c>
      <c r="X202" s="31">
        <v>503</v>
      </c>
      <c r="Y202" s="32">
        <v>346</v>
      </c>
      <c r="Z202" s="111">
        <v>539</v>
      </c>
      <c r="AA202" s="35">
        <v>0</v>
      </c>
      <c r="AB202" s="35">
        <v>12</v>
      </c>
      <c r="AC202" s="35">
        <v>318</v>
      </c>
      <c r="AD202" s="35">
        <v>0</v>
      </c>
      <c r="AE202" s="33">
        <v>0</v>
      </c>
      <c r="AF202" s="116">
        <v>0</v>
      </c>
      <c r="AG202" s="120">
        <v>538</v>
      </c>
      <c r="AH202" s="38">
        <v>321</v>
      </c>
      <c r="AI202" s="37"/>
      <c r="AJ202" s="36"/>
      <c r="AK202" s="37"/>
      <c r="AL202" s="38"/>
      <c r="AM202" s="37"/>
      <c r="AN202" s="116"/>
      <c r="AO202" s="120"/>
      <c r="AP202" s="38"/>
      <c r="AQ202" s="37"/>
      <c r="AR202" s="116"/>
      <c r="AS202" s="120"/>
      <c r="AT202" s="38"/>
      <c r="AU202" s="37">
        <v>504</v>
      </c>
      <c r="AV202" s="120">
        <v>0</v>
      </c>
      <c r="AW202" s="120">
        <v>342</v>
      </c>
      <c r="AX202" s="37"/>
      <c r="AY202" s="38"/>
      <c r="AZ202" s="37"/>
      <c r="BA202" s="116"/>
      <c r="BB202" s="31">
        <v>362</v>
      </c>
      <c r="BC202" s="32">
        <v>474</v>
      </c>
      <c r="BD202" s="31">
        <v>362</v>
      </c>
      <c r="BE202" s="116">
        <v>471</v>
      </c>
      <c r="BF202" s="120">
        <v>482</v>
      </c>
      <c r="BG202" s="38">
        <v>346</v>
      </c>
      <c r="BH202" s="37">
        <v>387</v>
      </c>
      <c r="BI202" s="38">
        <v>445</v>
      </c>
      <c r="BJ202" s="111">
        <v>26</v>
      </c>
      <c r="BK202" s="33">
        <v>334</v>
      </c>
      <c r="BL202" s="115">
        <v>474</v>
      </c>
      <c r="BM202" s="111">
        <v>498</v>
      </c>
      <c r="BN202" s="35">
        <v>320</v>
      </c>
      <c r="BO202" s="32">
        <v>21</v>
      </c>
      <c r="BP202" s="31">
        <v>349</v>
      </c>
      <c r="BQ202" s="32">
        <v>477</v>
      </c>
      <c r="BR202" s="31">
        <v>443</v>
      </c>
      <c r="BS202" s="32">
        <v>399</v>
      </c>
      <c r="BT202" s="31">
        <v>340</v>
      </c>
      <c r="BU202" s="33">
        <v>19</v>
      </c>
      <c r="BV202" s="115">
        <v>467</v>
      </c>
      <c r="BW202" s="111">
        <v>496</v>
      </c>
      <c r="BX202" s="32">
        <v>349</v>
      </c>
      <c r="BY202" s="31">
        <v>476</v>
      </c>
      <c r="BZ202" s="32">
        <v>332</v>
      </c>
      <c r="CA202" s="111">
        <v>334</v>
      </c>
      <c r="CB202" s="32">
        <v>489</v>
      </c>
      <c r="CC202" s="33">
        <v>535</v>
      </c>
      <c r="CD202" s="34">
        <v>639</v>
      </c>
      <c r="CE202" s="120">
        <v>309</v>
      </c>
      <c r="CF202" s="42">
        <v>389</v>
      </c>
      <c r="CG202" s="31">
        <v>217</v>
      </c>
      <c r="CH202" s="35">
        <v>166</v>
      </c>
      <c r="CI202" s="35">
        <v>287</v>
      </c>
      <c r="CJ202" s="35">
        <v>319</v>
      </c>
      <c r="CK202" s="32">
        <v>351</v>
      </c>
    </row>
    <row r="203" spans="1:89" ht="13" x14ac:dyDescent="0.25">
      <c r="A203" s="27">
        <v>2852</v>
      </c>
      <c r="B203" s="28" t="s">
        <v>226</v>
      </c>
      <c r="C203" s="29">
        <v>920</v>
      </c>
      <c r="D203" s="30">
        <v>697</v>
      </c>
      <c r="E203" s="20">
        <f t="shared" si="3"/>
        <v>0.75760869565217392</v>
      </c>
      <c r="F203" s="31">
        <v>0</v>
      </c>
      <c r="G203" s="111">
        <v>0</v>
      </c>
      <c r="H203" s="111">
        <v>0</v>
      </c>
      <c r="I203" s="111">
        <v>1</v>
      </c>
      <c r="J203" s="111">
        <v>2</v>
      </c>
      <c r="K203" s="111">
        <v>0</v>
      </c>
      <c r="L203" s="111">
        <v>0</v>
      </c>
      <c r="M203" s="111">
        <v>436</v>
      </c>
      <c r="N203" s="111">
        <v>0</v>
      </c>
      <c r="O203" s="111">
        <v>0</v>
      </c>
      <c r="P203" s="35">
        <v>2</v>
      </c>
      <c r="Q203" s="35">
        <v>1</v>
      </c>
      <c r="R203" s="35">
        <v>238</v>
      </c>
      <c r="S203" s="32">
        <v>1</v>
      </c>
      <c r="T203" s="37">
        <v>425</v>
      </c>
      <c r="U203" s="38">
        <v>256</v>
      </c>
      <c r="V203" s="37">
        <v>266</v>
      </c>
      <c r="W203" s="32">
        <v>412</v>
      </c>
      <c r="X203" s="31">
        <v>428</v>
      </c>
      <c r="Y203" s="32">
        <v>244</v>
      </c>
      <c r="Z203" s="111">
        <v>450</v>
      </c>
      <c r="AA203" s="35">
        <v>0</v>
      </c>
      <c r="AB203" s="35">
        <v>18</v>
      </c>
      <c r="AC203" s="35">
        <v>217</v>
      </c>
      <c r="AD203" s="35">
        <v>0</v>
      </c>
      <c r="AE203" s="33">
        <v>0</v>
      </c>
      <c r="AF203" s="116">
        <v>0</v>
      </c>
      <c r="AG203" s="120">
        <v>448</v>
      </c>
      <c r="AH203" s="38">
        <v>227</v>
      </c>
      <c r="AI203" s="37"/>
      <c r="AJ203" s="36"/>
      <c r="AK203" s="37"/>
      <c r="AL203" s="38"/>
      <c r="AM203" s="37"/>
      <c r="AN203" s="116"/>
      <c r="AO203" s="120"/>
      <c r="AP203" s="38"/>
      <c r="AQ203" s="37"/>
      <c r="AR203" s="116"/>
      <c r="AS203" s="120"/>
      <c r="AT203" s="38"/>
      <c r="AU203" s="37">
        <v>429</v>
      </c>
      <c r="AV203" s="120">
        <v>0</v>
      </c>
      <c r="AW203" s="120">
        <v>245</v>
      </c>
      <c r="AX203" s="37"/>
      <c r="AY203" s="38"/>
      <c r="AZ203" s="37"/>
      <c r="BA203" s="116"/>
      <c r="BB203" s="31">
        <v>266</v>
      </c>
      <c r="BC203" s="32">
        <v>402</v>
      </c>
      <c r="BD203" s="31">
        <v>248</v>
      </c>
      <c r="BE203" s="116">
        <v>417</v>
      </c>
      <c r="BF203" s="120">
        <v>409</v>
      </c>
      <c r="BG203" s="38">
        <v>255</v>
      </c>
      <c r="BH203" s="37">
        <v>278</v>
      </c>
      <c r="BI203" s="38">
        <v>385</v>
      </c>
      <c r="BJ203" s="111">
        <v>33</v>
      </c>
      <c r="BK203" s="33">
        <v>227</v>
      </c>
      <c r="BL203" s="115">
        <v>406</v>
      </c>
      <c r="BM203" s="111">
        <v>406</v>
      </c>
      <c r="BN203" s="35">
        <v>237</v>
      </c>
      <c r="BO203" s="32">
        <v>25</v>
      </c>
      <c r="BP203" s="31">
        <v>240</v>
      </c>
      <c r="BQ203" s="32">
        <v>427</v>
      </c>
      <c r="BR203" s="31">
        <v>379</v>
      </c>
      <c r="BS203" s="32">
        <v>288</v>
      </c>
      <c r="BT203" s="31">
        <v>234</v>
      </c>
      <c r="BU203" s="33">
        <v>31</v>
      </c>
      <c r="BV203" s="115">
        <v>399</v>
      </c>
      <c r="BW203" s="111">
        <v>413</v>
      </c>
      <c r="BX203" s="32">
        <v>259</v>
      </c>
      <c r="BY203" s="31">
        <v>415</v>
      </c>
      <c r="BZ203" s="32">
        <v>241</v>
      </c>
      <c r="CA203" s="111">
        <v>242</v>
      </c>
      <c r="CB203" s="32">
        <v>425</v>
      </c>
      <c r="CC203" s="33">
        <v>412</v>
      </c>
      <c r="CD203" s="34">
        <v>544</v>
      </c>
      <c r="CE203" s="120">
        <v>283</v>
      </c>
      <c r="CF203" s="42">
        <v>297</v>
      </c>
      <c r="CG203" s="31">
        <v>197</v>
      </c>
      <c r="CH203" s="35">
        <v>117</v>
      </c>
      <c r="CI203" s="35">
        <v>232</v>
      </c>
      <c r="CJ203" s="35">
        <v>277</v>
      </c>
      <c r="CK203" s="32">
        <v>229</v>
      </c>
    </row>
    <row r="204" spans="1:89" ht="13" x14ac:dyDescent="0.25">
      <c r="A204" s="27">
        <v>2911</v>
      </c>
      <c r="B204" s="28" t="s">
        <v>227</v>
      </c>
      <c r="C204" s="29">
        <v>1586</v>
      </c>
      <c r="D204" s="30">
        <v>965</v>
      </c>
      <c r="E204" s="20">
        <f t="shared" si="3"/>
        <v>0.60844892812105922</v>
      </c>
      <c r="F204" s="31">
        <v>0</v>
      </c>
      <c r="G204" s="111">
        <v>0</v>
      </c>
      <c r="H204" s="111">
        <v>0</v>
      </c>
      <c r="I204" s="111">
        <v>1</v>
      </c>
      <c r="J204" s="111">
        <v>3</v>
      </c>
      <c r="K204" s="111">
        <v>0</v>
      </c>
      <c r="L204" s="111">
        <v>0</v>
      </c>
      <c r="M204" s="111">
        <v>460</v>
      </c>
      <c r="N204" s="111">
        <v>0</v>
      </c>
      <c r="O204" s="111">
        <v>0</v>
      </c>
      <c r="P204" s="35">
        <v>8</v>
      </c>
      <c r="Q204" s="35">
        <v>1</v>
      </c>
      <c r="R204" s="35">
        <v>471</v>
      </c>
      <c r="S204" s="32">
        <v>0</v>
      </c>
      <c r="T204" s="37">
        <v>473</v>
      </c>
      <c r="U204" s="38">
        <v>442</v>
      </c>
      <c r="V204" s="37">
        <v>476</v>
      </c>
      <c r="W204" s="32">
        <v>447</v>
      </c>
      <c r="X204" s="31">
        <v>480</v>
      </c>
      <c r="Y204" s="32">
        <v>425</v>
      </c>
      <c r="Z204" s="111">
        <v>481</v>
      </c>
      <c r="AA204" s="35">
        <v>0</v>
      </c>
      <c r="AB204" s="35">
        <v>51</v>
      </c>
      <c r="AC204" s="35">
        <v>399</v>
      </c>
      <c r="AD204" s="35">
        <v>0</v>
      </c>
      <c r="AE204" s="33">
        <v>0</v>
      </c>
      <c r="AF204" s="116">
        <v>1</v>
      </c>
      <c r="AG204" s="120"/>
      <c r="AH204" s="38"/>
      <c r="AI204" s="37">
        <v>432</v>
      </c>
      <c r="AJ204" s="36">
        <v>465</v>
      </c>
      <c r="AK204" s="37">
        <v>435</v>
      </c>
      <c r="AL204" s="38">
        <v>469</v>
      </c>
      <c r="AM204" s="37"/>
      <c r="AN204" s="116"/>
      <c r="AO204" s="120"/>
      <c r="AP204" s="38"/>
      <c r="AQ204" s="37"/>
      <c r="AR204" s="116"/>
      <c r="AS204" s="120"/>
      <c r="AT204" s="38"/>
      <c r="AU204" s="37"/>
      <c r="AV204" s="120"/>
      <c r="AW204" s="120"/>
      <c r="AX204" s="37"/>
      <c r="AY204" s="38"/>
      <c r="AZ204" s="37">
        <v>481</v>
      </c>
      <c r="BA204" s="116">
        <v>421</v>
      </c>
      <c r="BB204" s="31">
        <v>443</v>
      </c>
      <c r="BC204" s="32">
        <v>451</v>
      </c>
      <c r="BD204" s="31">
        <v>416</v>
      </c>
      <c r="BE204" s="116">
        <v>477</v>
      </c>
      <c r="BF204" s="120">
        <v>447</v>
      </c>
      <c r="BG204" s="38">
        <v>440</v>
      </c>
      <c r="BH204" s="37">
        <v>454</v>
      </c>
      <c r="BI204" s="38">
        <v>441</v>
      </c>
      <c r="BJ204" s="111">
        <v>60</v>
      </c>
      <c r="BK204" s="33">
        <v>384</v>
      </c>
      <c r="BL204" s="115">
        <v>462</v>
      </c>
      <c r="BM204" s="111">
        <v>467</v>
      </c>
      <c r="BN204" s="35">
        <v>390</v>
      </c>
      <c r="BO204" s="32">
        <v>45</v>
      </c>
      <c r="BP204" s="31">
        <v>442</v>
      </c>
      <c r="BQ204" s="32">
        <v>452</v>
      </c>
      <c r="BR204" s="31">
        <v>419</v>
      </c>
      <c r="BS204" s="32">
        <v>480</v>
      </c>
      <c r="BT204" s="31">
        <v>405</v>
      </c>
      <c r="BU204" s="33">
        <v>60</v>
      </c>
      <c r="BV204" s="115">
        <v>433</v>
      </c>
      <c r="BW204" s="111">
        <v>466</v>
      </c>
      <c r="BX204" s="32">
        <v>452</v>
      </c>
      <c r="BY204" s="31">
        <v>470</v>
      </c>
      <c r="BZ204" s="32">
        <v>418</v>
      </c>
      <c r="CA204" s="111">
        <v>422</v>
      </c>
      <c r="CB204" s="32">
        <v>474</v>
      </c>
      <c r="CC204" s="33">
        <v>614</v>
      </c>
      <c r="CD204" s="34">
        <v>684</v>
      </c>
      <c r="CE204" s="120">
        <v>423</v>
      </c>
      <c r="CF204" s="38">
        <v>360</v>
      </c>
      <c r="CG204" s="31">
        <v>198</v>
      </c>
      <c r="CH204" s="35">
        <v>258</v>
      </c>
      <c r="CI204" s="35">
        <v>254</v>
      </c>
      <c r="CJ204" s="35">
        <v>302</v>
      </c>
      <c r="CK204" s="32">
        <v>411</v>
      </c>
    </row>
    <row r="205" spans="1:89" ht="13" x14ac:dyDescent="0.25">
      <c r="A205" s="27">
        <v>2921</v>
      </c>
      <c r="B205" s="28" t="s">
        <v>228</v>
      </c>
      <c r="C205" s="29">
        <v>1517</v>
      </c>
      <c r="D205" s="30">
        <v>991</v>
      </c>
      <c r="E205" s="20">
        <f t="shared" si="3"/>
        <v>0.65326301911667761</v>
      </c>
      <c r="F205" s="31">
        <v>0</v>
      </c>
      <c r="G205" s="111">
        <v>0</v>
      </c>
      <c r="H205" s="111">
        <v>0</v>
      </c>
      <c r="I205" s="111">
        <v>0</v>
      </c>
      <c r="J205" s="111">
        <v>2</v>
      </c>
      <c r="K205" s="111">
        <v>0</v>
      </c>
      <c r="L205" s="111">
        <v>0</v>
      </c>
      <c r="M205" s="111">
        <v>464</v>
      </c>
      <c r="N205" s="111">
        <v>0</v>
      </c>
      <c r="O205" s="111">
        <v>0</v>
      </c>
      <c r="P205" s="35">
        <v>6</v>
      </c>
      <c r="Q205" s="35">
        <v>5</v>
      </c>
      <c r="R205" s="35">
        <v>503</v>
      </c>
      <c r="S205" s="32">
        <v>0</v>
      </c>
      <c r="T205" s="37">
        <v>455</v>
      </c>
      <c r="U205" s="38">
        <v>501</v>
      </c>
      <c r="V205" s="37">
        <v>530</v>
      </c>
      <c r="W205" s="32">
        <v>437</v>
      </c>
      <c r="X205" s="31">
        <v>458</v>
      </c>
      <c r="Y205" s="32">
        <v>485</v>
      </c>
      <c r="Z205" s="111">
        <v>471</v>
      </c>
      <c r="AA205" s="35">
        <v>0</v>
      </c>
      <c r="AB205" s="35">
        <v>54</v>
      </c>
      <c r="AC205" s="35">
        <v>450</v>
      </c>
      <c r="AD205" s="35">
        <v>0</v>
      </c>
      <c r="AE205" s="33">
        <v>0</v>
      </c>
      <c r="AF205" s="116">
        <v>0</v>
      </c>
      <c r="AG205" s="120"/>
      <c r="AH205" s="38"/>
      <c r="AI205" s="37">
        <v>481</v>
      </c>
      <c r="AJ205" s="36">
        <v>459</v>
      </c>
      <c r="AK205" s="37">
        <v>496</v>
      </c>
      <c r="AL205" s="38">
        <v>447</v>
      </c>
      <c r="AM205" s="37"/>
      <c r="AN205" s="116"/>
      <c r="AO205" s="120"/>
      <c r="AP205" s="38"/>
      <c r="AQ205" s="37"/>
      <c r="AR205" s="116"/>
      <c r="AS205" s="120"/>
      <c r="AT205" s="38"/>
      <c r="AU205" s="37"/>
      <c r="AV205" s="120"/>
      <c r="AW205" s="120"/>
      <c r="AX205" s="37"/>
      <c r="AY205" s="38"/>
      <c r="AZ205" s="37">
        <v>468</v>
      </c>
      <c r="BA205" s="116">
        <v>475</v>
      </c>
      <c r="BB205" s="31">
        <v>492</v>
      </c>
      <c r="BC205" s="32">
        <v>443</v>
      </c>
      <c r="BD205" s="31">
        <v>474</v>
      </c>
      <c r="BE205" s="116">
        <v>456</v>
      </c>
      <c r="BF205" s="120">
        <v>448</v>
      </c>
      <c r="BG205" s="38">
        <v>473</v>
      </c>
      <c r="BH205" s="37">
        <v>512</v>
      </c>
      <c r="BI205" s="38">
        <v>422</v>
      </c>
      <c r="BJ205" s="111">
        <v>69</v>
      </c>
      <c r="BK205" s="33">
        <v>436</v>
      </c>
      <c r="BL205" s="115">
        <v>436</v>
      </c>
      <c r="BM205" s="111">
        <v>455</v>
      </c>
      <c r="BN205" s="35">
        <v>443</v>
      </c>
      <c r="BO205" s="32">
        <v>49</v>
      </c>
      <c r="BP205" s="31">
        <v>492</v>
      </c>
      <c r="BQ205" s="32">
        <v>440</v>
      </c>
      <c r="BR205" s="31">
        <v>425</v>
      </c>
      <c r="BS205" s="32">
        <v>522</v>
      </c>
      <c r="BT205" s="31">
        <v>437</v>
      </c>
      <c r="BU205" s="33">
        <v>61</v>
      </c>
      <c r="BV205" s="115">
        <v>428</v>
      </c>
      <c r="BW205" s="111">
        <v>461</v>
      </c>
      <c r="BX205" s="32">
        <v>498</v>
      </c>
      <c r="BY205" s="31">
        <v>457</v>
      </c>
      <c r="BZ205" s="32">
        <v>463</v>
      </c>
      <c r="CA205" s="111">
        <v>479</v>
      </c>
      <c r="CB205" s="32">
        <v>451</v>
      </c>
      <c r="CC205" s="33">
        <v>623</v>
      </c>
      <c r="CD205" s="34">
        <v>683</v>
      </c>
      <c r="CE205" s="120">
        <v>482</v>
      </c>
      <c r="CF205" s="38">
        <v>319</v>
      </c>
      <c r="CG205" s="31">
        <v>192</v>
      </c>
      <c r="CH205" s="35">
        <v>279</v>
      </c>
      <c r="CI205" s="35">
        <v>229</v>
      </c>
      <c r="CJ205" s="35">
        <v>286</v>
      </c>
      <c r="CK205" s="32">
        <v>452</v>
      </c>
    </row>
    <row r="206" spans="1:89" ht="13" x14ac:dyDescent="0.25">
      <c r="A206" s="27">
        <v>2931</v>
      </c>
      <c r="B206" s="28" t="s">
        <v>229</v>
      </c>
      <c r="C206" s="29">
        <v>1429</v>
      </c>
      <c r="D206" s="30">
        <v>822</v>
      </c>
      <c r="E206" s="20">
        <f t="shared" si="3"/>
        <v>0.57522743177046887</v>
      </c>
      <c r="F206" s="31">
        <v>0</v>
      </c>
      <c r="G206" s="111">
        <v>0</v>
      </c>
      <c r="H206" s="111">
        <v>1</v>
      </c>
      <c r="I206" s="111">
        <v>3</v>
      </c>
      <c r="J206" s="111">
        <v>2</v>
      </c>
      <c r="K206" s="111">
        <v>0</v>
      </c>
      <c r="L206" s="111">
        <v>0</v>
      </c>
      <c r="M206" s="111">
        <v>454</v>
      </c>
      <c r="N206" s="111">
        <v>0</v>
      </c>
      <c r="O206" s="111">
        <v>0</v>
      </c>
      <c r="P206" s="35">
        <v>7</v>
      </c>
      <c r="Q206" s="35">
        <v>0</v>
      </c>
      <c r="R206" s="35">
        <v>339</v>
      </c>
      <c r="S206" s="32">
        <v>0</v>
      </c>
      <c r="T206" s="37">
        <v>459</v>
      </c>
      <c r="U206" s="38">
        <v>339</v>
      </c>
      <c r="V206" s="37">
        <v>364</v>
      </c>
      <c r="W206" s="32">
        <v>431</v>
      </c>
      <c r="X206" s="31">
        <v>457</v>
      </c>
      <c r="Y206" s="32">
        <v>334</v>
      </c>
      <c r="Z206" s="111">
        <v>452</v>
      </c>
      <c r="AA206" s="35">
        <v>0</v>
      </c>
      <c r="AB206" s="35">
        <v>40</v>
      </c>
      <c r="AC206" s="35">
        <v>309</v>
      </c>
      <c r="AD206" s="35">
        <v>0</v>
      </c>
      <c r="AE206" s="33">
        <v>0</v>
      </c>
      <c r="AF206" s="116">
        <v>1</v>
      </c>
      <c r="AG206" s="120"/>
      <c r="AH206" s="38"/>
      <c r="AI206" s="37">
        <v>334</v>
      </c>
      <c r="AJ206" s="36">
        <v>452</v>
      </c>
      <c r="AK206" s="37">
        <v>340</v>
      </c>
      <c r="AL206" s="38">
        <v>454</v>
      </c>
      <c r="AM206" s="37"/>
      <c r="AN206" s="116"/>
      <c r="AO206" s="120"/>
      <c r="AP206" s="38"/>
      <c r="AQ206" s="37"/>
      <c r="AR206" s="116"/>
      <c r="AS206" s="120"/>
      <c r="AT206" s="38"/>
      <c r="AU206" s="37"/>
      <c r="AV206" s="120"/>
      <c r="AW206" s="120"/>
      <c r="AX206" s="37"/>
      <c r="AY206" s="38"/>
      <c r="AZ206" s="37">
        <v>468</v>
      </c>
      <c r="BA206" s="116">
        <v>326</v>
      </c>
      <c r="BB206" s="31">
        <v>344</v>
      </c>
      <c r="BC206" s="32">
        <v>447</v>
      </c>
      <c r="BD206" s="31">
        <v>326</v>
      </c>
      <c r="BE206" s="116">
        <v>457</v>
      </c>
      <c r="BF206" s="120">
        <v>450</v>
      </c>
      <c r="BG206" s="38">
        <v>330</v>
      </c>
      <c r="BH206" s="37">
        <v>349</v>
      </c>
      <c r="BI206" s="38">
        <v>436</v>
      </c>
      <c r="BJ206" s="111">
        <v>53</v>
      </c>
      <c r="BK206" s="33">
        <v>286</v>
      </c>
      <c r="BL206" s="115">
        <v>452</v>
      </c>
      <c r="BM206" s="111">
        <v>446</v>
      </c>
      <c r="BN206" s="35">
        <v>306</v>
      </c>
      <c r="BO206" s="32">
        <v>39</v>
      </c>
      <c r="BP206" s="31">
        <v>346</v>
      </c>
      <c r="BQ206" s="32">
        <v>439</v>
      </c>
      <c r="BR206" s="31">
        <v>414</v>
      </c>
      <c r="BS206" s="32">
        <v>379</v>
      </c>
      <c r="BT206" s="31">
        <v>307</v>
      </c>
      <c r="BU206" s="33">
        <v>54</v>
      </c>
      <c r="BV206" s="115">
        <v>433</v>
      </c>
      <c r="BW206" s="111">
        <v>451</v>
      </c>
      <c r="BX206" s="32">
        <v>344</v>
      </c>
      <c r="BY206" s="31">
        <v>451</v>
      </c>
      <c r="BZ206" s="32">
        <v>329</v>
      </c>
      <c r="CA206" s="111">
        <v>328</v>
      </c>
      <c r="CB206" s="32">
        <v>457</v>
      </c>
      <c r="CC206" s="33">
        <v>494</v>
      </c>
      <c r="CD206" s="34">
        <v>605</v>
      </c>
      <c r="CE206" s="120">
        <v>363</v>
      </c>
      <c r="CF206" s="38">
        <v>331</v>
      </c>
      <c r="CG206" s="31">
        <v>169</v>
      </c>
      <c r="CH206" s="35">
        <v>197</v>
      </c>
      <c r="CI206" s="35">
        <v>240</v>
      </c>
      <c r="CJ206" s="35">
        <v>280</v>
      </c>
      <c r="CK206" s="32">
        <v>340</v>
      </c>
    </row>
    <row r="207" spans="1:89" ht="13" x14ac:dyDescent="0.25">
      <c r="A207" s="27">
        <v>2941</v>
      </c>
      <c r="B207" s="28" t="s">
        <v>230</v>
      </c>
      <c r="C207" s="29">
        <v>1527</v>
      </c>
      <c r="D207" s="30">
        <v>1034</v>
      </c>
      <c r="E207" s="20">
        <f t="shared" si="3"/>
        <v>0.67714472822527827</v>
      </c>
      <c r="F207" s="31">
        <v>0</v>
      </c>
      <c r="G207" s="111">
        <v>0</v>
      </c>
      <c r="H207" s="111">
        <v>0</v>
      </c>
      <c r="I207" s="111">
        <v>1</v>
      </c>
      <c r="J207" s="111">
        <v>1</v>
      </c>
      <c r="K207" s="111">
        <v>0</v>
      </c>
      <c r="L207" s="111">
        <v>0</v>
      </c>
      <c r="M207" s="111">
        <v>545</v>
      </c>
      <c r="N207" s="111">
        <v>0</v>
      </c>
      <c r="O207" s="111">
        <v>0</v>
      </c>
      <c r="P207" s="35">
        <v>4</v>
      </c>
      <c r="Q207" s="35">
        <v>2</v>
      </c>
      <c r="R207" s="35">
        <v>452</v>
      </c>
      <c r="S207" s="32">
        <v>0</v>
      </c>
      <c r="T207" s="37">
        <v>534</v>
      </c>
      <c r="U207" s="38">
        <v>463</v>
      </c>
      <c r="V207" s="37">
        <v>489</v>
      </c>
      <c r="W207" s="32">
        <v>515</v>
      </c>
      <c r="X207" s="31">
        <v>558</v>
      </c>
      <c r="Y207" s="32">
        <v>428</v>
      </c>
      <c r="Z207" s="111">
        <v>571</v>
      </c>
      <c r="AA207" s="35">
        <v>0</v>
      </c>
      <c r="AB207" s="35">
        <v>42</v>
      </c>
      <c r="AC207" s="35">
        <v>400</v>
      </c>
      <c r="AD207" s="35">
        <v>0</v>
      </c>
      <c r="AE207" s="33">
        <v>0</v>
      </c>
      <c r="AF207" s="116">
        <v>0</v>
      </c>
      <c r="AG207" s="120"/>
      <c r="AH207" s="38"/>
      <c r="AI207" s="37">
        <v>433</v>
      </c>
      <c r="AJ207" s="36">
        <v>542</v>
      </c>
      <c r="AK207" s="37">
        <v>427</v>
      </c>
      <c r="AL207" s="38">
        <v>548</v>
      </c>
      <c r="AM207" s="37"/>
      <c r="AN207" s="116"/>
      <c r="AO207" s="120"/>
      <c r="AP207" s="38"/>
      <c r="AQ207" s="37"/>
      <c r="AR207" s="116"/>
      <c r="AS207" s="120"/>
      <c r="AT207" s="38"/>
      <c r="AU207" s="37"/>
      <c r="AV207" s="120"/>
      <c r="AW207" s="120"/>
      <c r="AX207" s="37"/>
      <c r="AY207" s="38"/>
      <c r="AZ207" s="37">
        <v>549</v>
      </c>
      <c r="BA207" s="116">
        <v>423</v>
      </c>
      <c r="BB207" s="31">
        <v>440</v>
      </c>
      <c r="BC207" s="32">
        <v>526</v>
      </c>
      <c r="BD207" s="31">
        <v>438</v>
      </c>
      <c r="BE207" s="116">
        <v>527</v>
      </c>
      <c r="BF207" s="120">
        <v>538</v>
      </c>
      <c r="BG207" s="38">
        <v>423</v>
      </c>
      <c r="BH207" s="37">
        <v>467</v>
      </c>
      <c r="BI207" s="38">
        <v>505</v>
      </c>
      <c r="BJ207" s="111">
        <v>60</v>
      </c>
      <c r="BK207" s="33">
        <v>383</v>
      </c>
      <c r="BL207" s="115">
        <v>529</v>
      </c>
      <c r="BM207" s="111">
        <v>564</v>
      </c>
      <c r="BN207" s="35">
        <v>385</v>
      </c>
      <c r="BO207" s="32">
        <v>30</v>
      </c>
      <c r="BP207" s="31">
        <v>439</v>
      </c>
      <c r="BQ207" s="32">
        <v>531</v>
      </c>
      <c r="BR207" s="31">
        <v>497</v>
      </c>
      <c r="BS207" s="32">
        <v>486</v>
      </c>
      <c r="BT207" s="31">
        <v>406</v>
      </c>
      <c r="BU207" s="33">
        <v>57</v>
      </c>
      <c r="BV207" s="115">
        <v>494</v>
      </c>
      <c r="BW207" s="111">
        <v>525</v>
      </c>
      <c r="BX207" s="32">
        <v>462</v>
      </c>
      <c r="BY207" s="31">
        <v>547</v>
      </c>
      <c r="BZ207" s="32">
        <v>401</v>
      </c>
      <c r="CA207" s="111">
        <v>417</v>
      </c>
      <c r="CB207" s="32">
        <v>541</v>
      </c>
      <c r="CC207" s="33">
        <v>624</v>
      </c>
      <c r="CD207" s="34">
        <v>747</v>
      </c>
      <c r="CE207" s="120">
        <v>425</v>
      </c>
      <c r="CF207" s="38">
        <v>391</v>
      </c>
      <c r="CG207" s="31">
        <v>225</v>
      </c>
      <c r="CH207" s="35">
        <v>240</v>
      </c>
      <c r="CI207" s="35">
        <v>277</v>
      </c>
      <c r="CJ207" s="35">
        <v>326</v>
      </c>
      <c r="CK207" s="32">
        <v>468</v>
      </c>
    </row>
    <row r="208" spans="1:89" ht="13" x14ac:dyDescent="0.25">
      <c r="A208" s="27">
        <v>3111</v>
      </c>
      <c r="B208" s="28" t="s">
        <v>231</v>
      </c>
      <c r="C208" s="29">
        <v>985</v>
      </c>
      <c r="D208" s="30">
        <v>734</v>
      </c>
      <c r="E208" s="20">
        <f t="shared" si="3"/>
        <v>0.74517766497461924</v>
      </c>
      <c r="F208" s="31">
        <v>0</v>
      </c>
      <c r="G208" s="111">
        <v>0</v>
      </c>
      <c r="H208" s="111">
        <v>0</v>
      </c>
      <c r="I208" s="111">
        <v>0</v>
      </c>
      <c r="J208" s="111">
        <v>2</v>
      </c>
      <c r="K208" s="111">
        <v>0</v>
      </c>
      <c r="L208" s="111">
        <v>0</v>
      </c>
      <c r="M208" s="111">
        <v>391</v>
      </c>
      <c r="N208" s="111">
        <v>0</v>
      </c>
      <c r="O208" s="111">
        <v>0</v>
      </c>
      <c r="P208" s="35">
        <v>9</v>
      </c>
      <c r="Q208" s="35">
        <v>2</v>
      </c>
      <c r="R208" s="35">
        <v>324</v>
      </c>
      <c r="S208" s="32">
        <v>0</v>
      </c>
      <c r="T208" s="37">
        <v>380</v>
      </c>
      <c r="U208" s="38">
        <v>332</v>
      </c>
      <c r="V208" s="37">
        <v>352</v>
      </c>
      <c r="W208" s="32">
        <v>361</v>
      </c>
      <c r="X208" s="31">
        <v>388</v>
      </c>
      <c r="Y208" s="32">
        <v>316</v>
      </c>
      <c r="Z208" s="111">
        <v>395</v>
      </c>
      <c r="AA208" s="35">
        <v>0</v>
      </c>
      <c r="AB208" s="35">
        <v>40</v>
      </c>
      <c r="AC208" s="35">
        <v>288</v>
      </c>
      <c r="AD208" s="35">
        <v>0</v>
      </c>
      <c r="AE208" s="33">
        <v>0</v>
      </c>
      <c r="AF208" s="116">
        <v>0</v>
      </c>
      <c r="AG208" s="120">
        <v>400</v>
      </c>
      <c r="AH208" s="38">
        <v>304</v>
      </c>
      <c r="AI208" s="37"/>
      <c r="AJ208" s="36"/>
      <c r="AK208" s="37"/>
      <c r="AL208" s="38"/>
      <c r="AM208" s="37"/>
      <c r="AN208" s="116"/>
      <c r="AO208" s="120"/>
      <c r="AP208" s="38"/>
      <c r="AQ208" s="37"/>
      <c r="AR208" s="116"/>
      <c r="AS208" s="120"/>
      <c r="AT208" s="38"/>
      <c r="AU208" s="37">
        <v>375</v>
      </c>
      <c r="AV208" s="120">
        <v>0</v>
      </c>
      <c r="AW208" s="120">
        <v>320</v>
      </c>
      <c r="AX208" s="37"/>
      <c r="AY208" s="38"/>
      <c r="AZ208" s="37"/>
      <c r="BA208" s="116"/>
      <c r="BB208" s="31">
        <v>332</v>
      </c>
      <c r="BC208" s="32">
        <v>356</v>
      </c>
      <c r="BD208" s="31">
        <v>315</v>
      </c>
      <c r="BE208" s="116">
        <v>366</v>
      </c>
      <c r="BF208" s="120">
        <v>369</v>
      </c>
      <c r="BG208" s="38">
        <v>313</v>
      </c>
      <c r="BH208" s="37">
        <v>337</v>
      </c>
      <c r="BI208" s="38">
        <v>345</v>
      </c>
      <c r="BJ208" s="111">
        <v>40</v>
      </c>
      <c r="BK208" s="33">
        <v>299</v>
      </c>
      <c r="BL208" s="115">
        <v>355</v>
      </c>
      <c r="BM208" s="111">
        <v>362</v>
      </c>
      <c r="BN208" s="35">
        <v>295</v>
      </c>
      <c r="BO208" s="32">
        <v>35</v>
      </c>
      <c r="BP208" s="31">
        <v>324</v>
      </c>
      <c r="BQ208" s="32">
        <v>368</v>
      </c>
      <c r="BR208" s="31">
        <v>343</v>
      </c>
      <c r="BS208" s="32">
        <v>355</v>
      </c>
      <c r="BT208" s="31">
        <v>307</v>
      </c>
      <c r="BU208" s="33">
        <v>33</v>
      </c>
      <c r="BV208" s="115">
        <v>348</v>
      </c>
      <c r="BW208" s="111">
        <v>381</v>
      </c>
      <c r="BX208" s="32">
        <v>325</v>
      </c>
      <c r="BY208" s="31">
        <v>362</v>
      </c>
      <c r="BZ208" s="32">
        <v>312</v>
      </c>
      <c r="CA208" s="111">
        <v>307</v>
      </c>
      <c r="CB208" s="32">
        <v>376</v>
      </c>
      <c r="CC208" s="33">
        <v>461</v>
      </c>
      <c r="CD208" s="34">
        <v>529</v>
      </c>
      <c r="CE208" s="120">
        <v>308</v>
      </c>
      <c r="CF208" s="42">
        <v>291</v>
      </c>
      <c r="CG208" s="31">
        <v>185</v>
      </c>
      <c r="CH208" s="35">
        <v>174</v>
      </c>
      <c r="CI208" s="35">
        <v>207</v>
      </c>
      <c r="CJ208" s="35">
        <v>241</v>
      </c>
      <c r="CK208" s="32">
        <v>282</v>
      </c>
    </row>
    <row r="209" spans="1:89" ht="13" x14ac:dyDescent="0.25">
      <c r="A209" s="27">
        <v>3121</v>
      </c>
      <c r="B209" s="28" t="s">
        <v>232</v>
      </c>
      <c r="C209" s="29">
        <v>982</v>
      </c>
      <c r="D209" s="30">
        <v>789</v>
      </c>
      <c r="E209" s="20">
        <f t="shared" si="3"/>
        <v>0.80346232179226074</v>
      </c>
      <c r="F209" s="31">
        <v>0</v>
      </c>
      <c r="G209" s="111">
        <v>0</v>
      </c>
      <c r="H209" s="111">
        <v>0</v>
      </c>
      <c r="I209" s="111">
        <v>0</v>
      </c>
      <c r="J209" s="111">
        <v>0</v>
      </c>
      <c r="K209" s="111">
        <v>0</v>
      </c>
      <c r="L209" s="111">
        <v>0</v>
      </c>
      <c r="M209" s="111">
        <v>397</v>
      </c>
      <c r="N209" s="111">
        <v>0</v>
      </c>
      <c r="O209" s="111">
        <v>0</v>
      </c>
      <c r="P209" s="35">
        <v>7</v>
      </c>
      <c r="Q209" s="35">
        <v>0</v>
      </c>
      <c r="R209" s="35">
        <v>373</v>
      </c>
      <c r="S209" s="32">
        <v>0</v>
      </c>
      <c r="T209" s="37">
        <v>371</v>
      </c>
      <c r="U209" s="38">
        <v>385</v>
      </c>
      <c r="V209" s="37">
        <v>419</v>
      </c>
      <c r="W209" s="32">
        <v>345</v>
      </c>
      <c r="X209" s="31">
        <v>363</v>
      </c>
      <c r="Y209" s="32">
        <v>379</v>
      </c>
      <c r="Z209" s="111">
        <v>396</v>
      </c>
      <c r="AA209" s="35">
        <v>0</v>
      </c>
      <c r="AB209" s="35">
        <v>34</v>
      </c>
      <c r="AC209" s="35">
        <v>344</v>
      </c>
      <c r="AD209" s="35">
        <v>0</v>
      </c>
      <c r="AE209" s="33">
        <v>0</v>
      </c>
      <c r="AF209" s="116">
        <v>0</v>
      </c>
      <c r="AG209" s="120">
        <v>399</v>
      </c>
      <c r="AH209" s="38">
        <v>362</v>
      </c>
      <c r="AI209" s="37"/>
      <c r="AJ209" s="36"/>
      <c r="AK209" s="37"/>
      <c r="AL209" s="38"/>
      <c r="AM209" s="37"/>
      <c r="AN209" s="116"/>
      <c r="AO209" s="120"/>
      <c r="AP209" s="38"/>
      <c r="AQ209" s="37"/>
      <c r="AR209" s="116"/>
      <c r="AS209" s="120"/>
      <c r="AT209" s="38"/>
      <c r="AU209" s="37">
        <v>371</v>
      </c>
      <c r="AV209" s="120">
        <v>0</v>
      </c>
      <c r="AW209" s="120">
        <v>373</v>
      </c>
      <c r="AX209" s="37"/>
      <c r="AY209" s="38"/>
      <c r="AZ209" s="37"/>
      <c r="BA209" s="116"/>
      <c r="BB209" s="31">
        <v>387</v>
      </c>
      <c r="BC209" s="32">
        <v>341</v>
      </c>
      <c r="BD209" s="31">
        <v>378</v>
      </c>
      <c r="BE209" s="116">
        <v>349</v>
      </c>
      <c r="BF209" s="120">
        <v>356</v>
      </c>
      <c r="BG209" s="38">
        <v>372</v>
      </c>
      <c r="BH209" s="37">
        <v>406</v>
      </c>
      <c r="BI209" s="38">
        <v>328</v>
      </c>
      <c r="BJ209" s="111">
        <v>40</v>
      </c>
      <c r="BK209" s="33">
        <v>347</v>
      </c>
      <c r="BL209" s="115">
        <v>353</v>
      </c>
      <c r="BM209" s="111">
        <v>350</v>
      </c>
      <c r="BN209" s="35">
        <v>348</v>
      </c>
      <c r="BO209" s="32">
        <v>35</v>
      </c>
      <c r="BP209" s="31">
        <v>376</v>
      </c>
      <c r="BQ209" s="32">
        <v>365</v>
      </c>
      <c r="BR209" s="31">
        <v>322</v>
      </c>
      <c r="BS209" s="32">
        <v>417</v>
      </c>
      <c r="BT209" s="31">
        <v>347</v>
      </c>
      <c r="BU209" s="33">
        <v>45</v>
      </c>
      <c r="BV209" s="115">
        <v>340</v>
      </c>
      <c r="BW209" s="111">
        <v>378</v>
      </c>
      <c r="BX209" s="32">
        <v>378</v>
      </c>
      <c r="BY209" s="31">
        <v>355</v>
      </c>
      <c r="BZ209" s="32">
        <v>366</v>
      </c>
      <c r="CA209" s="111">
        <v>364</v>
      </c>
      <c r="CB209" s="32">
        <v>361</v>
      </c>
      <c r="CC209" s="33">
        <v>497</v>
      </c>
      <c r="CD209" s="34">
        <v>525</v>
      </c>
      <c r="CE209" s="120">
        <v>319</v>
      </c>
      <c r="CF209" s="42">
        <v>262</v>
      </c>
      <c r="CG209" s="31">
        <v>161</v>
      </c>
      <c r="CH209" s="35">
        <v>196</v>
      </c>
      <c r="CI209" s="35">
        <v>190</v>
      </c>
      <c r="CJ209" s="35">
        <v>236</v>
      </c>
      <c r="CK209" s="32">
        <v>310</v>
      </c>
    </row>
    <row r="210" spans="1:89" ht="13" x14ac:dyDescent="0.25">
      <c r="A210" s="27">
        <v>3131</v>
      </c>
      <c r="B210" s="28" t="s">
        <v>233</v>
      </c>
      <c r="C210" s="29">
        <v>979</v>
      </c>
      <c r="D210" s="30">
        <v>738</v>
      </c>
      <c r="E210" s="20">
        <f t="shared" si="3"/>
        <v>0.75383043922369763</v>
      </c>
      <c r="F210" s="31">
        <v>0</v>
      </c>
      <c r="G210" s="111">
        <v>0</v>
      </c>
      <c r="H210" s="111">
        <v>0</v>
      </c>
      <c r="I210" s="111">
        <v>0</v>
      </c>
      <c r="J210" s="111">
        <v>4</v>
      </c>
      <c r="K210" s="111">
        <v>0</v>
      </c>
      <c r="L210" s="111">
        <v>0</v>
      </c>
      <c r="M210" s="111">
        <v>379</v>
      </c>
      <c r="N210" s="111">
        <v>0</v>
      </c>
      <c r="O210" s="111">
        <v>0</v>
      </c>
      <c r="P210" s="35">
        <v>6</v>
      </c>
      <c r="Q210" s="35">
        <v>2</v>
      </c>
      <c r="R210" s="35">
        <v>338</v>
      </c>
      <c r="S210" s="32">
        <v>0</v>
      </c>
      <c r="T210" s="37">
        <v>374</v>
      </c>
      <c r="U210" s="38">
        <v>334</v>
      </c>
      <c r="V210" s="37">
        <v>366</v>
      </c>
      <c r="W210" s="32">
        <v>347</v>
      </c>
      <c r="X210" s="31">
        <v>366</v>
      </c>
      <c r="Y210" s="32">
        <v>330</v>
      </c>
      <c r="Z210" s="111">
        <v>392</v>
      </c>
      <c r="AA210" s="35">
        <v>0</v>
      </c>
      <c r="AB210" s="35">
        <v>22</v>
      </c>
      <c r="AC210" s="35">
        <v>299</v>
      </c>
      <c r="AD210" s="35">
        <v>0</v>
      </c>
      <c r="AE210" s="33">
        <v>0</v>
      </c>
      <c r="AF210" s="116">
        <v>0</v>
      </c>
      <c r="AG210" s="120">
        <v>395</v>
      </c>
      <c r="AH210" s="38">
        <v>306</v>
      </c>
      <c r="AI210" s="37"/>
      <c r="AJ210" s="36"/>
      <c r="AK210" s="37"/>
      <c r="AL210" s="38"/>
      <c r="AM210" s="37"/>
      <c r="AN210" s="116"/>
      <c r="AO210" s="120"/>
      <c r="AP210" s="38"/>
      <c r="AQ210" s="37"/>
      <c r="AR210" s="116"/>
      <c r="AS210" s="120"/>
      <c r="AT210" s="38"/>
      <c r="AU210" s="37">
        <v>360</v>
      </c>
      <c r="AV210" s="120">
        <v>0</v>
      </c>
      <c r="AW210" s="120">
        <v>324</v>
      </c>
      <c r="AX210" s="37"/>
      <c r="AY210" s="38"/>
      <c r="AZ210" s="37"/>
      <c r="BA210" s="116"/>
      <c r="BB210" s="31">
        <v>339</v>
      </c>
      <c r="BC210" s="32">
        <v>336</v>
      </c>
      <c r="BD210" s="31">
        <v>326</v>
      </c>
      <c r="BE210" s="116">
        <v>343</v>
      </c>
      <c r="BF210" s="120">
        <v>349</v>
      </c>
      <c r="BG210" s="38">
        <v>324</v>
      </c>
      <c r="BH210" s="37">
        <v>338</v>
      </c>
      <c r="BI210" s="38">
        <v>333</v>
      </c>
      <c r="BJ210" s="111">
        <v>31</v>
      </c>
      <c r="BK210" s="33">
        <v>297</v>
      </c>
      <c r="BL210" s="115">
        <v>351</v>
      </c>
      <c r="BM210" s="111">
        <v>358</v>
      </c>
      <c r="BN210" s="35">
        <v>295</v>
      </c>
      <c r="BO210" s="32">
        <v>23</v>
      </c>
      <c r="BP210" s="31">
        <v>323</v>
      </c>
      <c r="BQ210" s="32">
        <v>355</v>
      </c>
      <c r="BR210" s="31">
        <v>324</v>
      </c>
      <c r="BS210" s="32">
        <v>360</v>
      </c>
      <c r="BT210" s="31">
        <v>310</v>
      </c>
      <c r="BU210" s="33">
        <v>31</v>
      </c>
      <c r="BV210" s="115">
        <v>335</v>
      </c>
      <c r="BW210" s="111">
        <v>363</v>
      </c>
      <c r="BX210" s="32">
        <v>329</v>
      </c>
      <c r="BY210" s="31">
        <v>356</v>
      </c>
      <c r="BZ210" s="32">
        <v>309</v>
      </c>
      <c r="CA210" s="111">
        <v>318</v>
      </c>
      <c r="CB210" s="32">
        <v>361</v>
      </c>
      <c r="CC210" s="33">
        <v>442</v>
      </c>
      <c r="CD210" s="34">
        <v>497</v>
      </c>
      <c r="CE210" s="120">
        <v>280</v>
      </c>
      <c r="CF210" s="42">
        <v>276</v>
      </c>
      <c r="CG210" s="31">
        <v>164</v>
      </c>
      <c r="CH210" s="35">
        <v>165</v>
      </c>
      <c r="CI210" s="35">
        <v>211</v>
      </c>
      <c r="CJ210" s="35">
        <v>232</v>
      </c>
      <c r="CK210" s="32">
        <v>282</v>
      </c>
    </row>
    <row r="211" spans="1:89" ht="13" x14ac:dyDescent="0.25">
      <c r="A211" s="27">
        <v>3141</v>
      </c>
      <c r="B211" s="28" t="s">
        <v>234</v>
      </c>
      <c r="C211" s="29">
        <v>1143</v>
      </c>
      <c r="D211" s="30">
        <v>829</v>
      </c>
      <c r="E211" s="20">
        <f t="shared" si="3"/>
        <v>0.72528433945756776</v>
      </c>
      <c r="F211" s="31">
        <v>0</v>
      </c>
      <c r="G211" s="111">
        <v>0</v>
      </c>
      <c r="H211" s="111">
        <v>0</v>
      </c>
      <c r="I211" s="111">
        <v>0</v>
      </c>
      <c r="J211" s="111">
        <v>2</v>
      </c>
      <c r="K211" s="111">
        <v>0</v>
      </c>
      <c r="L211" s="111">
        <v>0</v>
      </c>
      <c r="M211" s="111">
        <v>416</v>
      </c>
      <c r="N211" s="111">
        <v>0</v>
      </c>
      <c r="O211" s="111">
        <v>0</v>
      </c>
      <c r="P211" s="35">
        <v>7</v>
      </c>
      <c r="Q211" s="35">
        <v>3</v>
      </c>
      <c r="R211" s="35">
        <v>385</v>
      </c>
      <c r="S211" s="32">
        <v>0</v>
      </c>
      <c r="T211" s="37">
        <v>407</v>
      </c>
      <c r="U211" s="38">
        <v>399</v>
      </c>
      <c r="V211" s="37">
        <v>427</v>
      </c>
      <c r="W211" s="32">
        <v>382</v>
      </c>
      <c r="X211" s="31">
        <v>395</v>
      </c>
      <c r="Y211" s="32">
        <v>397</v>
      </c>
      <c r="Z211" s="111">
        <v>424</v>
      </c>
      <c r="AA211" s="35">
        <v>0</v>
      </c>
      <c r="AB211" s="35">
        <v>42</v>
      </c>
      <c r="AC211" s="35">
        <v>350</v>
      </c>
      <c r="AD211" s="35">
        <v>0</v>
      </c>
      <c r="AE211" s="33">
        <v>0</v>
      </c>
      <c r="AF211" s="116">
        <v>0</v>
      </c>
      <c r="AG211" s="120">
        <v>430</v>
      </c>
      <c r="AH211" s="38">
        <v>373</v>
      </c>
      <c r="AI211" s="37"/>
      <c r="AJ211" s="36"/>
      <c r="AK211" s="37"/>
      <c r="AL211" s="38"/>
      <c r="AM211" s="37"/>
      <c r="AN211" s="116"/>
      <c r="AO211" s="120"/>
      <c r="AP211" s="38"/>
      <c r="AQ211" s="37"/>
      <c r="AR211" s="116"/>
      <c r="AS211" s="120"/>
      <c r="AT211" s="38"/>
      <c r="AU211" s="37">
        <v>398</v>
      </c>
      <c r="AV211" s="120">
        <v>0</v>
      </c>
      <c r="AW211" s="120">
        <v>380</v>
      </c>
      <c r="AX211" s="37"/>
      <c r="AY211" s="38"/>
      <c r="AZ211" s="37"/>
      <c r="BA211" s="116"/>
      <c r="BB211" s="31">
        <v>398</v>
      </c>
      <c r="BC211" s="32">
        <v>382</v>
      </c>
      <c r="BD211" s="31">
        <v>401</v>
      </c>
      <c r="BE211" s="116">
        <v>379</v>
      </c>
      <c r="BF211" s="120">
        <v>392</v>
      </c>
      <c r="BG211" s="38">
        <v>382</v>
      </c>
      <c r="BH211" s="37">
        <v>419</v>
      </c>
      <c r="BI211" s="38">
        <v>352</v>
      </c>
      <c r="BJ211" s="111">
        <v>43</v>
      </c>
      <c r="BK211" s="33">
        <v>354</v>
      </c>
      <c r="BL211" s="115">
        <v>381</v>
      </c>
      <c r="BM211" s="111">
        <v>385</v>
      </c>
      <c r="BN211" s="35">
        <v>361</v>
      </c>
      <c r="BO211" s="32">
        <v>34</v>
      </c>
      <c r="BP211" s="31">
        <v>391</v>
      </c>
      <c r="BQ211" s="32">
        <v>383</v>
      </c>
      <c r="BR211" s="31">
        <v>355</v>
      </c>
      <c r="BS211" s="32">
        <v>429</v>
      </c>
      <c r="BT211" s="31">
        <v>369</v>
      </c>
      <c r="BU211" s="33">
        <v>44</v>
      </c>
      <c r="BV211" s="115">
        <v>357</v>
      </c>
      <c r="BW211" s="111">
        <v>410</v>
      </c>
      <c r="BX211" s="32">
        <v>388</v>
      </c>
      <c r="BY211" s="31">
        <v>393</v>
      </c>
      <c r="BZ211" s="32">
        <v>370</v>
      </c>
      <c r="CA211" s="111">
        <v>380</v>
      </c>
      <c r="CB211" s="32">
        <v>389</v>
      </c>
      <c r="CC211" s="33">
        <v>534</v>
      </c>
      <c r="CD211" s="34">
        <v>588</v>
      </c>
      <c r="CE211" s="120">
        <v>358</v>
      </c>
      <c r="CF211" s="42">
        <v>307</v>
      </c>
      <c r="CG211" s="31">
        <v>187</v>
      </c>
      <c r="CH211" s="35">
        <v>194</v>
      </c>
      <c r="CI211" s="35">
        <v>203</v>
      </c>
      <c r="CJ211" s="35">
        <v>253</v>
      </c>
      <c r="CK211" s="32">
        <v>357</v>
      </c>
    </row>
    <row r="212" spans="1:89" ht="13" x14ac:dyDescent="0.25">
      <c r="A212" s="27">
        <v>3201</v>
      </c>
      <c r="B212" s="28" t="s">
        <v>235</v>
      </c>
      <c r="C212" s="29">
        <v>984</v>
      </c>
      <c r="D212" s="30">
        <v>640</v>
      </c>
      <c r="E212" s="20">
        <f t="shared" si="3"/>
        <v>0.65040650406504064</v>
      </c>
      <c r="F212" s="31">
        <v>0</v>
      </c>
      <c r="G212" s="111">
        <v>0</v>
      </c>
      <c r="H212" s="111">
        <v>0</v>
      </c>
      <c r="I212" s="111">
        <v>0</v>
      </c>
      <c r="J212" s="111">
        <v>0</v>
      </c>
      <c r="K212" s="111">
        <v>0</v>
      </c>
      <c r="L212" s="111">
        <v>0</v>
      </c>
      <c r="M212" s="111">
        <v>510</v>
      </c>
      <c r="N212" s="111">
        <v>0</v>
      </c>
      <c r="O212" s="111">
        <v>0</v>
      </c>
      <c r="P212" s="35">
        <v>2</v>
      </c>
      <c r="Q212" s="35">
        <v>3</v>
      </c>
      <c r="R212" s="35">
        <v>119</v>
      </c>
      <c r="S212" s="32">
        <v>1</v>
      </c>
      <c r="T212" s="37">
        <v>481</v>
      </c>
      <c r="U212" s="38">
        <v>119</v>
      </c>
      <c r="V212" s="37">
        <v>109</v>
      </c>
      <c r="W212" s="32">
        <v>495</v>
      </c>
      <c r="X212" s="31">
        <v>491</v>
      </c>
      <c r="Y212" s="32">
        <v>104</v>
      </c>
      <c r="Z212" s="111">
        <v>501</v>
      </c>
      <c r="AA212" s="35">
        <v>0</v>
      </c>
      <c r="AB212" s="35">
        <v>23</v>
      </c>
      <c r="AC212" s="35">
        <v>94</v>
      </c>
      <c r="AD212" s="35">
        <v>0</v>
      </c>
      <c r="AE212" s="33">
        <v>0</v>
      </c>
      <c r="AF212" s="116">
        <v>0</v>
      </c>
      <c r="AG212" s="120"/>
      <c r="AH212" s="38"/>
      <c r="AI212" s="37">
        <v>103</v>
      </c>
      <c r="AJ212" s="36">
        <v>499</v>
      </c>
      <c r="AK212" s="37"/>
      <c r="AL212" s="38"/>
      <c r="AM212" s="37"/>
      <c r="AN212" s="116"/>
      <c r="AO212" s="120"/>
      <c r="AP212" s="38"/>
      <c r="AQ212" s="37"/>
      <c r="AR212" s="116"/>
      <c r="AS212" s="120"/>
      <c r="AT212" s="38"/>
      <c r="AU212" s="37">
        <v>496</v>
      </c>
      <c r="AV212" s="120">
        <v>0</v>
      </c>
      <c r="AW212" s="120">
        <v>108</v>
      </c>
      <c r="AX212" s="37"/>
      <c r="AY212" s="38"/>
      <c r="AZ212" s="37"/>
      <c r="BA212" s="116"/>
      <c r="BB212" s="31">
        <v>102</v>
      </c>
      <c r="BC212" s="32">
        <v>496</v>
      </c>
      <c r="BD212" s="31">
        <v>98</v>
      </c>
      <c r="BE212" s="116">
        <v>496</v>
      </c>
      <c r="BF212" s="120">
        <v>490</v>
      </c>
      <c r="BG212" s="38">
        <v>99</v>
      </c>
      <c r="BH212" s="37">
        <v>105</v>
      </c>
      <c r="BI212" s="38">
        <v>485</v>
      </c>
      <c r="BJ212" s="111">
        <v>16</v>
      </c>
      <c r="BK212" s="33">
        <v>92</v>
      </c>
      <c r="BL212" s="115">
        <v>497</v>
      </c>
      <c r="BM212" s="111">
        <v>485</v>
      </c>
      <c r="BN212" s="35">
        <v>92</v>
      </c>
      <c r="BO212" s="32">
        <v>21</v>
      </c>
      <c r="BP212" s="31">
        <v>101</v>
      </c>
      <c r="BQ212" s="32">
        <v>492</v>
      </c>
      <c r="BR212" s="31">
        <v>485</v>
      </c>
      <c r="BS212" s="32">
        <v>112</v>
      </c>
      <c r="BT212" s="31">
        <v>93</v>
      </c>
      <c r="BU212" s="33">
        <v>23</v>
      </c>
      <c r="BV212" s="115">
        <v>482</v>
      </c>
      <c r="BW212" s="111">
        <v>498</v>
      </c>
      <c r="BX212" s="32">
        <v>106</v>
      </c>
      <c r="BY212" s="31">
        <v>478</v>
      </c>
      <c r="BZ212" s="32">
        <v>100</v>
      </c>
      <c r="CA212" s="111">
        <v>97</v>
      </c>
      <c r="CB212" s="32">
        <v>494</v>
      </c>
      <c r="CC212" s="33">
        <v>220</v>
      </c>
      <c r="CD212" s="34">
        <v>541</v>
      </c>
      <c r="CE212" s="120">
        <v>200</v>
      </c>
      <c r="CF212" s="38">
        <v>326</v>
      </c>
      <c r="CG212" s="31">
        <v>111</v>
      </c>
      <c r="CH212" s="35">
        <v>60</v>
      </c>
      <c r="CI212" s="35">
        <v>325</v>
      </c>
      <c r="CJ212" s="35">
        <v>303</v>
      </c>
      <c r="CK212" s="32">
        <v>136</v>
      </c>
    </row>
    <row r="213" spans="1:89" ht="13" x14ac:dyDescent="0.25">
      <c r="A213" s="27">
        <v>3202</v>
      </c>
      <c r="B213" s="28" t="s">
        <v>236</v>
      </c>
      <c r="C213" s="29">
        <v>977</v>
      </c>
      <c r="D213" s="30">
        <v>698</v>
      </c>
      <c r="E213" s="20">
        <f t="shared" si="3"/>
        <v>0.71443193449334697</v>
      </c>
      <c r="F213" s="31">
        <v>0</v>
      </c>
      <c r="G213" s="111">
        <v>0</v>
      </c>
      <c r="H213" s="111">
        <v>0</v>
      </c>
      <c r="I213" s="111">
        <v>0</v>
      </c>
      <c r="J213" s="111">
        <v>4</v>
      </c>
      <c r="K213" s="111">
        <v>0</v>
      </c>
      <c r="L213" s="111">
        <v>0</v>
      </c>
      <c r="M213" s="111">
        <v>494</v>
      </c>
      <c r="N213" s="111">
        <v>0</v>
      </c>
      <c r="O213" s="111">
        <v>0</v>
      </c>
      <c r="P213" s="35">
        <v>6</v>
      </c>
      <c r="Q213" s="35">
        <v>0</v>
      </c>
      <c r="R213" s="35">
        <v>188</v>
      </c>
      <c r="S213" s="32">
        <v>0</v>
      </c>
      <c r="T213" s="37">
        <v>487</v>
      </c>
      <c r="U213" s="38">
        <v>186</v>
      </c>
      <c r="V213" s="37">
        <v>201</v>
      </c>
      <c r="W213" s="32">
        <v>472</v>
      </c>
      <c r="X213" s="31">
        <v>493</v>
      </c>
      <c r="Y213" s="32">
        <v>175</v>
      </c>
      <c r="Z213" s="111">
        <v>501</v>
      </c>
      <c r="AA213" s="35">
        <v>0</v>
      </c>
      <c r="AB213" s="35">
        <v>29</v>
      </c>
      <c r="AC213" s="35">
        <v>154</v>
      </c>
      <c r="AD213" s="35">
        <v>0</v>
      </c>
      <c r="AE213" s="33">
        <v>0</v>
      </c>
      <c r="AF213" s="116">
        <v>0</v>
      </c>
      <c r="AG213" s="120"/>
      <c r="AH213" s="38"/>
      <c r="AI213" s="37">
        <v>170</v>
      </c>
      <c r="AJ213" s="36">
        <v>487</v>
      </c>
      <c r="AK213" s="37"/>
      <c r="AL213" s="38"/>
      <c r="AM213" s="37"/>
      <c r="AN213" s="116"/>
      <c r="AO213" s="120"/>
      <c r="AP213" s="38"/>
      <c r="AQ213" s="37"/>
      <c r="AR213" s="116"/>
      <c r="AS213" s="120"/>
      <c r="AT213" s="38"/>
      <c r="AU213" s="37">
        <v>496</v>
      </c>
      <c r="AV213" s="120">
        <v>0</v>
      </c>
      <c r="AW213" s="120">
        <v>169</v>
      </c>
      <c r="AX213" s="37"/>
      <c r="AY213" s="38"/>
      <c r="AZ213" s="37"/>
      <c r="BA213" s="116"/>
      <c r="BB213" s="31">
        <v>180</v>
      </c>
      <c r="BC213" s="32">
        <v>478</v>
      </c>
      <c r="BD213" s="31">
        <v>174</v>
      </c>
      <c r="BE213" s="116">
        <v>481</v>
      </c>
      <c r="BF213" s="120">
        <v>484</v>
      </c>
      <c r="BG213" s="38">
        <v>171</v>
      </c>
      <c r="BH213" s="37">
        <v>197</v>
      </c>
      <c r="BI213" s="38">
        <v>456</v>
      </c>
      <c r="BJ213" s="111">
        <v>28</v>
      </c>
      <c r="BK213" s="33">
        <v>151</v>
      </c>
      <c r="BL213" s="115">
        <v>488</v>
      </c>
      <c r="BM213" s="111">
        <v>476</v>
      </c>
      <c r="BN213" s="35">
        <v>165</v>
      </c>
      <c r="BO213" s="32">
        <v>16</v>
      </c>
      <c r="BP213" s="31">
        <v>174</v>
      </c>
      <c r="BQ213" s="32">
        <v>485</v>
      </c>
      <c r="BR213" s="31">
        <v>451</v>
      </c>
      <c r="BS213" s="32">
        <v>210</v>
      </c>
      <c r="BT213" s="31">
        <v>169</v>
      </c>
      <c r="BU213" s="33">
        <v>28</v>
      </c>
      <c r="BV213" s="115">
        <v>463</v>
      </c>
      <c r="BW213" s="111">
        <v>491</v>
      </c>
      <c r="BX213" s="32">
        <v>176</v>
      </c>
      <c r="BY213" s="31">
        <v>478</v>
      </c>
      <c r="BZ213" s="32">
        <v>168</v>
      </c>
      <c r="CA213" s="111">
        <v>176</v>
      </c>
      <c r="CB213" s="32">
        <v>483</v>
      </c>
      <c r="CC213" s="33">
        <v>321</v>
      </c>
      <c r="CD213" s="34">
        <v>570</v>
      </c>
      <c r="CE213" s="120">
        <v>249</v>
      </c>
      <c r="CF213" s="38">
        <v>336</v>
      </c>
      <c r="CG213" s="31">
        <v>136</v>
      </c>
      <c r="CH213" s="35">
        <v>89</v>
      </c>
      <c r="CI213" s="35">
        <v>299</v>
      </c>
      <c r="CJ213" s="35">
        <v>299</v>
      </c>
      <c r="CK213" s="32">
        <v>205</v>
      </c>
    </row>
    <row r="214" spans="1:89" ht="13" x14ac:dyDescent="0.25">
      <c r="A214" s="27">
        <v>3203</v>
      </c>
      <c r="B214" s="28" t="s">
        <v>237</v>
      </c>
      <c r="C214" s="29">
        <v>1030</v>
      </c>
      <c r="D214" s="30">
        <v>675</v>
      </c>
      <c r="E214" s="20">
        <f t="shared" si="3"/>
        <v>0.65533980582524276</v>
      </c>
      <c r="F214" s="31">
        <v>0</v>
      </c>
      <c r="G214" s="111">
        <v>0</v>
      </c>
      <c r="H214" s="111">
        <v>0</v>
      </c>
      <c r="I214" s="111">
        <v>0</v>
      </c>
      <c r="J214" s="111">
        <v>3</v>
      </c>
      <c r="K214" s="111">
        <v>0</v>
      </c>
      <c r="L214" s="111">
        <v>0</v>
      </c>
      <c r="M214" s="111">
        <v>555</v>
      </c>
      <c r="N214" s="111">
        <v>0</v>
      </c>
      <c r="O214" s="111">
        <v>0</v>
      </c>
      <c r="P214" s="35">
        <v>7</v>
      </c>
      <c r="Q214" s="35">
        <v>2</v>
      </c>
      <c r="R214" s="35">
        <v>96</v>
      </c>
      <c r="S214" s="32">
        <v>1</v>
      </c>
      <c r="T214" s="37">
        <v>549</v>
      </c>
      <c r="U214" s="38">
        <v>102</v>
      </c>
      <c r="V214" s="37">
        <v>111</v>
      </c>
      <c r="W214" s="32">
        <v>543</v>
      </c>
      <c r="X214" s="31">
        <v>546</v>
      </c>
      <c r="Y214" s="32">
        <v>97</v>
      </c>
      <c r="Z214" s="111">
        <v>547</v>
      </c>
      <c r="AA214" s="35">
        <v>0</v>
      </c>
      <c r="AB214" s="35">
        <v>20</v>
      </c>
      <c r="AC214" s="35">
        <v>91</v>
      </c>
      <c r="AD214" s="35">
        <v>0</v>
      </c>
      <c r="AE214" s="33">
        <v>0</v>
      </c>
      <c r="AF214" s="116">
        <v>0</v>
      </c>
      <c r="AG214" s="120"/>
      <c r="AH214" s="38"/>
      <c r="AI214" s="37">
        <v>100</v>
      </c>
      <c r="AJ214" s="36">
        <v>546</v>
      </c>
      <c r="AK214" s="37"/>
      <c r="AL214" s="38"/>
      <c r="AM214" s="37"/>
      <c r="AN214" s="116"/>
      <c r="AO214" s="120"/>
      <c r="AP214" s="38"/>
      <c r="AQ214" s="37"/>
      <c r="AR214" s="116"/>
      <c r="AS214" s="120"/>
      <c r="AT214" s="38"/>
      <c r="AU214" s="37">
        <v>539</v>
      </c>
      <c r="AV214" s="120">
        <v>1</v>
      </c>
      <c r="AW214" s="120">
        <v>100</v>
      </c>
      <c r="AX214" s="37"/>
      <c r="AY214" s="38"/>
      <c r="AZ214" s="37"/>
      <c r="BA214" s="116"/>
      <c r="BB214" s="31">
        <v>104</v>
      </c>
      <c r="BC214" s="32">
        <v>530</v>
      </c>
      <c r="BD214" s="31">
        <v>90</v>
      </c>
      <c r="BE214" s="116">
        <v>545</v>
      </c>
      <c r="BF214" s="120">
        <v>539</v>
      </c>
      <c r="BG214" s="38">
        <v>97</v>
      </c>
      <c r="BH214" s="37">
        <v>100</v>
      </c>
      <c r="BI214" s="38">
        <v>532</v>
      </c>
      <c r="BJ214" s="111">
        <v>21</v>
      </c>
      <c r="BK214" s="33">
        <v>84</v>
      </c>
      <c r="BL214" s="115">
        <v>540</v>
      </c>
      <c r="BM214" s="111">
        <v>530</v>
      </c>
      <c r="BN214" s="35">
        <v>82</v>
      </c>
      <c r="BO214" s="32">
        <v>26</v>
      </c>
      <c r="BP214" s="31">
        <v>90</v>
      </c>
      <c r="BQ214" s="32">
        <v>550</v>
      </c>
      <c r="BR214" s="31">
        <v>522</v>
      </c>
      <c r="BS214" s="32">
        <v>115</v>
      </c>
      <c r="BT214" s="31">
        <v>89</v>
      </c>
      <c r="BU214" s="33">
        <v>28</v>
      </c>
      <c r="BV214" s="115">
        <v>517</v>
      </c>
      <c r="BW214" s="111">
        <v>542</v>
      </c>
      <c r="BX214" s="32">
        <v>104</v>
      </c>
      <c r="BY214" s="31">
        <v>536</v>
      </c>
      <c r="BZ214" s="32">
        <v>91</v>
      </c>
      <c r="CA214" s="111">
        <v>98</v>
      </c>
      <c r="CB214" s="32">
        <v>537</v>
      </c>
      <c r="CC214" s="33">
        <v>281</v>
      </c>
      <c r="CD214" s="34">
        <v>581</v>
      </c>
      <c r="CE214" s="120">
        <v>210</v>
      </c>
      <c r="CF214" s="38">
        <v>351</v>
      </c>
      <c r="CG214" s="31">
        <v>134</v>
      </c>
      <c r="CH214" s="35">
        <v>59</v>
      </c>
      <c r="CI214" s="35">
        <v>334</v>
      </c>
      <c r="CJ214" s="35">
        <v>335</v>
      </c>
      <c r="CK214" s="32">
        <v>135</v>
      </c>
    </row>
    <row r="215" spans="1:89" ht="13" x14ac:dyDescent="0.25">
      <c r="A215" s="27">
        <v>3204</v>
      </c>
      <c r="B215" s="28" t="s">
        <v>238</v>
      </c>
      <c r="C215" s="29">
        <v>984</v>
      </c>
      <c r="D215" s="30">
        <v>611</v>
      </c>
      <c r="E215" s="20">
        <f t="shared" si="3"/>
        <v>0.62093495934959353</v>
      </c>
      <c r="F215" s="31">
        <v>0</v>
      </c>
      <c r="G215" s="111">
        <v>0</v>
      </c>
      <c r="H215" s="111">
        <v>0</v>
      </c>
      <c r="I215" s="111">
        <v>1</v>
      </c>
      <c r="J215" s="111">
        <v>1</v>
      </c>
      <c r="K215" s="111">
        <v>0</v>
      </c>
      <c r="L215" s="111">
        <v>0</v>
      </c>
      <c r="M215" s="111">
        <v>475</v>
      </c>
      <c r="N215" s="111">
        <v>0</v>
      </c>
      <c r="O215" s="111">
        <v>0</v>
      </c>
      <c r="P215" s="35">
        <v>3</v>
      </c>
      <c r="Q215" s="35">
        <v>0</v>
      </c>
      <c r="R215" s="35">
        <v>122</v>
      </c>
      <c r="S215" s="32">
        <v>0</v>
      </c>
      <c r="T215" s="37">
        <v>485</v>
      </c>
      <c r="U215" s="38">
        <v>110</v>
      </c>
      <c r="V215" s="37">
        <v>126</v>
      </c>
      <c r="W215" s="32">
        <v>466</v>
      </c>
      <c r="X215" s="31">
        <v>478</v>
      </c>
      <c r="Y215" s="32">
        <v>106</v>
      </c>
      <c r="Z215" s="111">
        <v>477</v>
      </c>
      <c r="AA215" s="35">
        <v>0</v>
      </c>
      <c r="AB215" s="35">
        <v>25</v>
      </c>
      <c r="AC215" s="35">
        <v>93</v>
      </c>
      <c r="AD215" s="35">
        <v>0</v>
      </c>
      <c r="AE215" s="33">
        <v>0</v>
      </c>
      <c r="AF215" s="116">
        <v>0</v>
      </c>
      <c r="AG215" s="120"/>
      <c r="AH215" s="38"/>
      <c r="AI215" s="37">
        <v>104</v>
      </c>
      <c r="AJ215" s="36">
        <v>482</v>
      </c>
      <c r="AK215" s="37"/>
      <c r="AL215" s="38"/>
      <c r="AM215" s="37"/>
      <c r="AN215" s="116"/>
      <c r="AO215" s="120"/>
      <c r="AP215" s="38"/>
      <c r="AQ215" s="37"/>
      <c r="AR215" s="116"/>
      <c r="AS215" s="120"/>
      <c r="AT215" s="38"/>
      <c r="AU215" s="37">
        <v>479</v>
      </c>
      <c r="AV215" s="120">
        <v>1</v>
      </c>
      <c r="AW215" s="120">
        <v>109</v>
      </c>
      <c r="AX215" s="37"/>
      <c r="AY215" s="38"/>
      <c r="AZ215" s="37"/>
      <c r="BA215" s="116"/>
      <c r="BB215" s="31">
        <v>110</v>
      </c>
      <c r="BC215" s="32">
        <v>467</v>
      </c>
      <c r="BD215" s="31">
        <v>106</v>
      </c>
      <c r="BE215" s="116">
        <v>475</v>
      </c>
      <c r="BF215" s="120">
        <v>472</v>
      </c>
      <c r="BG215" s="38">
        <v>102</v>
      </c>
      <c r="BH215" s="37">
        <v>119</v>
      </c>
      <c r="BI215" s="38">
        <v>462</v>
      </c>
      <c r="BJ215" s="111">
        <v>29</v>
      </c>
      <c r="BK215" s="33">
        <v>90</v>
      </c>
      <c r="BL215" s="115">
        <v>469</v>
      </c>
      <c r="BM215" s="111">
        <v>473</v>
      </c>
      <c r="BN215" s="35">
        <v>88</v>
      </c>
      <c r="BO215" s="32">
        <v>21</v>
      </c>
      <c r="BP215" s="31">
        <v>102</v>
      </c>
      <c r="BQ215" s="32">
        <v>479</v>
      </c>
      <c r="BR215" s="31">
        <v>461</v>
      </c>
      <c r="BS215" s="32">
        <v>117</v>
      </c>
      <c r="BT215" s="31">
        <v>89</v>
      </c>
      <c r="BU215" s="33">
        <v>22</v>
      </c>
      <c r="BV215" s="115">
        <v>470</v>
      </c>
      <c r="BW215" s="111">
        <v>480</v>
      </c>
      <c r="BX215" s="32">
        <v>108</v>
      </c>
      <c r="BY215" s="31">
        <v>472</v>
      </c>
      <c r="BZ215" s="32">
        <v>97</v>
      </c>
      <c r="CA215" s="111">
        <v>102</v>
      </c>
      <c r="CB215" s="32">
        <v>479</v>
      </c>
      <c r="CC215" s="33">
        <v>263</v>
      </c>
      <c r="CD215" s="34">
        <v>520</v>
      </c>
      <c r="CE215" s="120">
        <v>228</v>
      </c>
      <c r="CF215" s="38">
        <v>279</v>
      </c>
      <c r="CG215" s="31">
        <v>130</v>
      </c>
      <c r="CH215" s="35">
        <v>52</v>
      </c>
      <c r="CI215" s="35">
        <v>270</v>
      </c>
      <c r="CJ215" s="35">
        <v>283</v>
      </c>
      <c r="CK215" s="32">
        <v>148</v>
      </c>
    </row>
    <row r="216" spans="1:89" ht="13" x14ac:dyDescent="0.25">
      <c r="A216" s="27">
        <v>3205</v>
      </c>
      <c r="B216" s="28" t="s">
        <v>239</v>
      </c>
      <c r="C216" s="29">
        <v>920</v>
      </c>
      <c r="D216" s="30">
        <v>615</v>
      </c>
      <c r="E216" s="20">
        <f t="shared" si="3"/>
        <v>0.66847826086956519</v>
      </c>
      <c r="F216" s="31">
        <v>0</v>
      </c>
      <c r="G216" s="111">
        <v>0</v>
      </c>
      <c r="H216" s="111">
        <v>0</v>
      </c>
      <c r="I216" s="111">
        <v>0</v>
      </c>
      <c r="J216" s="111">
        <v>1</v>
      </c>
      <c r="K216" s="111">
        <v>0</v>
      </c>
      <c r="L216" s="111">
        <v>0</v>
      </c>
      <c r="M216" s="111">
        <v>450</v>
      </c>
      <c r="N216" s="111">
        <v>0</v>
      </c>
      <c r="O216" s="111">
        <v>0</v>
      </c>
      <c r="P216" s="35">
        <v>3</v>
      </c>
      <c r="Q216" s="35">
        <v>0</v>
      </c>
      <c r="R216" s="35">
        <v>142</v>
      </c>
      <c r="S216" s="32">
        <v>0</v>
      </c>
      <c r="T216" s="37">
        <v>451</v>
      </c>
      <c r="U216" s="38">
        <v>137</v>
      </c>
      <c r="V216" s="37">
        <v>149</v>
      </c>
      <c r="W216" s="32">
        <v>444</v>
      </c>
      <c r="X216" s="31">
        <v>463</v>
      </c>
      <c r="Y216" s="32">
        <v>121</v>
      </c>
      <c r="Z216" s="111">
        <v>453</v>
      </c>
      <c r="AA216" s="35">
        <v>0</v>
      </c>
      <c r="AB216" s="35">
        <v>21</v>
      </c>
      <c r="AC216" s="35">
        <v>124</v>
      </c>
      <c r="AD216" s="35">
        <v>0</v>
      </c>
      <c r="AE216" s="33">
        <v>0</v>
      </c>
      <c r="AF216" s="116">
        <v>1</v>
      </c>
      <c r="AG216" s="120"/>
      <c r="AH216" s="38"/>
      <c r="AI216" s="37">
        <v>127</v>
      </c>
      <c r="AJ216" s="36">
        <v>459</v>
      </c>
      <c r="AK216" s="37"/>
      <c r="AL216" s="38"/>
      <c r="AM216" s="37"/>
      <c r="AN216" s="116"/>
      <c r="AO216" s="120"/>
      <c r="AP216" s="38"/>
      <c r="AQ216" s="37"/>
      <c r="AR216" s="116"/>
      <c r="AS216" s="120"/>
      <c r="AT216" s="38"/>
      <c r="AU216" s="37">
        <v>459</v>
      </c>
      <c r="AV216" s="120">
        <v>0</v>
      </c>
      <c r="AW216" s="120">
        <v>122</v>
      </c>
      <c r="AX216" s="37"/>
      <c r="AY216" s="38"/>
      <c r="AZ216" s="37"/>
      <c r="BA216" s="116"/>
      <c r="BB216" s="31">
        <v>142</v>
      </c>
      <c r="BC216" s="32">
        <v>445</v>
      </c>
      <c r="BD216" s="31">
        <v>126</v>
      </c>
      <c r="BE216" s="116">
        <v>458</v>
      </c>
      <c r="BF216" s="120">
        <v>449</v>
      </c>
      <c r="BG216" s="38">
        <v>133</v>
      </c>
      <c r="BH216" s="37">
        <v>137</v>
      </c>
      <c r="BI216" s="38">
        <v>441</v>
      </c>
      <c r="BJ216" s="111">
        <v>19</v>
      </c>
      <c r="BK216" s="33">
        <v>113</v>
      </c>
      <c r="BL216" s="115">
        <v>457</v>
      </c>
      <c r="BM216" s="111">
        <v>445</v>
      </c>
      <c r="BN216" s="35">
        <v>121</v>
      </c>
      <c r="BO216" s="32">
        <v>13</v>
      </c>
      <c r="BP216" s="31">
        <v>124</v>
      </c>
      <c r="BQ216" s="32">
        <v>463</v>
      </c>
      <c r="BR216" s="31">
        <v>433</v>
      </c>
      <c r="BS216" s="32">
        <v>145</v>
      </c>
      <c r="BT216" s="31">
        <v>135</v>
      </c>
      <c r="BU216" s="33">
        <v>18</v>
      </c>
      <c r="BV216" s="115">
        <v>423</v>
      </c>
      <c r="BW216" s="111">
        <v>447</v>
      </c>
      <c r="BX216" s="32">
        <v>141</v>
      </c>
      <c r="BY216" s="31">
        <v>450</v>
      </c>
      <c r="BZ216" s="32">
        <v>126</v>
      </c>
      <c r="CA216" s="111">
        <v>131</v>
      </c>
      <c r="CB216" s="32">
        <v>445</v>
      </c>
      <c r="CC216" s="33">
        <v>244</v>
      </c>
      <c r="CD216" s="34">
        <v>512</v>
      </c>
      <c r="CE216" s="120">
        <v>173</v>
      </c>
      <c r="CF216" s="38">
        <v>336</v>
      </c>
      <c r="CG216" s="31">
        <v>108</v>
      </c>
      <c r="CH216" s="35">
        <v>52</v>
      </c>
      <c r="CI216" s="35">
        <v>299</v>
      </c>
      <c r="CJ216" s="35">
        <v>269</v>
      </c>
      <c r="CK216" s="32">
        <v>143</v>
      </c>
    </row>
    <row r="217" spans="1:89" ht="13" x14ac:dyDescent="0.25">
      <c r="A217" s="27">
        <v>3206</v>
      </c>
      <c r="B217" s="28" t="s">
        <v>240</v>
      </c>
      <c r="C217" s="29">
        <v>568</v>
      </c>
      <c r="D217" s="30">
        <v>376</v>
      </c>
      <c r="E217" s="20">
        <f t="shared" si="3"/>
        <v>0.6619718309859155</v>
      </c>
      <c r="F217" s="31">
        <v>0</v>
      </c>
      <c r="G217" s="111">
        <v>0</v>
      </c>
      <c r="H217" s="111">
        <v>0</v>
      </c>
      <c r="I217" s="111">
        <v>0</v>
      </c>
      <c r="J217" s="111">
        <v>0</v>
      </c>
      <c r="K217" s="111">
        <v>0</v>
      </c>
      <c r="L217" s="111">
        <v>0</v>
      </c>
      <c r="M217" s="111">
        <v>302</v>
      </c>
      <c r="N217" s="111">
        <v>0</v>
      </c>
      <c r="O217" s="111">
        <v>0</v>
      </c>
      <c r="P217" s="35">
        <v>3</v>
      </c>
      <c r="Q217" s="35">
        <v>1</v>
      </c>
      <c r="R217" s="35">
        <v>61</v>
      </c>
      <c r="S217" s="32">
        <v>0</v>
      </c>
      <c r="T217" s="37">
        <v>300</v>
      </c>
      <c r="U217" s="38">
        <v>70</v>
      </c>
      <c r="V217" s="37">
        <v>78</v>
      </c>
      <c r="W217" s="32">
        <v>288</v>
      </c>
      <c r="X217" s="31">
        <v>299</v>
      </c>
      <c r="Y217" s="32">
        <v>64</v>
      </c>
      <c r="Z217" s="111">
        <v>306</v>
      </c>
      <c r="AA217" s="35">
        <v>0</v>
      </c>
      <c r="AB217" s="35">
        <v>15</v>
      </c>
      <c r="AC217" s="35">
        <v>52</v>
      </c>
      <c r="AD217" s="35">
        <v>0</v>
      </c>
      <c r="AE217" s="33">
        <v>0</v>
      </c>
      <c r="AF217" s="116">
        <v>0</v>
      </c>
      <c r="AG217" s="120"/>
      <c r="AH217" s="38"/>
      <c r="AI217" s="37">
        <v>64</v>
      </c>
      <c r="AJ217" s="36">
        <v>301</v>
      </c>
      <c r="AK217" s="37"/>
      <c r="AL217" s="38"/>
      <c r="AM217" s="37"/>
      <c r="AN217" s="116"/>
      <c r="AO217" s="120"/>
      <c r="AP217" s="38"/>
      <c r="AQ217" s="37"/>
      <c r="AR217" s="116"/>
      <c r="AS217" s="120"/>
      <c r="AT217" s="38"/>
      <c r="AU217" s="37">
        <v>303</v>
      </c>
      <c r="AV217" s="120">
        <v>0</v>
      </c>
      <c r="AW217" s="120">
        <v>63</v>
      </c>
      <c r="AX217" s="37"/>
      <c r="AY217" s="38"/>
      <c r="AZ217" s="37"/>
      <c r="BA217" s="116"/>
      <c r="BB217" s="31">
        <v>73</v>
      </c>
      <c r="BC217" s="32">
        <v>290</v>
      </c>
      <c r="BD217" s="31">
        <v>74</v>
      </c>
      <c r="BE217" s="116">
        <v>288</v>
      </c>
      <c r="BF217" s="120">
        <v>296</v>
      </c>
      <c r="BG217" s="38">
        <v>66</v>
      </c>
      <c r="BH217" s="37">
        <v>69</v>
      </c>
      <c r="BI217" s="38">
        <v>287</v>
      </c>
      <c r="BJ217" s="111">
        <v>11</v>
      </c>
      <c r="BK217" s="33">
        <v>57</v>
      </c>
      <c r="BL217" s="115">
        <v>297</v>
      </c>
      <c r="BM217" s="111">
        <v>295</v>
      </c>
      <c r="BN217" s="35">
        <v>56</v>
      </c>
      <c r="BO217" s="32">
        <v>15</v>
      </c>
      <c r="BP217" s="31">
        <v>65</v>
      </c>
      <c r="BQ217" s="32">
        <v>300</v>
      </c>
      <c r="BR217" s="31">
        <v>287</v>
      </c>
      <c r="BS217" s="32">
        <v>76</v>
      </c>
      <c r="BT217" s="31">
        <v>61</v>
      </c>
      <c r="BU217" s="33">
        <v>18</v>
      </c>
      <c r="BV217" s="115">
        <v>286</v>
      </c>
      <c r="BW217" s="111">
        <v>297</v>
      </c>
      <c r="BX217" s="32">
        <v>68</v>
      </c>
      <c r="BY217" s="31">
        <v>301</v>
      </c>
      <c r="BZ217" s="32">
        <v>61</v>
      </c>
      <c r="CA217" s="111">
        <v>66</v>
      </c>
      <c r="CB217" s="32">
        <v>295</v>
      </c>
      <c r="CC217" s="33">
        <v>159</v>
      </c>
      <c r="CD217" s="34">
        <v>334</v>
      </c>
      <c r="CE217" s="120">
        <v>117</v>
      </c>
      <c r="CF217" s="38">
        <v>209</v>
      </c>
      <c r="CG217" s="31">
        <v>82</v>
      </c>
      <c r="CH217" s="35">
        <v>35</v>
      </c>
      <c r="CI217" s="35">
        <v>201</v>
      </c>
      <c r="CJ217" s="35">
        <v>198</v>
      </c>
      <c r="CK217" s="32">
        <v>88</v>
      </c>
    </row>
    <row r="218" spans="1:89" ht="13" x14ac:dyDescent="0.25">
      <c r="A218" s="27">
        <v>3207</v>
      </c>
      <c r="B218" s="28" t="s">
        <v>241</v>
      </c>
      <c r="C218" s="29">
        <v>903</v>
      </c>
      <c r="D218" s="30">
        <v>564</v>
      </c>
      <c r="E218" s="20">
        <f t="shared" si="3"/>
        <v>0.62458471760797341</v>
      </c>
      <c r="F218" s="31">
        <v>0</v>
      </c>
      <c r="G218" s="111">
        <v>0</v>
      </c>
      <c r="H218" s="111">
        <v>0</v>
      </c>
      <c r="I218" s="111">
        <v>0</v>
      </c>
      <c r="J218" s="111">
        <v>1</v>
      </c>
      <c r="K218" s="111">
        <v>0</v>
      </c>
      <c r="L218" s="111">
        <v>0</v>
      </c>
      <c r="M218" s="111">
        <v>480</v>
      </c>
      <c r="N218" s="111">
        <v>0</v>
      </c>
      <c r="O218" s="111">
        <v>0</v>
      </c>
      <c r="P218" s="35">
        <v>1</v>
      </c>
      <c r="Q218" s="35">
        <v>2</v>
      </c>
      <c r="R218" s="35">
        <v>74</v>
      </c>
      <c r="S218" s="32">
        <v>0</v>
      </c>
      <c r="T218" s="31">
        <v>479</v>
      </c>
      <c r="U218" s="32">
        <v>70</v>
      </c>
      <c r="V218" s="31">
        <v>79</v>
      </c>
      <c r="W218" s="32">
        <v>466</v>
      </c>
      <c r="X218" s="31">
        <v>477</v>
      </c>
      <c r="Y218" s="32">
        <v>68</v>
      </c>
      <c r="Z218" s="111">
        <v>474</v>
      </c>
      <c r="AA218" s="35">
        <v>0</v>
      </c>
      <c r="AB218" s="35">
        <v>18</v>
      </c>
      <c r="AC218" s="35">
        <v>56</v>
      </c>
      <c r="AD218" s="35">
        <v>0</v>
      </c>
      <c r="AE218" s="33">
        <v>0</v>
      </c>
      <c r="AF218" s="115">
        <v>1</v>
      </c>
      <c r="AG218" s="111"/>
      <c r="AH218" s="32"/>
      <c r="AI218" s="31">
        <v>63</v>
      </c>
      <c r="AJ218" s="33">
        <v>478</v>
      </c>
      <c r="AK218" s="31"/>
      <c r="AL218" s="32"/>
      <c r="AM218" s="31"/>
      <c r="AN218" s="115"/>
      <c r="AO218" s="111"/>
      <c r="AP218" s="32"/>
      <c r="AQ218" s="31"/>
      <c r="AR218" s="115"/>
      <c r="AS218" s="111"/>
      <c r="AT218" s="32"/>
      <c r="AU218" s="31">
        <v>472</v>
      </c>
      <c r="AV218" s="111">
        <v>0</v>
      </c>
      <c r="AW218" s="111">
        <v>69</v>
      </c>
      <c r="AX218" s="31"/>
      <c r="AY218" s="32"/>
      <c r="AZ218" s="31"/>
      <c r="BA218" s="115"/>
      <c r="BB218" s="31">
        <v>70</v>
      </c>
      <c r="BC218" s="32">
        <v>471</v>
      </c>
      <c r="BD218" s="31">
        <v>71</v>
      </c>
      <c r="BE218" s="115">
        <v>468</v>
      </c>
      <c r="BF218" s="111">
        <v>474</v>
      </c>
      <c r="BG218" s="32">
        <v>66</v>
      </c>
      <c r="BH218" s="31">
        <v>71</v>
      </c>
      <c r="BI218" s="32">
        <v>462</v>
      </c>
      <c r="BJ218" s="111">
        <v>21</v>
      </c>
      <c r="BK218" s="33">
        <v>55</v>
      </c>
      <c r="BL218" s="115">
        <v>475</v>
      </c>
      <c r="BM218" s="111">
        <v>475</v>
      </c>
      <c r="BN218" s="35">
        <v>55</v>
      </c>
      <c r="BO218" s="32">
        <v>14</v>
      </c>
      <c r="BP218" s="31">
        <v>65</v>
      </c>
      <c r="BQ218" s="32">
        <v>475</v>
      </c>
      <c r="BR218" s="31">
        <v>447</v>
      </c>
      <c r="BS218" s="32">
        <v>97</v>
      </c>
      <c r="BT218" s="31">
        <v>63</v>
      </c>
      <c r="BU218" s="33">
        <v>20</v>
      </c>
      <c r="BV218" s="115">
        <v>454</v>
      </c>
      <c r="BW218" s="111">
        <v>474</v>
      </c>
      <c r="BX218" s="32">
        <v>75</v>
      </c>
      <c r="BY218" s="31">
        <v>474</v>
      </c>
      <c r="BZ218" s="32">
        <v>61</v>
      </c>
      <c r="CA218" s="111">
        <v>74</v>
      </c>
      <c r="CB218" s="32">
        <v>468</v>
      </c>
      <c r="CC218" s="33">
        <v>213</v>
      </c>
      <c r="CD218" s="34">
        <v>507</v>
      </c>
      <c r="CE218" s="111">
        <v>165</v>
      </c>
      <c r="CF218" s="38">
        <v>309</v>
      </c>
      <c r="CG218" s="31">
        <v>93</v>
      </c>
      <c r="CH218" s="35">
        <v>48</v>
      </c>
      <c r="CI218" s="35">
        <v>306</v>
      </c>
      <c r="CJ218" s="35">
        <v>311</v>
      </c>
      <c r="CK218" s="32">
        <v>115</v>
      </c>
    </row>
    <row r="219" spans="1:89" ht="13" x14ac:dyDescent="0.25">
      <c r="A219" s="27">
        <v>3208</v>
      </c>
      <c r="B219" s="28" t="s">
        <v>242</v>
      </c>
      <c r="C219" s="29">
        <v>760</v>
      </c>
      <c r="D219" s="30">
        <v>508</v>
      </c>
      <c r="E219" s="20">
        <f t="shared" si="3"/>
        <v>0.66842105263157892</v>
      </c>
      <c r="F219" s="31">
        <v>0</v>
      </c>
      <c r="G219" s="111">
        <v>0</v>
      </c>
      <c r="H219" s="111">
        <v>0</v>
      </c>
      <c r="I219" s="111">
        <v>0</v>
      </c>
      <c r="J219" s="111">
        <v>2</v>
      </c>
      <c r="K219" s="111">
        <v>0</v>
      </c>
      <c r="L219" s="111">
        <v>0</v>
      </c>
      <c r="M219" s="111">
        <v>425</v>
      </c>
      <c r="N219" s="111">
        <v>0</v>
      </c>
      <c r="O219" s="111">
        <v>0</v>
      </c>
      <c r="P219" s="35">
        <v>1</v>
      </c>
      <c r="Q219" s="35">
        <v>1</v>
      </c>
      <c r="R219" s="35">
        <v>70</v>
      </c>
      <c r="S219" s="32">
        <v>0</v>
      </c>
      <c r="T219" s="31">
        <v>425</v>
      </c>
      <c r="U219" s="32">
        <v>71</v>
      </c>
      <c r="V219" s="31">
        <v>77</v>
      </c>
      <c r="W219" s="32">
        <v>419</v>
      </c>
      <c r="X219" s="31">
        <v>422</v>
      </c>
      <c r="Y219" s="32">
        <v>66</v>
      </c>
      <c r="Z219" s="111">
        <v>423</v>
      </c>
      <c r="AA219" s="35">
        <v>0</v>
      </c>
      <c r="AB219" s="35">
        <v>17</v>
      </c>
      <c r="AC219" s="35">
        <v>56</v>
      </c>
      <c r="AD219" s="35">
        <v>0</v>
      </c>
      <c r="AE219" s="33">
        <v>0</v>
      </c>
      <c r="AF219" s="115">
        <v>0</v>
      </c>
      <c r="AG219" s="111"/>
      <c r="AH219" s="32"/>
      <c r="AI219" s="31">
        <v>68</v>
      </c>
      <c r="AJ219" s="33">
        <v>423</v>
      </c>
      <c r="AK219" s="31"/>
      <c r="AL219" s="32"/>
      <c r="AM219" s="31"/>
      <c r="AN219" s="115"/>
      <c r="AO219" s="111"/>
      <c r="AP219" s="32"/>
      <c r="AQ219" s="31"/>
      <c r="AR219" s="115"/>
      <c r="AS219" s="111"/>
      <c r="AT219" s="32"/>
      <c r="AU219" s="31">
        <v>420</v>
      </c>
      <c r="AV219" s="111">
        <v>0</v>
      </c>
      <c r="AW219" s="111">
        <v>72</v>
      </c>
      <c r="AX219" s="31"/>
      <c r="AY219" s="32"/>
      <c r="AZ219" s="31"/>
      <c r="BA219" s="115"/>
      <c r="BB219" s="31">
        <v>76</v>
      </c>
      <c r="BC219" s="32">
        <v>411</v>
      </c>
      <c r="BD219" s="31">
        <v>76</v>
      </c>
      <c r="BE219" s="115">
        <v>413</v>
      </c>
      <c r="BF219" s="111">
        <v>416</v>
      </c>
      <c r="BG219" s="32">
        <v>71</v>
      </c>
      <c r="BH219" s="31">
        <v>74</v>
      </c>
      <c r="BI219" s="32">
        <v>411</v>
      </c>
      <c r="BJ219" s="111">
        <v>16</v>
      </c>
      <c r="BK219" s="33">
        <v>57</v>
      </c>
      <c r="BL219" s="115">
        <v>419</v>
      </c>
      <c r="BM219" s="111">
        <v>408</v>
      </c>
      <c r="BN219" s="35">
        <v>59</v>
      </c>
      <c r="BO219" s="32">
        <v>20</v>
      </c>
      <c r="BP219" s="31">
        <v>69</v>
      </c>
      <c r="BQ219" s="32">
        <v>421</v>
      </c>
      <c r="BR219" s="31">
        <v>402</v>
      </c>
      <c r="BS219" s="32">
        <v>88</v>
      </c>
      <c r="BT219" s="31">
        <v>67</v>
      </c>
      <c r="BU219" s="33">
        <v>21</v>
      </c>
      <c r="BV219" s="115">
        <v>403</v>
      </c>
      <c r="BW219" s="111">
        <v>425</v>
      </c>
      <c r="BX219" s="32">
        <v>69</v>
      </c>
      <c r="BY219" s="31">
        <v>418</v>
      </c>
      <c r="BZ219" s="32">
        <v>65</v>
      </c>
      <c r="CA219" s="111">
        <v>70</v>
      </c>
      <c r="CB219" s="32">
        <v>420</v>
      </c>
      <c r="CC219" s="33">
        <v>177</v>
      </c>
      <c r="CD219" s="34">
        <v>445</v>
      </c>
      <c r="CE219" s="111">
        <v>178</v>
      </c>
      <c r="CF219" s="38">
        <v>247</v>
      </c>
      <c r="CG219" s="31">
        <v>102</v>
      </c>
      <c r="CH219" s="35">
        <v>55</v>
      </c>
      <c r="CI219" s="35">
        <v>218</v>
      </c>
      <c r="CJ219" s="35">
        <v>250</v>
      </c>
      <c r="CK219" s="32">
        <v>111</v>
      </c>
    </row>
    <row r="220" spans="1:89" ht="13" x14ac:dyDescent="0.25">
      <c r="A220" s="27">
        <v>3209</v>
      </c>
      <c r="B220" s="28" t="s">
        <v>243</v>
      </c>
      <c r="C220" s="29">
        <v>996</v>
      </c>
      <c r="D220" s="30">
        <v>738</v>
      </c>
      <c r="E220" s="20">
        <f t="shared" si="3"/>
        <v>0.74096385542168675</v>
      </c>
      <c r="F220" s="31">
        <v>0</v>
      </c>
      <c r="G220" s="111">
        <v>0</v>
      </c>
      <c r="H220" s="111">
        <v>0</v>
      </c>
      <c r="I220" s="111">
        <v>0</v>
      </c>
      <c r="J220" s="111">
        <v>3</v>
      </c>
      <c r="K220" s="111">
        <v>0</v>
      </c>
      <c r="L220" s="111">
        <v>0</v>
      </c>
      <c r="M220" s="111">
        <v>590</v>
      </c>
      <c r="N220" s="111">
        <v>0</v>
      </c>
      <c r="O220" s="111">
        <v>0</v>
      </c>
      <c r="P220" s="35">
        <v>2</v>
      </c>
      <c r="Q220" s="35">
        <v>1</v>
      </c>
      <c r="R220" s="35">
        <v>134</v>
      </c>
      <c r="S220" s="32">
        <v>0</v>
      </c>
      <c r="T220" s="31">
        <v>562</v>
      </c>
      <c r="U220" s="32">
        <v>161</v>
      </c>
      <c r="V220" s="31">
        <v>159</v>
      </c>
      <c r="W220" s="32">
        <v>566</v>
      </c>
      <c r="X220" s="31">
        <v>574</v>
      </c>
      <c r="Y220" s="32">
        <v>140</v>
      </c>
      <c r="Z220" s="111">
        <v>569</v>
      </c>
      <c r="AA220" s="35">
        <v>0</v>
      </c>
      <c r="AB220" s="35">
        <v>25</v>
      </c>
      <c r="AC220" s="35">
        <v>131</v>
      </c>
      <c r="AD220" s="35">
        <v>0</v>
      </c>
      <c r="AE220" s="33">
        <v>0</v>
      </c>
      <c r="AF220" s="115">
        <v>0</v>
      </c>
      <c r="AG220" s="111"/>
      <c r="AH220" s="32"/>
      <c r="AI220" s="31">
        <v>139</v>
      </c>
      <c r="AJ220" s="33">
        <v>572</v>
      </c>
      <c r="AK220" s="31"/>
      <c r="AL220" s="32"/>
      <c r="AM220" s="31"/>
      <c r="AN220" s="115"/>
      <c r="AO220" s="111"/>
      <c r="AP220" s="32"/>
      <c r="AQ220" s="31"/>
      <c r="AR220" s="115"/>
      <c r="AS220" s="111"/>
      <c r="AT220" s="32"/>
      <c r="AU220" s="31">
        <v>569</v>
      </c>
      <c r="AV220" s="111">
        <v>0</v>
      </c>
      <c r="AW220" s="111">
        <v>149</v>
      </c>
      <c r="AX220" s="31"/>
      <c r="AY220" s="32"/>
      <c r="AZ220" s="31"/>
      <c r="BA220" s="115"/>
      <c r="BB220" s="31">
        <v>147</v>
      </c>
      <c r="BC220" s="32">
        <v>567</v>
      </c>
      <c r="BD220" s="31">
        <v>145</v>
      </c>
      <c r="BE220" s="115">
        <v>564</v>
      </c>
      <c r="BF220" s="111">
        <v>567</v>
      </c>
      <c r="BG220" s="32">
        <v>146</v>
      </c>
      <c r="BH220" s="31">
        <v>162</v>
      </c>
      <c r="BI220" s="32">
        <v>545</v>
      </c>
      <c r="BJ220" s="111">
        <v>15</v>
      </c>
      <c r="BK220" s="33">
        <v>127</v>
      </c>
      <c r="BL220" s="115">
        <v>575</v>
      </c>
      <c r="BM220" s="111">
        <v>562</v>
      </c>
      <c r="BN220" s="35">
        <v>130</v>
      </c>
      <c r="BO220" s="32">
        <v>20</v>
      </c>
      <c r="BP220" s="31">
        <v>138</v>
      </c>
      <c r="BQ220" s="32">
        <v>577</v>
      </c>
      <c r="BR220" s="31">
        <v>545</v>
      </c>
      <c r="BS220" s="32">
        <v>165</v>
      </c>
      <c r="BT220" s="31">
        <v>135</v>
      </c>
      <c r="BU220" s="33">
        <v>24</v>
      </c>
      <c r="BV220" s="115">
        <v>555</v>
      </c>
      <c r="BW220" s="111">
        <v>564</v>
      </c>
      <c r="BX220" s="32">
        <v>151</v>
      </c>
      <c r="BY220" s="31">
        <v>569</v>
      </c>
      <c r="BZ220" s="32">
        <v>137</v>
      </c>
      <c r="CA220" s="111">
        <v>146</v>
      </c>
      <c r="CB220" s="32">
        <v>568</v>
      </c>
      <c r="CC220" s="33">
        <v>282</v>
      </c>
      <c r="CD220" s="34">
        <v>636</v>
      </c>
      <c r="CE220" s="111">
        <v>222</v>
      </c>
      <c r="CF220" s="38">
        <v>402</v>
      </c>
      <c r="CG220" s="31">
        <v>105</v>
      </c>
      <c r="CH220" s="35">
        <v>76</v>
      </c>
      <c r="CI220" s="35">
        <v>405</v>
      </c>
      <c r="CJ220" s="35">
        <v>396</v>
      </c>
      <c r="CK220" s="32">
        <v>174</v>
      </c>
    </row>
    <row r="221" spans="1:89" ht="13" x14ac:dyDescent="0.25">
      <c r="A221" s="27">
        <v>3210</v>
      </c>
      <c r="B221" s="28" t="s">
        <v>244</v>
      </c>
      <c r="C221" s="29">
        <v>866</v>
      </c>
      <c r="D221" s="30">
        <v>632</v>
      </c>
      <c r="E221" s="20">
        <f t="shared" si="3"/>
        <v>0.72979214780600465</v>
      </c>
      <c r="F221" s="31">
        <v>0</v>
      </c>
      <c r="G221" s="111">
        <v>0</v>
      </c>
      <c r="H221" s="111">
        <v>0</v>
      </c>
      <c r="I221" s="111">
        <v>0</v>
      </c>
      <c r="J221" s="111">
        <v>4</v>
      </c>
      <c r="K221" s="111">
        <v>0</v>
      </c>
      <c r="L221" s="111">
        <v>0</v>
      </c>
      <c r="M221" s="111">
        <v>527</v>
      </c>
      <c r="N221" s="111">
        <v>0</v>
      </c>
      <c r="O221" s="111">
        <v>0</v>
      </c>
      <c r="P221" s="35">
        <v>3</v>
      </c>
      <c r="Q221" s="35">
        <v>2</v>
      </c>
      <c r="R221" s="35">
        <v>88</v>
      </c>
      <c r="S221" s="32">
        <v>0</v>
      </c>
      <c r="T221" s="31">
        <v>528</v>
      </c>
      <c r="U221" s="32">
        <v>92</v>
      </c>
      <c r="V221" s="31">
        <v>95</v>
      </c>
      <c r="W221" s="32">
        <v>525</v>
      </c>
      <c r="X221" s="31">
        <v>526</v>
      </c>
      <c r="Y221" s="32">
        <v>85</v>
      </c>
      <c r="Z221" s="111">
        <v>534</v>
      </c>
      <c r="AA221" s="35">
        <v>0</v>
      </c>
      <c r="AB221" s="35">
        <v>7</v>
      </c>
      <c r="AC221" s="35">
        <v>80</v>
      </c>
      <c r="AD221" s="35">
        <v>0</v>
      </c>
      <c r="AE221" s="33">
        <v>0</v>
      </c>
      <c r="AF221" s="115">
        <v>0</v>
      </c>
      <c r="AG221" s="111"/>
      <c r="AH221" s="32"/>
      <c r="AI221" s="31">
        <v>81</v>
      </c>
      <c r="AJ221" s="33">
        <v>523</v>
      </c>
      <c r="AK221" s="31"/>
      <c r="AL221" s="32"/>
      <c r="AM221" s="31"/>
      <c r="AN221" s="115"/>
      <c r="AO221" s="111"/>
      <c r="AP221" s="32"/>
      <c r="AQ221" s="31"/>
      <c r="AR221" s="115"/>
      <c r="AS221" s="111"/>
      <c r="AT221" s="32"/>
      <c r="AU221" s="31">
        <v>527</v>
      </c>
      <c r="AV221" s="111">
        <v>0</v>
      </c>
      <c r="AW221" s="111">
        <v>85</v>
      </c>
      <c r="AX221" s="31"/>
      <c r="AY221" s="32"/>
      <c r="AZ221" s="31"/>
      <c r="BA221" s="115"/>
      <c r="BB221" s="31">
        <v>83</v>
      </c>
      <c r="BC221" s="32">
        <v>524</v>
      </c>
      <c r="BD221" s="31">
        <v>87</v>
      </c>
      <c r="BE221" s="115">
        <v>516</v>
      </c>
      <c r="BF221" s="111">
        <v>523</v>
      </c>
      <c r="BG221" s="32">
        <v>84</v>
      </c>
      <c r="BH221" s="31">
        <v>92</v>
      </c>
      <c r="BI221" s="32">
        <v>513</v>
      </c>
      <c r="BJ221" s="111">
        <v>12</v>
      </c>
      <c r="BK221" s="33">
        <v>67</v>
      </c>
      <c r="BL221" s="115">
        <v>540</v>
      </c>
      <c r="BM221" s="111">
        <v>528</v>
      </c>
      <c r="BN221" s="35">
        <v>76</v>
      </c>
      <c r="BO221" s="32">
        <v>10</v>
      </c>
      <c r="BP221" s="31">
        <v>80</v>
      </c>
      <c r="BQ221" s="32">
        <v>535</v>
      </c>
      <c r="BR221" s="31">
        <v>499</v>
      </c>
      <c r="BS221" s="32">
        <v>114</v>
      </c>
      <c r="BT221" s="31">
        <v>75</v>
      </c>
      <c r="BU221" s="33">
        <v>14</v>
      </c>
      <c r="BV221" s="115">
        <v>518</v>
      </c>
      <c r="BW221" s="111">
        <v>531</v>
      </c>
      <c r="BX221" s="32">
        <v>87</v>
      </c>
      <c r="BY221" s="31">
        <v>518</v>
      </c>
      <c r="BZ221" s="32">
        <v>87</v>
      </c>
      <c r="CA221" s="111">
        <v>75</v>
      </c>
      <c r="CB221" s="32">
        <v>535</v>
      </c>
      <c r="CC221" s="33">
        <v>249</v>
      </c>
      <c r="CD221" s="34">
        <v>555</v>
      </c>
      <c r="CE221" s="111">
        <v>197</v>
      </c>
      <c r="CF221" s="38">
        <v>337</v>
      </c>
      <c r="CG221" s="31">
        <v>113</v>
      </c>
      <c r="CH221" s="35">
        <v>43</v>
      </c>
      <c r="CI221" s="35">
        <v>338</v>
      </c>
      <c r="CJ221" s="35">
        <v>366</v>
      </c>
      <c r="CK221" s="32">
        <v>124</v>
      </c>
    </row>
    <row r="222" spans="1:89" ht="13" x14ac:dyDescent="0.25">
      <c r="A222" s="27">
        <v>3211</v>
      </c>
      <c r="B222" s="28" t="s">
        <v>245</v>
      </c>
      <c r="C222" s="29">
        <v>1180</v>
      </c>
      <c r="D222" s="30">
        <v>628</v>
      </c>
      <c r="E222" s="20">
        <f t="shared" si="3"/>
        <v>0.53220338983050852</v>
      </c>
      <c r="F222" s="31">
        <v>0</v>
      </c>
      <c r="G222" s="111">
        <v>0</v>
      </c>
      <c r="H222" s="111">
        <v>0</v>
      </c>
      <c r="I222" s="111">
        <v>0</v>
      </c>
      <c r="J222" s="111">
        <v>2</v>
      </c>
      <c r="K222" s="111">
        <v>0</v>
      </c>
      <c r="L222" s="111">
        <v>0</v>
      </c>
      <c r="M222" s="111">
        <v>476</v>
      </c>
      <c r="N222" s="111">
        <v>0</v>
      </c>
      <c r="O222" s="111">
        <v>0</v>
      </c>
      <c r="P222" s="35">
        <v>0</v>
      </c>
      <c r="Q222" s="35">
        <v>2</v>
      </c>
      <c r="R222" s="35">
        <v>143</v>
      </c>
      <c r="S222" s="32">
        <v>0</v>
      </c>
      <c r="T222" s="31">
        <v>471</v>
      </c>
      <c r="U222" s="32">
        <v>138</v>
      </c>
      <c r="V222" s="31">
        <v>131</v>
      </c>
      <c r="W222" s="32">
        <v>476</v>
      </c>
      <c r="X222" s="31">
        <v>475</v>
      </c>
      <c r="Y222" s="32">
        <v>127</v>
      </c>
      <c r="Z222" s="111">
        <v>476</v>
      </c>
      <c r="AA222" s="35">
        <v>0</v>
      </c>
      <c r="AB222" s="35">
        <v>21</v>
      </c>
      <c r="AC222" s="35">
        <v>116</v>
      </c>
      <c r="AD222" s="35">
        <v>0</v>
      </c>
      <c r="AE222" s="33">
        <v>0</v>
      </c>
      <c r="AF222" s="115">
        <v>0</v>
      </c>
      <c r="AG222" s="111"/>
      <c r="AH222" s="32"/>
      <c r="AI222" s="31">
        <v>129</v>
      </c>
      <c r="AJ222" s="33">
        <v>476</v>
      </c>
      <c r="AK222" s="31"/>
      <c r="AL222" s="32"/>
      <c r="AM222" s="31"/>
      <c r="AN222" s="115"/>
      <c r="AO222" s="111"/>
      <c r="AP222" s="32"/>
      <c r="AQ222" s="31"/>
      <c r="AR222" s="115"/>
      <c r="AS222" s="111"/>
      <c r="AT222" s="32"/>
      <c r="AU222" s="31">
        <v>471</v>
      </c>
      <c r="AV222" s="111">
        <v>0</v>
      </c>
      <c r="AW222" s="111">
        <v>126</v>
      </c>
      <c r="AX222" s="31"/>
      <c r="AY222" s="32"/>
      <c r="AZ222" s="31"/>
      <c r="BA222" s="115"/>
      <c r="BB222" s="31">
        <v>130</v>
      </c>
      <c r="BC222" s="32">
        <v>466</v>
      </c>
      <c r="BD222" s="31">
        <v>130</v>
      </c>
      <c r="BE222" s="115">
        <v>463</v>
      </c>
      <c r="BF222" s="111">
        <v>458</v>
      </c>
      <c r="BG222" s="32">
        <v>132</v>
      </c>
      <c r="BH222" s="31">
        <v>134</v>
      </c>
      <c r="BI222" s="32">
        <v>461</v>
      </c>
      <c r="BJ222" s="111">
        <v>17</v>
      </c>
      <c r="BK222" s="33">
        <v>108</v>
      </c>
      <c r="BL222" s="115">
        <v>478</v>
      </c>
      <c r="BM222" s="111">
        <v>466</v>
      </c>
      <c r="BN222" s="35">
        <v>113</v>
      </c>
      <c r="BO222" s="32">
        <v>16</v>
      </c>
      <c r="BP222" s="31">
        <v>116</v>
      </c>
      <c r="BQ222" s="32">
        <v>482</v>
      </c>
      <c r="BR222" s="31">
        <v>457</v>
      </c>
      <c r="BS222" s="32">
        <v>145</v>
      </c>
      <c r="BT222" s="31">
        <v>126</v>
      </c>
      <c r="BU222" s="33">
        <v>20</v>
      </c>
      <c r="BV222" s="115">
        <v>455</v>
      </c>
      <c r="BW222" s="111">
        <v>476</v>
      </c>
      <c r="BX222" s="32">
        <v>129</v>
      </c>
      <c r="BY222" s="31">
        <v>470</v>
      </c>
      <c r="BZ222" s="32">
        <v>122</v>
      </c>
      <c r="CA222" s="111">
        <v>120</v>
      </c>
      <c r="CB222" s="32">
        <v>480</v>
      </c>
      <c r="CC222" s="33">
        <v>270</v>
      </c>
      <c r="CD222" s="34">
        <v>533</v>
      </c>
      <c r="CE222" s="111">
        <v>184</v>
      </c>
      <c r="CF222" s="38">
        <v>352</v>
      </c>
      <c r="CG222" s="31">
        <v>122</v>
      </c>
      <c r="CH222" s="35">
        <v>57</v>
      </c>
      <c r="CI222" s="35">
        <v>321</v>
      </c>
      <c r="CJ222" s="35">
        <v>316</v>
      </c>
      <c r="CK222" s="32">
        <v>129</v>
      </c>
    </row>
    <row r="223" spans="1:89" ht="13" x14ac:dyDescent="0.25">
      <c r="A223" s="27">
        <v>3212</v>
      </c>
      <c r="B223" s="28" t="s">
        <v>246</v>
      </c>
      <c r="C223" s="29">
        <v>1073</v>
      </c>
      <c r="D223" s="30">
        <v>686</v>
      </c>
      <c r="E223" s="20">
        <f t="shared" si="3"/>
        <v>0.63932898415657036</v>
      </c>
      <c r="F223" s="31">
        <v>0</v>
      </c>
      <c r="G223" s="111">
        <v>0</v>
      </c>
      <c r="H223" s="111">
        <v>0</v>
      </c>
      <c r="I223" s="111">
        <v>0</v>
      </c>
      <c r="J223" s="111">
        <v>2</v>
      </c>
      <c r="K223" s="111">
        <v>0</v>
      </c>
      <c r="L223" s="111">
        <v>0</v>
      </c>
      <c r="M223" s="111">
        <v>547</v>
      </c>
      <c r="N223" s="111">
        <v>0</v>
      </c>
      <c r="O223" s="111">
        <v>0</v>
      </c>
      <c r="P223" s="35">
        <v>3</v>
      </c>
      <c r="Q223" s="35">
        <v>0</v>
      </c>
      <c r="R223" s="35">
        <v>126</v>
      </c>
      <c r="S223" s="32">
        <v>0</v>
      </c>
      <c r="T223" s="31">
        <v>538</v>
      </c>
      <c r="U223" s="32">
        <v>124</v>
      </c>
      <c r="V223" s="31">
        <v>138</v>
      </c>
      <c r="W223" s="32">
        <v>528</v>
      </c>
      <c r="X223" s="31">
        <v>529</v>
      </c>
      <c r="Y223" s="32">
        <v>126</v>
      </c>
      <c r="Z223" s="111">
        <v>551</v>
      </c>
      <c r="AA223" s="35">
        <v>0</v>
      </c>
      <c r="AB223" s="35">
        <v>13</v>
      </c>
      <c r="AC223" s="35">
        <v>107</v>
      </c>
      <c r="AD223" s="35">
        <v>0</v>
      </c>
      <c r="AE223" s="33">
        <v>0</v>
      </c>
      <c r="AF223" s="115">
        <v>0</v>
      </c>
      <c r="AG223" s="111"/>
      <c r="AH223" s="32"/>
      <c r="AI223" s="31">
        <v>121</v>
      </c>
      <c r="AJ223" s="33">
        <v>533</v>
      </c>
      <c r="AK223" s="31"/>
      <c r="AL223" s="32"/>
      <c r="AM223" s="31"/>
      <c r="AN223" s="115"/>
      <c r="AO223" s="111"/>
      <c r="AP223" s="32"/>
      <c r="AQ223" s="31"/>
      <c r="AR223" s="115"/>
      <c r="AS223" s="111"/>
      <c r="AT223" s="32"/>
      <c r="AU223" s="31">
        <v>544</v>
      </c>
      <c r="AV223" s="111">
        <v>1</v>
      </c>
      <c r="AW223" s="111">
        <v>112</v>
      </c>
      <c r="AX223" s="31"/>
      <c r="AY223" s="32"/>
      <c r="AZ223" s="31"/>
      <c r="BA223" s="115"/>
      <c r="BB223" s="31">
        <v>122</v>
      </c>
      <c r="BC223" s="32">
        <v>531</v>
      </c>
      <c r="BD223" s="31">
        <v>121</v>
      </c>
      <c r="BE223" s="115">
        <v>533</v>
      </c>
      <c r="BF223" s="111">
        <v>537</v>
      </c>
      <c r="BG223" s="32">
        <v>116</v>
      </c>
      <c r="BH223" s="31">
        <v>133</v>
      </c>
      <c r="BI223" s="32">
        <v>514</v>
      </c>
      <c r="BJ223" s="111">
        <v>14</v>
      </c>
      <c r="BK223" s="33">
        <v>105</v>
      </c>
      <c r="BL223" s="115">
        <v>546</v>
      </c>
      <c r="BM223" s="111">
        <v>536</v>
      </c>
      <c r="BN223" s="35">
        <v>108</v>
      </c>
      <c r="BO223" s="32">
        <v>11</v>
      </c>
      <c r="BP223" s="31">
        <v>118</v>
      </c>
      <c r="BQ223" s="32">
        <v>538</v>
      </c>
      <c r="BR223" s="31">
        <v>516</v>
      </c>
      <c r="BS223" s="32">
        <v>140</v>
      </c>
      <c r="BT223" s="31">
        <v>114</v>
      </c>
      <c r="BU223" s="33">
        <v>26</v>
      </c>
      <c r="BV223" s="115">
        <v>514</v>
      </c>
      <c r="BW223" s="111">
        <v>531</v>
      </c>
      <c r="BX223" s="32">
        <v>133</v>
      </c>
      <c r="BY223" s="31">
        <v>534</v>
      </c>
      <c r="BZ223" s="32">
        <v>113</v>
      </c>
      <c r="CA223" s="111">
        <v>113</v>
      </c>
      <c r="CB223" s="32">
        <v>539</v>
      </c>
      <c r="CC223" s="33">
        <v>255</v>
      </c>
      <c r="CD223" s="34">
        <v>580</v>
      </c>
      <c r="CE223" s="111">
        <v>223</v>
      </c>
      <c r="CF223" s="38">
        <v>345</v>
      </c>
      <c r="CG223" s="31">
        <v>150</v>
      </c>
      <c r="CH223" s="35">
        <v>50</v>
      </c>
      <c r="CI223" s="35">
        <v>316</v>
      </c>
      <c r="CJ223" s="35">
        <v>333</v>
      </c>
      <c r="CK223" s="32">
        <v>153</v>
      </c>
    </row>
    <row r="224" spans="1:89" ht="13" x14ac:dyDescent="0.25">
      <c r="A224" s="27">
        <v>3213</v>
      </c>
      <c r="B224" s="28" t="s">
        <v>247</v>
      </c>
      <c r="C224" s="29">
        <v>1089</v>
      </c>
      <c r="D224" s="30">
        <v>679</v>
      </c>
      <c r="E224" s="20">
        <f t="shared" si="3"/>
        <v>0.62350780532598715</v>
      </c>
      <c r="F224" s="31">
        <v>0</v>
      </c>
      <c r="G224" s="111">
        <v>0</v>
      </c>
      <c r="H224" s="111">
        <v>0</v>
      </c>
      <c r="I224" s="111">
        <v>0</v>
      </c>
      <c r="J224" s="111">
        <v>2</v>
      </c>
      <c r="K224" s="111">
        <v>0</v>
      </c>
      <c r="L224" s="111">
        <v>0</v>
      </c>
      <c r="M224" s="111">
        <v>558</v>
      </c>
      <c r="N224" s="111">
        <v>0</v>
      </c>
      <c r="O224" s="111">
        <v>0</v>
      </c>
      <c r="P224" s="35">
        <v>2</v>
      </c>
      <c r="Q224" s="35">
        <v>1</v>
      </c>
      <c r="R224" s="35">
        <v>104</v>
      </c>
      <c r="S224" s="32">
        <v>0</v>
      </c>
      <c r="T224" s="31">
        <v>558</v>
      </c>
      <c r="U224" s="32">
        <v>103</v>
      </c>
      <c r="V224" s="31">
        <v>107</v>
      </c>
      <c r="W224" s="32">
        <v>556</v>
      </c>
      <c r="X224" s="31">
        <v>552</v>
      </c>
      <c r="Y224" s="32">
        <v>102</v>
      </c>
      <c r="Z224" s="111">
        <v>563</v>
      </c>
      <c r="AA224" s="35">
        <v>0</v>
      </c>
      <c r="AB224" s="35">
        <v>13</v>
      </c>
      <c r="AC224" s="35">
        <v>93</v>
      </c>
      <c r="AD224" s="35">
        <v>0</v>
      </c>
      <c r="AE224" s="33">
        <v>0</v>
      </c>
      <c r="AF224" s="115">
        <v>1</v>
      </c>
      <c r="AG224" s="111"/>
      <c r="AH224" s="32"/>
      <c r="AI224" s="31">
        <v>91</v>
      </c>
      <c r="AJ224" s="33">
        <v>559</v>
      </c>
      <c r="AK224" s="31"/>
      <c r="AL224" s="32"/>
      <c r="AM224" s="31"/>
      <c r="AN224" s="115"/>
      <c r="AO224" s="111"/>
      <c r="AP224" s="32"/>
      <c r="AQ224" s="31"/>
      <c r="AR224" s="115"/>
      <c r="AS224" s="111"/>
      <c r="AT224" s="32"/>
      <c r="AU224" s="31">
        <v>555</v>
      </c>
      <c r="AV224" s="111">
        <v>0</v>
      </c>
      <c r="AW224" s="111">
        <v>99</v>
      </c>
      <c r="AX224" s="31"/>
      <c r="AY224" s="32"/>
      <c r="AZ224" s="31"/>
      <c r="BA224" s="115"/>
      <c r="BB224" s="31">
        <v>103</v>
      </c>
      <c r="BC224" s="32">
        <v>547</v>
      </c>
      <c r="BD224" s="31">
        <v>89</v>
      </c>
      <c r="BE224" s="115">
        <v>562</v>
      </c>
      <c r="BF224" s="111">
        <v>554</v>
      </c>
      <c r="BG224" s="32">
        <v>96</v>
      </c>
      <c r="BH224" s="31">
        <v>112</v>
      </c>
      <c r="BI224" s="32">
        <v>538</v>
      </c>
      <c r="BJ224" s="111">
        <v>12</v>
      </c>
      <c r="BK224" s="33">
        <v>82</v>
      </c>
      <c r="BL224" s="115">
        <v>559</v>
      </c>
      <c r="BM224" s="111">
        <v>551</v>
      </c>
      <c r="BN224" s="35">
        <v>82</v>
      </c>
      <c r="BO224" s="32">
        <v>12</v>
      </c>
      <c r="BP224" s="31">
        <v>91</v>
      </c>
      <c r="BQ224" s="32">
        <v>556</v>
      </c>
      <c r="BR224" s="31">
        <v>527</v>
      </c>
      <c r="BS224" s="32">
        <v>122</v>
      </c>
      <c r="BT224" s="31">
        <v>98</v>
      </c>
      <c r="BU224" s="33">
        <v>19</v>
      </c>
      <c r="BV224" s="115">
        <v>530</v>
      </c>
      <c r="BW224" s="111">
        <v>552</v>
      </c>
      <c r="BX224" s="32">
        <v>106</v>
      </c>
      <c r="BY224" s="31">
        <v>537</v>
      </c>
      <c r="BZ224" s="32">
        <v>100</v>
      </c>
      <c r="CA224" s="111">
        <v>98</v>
      </c>
      <c r="CB224" s="32">
        <v>549</v>
      </c>
      <c r="CC224" s="33">
        <v>255</v>
      </c>
      <c r="CD224" s="34">
        <v>592</v>
      </c>
      <c r="CE224" s="111">
        <v>200</v>
      </c>
      <c r="CF224" s="38">
        <v>359</v>
      </c>
      <c r="CG224" s="31">
        <v>114</v>
      </c>
      <c r="CH224" s="35">
        <v>52</v>
      </c>
      <c r="CI224" s="35">
        <v>353</v>
      </c>
      <c r="CJ224" s="35">
        <v>384</v>
      </c>
      <c r="CK224" s="32">
        <v>127</v>
      </c>
    </row>
    <row r="225" spans="1:89" ht="13" x14ac:dyDescent="0.25">
      <c r="A225" s="27">
        <v>3401</v>
      </c>
      <c r="B225" s="28" t="s">
        <v>248</v>
      </c>
      <c r="C225" s="29">
        <v>1472</v>
      </c>
      <c r="D225" s="30">
        <v>931</v>
      </c>
      <c r="E225" s="20">
        <f t="shared" si="3"/>
        <v>0.63247282608695654</v>
      </c>
      <c r="F225" s="31">
        <v>0</v>
      </c>
      <c r="G225" s="111">
        <v>0</v>
      </c>
      <c r="H225" s="111">
        <v>0</v>
      </c>
      <c r="I225" s="111">
        <v>0</v>
      </c>
      <c r="J225" s="111">
        <v>0</v>
      </c>
      <c r="K225" s="111">
        <v>0</v>
      </c>
      <c r="L225" s="111">
        <v>0</v>
      </c>
      <c r="M225" s="111">
        <v>186</v>
      </c>
      <c r="N225" s="111">
        <v>0</v>
      </c>
      <c r="O225" s="111">
        <v>0</v>
      </c>
      <c r="P225" s="35">
        <v>6</v>
      </c>
      <c r="Q225" s="35">
        <v>0</v>
      </c>
      <c r="R225" s="35">
        <v>732</v>
      </c>
      <c r="S225" s="32">
        <v>0</v>
      </c>
      <c r="T225" s="31">
        <v>190</v>
      </c>
      <c r="U225" s="32">
        <v>700</v>
      </c>
      <c r="V225" s="31">
        <v>711</v>
      </c>
      <c r="W225" s="32">
        <v>186</v>
      </c>
      <c r="X225" s="31">
        <v>195</v>
      </c>
      <c r="Y225" s="32">
        <v>687</v>
      </c>
      <c r="Z225" s="111">
        <v>212</v>
      </c>
      <c r="AA225" s="35">
        <v>0</v>
      </c>
      <c r="AB225" s="35">
        <v>47</v>
      </c>
      <c r="AC225" s="35">
        <v>648</v>
      </c>
      <c r="AD225" s="35">
        <v>0</v>
      </c>
      <c r="AE225" s="33">
        <v>0</v>
      </c>
      <c r="AF225" s="115">
        <v>0</v>
      </c>
      <c r="AG225" s="111"/>
      <c r="AH225" s="32"/>
      <c r="AI225" s="31">
        <v>689</v>
      </c>
      <c r="AJ225" s="33">
        <v>189</v>
      </c>
      <c r="AK225" s="31">
        <v>679</v>
      </c>
      <c r="AL225" s="32">
        <v>193</v>
      </c>
      <c r="AM225" s="31"/>
      <c r="AN225" s="115"/>
      <c r="AO225" s="111"/>
      <c r="AP225" s="32"/>
      <c r="AQ225" s="31"/>
      <c r="AR225" s="115"/>
      <c r="AS225" s="111"/>
      <c r="AT225" s="32"/>
      <c r="AU225" s="31"/>
      <c r="AV225" s="111"/>
      <c r="AW225" s="111"/>
      <c r="AX225" s="31">
        <v>678</v>
      </c>
      <c r="AY225" s="32">
        <v>192</v>
      </c>
      <c r="AZ225" s="31"/>
      <c r="BA225" s="115"/>
      <c r="BB225" s="31">
        <v>676</v>
      </c>
      <c r="BC225" s="32">
        <v>187</v>
      </c>
      <c r="BD225" s="31">
        <v>670</v>
      </c>
      <c r="BE225" s="115">
        <v>184</v>
      </c>
      <c r="BF225" s="111">
        <v>180</v>
      </c>
      <c r="BG225" s="32">
        <v>669</v>
      </c>
      <c r="BH225" s="31">
        <v>680</v>
      </c>
      <c r="BI225" s="32">
        <v>174</v>
      </c>
      <c r="BJ225" s="111">
        <v>48</v>
      </c>
      <c r="BK225" s="33">
        <v>631</v>
      </c>
      <c r="BL225" s="115">
        <v>185</v>
      </c>
      <c r="BM225" s="111">
        <v>191</v>
      </c>
      <c r="BN225" s="35">
        <v>637</v>
      </c>
      <c r="BO225" s="32">
        <v>35</v>
      </c>
      <c r="BP225" s="31">
        <v>675</v>
      </c>
      <c r="BQ225" s="32">
        <v>185</v>
      </c>
      <c r="BR225" s="31">
        <v>174</v>
      </c>
      <c r="BS225" s="32">
        <v>692</v>
      </c>
      <c r="BT225" s="31">
        <v>647</v>
      </c>
      <c r="BU225" s="33">
        <v>49</v>
      </c>
      <c r="BV225" s="115">
        <v>165</v>
      </c>
      <c r="BW225" s="111">
        <v>195</v>
      </c>
      <c r="BX225" s="32">
        <v>691</v>
      </c>
      <c r="BY225" s="31">
        <v>190</v>
      </c>
      <c r="BZ225" s="32">
        <v>663</v>
      </c>
      <c r="CA225" s="111">
        <v>670</v>
      </c>
      <c r="CB225" s="32">
        <v>196</v>
      </c>
      <c r="CC225" s="33">
        <v>732</v>
      </c>
      <c r="CD225" s="34">
        <v>530</v>
      </c>
      <c r="CE225" s="111">
        <v>447</v>
      </c>
      <c r="CF225" s="38">
        <v>262</v>
      </c>
      <c r="CG225" s="31">
        <v>212</v>
      </c>
      <c r="CH225" s="35">
        <v>253</v>
      </c>
      <c r="CI225" s="35">
        <v>104</v>
      </c>
      <c r="CJ225" s="35">
        <v>144</v>
      </c>
      <c r="CK225" s="32">
        <v>525</v>
      </c>
    </row>
    <row r="226" spans="1:89" ht="13" x14ac:dyDescent="0.25">
      <c r="A226" s="27">
        <v>3402</v>
      </c>
      <c r="B226" s="28" t="s">
        <v>249</v>
      </c>
      <c r="C226" s="29">
        <v>1483</v>
      </c>
      <c r="D226" s="30">
        <v>967</v>
      </c>
      <c r="E226" s="20">
        <f t="shared" si="3"/>
        <v>0.65205664194200941</v>
      </c>
      <c r="F226" s="31">
        <v>0</v>
      </c>
      <c r="G226" s="111">
        <v>0</v>
      </c>
      <c r="H226" s="111">
        <v>0</v>
      </c>
      <c r="I226" s="111">
        <v>0</v>
      </c>
      <c r="J226" s="111">
        <v>2</v>
      </c>
      <c r="K226" s="111">
        <v>0</v>
      </c>
      <c r="L226" s="111">
        <v>0</v>
      </c>
      <c r="M226" s="111">
        <v>196</v>
      </c>
      <c r="N226" s="111">
        <v>0</v>
      </c>
      <c r="O226" s="111">
        <v>0</v>
      </c>
      <c r="P226" s="35">
        <v>5</v>
      </c>
      <c r="Q226" s="35">
        <v>1</v>
      </c>
      <c r="R226" s="35">
        <v>760</v>
      </c>
      <c r="S226" s="32">
        <v>0</v>
      </c>
      <c r="T226" s="31">
        <v>200</v>
      </c>
      <c r="U226" s="32">
        <v>729</v>
      </c>
      <c r="V226" s="31">
        <v>726</v>
      </c>
      <c r="W226" s="32">
        <v>201</v>
      </c>
      <c r="X226" s="31">
        <v>210</v>
      </c>
      <c r="Y226" s="32">
        <v>698</v>
      </c>
      <c r="Z226" s="111">
        <v>213</v>
      </c>
      <c r="AA226" s="35">
        <v>0</v>
      </c>
      <c r="AB226" s="35">
        <v>53</v>
      </c>
      <c r="AC226" s="35">
        <v>669</v>
      </c>
      <c r="AD226" s="35">
        <v>0</v>
      </c>
      <c r="AE226" s="33">
        <v>0</v>
      </c>
      <c r="AF226" s="115">
        <v>0</v>
      </c>
      <c r="AG226" s="111"/>
      <c r="AH226" s="32"/>
      <c r="AI226" s="31">
        <v>715</v>
      </c>
      <c r="AJ226" s="33">
        <v>200</v>
      </c>
      <c r="AK226" s="31">
        <v>712</v>
      </c>
      <c r="AL226" s="32">
        <v>196</v>
      </c>
      <c r="AM226" s="31"/>
      <c r="AN226" s="115"/>
      <c r="AO226" s="111"/>
      <c r="AP226" s="32"/>
      <c r="AQ226" s="31"/>
      <c r="AR226" s="115"/>
      <c r="AS226" s="111"/>
      <c r="AT226" s="32"/>
      <c r="AU226" s="31"/>
      <c r="AV226" s="111"/>
      <c r="AW226" s="111"/>
      <c r="AX226" s="31">
        <v>710</v>
      </c>
      <c r="AY226" s="32">
        <v>207</v>
      </c>
      <c r="AZ226" s="31"/>
      <c r="BA226" s="115"/>
      <c r="BB226" s="31">
        <v>707</v>
      </c>
      <c r="BC226" s="32">
        <v>190</v>
      </c>
      <c r="BD226" s="31">
        <v>687</v>
      </c>
      <c r="BE226" s="115">
        <v>201</v>
      </c>
      <c r="BF226" s="111">
        <v>196</v>
      </c>
      <c r="BG226" s="32">
        <v>685</v>
      </c>
      <c r="BH226" s="31">
        <v>712</v>
      </c>
      <c r="BI226" s="32">
        <v>184</v>
      </c>
      <c r="BJ226" s="111">
        <v>51</v>
      </c>
      <c r="BK226" s="33">
        <v>656</v>
      </c>
      <c r="BL226" s="115">
        <v>195</v>
      </c>
      <c r="BM226" s="111">
        <v>197</v>
      </c>
      <c r="BN226" s="35">
        <v>655</v>
      </c>
      <c r="BO226" s="32">
        <v>40</v>
      </c>
      <c r="BP226" s="31">
        <v>706</v>
      </c>
      <c r="BQ226" s="32">
        <v>188</v>
      </c>
      <c r="BR226" s="31">
        <v>176</v>
      </c>
      <c r="BS226" s="32">
        <v>737</v>
      </c>
      <c r="BT226" s="31">
        <v>673</v>
      </c>
      <c r="BU226" s="33">
        <v>47</v>
      </c>
      <c r="BV226" s="115">
        <v>176</v>
      </c>
      <c r="BW226" s="111">
        <v>199</v>
      </c>
      <c r="BX226" s="32">
        <v>717</v>
      </c>
      <c r="BY226" s="31">
        <v>202</v>
      </c>
      <c r="BZ226" s="32">
        <v>680</v>
      </c>
      <c r="CA226" s="111">
        <v>688</v>
      </c>
      <c r="CB226" s="32">
        <v>199</v>
      </c>
      <c r="CC226" s="33">
        <v>741</v>
      </c>
      <c r="CD226" s="34">
        <v>590</v>
      </c>
      <c r="CE226" s="111">
        <v>434</v>
      </c>
      <c r="CF226" s="38">
        <v>289</v>
      </c>
      <c r="CG226" s="31">
        <v>212</v>
      </c>
      <c r="CH226" s="35">
        <v>255</v>
      </c>
      <c r="CI226" s="35">
        <v>92</v>
      </c>
      <c r="CJ226" s="35">
        <v>146</v>
      </c>
      <c r="CK226" s="32">
        <v>540</v>
      </c>
    </row>
    <row r="227" spans="1:89" ht="13" x14ac:dyDescent="0.25">
      <c r="A227" s="27">
        <v>3403</v>
      </c>
      <c r="B227" s="28" t="s">
        <v>250</v>
      </c>
      <c r="C227" s="29">
        <v>1681</v>
      </c>
      <c r="D227" s="30">
        <v>1184</v>
      </c>
      <c r="E227" s="20">
        <f t="shared" si="3"/>
        <v>0.70434265318262934</v>
      </c>
      <c r="F227" s="31">
        <v>0</v>
      </c>
      <c r="G227" s="111">
        <v>0</v>
      </c>
      <c r="H227" s="111">
        <v>0</v>
      </c>
      <c r="I227" s="111">
        <v>0</v>
      </c>
      <c r="J227" s="111">
        <v>7</v>
      </c>
      <c r="K227" s="111">
        <v>0</v>
      </c>
      <c r="L227" s="111">
        <v>0</v>
      </c>
      <c r="M227" s="111">
        <v>260</v>
      </c>
      <c r="N227" s="111">
        <v>0</v>
      </c>
      <c r="O227" s="111">
        <v>0</v>
      </c>
      <c r="P227" s="35">
        <v>9</v>
      </c>
      <c r="Q227" s="35">
        <v>1</v>
      </c>
      <c r="R227" s="35">
        <v>901</v>
      </c>
      <c r="S227" s="32">
        <v>0</v>
      </c>
      <c r="T227" s="31">
        <v>243</v>
      </c>
      <c r="U227" s="32">
        <v>884</v>
      </c>
      <c r="V227" s="31">
        <v>920</v>
      </c>
      <c r="W227" s="32">
        <v>224</v>
      </c>
      <c r="X227" s="31">
        <v>256</v>
      </c>
      <c r="Y227" s="32">
        <v>843</v>
      </c>
      <c r="Z227" s="111">
        <v>292</v>
      </c>
      <c r="AA227" s="35">
        <v>0</v>
      </c>
      <c r="AB227" s="35">
        <v>52</v>
      </c>
      <c r="AC227" s="35">
        <v>814</v>
      </c>
      <c r="AD227" s="35">
        <v>0</v>
      </c>
      <c r="AE227" s="33">
        <v>0</v>
      </c>
      <c r="AF227" s="115">
        <v>0</v>
      </c>
      <c r="AG227" s="111"/>
      <c r="AH227" s="32"/>
      <c r="AI227" s="31">
        <v>848</v>
      </c>
      <c r="AJ227" s="33">
        <v>252</v>
      </c>
      <c r="AK227" s="31">
        <v>865</v>
      </c>
      <c r="AL227" s="32">
        <v>240</v>
      </c>
      <c r="AM227" s="31"/>
      <c r="AN227" s="115"/>
      <c r="AO227" s="111"/>
      <c r="AP227" s="32"/>
      <c r="AQ227" s="31"/>
      <c r="AR227" s="115"/>
      <c r="AS227" s="111"/>
      <c r="AT227" s="32"/>
      <c r="AU227" s="31"/>
      <c r="AV227" s="111"/>
      <c r="AW227" s="111"/>
      <c r="AX227" s="31">
        <v>886</v>
      </c>
      <c r="AY227" s="32">
        <v>237</v>
      </c>
      <c r="AZ227" s="31"/>
      <c r="BA227" s="115"/>
      <c r="BB227" s="31">
        <v>872</v>
      </c>
      <c r="BC227" s="32">
        <v>219</v>
      </c>
      <c r="BD227" s="31">
        <v>851</v>
      </c>
      <c r="BE227" s="115">
        <v>235</v>
      </c>
      <c r="BF227" s="111">
        <v>242</v>
      </c>
      <c r="BG227" s="32">
        <v>834</v>
      </c>
      <c r="BH227" s="31">
        <v>891</v>
      </c>
      <c r="BI227" s="32">
        <v>211</v>
      </c>
      <c r="BJ227" s="111">
        <v>59</v>
      </c>
      <c r="BK227" s="33">
        <v>787</v>
      </c>
      <c r="BL227" s="115">
        <v>256</v>
      </c>
      <c r="BM227" s="111">
        <v>267</v>
      </c>
      <c r="BN227" s="35">
        <v>790</v>
      </c>
      <c r="BO227" s="32">
        <v>41</v>
      </c>
      <c r="BP227" s="31">
        <v>856</v>
      </c>
      <c r="BQ227" s="32">
        <v>230</v>
      </c>
      <c r="BR227" s="31">
        <v>193</v>
      </c>
      <c r="BS227" s="32">
        <v>929</v>
      </c>
      <c r="BT227" s="31">
        <v>821</v>
      </c>
      <c r="BU227" s="33">
        <v>55</v>
      </c>
      <c r="BV227" s="115">
        <v>211</v>
      </c>
      <c r="BW227" s="111">
        <v>250</v>
      </c>
      <c r="BX227" s="32">
        <v>876</v>
      </c>
      <c r="BY227" s="31">
        <v>230</v>
      </c>
      <c r="BZ227" s="32">
        <v>835</v>
      </c>
      <c r="CA227" s="111">
        <v>833</v>
      </c>
      <c r="CB227" s="32">
        <v>252</v>
      </c>
      <c r="CC227" s="33">
        <v>910</v>
      </c>
      <c r="CD227" s="34">
        <v>676</v>
      </c>
      <c r="CE227" s="111">
        <v>579</v>
      </c>
      <c r="CF227" s="38">
        <v>284</v>
      </c>
      <c r="CG227" s="31">
        <v>309</v>
      </c>
      <c r="CH227" s="35">
        <v>344</v>
      </c>
      <c r="CI227" s="35">
        <v>84</v>
      </c>
      <c r="CJ227" s="35">
        <v>148</v>
      </c>
      <c r="CK227" s="32">
        <v>764</v>
      </c>
    </row>
    <row r="228" spans="1:89" ht="13" x14ac:dyDescent="0.25">
      <c r="A228" s="27">
        <v>3404</v>
      </c>
      <c r="B228" s="28" t="s">
        <v>251</v>
      </c>
      <c r="C228" s="29">
        <v>1401</v>
      </c>
      <c r="D228" s="30">
        <v>1107</v>
      </c>
      <c r="E228" s="20">
        <f t="shared" si="3"/>
        <v>0.79014989293361881</v>
      </c>
      <c r="F228" s="31">
        <v>0</v>
      </c>
      <c r="G228" s="111">
        <v>0</v>
      </c>
      <c r="H228" s="111">
        <v>0</v>
      </c>
      <c r="I228" s="111">
        <v>0</v>
      </c>
      <c r="J228" s="111">
        <v>2</v>
      </c>
      <c r="K228" s="111">
        <v>0</v>
      </c>
      <c r="L228" s="111">
        <v>0</v>
      </c>
      <c r="M228" s="111">
        <v>249</v>
      </c>
      <c r="N228" s="111">
        <v>0</v>
      </c>
      <c r="O228" s="111">
        <v>0</v>
      </c>
      <c r="P228" s="35">
        <v>7</v>
      </c>
      <c r="Q228" s="35">
        <v>0</v>
      </c>
      <c r="R228" s="35">
        <v>841</v>
      </c>
      <c r="S228" s="32">
        <v>0</v>
      </c>
      <c r="T228" s="31">
        <v>238</v>
      </c>
      <c r="U228" s="32">
        <v>839</v>
      </c>
      <c r="V228" s="31">
        <v>850</v>
      </c>
      <c r="W228" s="32">
        <v>234</v>
      </c>
      <c r="X228" s="31">
        <v>252</v>
      </c>
      <c r="Y228" s="32">
        <v>810</v>
      </c>
      <c r="Z228" s="111">
        <v>285</v>
      </c>
      <c r="AA228" s="35">
        <v>0</v>
      </c>
      <c r="AB228" s="35">
        <v>52</v>
      </c>
      <c r="AC228" s="35">
        <v>754</v>
      </c>
      <c r="AD228" s="35">
        <v>0</v>
      </c>
      <c r="AE228" s="33">
        <v>0</v>
      </c>
      <c r="AF228" s="115">
        <v>0</v>
      </c>
      <c r="AG228" s="111"/>
      <c r="AH228" s="32"/>
      <c r="AI228" s="31">
        <v>812</v>
      </c>
      <c r="AJ228" s="33">
        <v>244</v>
      </c>
      <c r="AK228" s="31">
        <v>832</v>
      </c>
      <c r="AL228" s="32">
        <v>229</v>
      </c>
      <c r="AM228" s="31"/>
      <c r="AN228" s="115"/>
      <c r="AO228" s="111"/>
      <c r="AP228" s="32"/>
      <c r="AQ228" s="31"/>
      <c r="AR228" s="115"/>
      <c r="AS228" s="111"/>
      <c r="AT228" s="32"/>
      <c r="AU228" s="31"/>
      <c r="AV228" s="111"/>
      <c r="AW228" s="111"/>
      <c r="AX228" s="31">
        <v>834</v>
      </c>
      <c r="AY228" s="32">
        <v>238</v>
      </c>
      <c r="AZ228" s="31"/>
      <c r="BA228" s="115"/>
      <c r="BB228" s="31">
        <v>822</v>
      </c>
      <c r="BC228" s="32">
        <v>235</v>
      </c>
      <c r="BD228" s="31">
        <v>804</v>
      </c>
      <c r="BE228" s="115">
        <v>246</v>
      </c>
      <c r="BF228" s="111">
        <v>246</v>
      </c>
      <c r="BG228" s="32">
        <v>794</v>
      </c>
      <c r="BH228" s="31">
        <v>838</v>
      </c>
      <c r="BI228" s="32">
        <v>213</v>
      </c>
      <c r="BJ228" s="111">
        <v>71</v>
      </c>
      <c r="BK228" s="33">
        <v>743</v>
      </c>
      <c r="BL228" s="115">
        <v>246</v>
      </c>
      <c r="BM228" s="111">
        <v>257</v>
      </c>
      <c r="BN228" s="35">
        <v>751</v>
      </c>
      <c r="BO228" s="32">
        <v>44</v>
      </c>
      <c r="BP228" s="31">
        <v>811</v>
      </c>
      <c r="BQ228" s="32">
        <v>245</v>
      </c>
      <c r="BR228" s="31">
        <v>194</v>
      </c>
      <c r="BS228" s="32">
        <v>875</v>
      </c>
      <c r="BT228" s="31">
        <v>771</v>
      </c>
      <c r="BU228" s="33">
        <v>76</v>
      </c>
      <c r="BV228" s="115">
        <v>200</v>
      </c>
      <c r="BW228" s="111">
        <v>257</v>
      </c>
      <c r="BX228" s="32">
        <v>821</v>
      </c>
      <c r="BY228" s="31">
        <v>254</v>
      </c>
      <c r="BZ228" s="32">
        <v>780</v>
      </c>
      <c r="CA228" s="111">
        <v>786</v>
      </c>
      <c r="CB228" s="32">
        <v>260</v>
      </c>
      <c r="CC228" s="33">
        <v>882</v>
      </c>
      <c r="CD228" s="34">
        <v>689</v>
      </c>
      <c r="CE228" s="111">
        <v>553</v>
      </c>
      <c r="CF228" s="38">
        <v>328</v>
      </c>
      <c r="CG228" s="31">
        <v>276</v>
      </c>
      <c r="CH228" s="35">
        <v>358</v>
      </c>
      <c r="CI228" s="35">
        <v>127</v>
      </c>
      <c r="CJ228" s="35">
        <v>155</v>
      </c>
      <c r="CK228" s="32">
        <v>687</v>
      </c>
    </row>
    <row r="229" spans="1:89" ht="13" x14ac:dyDescent="0.25">
      <c r="A229" s="27">
        <v>3405</v>
      </c>
      <c r="B229" s="28" t="s">
        <v>252</v>
      </c>
      <c r="C229" s="29">
        <v>1461</v>
      </c>
      <c r="D229" s="30">
        <v>1169</v>
      </c>
      <c r="E229" s="20">
        <f t="shared" si="3"/>
        <v>0.8001368925393566</v>
      </c>
      <c r="F229" s="31">
        <v>0</v>
      </c>
      <c r="G229" s="111">
        <v>0</v>
      </c>
      <c r="H229" s="111">
        <v>0</v>
      </c>
      <c r="I229" s="111">
        <v>0</v>
      </c>
      <c r="J229" s="111">
        <v>2</v>
      </c>
      <c r="K229" s="111">
        <v>0</v>
      </c>
      <c r="L229" s="111">
        <v>0</v>
      </c>
      <c r="M229" s="111">
        <v>213</v>
      </c>
      <c r="N229" s="111">
        <v>0</v>
      </c>
      <c r="O229" s="111">
        <v>0</v>
      </c>
      <c r="P229" s="35">
        <v>8</v>
      </c>
      <c r="Q229" s="35">
        <v>4</v>
      </c>
      <c r="R229" s="35">
        <v>936</v>
      </c>
      <c r="S229" s="32">
        <v>0</v>
      </c>
      <c r="T229" s="31">
        <v>191</v>
      </c>
      <c r="U229" s="32">
        <v>917</v>
      </c>
      <c r="V229" s="31">
        <v>938</v>
      </c>
      <c r="W229" s="32">
        <v>182</v>
      </c>
      <c r="X229" s="31">
        <v>205</v>
      </c>
      <c r="Y229" s="32">
        <v>872</v>
      </c>
      <c r="Z229" s="111">
        <v>263</v>
      </c>
      <c r="AA229" s="35">
        <v>0</v>
      </c>
      <c r="AB229" s="35">
        <v>44</v>
      </c>
      <c r="AC229" s="35">
        <v>832</v>
      </c>
      <c r="AD229" s="35">
        <v>0</v>
      </c>
      <c r="AE229" s="33">
        <v>0</v>
      </c>
      <c r="AF229" s="115">
        <v>0</v>
      </c>
      <c r="AG229" s="111"/>
      <c r="AH229" s="32"/>
      <c r="AI229" s="31">
        <v>882</v>
      </c>
      <c r="AJ229" s="33">
        <v>199</v>
      </c>
      <c r="AK229" s="31">
        <v>900</v>
      </c>
      <c r="AL229" s="32">
        <v>182</v>
      </c>
      <c r="AM229" s="31"/>
      <c r="AN229" s="115"/>
      <c r="AO229" s="111"/>
      <c r="AP229" s="32"/>
      <c r="AQ229" s="31"/>
      <c r="AR229" s="115"/>
      <c r="AS229" s="111"/>
      <c r="AT229" s="32"/>
      <c r="AU229" s="31"/>
      <c r="AV229" s="111"/>
      <c r="AW229" s="111"/>
      <c r="AX229" s="31">
        <v>923</v>
      </c>
      <c r="AY229" s="32">
        <v>182</v>
      </c>
      <c r="AZ229" s="31"/>
      <c r="BA229" s="115"/>
      <c r="BB229" s="31">
        <v>888</v>
      </c>
      <c r="BC229" s="32">
        <v>184</v>
      </c>
      <c r="BD229" s="31">
        <v>869</v>
      </c>
      <c r="BE229" s="115">
        <v>191</v>
      </c>
      <c r="BF229" s="111">
        <v>194</v>
      </c>
      <c r="BG229" s="32">
        <v>860</v>
      </c>
      <c r="BH229" s="31">
        <v>904</v>
      </c>
      <c r="BI229" s="32">
        <v>161</v>
      </c>
      <c r="BJ229" s="111">
        <v>41</v>
      </c>
      <c r="BK229" s="33">
        <v>831</v>
      </c>
      <c r="BL229" s="115">
        <v>203</v>
      </c>
      <c r="BM229" s="111">
        <v>218</v>
      </c>
      <c r="BN229" s="35">
        <v>823</v>
      </c>
      <c r="BO229" s="32">
        <v>26</v>
      </c>
      <c r="BP229" s="31">
        <v>875</v>
      </c>
      <c r="BQ229" s="32">
        <v>190</v>
      </c>
      <c r="BR229" s="31">
        <v>169</v>
      </c>
      <c r="BS229" s="32">
        <v>914</v>
      </c>
      <c r="BT229" s="31">
        <v>834</v>
      </c>
      <c r="BU229" s="33">
        <v>42</v>
      </c>
      <c r="BV229" s="115">
        <v>186</v>
      </c>
      <c r="BW229" s="111">
        <v>223</v>
      </c>
      <c r="BX229" s="32">
        <v>890</v>
      </c>
      <c r="BY229" s="31">
        <v>201</v>
      </c>
      <c r="BZ229" s="32">
        <v>841</v>
      </c>
      <c r="CA229" s="111">
        <v>852</v>
      </c>
      <c r="CB229" s="32">
        <v>199</v>
      </c>
      <c r="CC229" s="33">
        <v>930</v>
      </c>
      <c r="CD229" s="34">
        <v>628</v>
      </c>
      <c r="CE229" s="111">
        <v>632</v>
      </c>
      <c r="CF229" s="38">
        <v>236</v>
      </c>
      <c r="CG229" s="31">
        <v>227</v>
      </c>
      <c r="CH229" s="35">
        <v>475</v>
      </c>
      <c r="CI229" s="35">
        <v>101</v>
      </c>
      <c r="CJ229" s="35">
        <v>122</v>
      </c>
      <c r="CK229" s="32">
        <v>718</v>
      </c>
    </row>
    <row r="230" spans="1:89" ht="13" x14ac:dyDescent="0.25">
      <c r="A230" s="27">
        <v>3406</v>
      </c>
      <c r="B230" s="28" t="s">
        <v>253</v>
      </c>
      <c r="C230" s="29">
        <v>1554</v>
      </c>
      <c r="D230" s="30">
        <v>1307</v>
      </c>
      <c r="E230" s="20">
        <f t="shared" si="3"/>
        <v>0.84105534105534108</v>
      </c>
      <c r="F230" s="31">
        <v>0</v>
      </c>
      <c r="G230" s="111">
        <v>0</v>
      </c>
      <c r="H230" s="111">
        <v>0</v>
      </c>
      <c r="I230" s="111">
        <v>0</v>
      </c>
      <c r="J230" s="111">
        <v>1</v>
      </c>
      <c r="K230" s="111">
        <v>0</v>
      </c>
      <c r="L230" s="111">
        <v>0</v>
      </c>
      <c r="M230" s="111">
        <v>341</v>
      </c>
      <c r="N230" s="111">
        <v>0</v>
      </c>
      <c r="O230" s="111">
        <v>0</v>
      </c>
      <c r="P230" s="35">
        <v>5</v>
      </c>
      <c r="Q230" s="35">
        <v>2</v>
      </c>
      <c r="R230" s="35">
        <v>946</v>
      </c>
      <c r="S230" s="32">
        <v>0</v>
      </c>
      <c r="T230" s="31">
        <v>306</v>
      </c>
      <c r="U230" s="32">
        <v>952</v>
      </c>
      <c r="V230" s="31">
        <v>968</v>
      </c>
      <c r="W230" s="32">
        <v>289</v>
      </c>
      <c r="X230" s="31">
        <v>315</v>
      </c>
      <c r="Y230" s="32">
        <v>913</v>
      </c>
      <c r="Z230" s="111">
        <v>356</v>
      </c>
      <c r="AA230" s="35">
        <v>0</v>
      </c>
      <c r="AB230" s="35">
        <v>47</v>
      </c>
      <c r="AC230" s="35">
        <v>861</v>
      </c>
      <c r="AD230" s="35">
        <v>0</v>
      </c>
      <c r="AE230" s="33">
        <v>0</v>
      </c>
      <c r="AF230" s="115">
        <v>0</v>
      </c>
      <c r="AG230" s="111"/>
      <c r="AH230" s="32"/>
      <c r="AI230" s="31">
        <v>910</v>
      </c>
      <c r="AJ230" s="33">
        <v>308</v>
      </c>
      <c r="AK230" s="31">
        <v>913</v>
      </c>
      <c r="AL230" s="32">
        <v>318</v>
      </c>
      <c r="AM230" s="31"/>
      <c r="AN230" s="115"/>
      <c r="AO230" s="111"/>
      <c r="AP230" s="32"/>
      <c r="AQ230" s="31"/>
      <c r="AR230" s="115"/>
      <c r="AS230" s="111"/>
      <c r="AT230" s="32"/>
      <c r="AU230" s="31"/>
      <c r="AV230" s="111"/>
      <c r="AW230" s="111"/>
      <c r="AX230" s="31">
        <v>952</v>
      </c>
      <c r="AY230" s="32">
        <v>284</v>
      </c>
      <c r="AZ230" s="31"/>
      <c r="BA230" s="115"/>
      <c r="BB230" s="31">
        <v>917</v>
      </c>
      <c r="BC230" s="32">
        <v>292</v>
      </c>
      <c r="BD230" s="31">
        <v>901</v>
      </c>
      <c r="BE230" s="115">
        <v>298</v>
      </c>
      <c r="BF230" s="111">
        <v>293</v>
      </c>
      <c r="BG230" s="32">
        <v>906</v>
      </c>
      <c r="BH230" s="31">
        <v>956</v>
      </c>
      <c r="BI230" s="32">
        <v>260</v>
      </c>
      <c r="BJ230" s="111">
        <v>73</v>
      </c>
      <c r="BK230" s="33">
        <v>846</v>
      </c>
      <c r="BL230" s="115">
        <v>290</v>
      </c>
      <c r="BM230" s="111">
        <v>309</v>
      </c>
      <c r="BN230" s="35">
        <v>855</v>
      </c>
      <c r="BO230" s="32">
        <v>47</v>
      </c>
      <c r="BP230" s="31">
        <v>922</v>
      </c>
      <c r="BQ230" s="32">
        <v>283</v>
      </c>
      <c r="BR230" s="31">
        <v>248</v>
      </c>
      <c r="BS230" s="32">
        <v>979</v>
      </c>
      <c r="BT230" s="31">
        <v>866</v>
      </c>
      <c r="BU230" s="33">
        <v>61</v>
      </c>
      <c r="BV230" s="115">
        <v>274</v>
      </c>
      <c r="BW230" s="111">
        <v>307</v>
      </c>
      <c r="BX230" s="32">
        <v>939</v>
      </c>
      <c r="BY230" s="31">
        <v>298</v>
      </c>
      <c r="BZ230" s="32">
        <v>889</v>
      </c>
      <c r="CA230" s="111">
        <v>895</v>
      </c>
      <c r="CB230" s="32">
        <v>300</v>
      </c>
      <c r="CC230" s="33">
        <v>1002</v>
      </c>
      <c r="CD230" s="34">
        <v>752</v>
      </c>
      <c r="CE230" s="111">
        <v>706</v>
      </c>
      <c r="CF230" s="38">
        <v>289</v>
      </c>
      <c r="CG230" s="31">
        <v>290</v>
      </c>
      <c r="CH230" s="35">
        <v>504</v>
      </c>
      <c r="CI230" s="35">
        <v>156</v>
      </c>
      <c r="CJ230" s="35">
        <v>169</v>
      </c>
      <c r="CK230" s="32">
        <v>784</v>
      </c>
    </row>
    <row r="231" spans="1:89" ht="13" x14ac:dyDescent="0.25">
      <c r="A231" s="27">
        <v>3407</v>
      </c>
      <c r="B231" s="28" t="s">
        <v>254</v>
      </c>
      <c r="C231" s="29">
        <v>634</v>
      </c>
      <c r="D231" s="30">
        <v>553</v>
      </c>
      <c r="E231" s="20">
        <f t="shared" si="3"/>
        <v>0.87223974763406942</v>
      </c>
      <c r="F231" s="31">
        <v>0</v>
      </c>
      <c r="G231" s="111">
        <v>0</v>
      </c>
      <c r="H231" s="111">
        <v>0</v>
      </c>
      <c r="I231" s="111">
        <v>0</v>
      </c>
      <c r="J231" s="111">
        <v>1</v>
      </c>
      <c r="K231" s="111">
        <v>0</v>
      </c>
      <c r="L231" s="111">
        <v>0</v>
      </c>
      <c r="M231" s="111">
        <v>132</v>
      </c>
      <c r="N231" s="111">
        <v>0</v>
      </c>
      <c r="O231" s="111">
        <v>0</v>
      </c>
      <c r="P231" s="35">
        <v>4</v>
      </c>
      <c r="Q231" s="35">
        <v>0</v>
      </c>
      <c r="R231" s="35">
        <v>409</v>
      </c>
      <c r="S231" s="32">
        <v>0</v>
      </c>
      <c r="T231" s="31">
        <v>134</v>
      </c>
      <c r="U231" s="32">
        <v>403</v>
      </c>
      <c r="V231" s="31">
        <v>417</v>
      </c>
      <c r="W231" s="32">
        <v>126</v>
      </c>
      <c r="X231" s="31">
        <v>136</v>
      </c>
      <c r="Y231" s="32">
        <v>389</v>
      </c>
      <c r="Z231" s="111">
        <v>147</v>
      </c>
      <c r="AA231" s="35">
        <v>0</v>
      </c>
      <c r="AB231" s="35">
        <v>27</v>
      </c>
      <c r="AC231" s="35">
        <v>371</v>
      </c>
      <c r="AD231" s="35">
        <v>0</v>
      </c>
      <c r="AE231" s="33">
        <v>0</v>
      </c>
      <c r="AF231" s="115">
        <v>0</v>
      </c>
      <c r="AG231" s="111"/>
      <c r="AH231" s="32"/>
      <c r="AI231" s="31">
        <v>389</v>
      </c>
      <c r="AJ231" s="33">
        <v>133</v>
      </c>
      <c r="AK231" s="31">
        <v>379</v>
      </c>
      <c r="AL231" s="32">
        <v>146</v>
      </c>
      <c r="AM231" s="31"/>
      <c r="AN231" s="115"/>
      <c r="AO231" s="111"/>
      <c r="AP231" s="32"/>
      <c r="AQ231" s="31"/>
      <c r="AR231" s="115"/>
      <c r="AS231" s="111"/>
      <c r="AT231" s="32"/>
      <c r="AU231" s="31"/>
      <c r="AV231" s="111"/>
      <c r="AW231" s="111"/>
      <c r="AX231" s="31">
        <v>413</v>
      </c>
      <c r="AY231" s="32">
        <v>119</v>
      </c>
      <c r="AZ231" s="31"/>
      <c r="BA231" s="115"/>
      <c r="BB231" s="31">
        <v>397</v>
      </c>
      <c r="BC231" s="32">
        <v>121</v>
      </c>
      <c r="BD231" s="31">
        <v>392</v>
      </c>
      <c r="BE231" s="115">
        <v>125</v>
      </c>
      <c r="BF231" s="111">
        <v>125</v>
      </c>
      <c r="BG231" s="32">
        <v>389</v>
      </c>
      <c r="BH231" s="31">
        <v>396</v>
      </c>
      <c r="BI231" s="32">
        <v>124</v>
      </c>
      <c r="BJ231" s="111">
        <v>24</v>
      </c>
      <c r="BK231" s="33">
        <v>377</v>
      </c>
      <c r="BL231" s="115">
        <v>127</v>
      </c>
      <c r="BM231" s="111">
        <v>132</v>
      </c>
      <c r="BN231" s="35">
        <v>365</v>
      </c>
      <c r="BO231" s="32">
        <v>25</v>
      </c>
      <c r="BP231" s="31">
        <v>388</v>
      </c>
      <c r="BQ231" s="32">
        <v>129</v>
      </c>
      <c r="BR231" s="31">
        <v>114</v>
      </c>
      <c r="BS231" s="32">
        <v>411</v>
      </c>
      <c r="BT231" s="31">
        <v>377</v>
      </c>
      <c r="BU231" s="33">
        <v>26</v>
      </c>
      <c r="BV231" s="115">
        <v>117</v>
      </c>
      <c r="BW231" s="111">
        <v>122</v>
      </c>
      <c r="BX231" s="32">
        <v>403</v>
      </c>
      <c r="BY231" s="31">
        <v>136</v>
      </c>
      <c r="BZ231" s="32">
        <v>374</v>
      </c>
      <c r="CA231" s="111">
        <v>390</v>
      </c>
      <c r="CB231" s="32">
        <v>130</v>
      </c>
      <c r="CC231" s="33">
        <v>424</v>
      </c>
      <c r="CD231" s="34">
        <v>328</v>
      </c>
      <c r="CE231" s="111">
        <v>328</v>
      </c>
      <c r="CF231" s="38">
        <v>111</v>
      </c>
      <c r="CG231" s="31">
        <v>107</v>
      </c>
      <c r="CH231" s="35">
        <v>230</v>
      </c>
      <c r="CI231" s="35">
        <v>54</v>
      </c>
      <c r="CJ231" s="35">
        <v>92</v>
      </c>
      <c r="CK231" s="32">
        <v>296</v>
      </c>
    </row>
    <row r="232" spans="1:89" ht="13" x14ac:dyDescent="0.25">
      <c r="A232" s="27">
        <v>3501</v>
      </c>
      <c r="B232" s="28" t="s">
        <v>255</v>
      </c>
      <c r="C232" s="29">
        <v>708</v>
      </c>
      <c r="D232" s="30">
        <v>579</v>
      </c>
      <c r="E232" s="20">
        <f t="shared" si="3"/>
        <v>0.81779661016949157</v>
      </c>
      <c r="F232" s="31">
        <v>0</v>
      </c>
      <c r="G232" s="111">
        <v>0</v>
      </c>
      <c r="H232" s="111">
        <v>0</v>
      </c>
      <c r="I232" s="111">
        <v>0</v>
      </c>
      <c r="J232" s="111">
        <v>1</v>
      </c>
      <c r="K232" s="111">
        <v>0</v>
      </c>
      <c r="L232" s="111">
        <v>0</v>
      </c>
      <c r="M232" s="111">
        <v>271</v>
      </c>
      <c r="N232" s="111">
        <v>0</v>
      </c>
      <c r="O232" s="111">
        <v>0</v>
      </c>
      <c r="P232" s="35">
        <v>3</v>
      </c>
      <c r="Q232" s="35">
        <v>0</v>
      </c>
      <c r="R232" s="35">
        <v>289</v>
      </c>
      <c r="S232" s="32">
        <v>0</v>
      </c>
      <c r="T232" s="31">
        <v>235</v>
      </c>
      <c r="U232" s="32">
        <v>329</v>
      </c>
      <c r="V232" s="31">
        <v>328</v>
      </c>
      <c r="W232" s="32">
        <v>231</v>
      </c>
      <c r="X232" s="31">
        <v>236</v>
      </c>
      <c r="Y232" s="32">
        <v>317</v>
      </c>
      <c r="Z232" s="111">
        <v>265</v>
      </c>
      <c r="AA232" s="35">
        <v>0</v>
      </c>
      <c r="AB232" s="35">
        <v>8</v>
      </c>
      <c r="AC232" s="35">
        <v>293</v>
      </c>
      <c r="AD232" s="35">
        <v>0</v>
      </c>
      <c r="AE232" s="33">
        <v>0</v>
      </c>
      <c r="AF232" s="115">
        <v>0</v>
      </c>
      <c r="AG232" s="111">
        <v>263</v>
      </c>
      <c r="AH232" s="32">
        <v>296</v>
      </c>
      <c r="AI232" s="31"/>
      <c r="AJ232" s="33"/>
      <c r="AK232" s="31">
        <v>311</v>
      </c>
      <c r="AL232" s="32">
        <v>234</v>
      </c>
      <c r="AM232" s="31"/>
      <c r="AN232" s="115"/>
      <c r="AO232" s="111"/>
      <c r="AP232" s="32"/>
      <c r="AQ232" s="31"/>
      <c r="AR232" s="115"/>
      <c r="AS232" s="111">
        <v>243</v>
      </c>
      <c r="AT232" s="32">
        <v>306</v>
      </c>
      <c r="AU232" s="31"/>
      <c r="AV232" s="111"/>
      <c r="AW232" s="111"/>
      <c r="AX232" s="31"/>
      <c r="AY232" s="32"/>
      <c r="AZ232" s="31"/>
      <c r="BA232" s="115"/>
      <c r="BB232" s="31">
        <v>326</v>
      </c>
      <c r="BC232" s="32">
        <v>215</v>
      </c>
      <c r="BD232" s="31">
        <v>321</v>
      </c>
      <c r="BE232" s="115">
        <v>220</v>
      </c>
      <c r="BF232" s="111">
        <v>217</v>
      </c>
      <c r="BG232" s="32">
        <v>317</v>
      </c>
      <c r="BH232" s="31">
        <v>342</v>
      </c>
      <c r="BI232" s="32">
        <v>197</v>
      </c>
      <c r="BJ232" s="111">
        <v>23</v>
      </c>
      <c r="BK232" s="33">
        <v>305</v>
      </c>
      <c r="BL232" s="115">
        <v>214</v>
      </c>
      <c r="BM232" s="111">
        <v>223</v>
      </c>
      <c r="BN232" s="35">
        <v>303</v>
      </c>
      <c r="BO232" s="32">
        <v>18</v>
      </c>
      <c r="BP232" s="31">
        <v>320</v>
      </c>
      <c r="BQ232" s="32">
        <v>222</v>
      </c>
      <c r="BR232" s="31">
        <v>190</v>
      </c>
      <c r="BS232" s="32">
        <v>355</v>
      </c>
      <c r="BT232" s="31">
        <v>296</v>
      </c>
      <c r="BU232" s="33">
        <v>20</v>
      </c>
      <c r="BV232" s="115">
        <v>212</v>
      </c>
      <c r="BW232" s="111">
        <v>219</v>
      </c>
      <c r="BX232" s="32">
        <v>323</v>
      </c>
      <c r="BY232" s="31">
        <v>215</v>
      </c>
      <c r="BZ232" s="32">
        <v>308</v>
      </c>
      <c r="CA232" s="111">
        <v>312</v>
      </c>
      <c r="CB232" s="32">
        <v>216</v>
      </c>
      <c r="CC232" s="33">
        <v>388</v>
      </c>
      <c r="CD232" s="34">
        <v>381</v>
      </c>
      <c r="CE232" s="111">
        <v>263</v>
      </c>
      <c r="CF232" s="38">
        <v>181</v>
      </c>
      <c r="CG232" s="31">
        <v>158</v>
      </c>
      <c r="CH232" s="35">
        <v>190</v>
      </c>
      <c r="CI232" s="35">
        <v>121</v>
      </c>
      <c r="CJ232" s="35">
        <v>143</v>
      </c>
      <c r="CK232" s="32">
        <v>283</v>
      </c>
    </row>
    <row r="233" spans="1:89" ht="13" x14ac:dyDescent="0.25">
      <c r="A233" s="27">
        <v>3502</v>
      </c>
      <c r="B233" s="28" t="s">
        <v>256</v>
      </c>
      <c r="C233" s="29">
        <v>1202</v>
      </c>
      <c r="D233" s="30">
        <v>957</v>
      </c>
      <c r="E233" s="20">
        <f t="shared" si="3"/>
        <v>0.79617304492512475</v>
      </c>
      <c r="F233" s="31">
        <v>0</v>
      </c>
      <c r="G233" s="111">
        <v>0</v>
      </c>
      <c r="H233" s="111">
        <v>0</v>
      </c>
      <c r="I233" s="111">
        <v>1</v>
      </c>
      <c r="J233" s="111">
        <v>0</v>
      </c>
      <c r="K233" s="111">
        <v>0</v>
      </c>
      <c r="L233" s="111">
        <v>0</v>
      </c>
      <c r="M233" s="111">
        <v>339</v>
      </c>
      <c r="N233" s="111">
        <v>0</v>
      </c>
      <c r="O233" s="111">
        <v>0</v>
      </c>
      <c r="P233" s="35">
        <v>6</v>
      </c>
      <c r="Q233" s="35">
        <v>0</v>
      </c>
      <c r="R233" s="35">
        <v>594</v>
      </c>
      <c r="S233" s="32">
        <v>0</v>
      </c>
      <c r="T233" s="31">
        <v>308</v>
      </c>
      <c r="U233" s="32">
        <v>635</v>
      </c>
      <c r="V233" s="31">
        <v>651</v>
      </c>
      <c r="W233" s="32">
        <v>291</v>
      </c>
      <c r="X233" s="31">
        <v>321</v>
      </c>
      <c r="Y233" s="32">
        <v>605</v>
      </c>
      <c r="Z233" s="111">
        <v>342</v>
      </c>
      <c r="AA233" s="35">
        <v>0</v>
      </c>
      <c r="AB233" s="35">
        <v>15</v>
      </c>
      <c r="AC233" s="35">
        <v>587</v>
      </c>
      <c r="AD233" s="35">
        <v>0</v>
      </c>
      <c r="AE233" s="33">
        <v>0</v>
      </c>
      <c r="AF233" s="115">
        <v>0</v>
      </c>
      <c r="AG233" s="111">
        <v>342</v>
      </c>
      <c r="AH233" s="32">
        <v>592</v>
      </c>
      <c r="AI233" s="31"/>
      <c r="AJ233" s="33"/>
      <c r="AK233" s="31">
        <v>617</v>
      </c>
      <c r="AL233" s="32">
        <v>301</v>
      </c>
      <c r="AM233" s="31"/>
      <c r="AN233" s="115"/>
      <c r="AO233" s="111"/>
      <c r="AP233" s="32"/>
      <c r="AQ233" s="31"/>
      <c r="AR233" s="115"/>
      <c r="AS233" s="111">
        <v>306</v>
      </c>
      <c r="AT233" s="32">
        <v>613</v>
      </c>
      <c r="AU233" s="31"/>
      <c r="AV233" s="111"/>
      <c r="AW233" s="111"/>
      <c r="AX233" s="31"/>
      <c r="AY233" s="32"/>
      <c r="AZ233" s="31"/>
      <c r="BA233" s="115"/>
      <c r="BB233" s="31">
        <v>635</v>
      </c>
      <c r="BC233" s="32">
        <v>276</v>
      </c>
      <c r="BD233" s="31">
        <v>626</v>
      </c>
      <c r="BE233" s="115">
        <v>280</v>
      </c>
      <c r="BF233" s="111">
        <v>285</v>
      </c>
      <c r="BG233" s="32">
        <v>620</v>
      </c>
      <c r="BH233" s="31">
        <v>669</v>
      </c>
      <c r="BI233" s="32">
        <v>245</v>
      </c>
      <c r="BJ233" s="111">
        <v>35</v>
      </c>
      <c r="BK233" s="33">
        <v>603</v>
      </c>
      <c r="BL233" s="115">
        <v>272</v>
      </c>
      <c r="BM233" s="111">
        <v>289</v>
      </c>
      <c r="BN233" s="35">
        <v>608</v>
      </c>
      <c r="BO233" s="32">
        <v>24</v>
      </c>
      <c r="BP233" s="31">
        <v>643</v>
      </c>
      <c r="BQ233" s="32">
        <v>267</v>
      </c>
      <c r="BR233" s="31">
        <v>244</v>
      </c>
      <c r="BS233" s="32">
        <v>682</v>
      </c>
      <c r="BT233" s="31">
        <v>605</v>
      </c>
      <c r="BU233" s="33">
        <v>28</v>
      </c>
      <c r="BV233" s="115">
        <v>268</v>
      </c>
      <c r="BW233" s="111">
        <v>289</v>
      </c>
      <c r="BX233" s="32">
        <v>632</v>
      </c>
      <c r="BY233" s="31">
        <v>278</v>
      </c>
      <c r="BZ233" s="32">
        <v>613</v>
      </c>
      <c r="CA233" s="111">
        <v>621</v>
      </c>
      <c r="CB233" s="32">
        <v>275</v>
      </c>
      <c r="CC233" s="33">
        <v>737</v>
      </c>
      <c r="CD233" s="34">
        <v>588</v>
      </c>
      <c r="CE233" s="111">
        <v>511</v>
      </c>
      <c r="CF233" s="38">
        <v>236</v>
      </c>
      <c r="CG233" s="31">
        <v>299</v>
      </c>
      <c r="CH233" s="35">
        <v>345</v>
      </c>
      <c r="CI233" s="35">
        <v>145</v>
      </c>
      <c r="CJ233" s="35">
        <v>181</v>
      </c>
      <c r="CK233" s="32">
        <v>491</v>
      </c>
    </row>
    <row r="234" spans="1:89" ht="13" x14ac:dyDescent="0.25">
      <c r="A234" s="27">
        <v>3503</v>
      </c>
      <c r="B234" s="28" t="s">
        <v>257</v>
      </c>
      <c r="C234" s="29">
        <v>890</v>
      </c>
      <c r="D234" s="30">
        <v>694</v>
      </c>
      <c r="E234" s="20">
        <f t="shared" si="3"/>
        <v>0.77977528089887638</v>
      </c>
      <c r="F234" s="31">
        <v>0</v>
      </c>
      <c r="G234" s="111">
        <v>0</v>
      </c>
      <c r="H234" s="111">
        <v>0</v>
      </c>
      <c r="I234" s="111">
        <v>0</v>
      </c>
      <c r="J234" s="111">
        <v>2</v>
      </c>
      <c r="K234" s="111">
        <v>0</v>
      </c>
      <c r="L234" s="111">
        <v>0</v>
      </c>
      <c r="M234" s="111">
        <v>326</v>
      </c>
      <c r="N234" s="111">
        <v>0</v>
      </c>
      <c r="O234" s="111">
        <v>0</v>
      </c>
      <c r="P234" s="35">
        <v>7</v>
      </c>
      <c r="Q234" s="35">
        <v>1</v>
      </c>
      <c r="R234" s="35">
        <v>345</v>
      </c>
      <c r="S234" s="32">
        <v>0</v>
      </c>
      <c r="T234" s="37">
        <v>283</v>
      </c>
      <c r="U234" s="38">
        <v>390</v>
      </c>
      <c r="V234" s="37">
        <v>397</v>
      </c>
      <c r="W234" s="32">
        <v>281</v>
      </c>
      <c r="X234" s="31">
        <v>294</v>
      </c>
      <c r="Y234" s="32">
        <v>371</v>
      </c>
      <c r="Z234" s="111">
        <v>327</v>
      </c>
      <c r="AA234" s="35">
        <v>0</v>
      </c>
      <c r="AB234" s="35">
        <v>13</v>
      </c>
      <c r="AC234" s="35">
        <v>341</v>
      </c>
      <c r="AD234" s="35">
        <v>0</v>
      </c>
      <c r="AE234" s="33">
        <v>0</v>
      </c>
      <c r="AF234" s="116">
        <v>0</v>
      </c>
      <c r="AG234" s="120">
        <v>315</v>
      </c>
      <c r="AH234" s="38">
        <v>355</v>
      </c>
      <c r="AI234" s="37"/>
      <c r="AJ234" s="36"/>
      <c r="AK234" s="37">
        <v>374</v>
      </c>
      <c r="AL234" s="38">
        <v>283</v>
      </c>
      <c r="AM234" s="37"/>
      <c r="AN234" s="116"/>
      <c r="AO234" s="120"/>
      <c r="AP234" s="38"/>
      <c r="AQ234" s="37"/>
      <c r="AR234" s="116"/>
      <c r="AS234" s="120">
        <v>296</v>
      </c>
      <c r="AT234" s="38">
        <v>360</v>
      </c>
      <c r="AU234" s="37"/>
      <c r="AV234" s="120"/>
      <c r="AW234" s="120"/>
      <c r="AX234" s="37"/>
      <c r="AY234" s="38"/>
      <c r="AZ234" s="37"/>
      <c r="BA234" s="116"/>
      <c r="BB234" s="31">
        <v>392</v>
      </c>
      <c r="BC234" s="32">
        <v>262</v>
      </c>
      <c r="BD234" s="31">
        <v>371</v>
      </c>
      <c r="BE234" s="116">
        <v>281</v>
      </c>
      <c r="BF234" s="120">
        <v>269</v>
      </c>
      <c r="BG234" s="38">
        <v>375</v>
      </c>
      <c r="BH234" s="37">
        <v>418</v>
      </c>
      <c r="BI234" s="38">
        <v>243</v>
      </c>
      <c r="BJ234" s="111">
        <v>37</v>
      </c>
      <c r="BK234" s="33">
        <v>380</v>
      </c>
      <c r="BL234" s="115">
        <v>237</v>
      </c>
      <c r="BM234" s="111">
        <v>290</v>
      </c>
      <c r="BN234" s="35">
        <v>342</v>
      </c>
      <c r="BO234" s="32">
        <v>24</v>
      </c>
      <c r="BP234" s="31">
        <v>388</v>
      </c>
      <c r="BQ234" s="32">
        <v>270</v>
      </c>
      <c r="BR234" s="31">
        <v>234</v>
      </c>
      <c r="BS234" s="32">
        <v>429</v>
      </c>
      <c r="BT234" s="31">
        <v>369</v>
      </c>
      <c r="BU234" s="33">
        <v>29</v>
      </c>
      <c r="BV234" s="115">
        <v>256</v>
      </c>
      <c r="BW234" s="111">
        <v>287</v>
      </c>
      <c r="BX234" s="32">
        <v>370</v>
      </c>
      <c r="BY234" s="31">
        <v>271</v>
      </c>
      <c r="BZ234" s="32">
        <v>374</v>
      </c>
      <c r="CA234" s="111">
        <v>375</v>
      </c>
      <c r="CB234" s="32">
        <v>275</v>
      </c>
      <c r="CC234" s="33">
        <v>484</v>
      </c>
      <c r="CD234" s="34">
        <v>450</v>
      </c>
      <c r="CE234" s="120">
        <v>317</v>
      </c>
      <c r="CF234" s="38">
        <v>219</v>
      </c>
      <c r="CG234" s="31">
        <v>182</v>
      </c>
      <c r="CH234" s="35">
        <v>220</v>
      </c>
      <c r="CI234" s="35">
        <v>144</v>
      </c>
      <c r="CJ234" s="35">
        <v>175</v>
      </c>
      <c r="CK234" s="32">
        <v>331</v>
      </c>
    </row>
    <row r="235" spans="1:89" ht="13" x14ac:dyDescent="0.25">
      <c r="A235" s="27">
        <v>3504</v>
      </c>
      <c r="B235" s="28" t="s">
        <v>258</v>
      </c>
      <c r="C235" s="29">
        <v>728</v>
      </c>
      <c r="D235" s="30">
        <v>575</v>
      </c>
      <c r="E235" s="20">
        <f t="shared" si="3"/>
        <v>0.7898351648351648</v>
      </c>
      <c r="F235" s="31">
        <v>0</v>
      </c>
      <c r="G235" s="111">
        <v>0</v>
      </c>
      <c r="H235" s="111">
        <v>0</v>
      </c>
      <c r="I235" s="111">
        <v>0</v>
      </c>
      <c r="J235" s="111">
        <v>0</v>
      </c>
      <c r="K235" s="111">
        <v>0</v>
      </c>
      <c r="L235" s="111">
        <v>0</v>
      </c>
      <c r="M235" s="111">
        <v>220</v>
      </c>
      <c r="N235" s="111">
        <v>0</v>
      </c>
      <c r="O235" s="111">
        <v>0</v>
      </c>
      <c r="P235" s="35">
        <v>3</v>
      </c>
      <c r="Q235" s="35">
        <v>1</v>
      </c>
      <c r="R235" s="35">
        <v>335</v>
      </c>
      <c r="S235" s="32">
        <v>0</v>
      </c>
      <c r="T235" s="37">
        <v>187</v>
      </c>
      <c r="U235" s="38">
        <v>374</v>
      </c>
      <c r="V235" s="37">
        <v>383</v>
      </c>
      <c r="W235" s="32">
        <v>179</v>
      </c>
      <c r="X235" s="31">
        <v>191</v>
      </c>
      <c r="Y235" s="32">
        <v>363</v>
      </c>
      <c r="Z235" s="111">
        <v>217</v>
      </c>
      <c r="AA235" s="35">
        <v>0</v>
      </c>
      <c r="AB235" s="35">
        <v>8</v>
      </c>
      <c r="AC235" s="35">
        <v>337</v>
      </c>
      <c r="AD235" s="35">
        <v>0</v>
      </c>
      <c r="AE235" s="33">
        <v>0</v>
      </c>
      <c r="AF235" s="116">
        <v>0</v>
      </c>
      <c r="AG235" s="120">
        <v>213</v>
      </c>
      <c r="AH235" s="38">
        <v>342</v>
      </c>
      <c r="AI235" s="37"/>
      <c r="AJ235" s="36"/>
      <c r="AK235" s="37">
        <v>366</v>
      </c>
      <c r="AL235" s="38">
        <v>185</v>
      </c>
      <c r="AM235" s="37"/>
      <c r="AN235" s="116"/>
      <c r="AO235" s="120"/>
      <c r="AP235" s="38"/>
      <c r="AQ235" s="37"/>
      <c r="AR235" s="116"/>
      <c r="AS235" s="120">
        <v>193</v>
      </c>
      <c r="AT235" s="38">
        <v>351</v>
      </c>
      <c r="AU235" s="37"/>
      <c r="AV235" s="120"/>
      <c r="AW235" s="120"/>
      <c r="AX235" s="37"/>
      <c r="AY235" s="38"/>
      <c r="AZ235" s="37"/>
      <c r="BA235" s="116"/>
      <c r="BB235" s="31">
        <v>377</v>
      </c>
      <c r="BC235" s="32">
        <v>168</v>
      </c>
      <c r="BD235" s="31">
        <v>360</v>
      </c>
      <c r="BE235" s="116">
        <v>180</v>
      </c>
      <c r="BF235" s="120">
        <v>169</v>
      </c>
      <c r="BG235" s="38">
        <v>370</v>
      </c>
      <c r="BH235" s="37">
        <v>383</v>
      </c>
      <c r="BI235" s="38">
        <v>167</v>
      </c>
      <c r="BJ235" s="111">
        <v>22</v>
      </c>
      <c r="BK235" s="33">
        <v>359</v>
      </c>
      <c r="BL235" s="115">
        <v>163</v>
      </c>
      <c r="BM235" s="111">
        <v>176</v>
      </c>
      <c r="BN235" s="35">
        <v>352</v>
      </c>
      <c r="BO235" s="32">
        <v>17</v>
      </c>
      <c r="BP235" s="31">
        <v>376</v>
      </c>
      <c r="BQ235" s="32">
        <v>164</v>
      </c>
      <c r="BR235" s="31">
        <v>153</v>
      </c>
      <c r="BS235" s="32">
        <v>397</v>
      </c>
      <c r="BT235" s="31">
        <v>342</v>
      </c>
      <c r="BU235" s="33">
        <v>26</v>
      </c>
      <c r="BV235" s="115">
        <v>168</v>
      </c>
      <c r="BW235" s="111">
        <v>177</v>
      </c>
      <c r="BX235" s="32">
        <v>372</v>
      </c>
      <c r="BY235" s="31">
        <v>169</v>
      </c>
      <c r="BZ235" s="32">
        <v>360</v>
      </c>
      <c r="CA235" s="111">
        <v>362</v>
      </c>
      <c r="CB235" s="32">
        <v>173</v>
      </c>
      <c r="CC235" s="33">
        <v>418</v>
      </c>
      <c r="CD235" s="34">
        <v>366</v>
      </c>
      <c r="CE235" s="120">
        <v>319</v>
      </c>
      <c r="CF235" s="38">
        <v>115</v>
      </c>
      <c r="CG235" s="31">
        <v>178</v>
      </c>
      <c r="CH235" s="35">
        <v>222</v>
      </c>
      <c r="CI235" s="35">
        <v>72</v>
      </c>
      <c r="CJ235" s="35">
        <v>109</v>
      </c>
      <c r="CK235" s="32">
        <v>305</v>
      </c>
    </row>
    <row r="236" spans="1:89" ht="13" x14ac:dyDescent="0.25">
      <c r="A236" s="27">
        <v>3505</v>
      </c>
      <c r="B236" s="28" t="s">
        <v>259</v>
      </c>
      <c r="C236" s="29">
        <v>1087</v>
      </c>
      <c r="D236" s="30">
        <v>864</v>
      </c>
      <c r="E236" s="20">
        <f t="shared" si="3"/>
        <v>0.7948482060717571</v>
      </c>
      <c r="F236" s="31">
        <v>0</v>
      </c>
      <c r="G236" s="111">
        <v>0</v>
      </c>
      <c r="H236" s="111">
        <v>0</v>
      </c>
      <c r="I236" s="111">
        <v>0</v>
      </c>
      <c r="J236" s="111">
        <v>0</v>
      </c>
      <c r="K236" s="111">
        <v>0</v>
      </c>
      <c r="L236" s="111">
        <v>0</v>
      </c>
      <c r="M236" s="111">
        <v>374</v>
      </c>
      <c r="N236" s="111">
        <v>0</v>
      </c>
      <c r="O236" s="111">
        <v>0</v>
      </c>
      <c r="P236" s="35">
        <v>7</v>
      </c>
      <c r="Q236" s="35">
        <v>0</v>
      </c>
      <c r="R236" s="35">
        <v>462</v>
      </c>
      <c r="S236" s="32">
        <v>1</v>
      </c>
      <c r="T236" s="37">
        <v>315</v>
      </c>
      <c r="U236" s="38">
        <v>530</v>
      </c>
      <c r="V236" s="37">
        <v>538</v>
      </c>
      <c r="W236" s="32">
        <v>308</v>
      </c>
      <c r="X236" s="31">
        <v>326</v>
      </c>
      <c r="Y236" s="32">
        <v>502</v>
      </c>
      <c r="Z236" s="111">
        <v>366</v>
      </c>
      <c r="AA236" s="35">
        <v>0</v>
      </c>
      <c r="AB236" s="35">
        <v>25</v>
      </c>
      <c r="AC236" s="35">
        <v>463</v>
      </c>
      <c r="AD236" s="35">
        <v>0</v>
      </c>
      <c r="AE236" s="33">
        <v>0</v>
      </c>
      <c r="AF236" s="116">
        <v>0</v>
      </c>
      <c r="AG236" s="120">
        <v>356</v>
      </c>
      <c r="AH236" s="38">
        <v>484</v>
      </c>
      <c r="AI236" s="37"/>
      <c r="AJ236" s="36"/>
      <c r="AK236" s="37">
        <v>507</v>
      </c>
      <c r="AL236" s="38">
        <v>316</v>
      </c>
      <c r="AM236" s="37"/>
      <c r="AN236" s="116"/>
      <c r="AO236" s="120"/>
      <c r="AP236" s="38"/>
      <c r="AQ236" s="37"/>
      <c r="AR236" s="116"/>
      <c r="AS236" s="120">
        <v>321</v>
      </c>
      <c r="AT236" s="38">
        <v>502</v>
      </c>
      <c r="AU236" s="37"/>
      <c r="AV236" s="120"/>
      <c r="AW236" s="120"/>
      <c r="AX236" s="37"/>
      <c r="AY236" s="38"/>
      <c r="AZ236" s="37"/>
      <c r="BA236" s="116"/>
      <c r="BB236" s="31">
        <v>530</v>
      </c>
      <c r="BC236" s="32">
        <v>292</v>
      </c>
      <c r="BD236" s="31">
        <v>500</v>
      </c>
      <c r="BE236" s="116">
        <v>314</v>
      </c>
      <c r="BF236" s="120">
        <v>304</v>
      </c>
      <c r="BG236" s="38">
        <v>505</v>
      </c>
      <c r="BH236" s="37">
        <v>552</v>
      </c>
      <c r="BI236" s="38">
        <v>271</v>
      </c>
      <c r="BJ236" s="111">
        <v>41</v>
      </c>
      <c r="BK236" s="33">
        <v>494</v>
      </c>
      <c r="BL236" s="115">
        <v>288</v>
      </c>
      <c r="BM236" s="111">
        <v>314</v>
      </c>
      <c r="BN236" s="35">
        <v>479</v>
      </c>
      <c r="BO236" s="32">
        <v>29</v>
      </c>
      <c r="BP236" s="31">
        <v>527</v>
      </c>
      <c r="BQ236" s="32">
        <v>295</v>
      </c>
      <c r="BR236" s="31">
        <v>264</v>
      </c>
      <c r="BS236" s="32">
        <v>564</v>
      </c>
      <c r="BT236" s="31">
        <v>480</v>
      </c>
      <c r="BU236" s="33">
        <v>35</v>
      </c>
      <c r="BV236" s="115">
        <v>301</v>
      </c>
      <c r="BW236" s="111">
        <v>308</v>
      </c>
      <c r="BX236" s="32">
        <v>517</v>
      </c>
      <c r="BY236" s="31">
        <v>309</v>
      </c>
      <c r="BZ236" s="32">
        <v>492</v>
      </c>
      <c r="CA236" s="111">
        <v>504</v>
      </c>
      <c r="CB236" s="32">
        <v>307</v>
      </c>
      <c r="CC236" s="33">
        <v>645</v>
      </c>
      <c r="CD236" s="34">
        <v>573</v>
      </c>
      <c r="CE236" s="120">
        <v>438</v>
      </c>
      <c r="CF236" s="38">
        <v>245</v>
      </c>
      <c r="CG236" s="31">
        <v>224</v>
      </c>
      <c r="CH236" s="35">
        <v>278</v>
      </c>
      <c r="CI236" s="35">
        <v>163</v>
      </c>
      <c r="CJ236" s="35">
        <v>214</v>
      </c>
      <c r="CK236" s="32">
        <v>434</v>
      </c>
    </row>
    <row r="237" spans="1:89" ht="13" x14ac:dyDescent="0.25">
      <c r="A237" s="27">
        <v>3506</v>
      </c>
      <c r="B237" s="28" t="s">
        <v>260</v>
      </c>
      <c r="C237" s="29">
        <v>712</v>
      </c>
      <c r="D237" s="30">
        <v>568</v>
      </c>
      <c r="E237" s="20">
        <f t="shared" si="3"/>
        <v>0.797752808988764</v>
      </c>
      <c r="F237" s="31">
        <v>0</v>
      </c>
      <c r="G237" s="111">
        <v>0</v>
      </c>
      <c r="H237" s="111">
        <v>0</v>
      </c>
      <c r="I237" s="111">
        <v>0</v>
      </c>
      <c r="J237" s="111">
        <v>1</v>
      </c>
      <c r="K237" s="111">
        <v>0</v>
      </c>
      <c r="L237" s="111">
        <v>0</v>
      </c>
      <c r="M237" s="111">
        <v>255</v>
      </c>
      <c r="N237" s="111">
        <v>0</v>
      </c>
      <c r="O237" s="111">
        <v>0</v>
      </c>
      <c r="P237" s="35">
        <v>3</v>
      </c>
      <c r="Q237" s="35">
        <v>0</v>
      </c>
      <c r="R237" s="35">
        <v>299</v>
      </c>
      <c r="S237" s="32">
        <v>0</v>
      </c>
      <c r="T237" s="37">
        <v>203</v>
      </c>
      <c r="U237" s="38">
        <v>349</v>
      </c>
      <c r="V237" s="37">
        <v>353</v>
      </c>
      <c r="W237" s="32">
        <v>199</v>
      </c>
      <c r="X237" s="31">
        <v>222</v>
      </c>
      <c r="Y237" s="32">
        <v>325</v>
      </c>
      <c r="Z237" s="111">
        <v>240</v>
      </c>
      <c r="AA237" s="35">
        <v>0</v>
      </c>
      <c r="AB237" s="35">
        <v>12</v>
      </c>
      <c r="AC237" s="35">
        <v>310</v>
      </c>
      <c r="AD237" s="35">
        <v>0</v>
      </c>
      <c r="AE237" s="33">
        <v>0</v>
      </c>
      <c r="AF237" s="116">
        <v>1</v>
      </c>
      <c r="AG237" s="120">
        <v>236</v>
      </c>
      <c r="AH237" s="38">
        <v>317</v>
      </c>
      <c r="AI237" s="37"/>
      <c r="AJ237" s="36"/>
      <c r="AK237" s="37">
        <v>325</v>
      </c>
      <c r="AL237" s="38">
        <v>218</v>
      </c>
      <c r="AM237" s="37"/>
      <c r="AN237" s="116"/>
      <c r="AO237" s="120"/>
      <c r="AP237" s="38"/>
      <c r="AQ237" s="37"/>
      <c r="AR237" s="116"/>
      <c r="AS237" s="120">
        <v>221</v>
      </c>
      <c r="AT237" s="38">
        <v>323</v>
      </c>
      <c r="AU237" s="37"/>
      <c r="AV237" s="120"/>
      <c r="AW237" s="120"/>
      <c r="AX237" s="37"/>
      <c r="AY237" s="38"/>
      <c r="AZ237" s="37"/>
      <c r="BA237" s="116"/>
      <c r="BB237" s="31">
        <v>340</v>
      </c>
      <c r="BC237" s="32">
        <v>206</v>
      </c>
      <c r="BD237" s="31">
        <v>336</v>
      </c>
      <c r="BE237" s="116">
        <v>206</v>
      </c>
      <c r="BF237" s="120">
        <v>208</v>
      </c>
      <c r="BG237" s="38">
        <v>328</v>
      </c>
      <c r="BH237" s="37">
        <v>372</v>
      </c>
      <c r="BI237" s="38">
        <v>177</v>
      </c>
      <c r="BJ237" s="111">
        <v>24</v>
      </c>
      <c r="BK237" s="33">
        <v>327</v>
      </c>
      <c r="BL237" s="115">
        <v>192</v>
      </c>
      <c r="BM237" s="111">
        <v>200</v>
      </c>
      <c r="BN237" s="35">
        <v>329</v>
      </c>
      <c r="BO237" s="32">
        <v>18</v>
      </c>
      <c r="BP237" s="31">
        <v>347</v>
      </c>
      <c r="BQ237" s="32">
        <v>197</v>
      </c>
      <c r="BR237" s="31">
        <v>177</v>
      </c>
      <c r="BS237" s="32">
        <v>372</v>
      </c>
      <c r="BT237" s="31">
        <v>317</v>
      </c>
      <c r="BU237" s="33">
        <v>25</v>
      </c>
      <c r="BV237" s="115">
        <v>192</v>
      </c>
      <c r="BW237" s="111">
        <v>211</v>
      </c>
      <c r="BX237" s="32">
        <v>337</v>
      </c>
      <c r="BY237" s="31">
        <v>215</v>
      </c>
      <c r="BZ237" s="32">
        <v>322</v>
      </c>
      <c r="CA237" s="111">
        <v>341</v>
      </c>
      <c r="CB237" s="32">
        <v>202</v>
      </c>
      <c r="CC237" s="33">
        <v>414</v>
      </c>
      <c r="CD237" s="34">
        <v>386</v>
      </c>
      <c r="CE237" s="120">
        <v>277</v>
      </c>
      <c r="CF237" s="38">
        <v>167</v>
      </c>
      <c r="CG237" s="31">
        <v>162</v>
      </c>
      <c r="CH237" s="35">
        <v>194</v>
      </c>
      <c r="CI237" s="35">
        <v>117</v>
      </c>
      <c r="CJ237" s="35">
        <v>125</v>
      </c>
      <c r="CK237" s="32">
        <v>309</v>
      </c>
    </row>
    <row r="238" spans="1:89" ht="13" x14ac:dyDescent="0.25">
      <c r="A238" s="27">
        <v>3701</v>
      </c>
      <c r="B238" s="28" t="s">
        <v>261</v>
      </c>
      <c r="C238" s="29">
        <v>754</v>
      </c>
      <c r="D238" s="30">
        <v>657</v>
      </c>
      <c r="E238" s="20">
        <f t="shared" si="3"/>
        <v>0.87135278514588854</v>
      </c>
      <c r="F238" s="31">
        <v>0</v>
      </c>
      <c r="G238" s="111">
        <v>0</v>
      </c>
      <c r="H238" s="111">
        <v>0</v>
      </c>
      <c r="I238" s="111">
        <v>0</v>
      </c>
      <c r="J238" s="111">
        <v>2</v>
      </c>
      <c r="K238" s="111">
        <v>0</v>
      </c>
      <c r="L238" s="111">
        <v>0</v>
      </c>
      <c r="M238" s="111">
        <v>275</v>
      </c>
      <c r="N238" s="111">
        <v>0</v>
      </c>
      <c r="O238" s="111">
        <v>0</v>
      </c>
      <c r="P238" s="35">
        <v>5</v>
      </c>
      <c r="Q238" s="35">
        <v>0</v>
      </c>
      <c r="R238" s="35">
        <v>362</v>
      </c>
      <c r="S238" s="32">
        <v>0</v>
      </c>
      <c r="T238" s="37">
        <v>256</v>
      </c>
      <c r="U238" s="38">
        <v>379</v>
      </c>
      <c r="V238" s="37">
        <v>387</v>
      </c>
      <c r="W238" s="32">
        <v>252</v>
      </c>
      <c r="X238" s="31">
        <v>260</v>
      </c>
      <c r="Y238" s="32">
        <v>370</v>
      </c>
      <c r="Z238" s="111">
        <v>278</v>
      </c>
      <c r="AA238" s="35">
        <v>0</v>
      </c>
      <c r="AB238" s="35">
        <v>23</v>
      </c>
      <c r="AC238" s="35">
        <v>345</v>
      </c>
      <c r="AD238" s="35">
        <v>0</v>
      </c>
      <c r="AE238" s="33">
        <v>0</v>
      </c>
      <c r="AF238" s="116">
        <v>0</v>
      </c>
      <c r="AG238" s="120">
        <v>280</v>
      </c>
      <c r="AH238" s="38">
        <v>357</v>
      </c>
      <c r="AI238" s="37"/>
      <c r="AJ238" s="36"/>
      <c r="AK238" s="37"/>
      <c r="AL238" s="38"/>
      <c r="AM238" s="37"/>
      <c r="AN238" s="116"/>
      <c r="AO238" s="120"/>
      <c r="AP238" s="38"/>
      <c r="AQ238" s="37"/>
      <c r="AR238" s="116"/>
      <c r="AS238" s="120"/>
      <c r="AT238" s="38"/>
      <c r="AU238" s="37">
        <v>247</v>
      </c>
      <c r="AV238" s="120">
        <v>0</v>
      </c>
      <c r="AW238" s="120">
        <v>379</v>
      </c>
      <c r="AX238" s="37"/>
      <c r="AY238" s="38"/>
      <c r="AZ238" s="37"/>
      <c r="BA238" s="116"/>
      <c r="BB238" s="31">
        <v>380</v>
      </c>
      <c r="BC238" s="32">
        <v>238</v>
      </c>
      <c r="BD238" s="31">
        <v>370</v>
      </c>
      <c r="BE238" s="116">
        <v>243</v>
      </c>
      <c r="BF238" s="120">
        <v>245</v>
      </c>
      <c r="BG238" s="38">
        <v>371</v>
      </c>
      <c r="BH238" s="37">
        <v>382</v>
      </c>
      <c r="BI238" s="38">
        <v>229</v>
      </c>
      <c r="BJ238" s="111">
        <v>33</v>
      </c>
      <c r="BK238" s="33">
        <v>357</v>
      </c>
      <c r="BL238" s="115">
        <v>226</v>
      </c>
      <c r="BM238" s="111">
        <v>241</v>
      </c>
      <c r="BN238" s="35">
        <v>355</v>
      </c>
      <c r="BO238" s="32">
        <v>28</v>
      </c>
      <c r="BP238" s="31">
        <v>386</v>
      </c>
      <c r="BQ238" s="32">
        <v>234</v>
      </c>
      <c r="BR238" s="31">
        <v>213</v>
      </c>
      <c r="BS238" s="32">
        <v>413</v>
      </c>
      <c r="BT238" s="31">
        <v>352</v>
      </c>
      <c r="BU238" s="33">
        <v>29</v>
      </c>
      <c r="BV238" s="115">
        <v>228</v>
      </c>
      <c r="BW238" s="111">
        <v>251</v>
      </c>
      <c r="BX238" s="32">
        <v>378</v>
      </c>
      <c r="BY238" s="31">
        <v>234</v>
      </c>
      <c r="BZ238" s="32">
        <v>367</v>
      </c>
      <c r="CA238" s="111">
        <v>373</v>
      </c>
      <c r="CB238" s="32">
        <v>241</v>
      </c>
      <c r="CC238" s="33">
        <v>475</v>
      </c>
      <c r="CD238" s="34">
        <v>409</v>
      </c>
      <c r="CE238" s="120">
        <v>327</v>
      </c>
      <c r="CF238" s="42">
        <v>180</v>
      </c>
      <c r="CG238" s="31">
        <v>158</v>
      </c>
      <c r="CH238" s="35">
        <v>224</v>
      </c>
      <c r="CI238" s="35">
        <v>140</v>
      </c>
      <c r="CJ238" s="35">
        <v>161</v>
      </c>
      <c r="CK238" s="32">
        <v>311</v>
      </c>
    </row>
    <row r="239" spans="1:89" ht="13" x14ac:dyDescent="0.25">
      <c r="A239" s="27">
        <v>3702</v>
      </c>
      <c r="B239" s="28" t="s">
        <v>262</v>
      </c>
      <c r="C239" s="29">
        <v>1472</v>
      </c>
      <c r="D239" s="30">
        <v>1054</v>
      </c>
      <c r="E239" s="20">
        <f t="shared" si="3"/>
        <v>0.71603260869565222</v>
      </c>
      <c r="F239" s="31">
        <v>0</v>
      </c>
      <c r="G239" s="111">
        <v>0</v>
      </c>
      <c r="H239" s="111">
        <v>0</v>
      </c>
      <c r="I239" s="111">
        <v>0</v>
      </c>
      <c r="J239" s="111">
        <v>2</v>
      </c>
      <c r="K239" s="111">
        <v>0</v>
      </c>
      <c r="L239" s="111">
        <v>0</v>
      </c>
      <c r="M239" s="111">
        <v>471</v>
      </c>
      <c r="N239" s="111">
        <v>0</v>
      </c>
      <c r="O239" s="111">
        <v>0</v>
      </c>
      <c r="P239" s="35">
        <v>2</v>
      </c>
      <c r="Q239" s="35">
        <v>2</v>
      </c>
      <c r="R239" s="35">
        <v>560</v>
      </c>
      <c r="S239" s="32">
        <v>0</v>
      </c>
      <c r="T239" s="37">
        <v>460</v>
      </c>
      <c r="U239" s="38">
        <v>541</v>
      </c>
      <c r="V239" s="37">
        <v>568</v>
      </c>
      <c r="W239" s="32">
        <v>436</v>
      </c>
      <c r="X239" s="31">
        <v>468</v>
      </c>
      <c r="Y239" s="32">
        <v>511</v>
      </c>
      <c r="Z239" s="111">
        <v>479</v>
      </c>
      <c r="AA239" s="35">
        <v>0</v>
      </c>
      <c r="AB239" s="35">
        <v>38</v>
      </c>
      <c r="AC239" s="35">
        <v>501</v>
      </c>
      <c r="AD239" s="35">
        <v>0</v>
      </c>
      <c r="AE239" s="33">
        <v>0</v>
      </c>
      <c r="AF239" s="116">
        <v>0</v>
      </c>
      <c r="AG239" s="120">
        <v>504</v>
      </c>
      <c r="AH239" s="38">
        <v>501</v>
      </c>
      <c r="AI239" s="37"/>
      <c r="AJ239" s="36"/>
      <c r="AK239" s="37"/>
      <c r="AL239" s="38"/>
      <c r="AM239" s="37"/>
      <c r="AN239" s="116"/>
      <c r="AO239" s="120"/>
      <c r="AP239" s="38"/>
      <c r="AQ239" s="37"/>
      <c r="AR239" s="116"/>
      <c r="AS239" s="120"/>
      <c r="AT239" s="38"/>
      <c r="AU239" s="37">
        <v>452</v>
      </c>
      <c r="AV239" s="120">
        <v>0</v>
      </c>
      <c r="AW239" s="120">
        <v>535</v>
      </c>
      <c r="AX239" s="37"/>
      <c r="AY239" s="38"/>
      <c r="AZ239" s="37"/>
      <c r="BA239" s="116"/>
      <c r="BB239" s="31">
        <v>529</v>
      </c>
      <c r="BC239" s="32">
        <v>448</v>
      </c>
      <c r="BD239" s="31">
        <v>525</v>
      </c>
      <c r="BE239" s="116">
        <v>449</v>
      </c>
      <c r="BF239" s="120">
        <v>449</v>
      </c>
      <c r="BG239" s="38">
        <v>520</v>
      </c>
      <c r="BH239" s="37">
        <v>536</v>
      </c>
      <c r="BI239" s="38">
        <v>431</v>
      </c>
      <c r="BJ239" s="111">
        <v>48</v>
      </c>
      <c r="BK239" s="33">
        <v>476</v>
      </c>
      <c r="BL239" s="115">
        <v>450</v>
      </c>
      <c r="BM239" s="111">
        <v>439</v>
      </c>
      <c r="BN239" s="35">
        <v>493</v>
      </c>
      <c r="BO239" s="32">
        <v>43</v>
      </c>
      <c r="BP239" s="31">
        <v>522</v>
      </c>
      <c r="BQ239" s="32">
        <v>446</v>
      </c>
      <c r="BR239" s="31">
        <v>420</v>
      </c>
      <c r="BS239" s="32">
        <v>570</v>
      </c>
      <c r="BT239" s="31">
        <v>494</v>
      </c>
      <c r="BU239" s="33">
        <v>41</v>
      </c>
      <c r="BV239" s="115">
        <v>426</v>
      </c>
      <c r="BW239" s="111">
        <v>472</v>
      </c>
      <c r="BX239" s="32">
        <v>520</v>
      </c>
      <c r="BY239" s="31">
        <v>445</v>
      </c>
      <c r="BZ239" s="32">
        <v>515</v>
      </c>
      <c r="CA239" s="111">
        <v>515</v>
      </c>
      <c r="CB239" s="32">
        <v>453</v>
      </c>
      <c r="CC239" s="33">
        <v>694</v>
      </c>
      <c r="CD239" s="34">
        <v>696</v>
      </c>
      <c r="CE239" s="120">
        <v>471</v>
      </c>
      <c r="CF239" s="42">
        <v>331</v>
      </c>
      <c r="CG239" s="31">
        <v>208</v>
      </c>
      <c r="CH239" s="35">
        <v>229</v>
      </c>
      <c r="CI239" s="35">
        <v>254</v>
      </c>
      <c r="CJ239" s="35">
        <v>324</v>
      </c>
      <c r="CK239" s="32">
        <v>387</v>
      </c>
    </row>
    <row r="240" spans="1:89" ht="13" x14ac:dyDescent="0.25">
      <c r="A240" s="27">
        <v>3703</v>
      </c>
      <c r="B240" s="28" t="s">
        <v>263</v>
      </c>
      <c r="C240" s="29">
        <v>1129</v>
      </c>
      <c r="D240" s="30">
        <v>864</v>
      </c>
      <c r="E240" s="20">
        <f t="shared" si="3"/>
        <v>0.76527900797165638</v>
      </c>
      <c r="F240" s="31">
        <v>0</v>
      </c>
      <c r="G240" s="111">
        <v>0</v>
      </c>
      <c r="H240" s="111">
        <v>0</v>
      </c>
      <c r="I240" s="111">
        <v>0</v>
      </c>
      <c r="J240" s="111">
        <v>1</v>
      </c>
      <c r="K240" s="111">
        <v>0</v>
      </c>
      <c r="L240" s="111">
        <v>0</v>
      </c>
      <c r="M240" s="111">
        <v>397</v>
      </c>
      <c r="N240" s="111">
        <v>0</v>
      </c>
      <c r="O240" s="111">
        <v>0</v>
      </c>
      <c r="P240" s="35">
        <v>9</v>
      </c>
      <c r="Q240" s="35">
        <v>1</v>
      </c>
      <c r="R240" s="35">
        <v>441</v>
      </c>
      <c r="S240" s="32">
        <v>0</v>
      </c>
      <c r="T240" s="37">
        <v>375</v>
      </c>
      <c r="U240" s="38">
        <v>450</v>
      </c>
      <c r="V240" s="37">
        <v>469</v>
      </c>
      <c r="W240" s="32">
        <v>363</v>
      </c>
      <c r="X240" s="31">
        <v>381</v>
      </c>
      <c r="Y240" s="32">
        <v>436</v>
      </c>
      <c r="Z240" s="111">
        <v>405</v>
      </c>
      <c r="AA240" s="35">
        <v>0</v>
      </c>
      <c r="AB240" s="35">
        <v>26</v>
      </c>
      <c r="AC240" s="35">
        <v>415</v>
      </c>
      <c r="AD240" s="35">
        <v>0</v>
      </c>
      <c r="AE240" s="33">
        <v>0</v>
      </c>
      <c r="AF240" s="116">
        <v>0</v>
      </c>
      <c r="AG240" s="120">
        <v>420</v>
      </c>
      <c r="AH240" s="38">
        <v>406</v>
      </c>
      <c r="AI240" s="37"/>
      <c r="AJ240" s="36"/>
      <c r="AK240" s="37"/>
      <c r="AL240" s="38"/>
      <c r="AM240" s="37"/>
      <c r="AN240" s="116"/>
      <c r="AO240" s="120"/>
      <c r="AP240" s="38"/>
      <c r="AQ240" s="37"/>
      <c r="AR240" s="116"/>
      <c r="AS240" s="120"/>
      <c r="AT240" s="38"/>
      <c r="AU240" s="37">
        <v>377</v>
      </c>
      <c r="AV240" s="120">
        <v>0</v>
      </c>
      <c r="AW240" s="120">
        <v>439</v>
      </c>
      <c r="AX240" s="37"/>
      <c r="AY240" s="38"/>
      <c r="AZ240" s="37"/>
      <c r="BA240" s="116"/>
      <c r="BB240" s="31">
        <v>443</v>
      </c>
      <c r="BC240" s="32">
        <v>362</v>
      </c>
      <c r="BD240" s="31">
        <v>434</v>
      </c>
      <c r="BE240" s="116">
        <v>365</v>
      </c>
      <c r="BF240" s="120">
        <v>365</v>
      </c>
      <c r="BG240" s="38">
        <v>434</v>
      </c>
      <c r="BH240" s="37">
        <v>450</v>
      </c>
      <c r="BI240" s="38">
        <v>353</v>
      </c>
      <c r="BJ240" s="111">
        <v>37</v>
      </c>
      <c r="BK240" s="33">
        <v>410</v>
      </c>
      <c r="BL240" s="115">
        <v>360</v>
      </c>
      <c r="BM240" s="111">
        <v>361</v>
      </c>
      <c r="BN240" s="35">
        <v>415</v>
      </c>
      <c r="BO240" s="32">
        <v>30</v>
      </c>
      <c r="BP240" s="31">
        <v>446</v>
      </c>
      <c r="BQ240" s="32">
        <v>358</v>
      </c>
      <c r="BR240" s="31">
        <v>340</v>
      </c>
      <c r="BS240" s="32">
        <v>475</v>
      </c>
      <c r="BT240" s="31">
        <v>419</v>
      </c>
      <c r="BU240" s="33">
        <v>39</v>
      </c>
      <c r="BV240" s="115">
        <v>345</v>
      </c>
      <c r="BW240" s="111">
        <v>383</v>
      </c>
      <c r="BX240" s="32">
        <v>441</v>
      </c>
      <c r="BY240" s="31">
        <v>368</v>
      </c>
      <c r="BZ240" s="32">
        <v>414</v>
      </c>
      <c r="CA240" s="111">
        <v>428</v>
      </c>
      <c r="CB240" s="32">
        <v>373</v>
      </c>
      <c r="CC240" s="33">
        <v>557</v>
      </c>
      <c r="CD240" s="34">
        <v>566</v>
      </c>
      <c r="CE240" s="120">
        <v>330</v>
      </c>
      <c r="CF240" s="42">
        <v>342</v>
      </c>
      <c r="CG240" s="31">
        <v>196</v>
      </c>
      <c r="CH240" s="35">
        <v>188</v>
      </c>
      <c r="CI240" s="35">
        <v>216</v>
      </c>
      <c r="CJ240" s="35">
        <v>296</v>
      </c>
      <c r="CK240" s="32">
        <v>355</v>
      </c>
    </row>
    <row r="241" spans="1:89" ht="13" x14ac:dyDescent="0.25">
      <c r="A241" s="27">
        <v>3704</v>
      </c>
      <c r="B241" s="28" t="s">
        <v>264</v>
      </c>
      <c r="C241" s="29">
        <v>1031</v>
      </c>
      <c r="D241" s="30">
        <v>720</v>
      </c>
      <c r="E241" s="20">
        <f t="shared" si="3"/>
        <v>0.69835111542192052</v>
      </c>
      <c r="F241" s="31">
        <v>0</v>
      </c>
      <c r="G241" s="111">
        <v>0</v>
      </c>
      <c r="H241" s="111">
        <v>0</v>
      </c>
      <c r="I241" s="111">
        <v>0</v>
      </c>
      <c r="J241" s="111">
        <v>0</v>
      </c>
      <c r="K241" s="111">
        <v>0</v>
      </c>
      <c r="L241" s="111">
        <v>0</v>
      </c>
      <c r="M241" s="111">
        <v>295</v>
      </c>
      <c r="N241" s="111">
        <v>0</v>
      </c>
      <c r="O241" s="111">
        <v>0</v>
      </c>
      <c r="P241" s="35">
        <v>4</v>
      </c>
      <c r="Q241" s="35">
        <v>2</v>
      </c>
      <c r="R241" s="35">
        <v>409</v>
      </c>
      <c r="S241" s="32">
        <v>0</v>
      </c>
      <c r="T241" s="37">
        <v>287</v>
      </c>
      <c r="U241" s="38">
        <v>406</v>
      </c>
      <c r="V241" s="37">
        <v>415</v>
      </c>
      <c r="W241" s="32">
        <v>272</v>
      </c>
      <c r="X241" s="31">
        <v>296</v>
      </c>
      <c r="Y241" s="32">
        <v>385</v>
      </c>
      <c r="Z241" s="111">
        <v>302</v>
      </c>
      <c r="AA241" s="35">
        <v>0</v>
      </c>
      <c r="AB241" s="35">
        <v>41</v>
      </c>
      <c r="AC241" s="35">
        <v>363</v>
      </c>
      <c r="AD241" s="35">
        <v>0</v>
      </c>
      <c r="AE241" s="33">
        <v>0</v>
      </c>
      <c r="AF241" s="116">
        <v>0</v>
      </c>
      <c r="AG241" s="120">
        <v>314</v>
      </c>
      <c r="AH241" s="38">
        <v>379</v>
      </c>
      <c r="AI241" s="37"/>
      <c r="AJ241" s="36"/>
      <c r="AK241" s="37"/>
      <c r="AL241" s="38"/>
      <c r="AM241" s="37"/>
      <c r="AN241" s="116"/>
      <c r="AO241" s="120"/>
      <c r="AP241" s="38"/>
      <c r="AQ241" s="37"/>
      <c r="AR241" s="116"/>
      <c r="AS241" s="120"/>
      <c r="AT241" s="38"/>
      <c r="AU241" s="37">
        <v>282</v>
      </c>
      <c r="AV241" s="120">
        <v>0</v>
      </c>
      <c r="AW241" s="120">
        <v>399</v>
      </c>
      <c r="AX241" s="37"/>
      <c r="AY241" s="38"/>
      <c r="AZ241" s="37"/>
      <c r="BA241" s="116"/>
      <c r="BB241" s="31">
        <v>397</v>
      </c>
      <c r="BC241" s="32">
        <v>269</v>
      </c>
      <c r="BD241" s="31">
        <v>383</v>
      </c>
      <c r="BE241" s="116">
        <v>280</v>
      </c>
      <c r="BF241" s="120">
        <v>274</v>
      </c>
      <c r="BG241" s="38">
        <v>385</v>
      </c>
      <c r="BH241" s="37">
        <v>402</v>
      </c>
      <c r="BI241" s="38">
        <v>257</v>
      </c>
      <c r="BJ241" s="111">
        <v>31</v>
      </c>
      <c r="BK241" s="33">
        <v>369</v>
      </c>
      <c r="BL241" s="115">
        <v>271</v>
      </c>
      <c r="BM241" s="111">
        <v>275</v>
      </c>
      <c r="BN241" s="35">
        <v>369</v>
      </c>
      <c r="BO241" s="32">
        <v>26</v>
      </c>
      <c r="BP241" s="31">
        <v>391</v>
      </c>
      <c r="BQ241" s="32">
        <v>276</v>
      </c>
      <c r="BR241" s="31">
        <v>259</v>
      </c>
      <c r="BS241" s="32">
        <v>408</v>
      </c>
      <c r="BT241" s="31">
        <v>369</v>
      </c>
      <c r="BU241" s="33">
        <v>35</v>
      </c>
      <c r="BV241" s="115">
        <v>258</v>
      </c>
      <c r="BW241" s="111">
        <v>286</v>
      </c>
      <c r="BX241" s="32">
        <v>395</v>
      </c>
      <c r="BY241" s="31">
        <v>272</v>
      </c>
      <c r="BZ241" s="32">
        <v>381</v>
      </c>
      <c r="CA241" s="111">
        <v>388</v>
      </c>
      <c r="CB241" s="32">
        <v>274</v>
      </c>
      <c r="CC241" s="33">
        <v>497</v>
      </c>
      <c r="CD241" s="34">
        <v>471</v>
      </c>
      <c r="CE241" s="120">
        <v>327</v>
      </c>
      <c r="CF241" s="42">
        <v>243</v>
      </c>
      <c r="CG241" s="31">
        <v>139</v>
      </c>
      <c r="CH241" s="35">
        <v>198</v>
      </c>
      <c r="CI241" s="35">
        <v>180</v>
      </c>
      <c r="CJ241" s="35">
        <v>225</v>
      </c>
      <c r="CK241" s="32">
        <v>288</v>
      </c>
    </row>
    <row r="242" spans="1:89" ht="13" x14ac:dyDescent="0.25">
      <c r="A242" s="27">
        <v>3705</v>
      </c>
      <c r="B242" s="28" t="s">
        <v>265</v>
      </c>
      <c r="C242" s="29">
        <v>995</v>
      </c>
      <c r="D242" s="30">
        <v>824</v>
      </c>
      <c r="E242" s="20">
        <f t="shared" si="3"/>
        <v>0.82814070351758795</v>
      </c>
      <c r="F242" s="31">
        <v>0</v>
      </c>
      <c r="G242" s="111">
        <v>0</v>
      </c>
      <c r="H242" s="111">
        <v>0</v>
      </c>
      <c r="I242" s="111">
        <v>0</v>
      </c>
      <c r="J242" s="111">
        <v>1</v>
      </c>
      <c r="K242" s="111">
        <v>0</v>
      </c>
      <c r="L242" s="111">
        <v>0</v>
      </c>
      <c r="M242" s="111">
        <v>367</v>
      </c>
      <c r="N242" s="111">
        <v>0</v>
      </c>
      <c r="O242" s="111">
        <v>0</v>
      </c>
      <c r="P242" s="35">
        <v>4</v>
      </c>
      <c r="Q242" s="35">
        <v>2</v>
      </c>
      <c r="R242" s="35">
        <v>441</v>
      </c>
      <c r="S242" s="32">
        <v>0</v>
      </c>
      <c r="T242" s="37">
        <v>339</v>
      </c>
      <c r="U242" s="38">
        <v>448</v>
      </c>
      <c r="V242" s="37">
        <v>467</v>
      </c>
      <c r="W242" s="32">
        <v>318</v>
      </c>
      <c r="X242" s="31">
        <v>338</v>
      </c>
      <c r="Y242" s="32">
        <v>424</v>
      </c>
      <c r="Z242" s="111">
        <v>369</v>
      </c>
      <c r="AA242" s="35">
        <v>0</v>
      </c>
      <c r="AB242" s="35">
        <v>31</v>
      </c>
      <c r="AC242" s="35">
        <v>393</v>
      </c>
      <c r="AD242" s="35">
        <v>0</v>
      </c>
      <c r="AE242" s="33">
        <v>0</v>
      </c>
      <c r="AF242" s="116">
        <v>0</v>
      </c>
      <c r="AG242" s="120">
        <v>368</v>
      </c>
      <c r="AH242" s="38">
        <v>404</v>
      </c>
      <c r="AI242" s="37"/>
      <c r="AJ242" s="36"/>
      <c r="AK242" s="37"/>
      <c r="AL242" s="38"/>
      <c r="AM242" s="37"/>
      <c r="AN242" s="116"/>
      <c r="AO242" s="120"/>
      <c r="AP242" s="38"/>
      <c r="AQ242" s="37"/>
      <c r="AR242" s="116"/>
      <c r="AS242" s="120"/>
      <c r="AT242" s="38"/>
      <c r="AU242" s="37">
        <v>332</v>
      </c>
      <c r="AV242" s="120">
        <v>0</v>
      </c>
      <c r="AW242" s="120">
        <v>420</v>
      </c>
      <c r="AX242" s="37"/>
      <c r="AY242" s="38"/>
      <c r="AZ242" s="37"/>
      <c r="BA242" s="116"/>
      <c r="BB242" s="31">
        <v>418</v>
      </c>
      <c r="BC242" s="32">
        <v>324</v>
      </c>
      <c r="BD242" s="31">
        <v>410</v>
      </c>
      <c r="BE242" s="116">
        <v>321</v>
      </c>
      <c r="BF242" s="120">
        <v>325</v>
      </c>
      <c r="BG242" s="38">
        <v>404</v>
      </c>
      <c r="BH242" s="37">
        <v>430</v>
      </c>
      <c r="BI242" s="38">
        <v>306</v>
      </c>
      <c r="BJ242" s="111">
        <v>47</v>
      </c>
      <c r="BK242" s="33">
        <v>377</v>
      </c>
      <c r="BL242" s="115">
        <v>316</v>
      </c>
      <c r="BM242" s="111">
        <v>322</v>
      </c>
      <c r="BN242" s="35">
        <v>374</v>
      </c>
      <c r="BO242" s="32">
        <v>35</v>
      </c>
      <c r="BP242" s="31">
        <v>424</v>
      </c>
      <c r="BQ242" s="32">
        <v>314</v>
      </c>
      <c r="BR242" s="31">
        <v>290</v>
      </c>
      <c r="BS242" s="32">
        <v>459</v>
      </c>
      <c r="BT242" s="31">
        <v>380</v>
      </c>
      <c r="BU242" s="33">
        <v>38</v>
      </c>
      <c r="BV242" s="115">
        <v>311</v>
      </c>
      <c r="BW242" s="111">
        <v>329</v>
      </c>
      <c r="BX242" s="32">
        <v>427</v>
      </c>
      <c r="BY242" s="31">
        <v>321</v>
      </c>
      <c r="BZ242" s="32">
        <v>404</v>
      </c>
      <c r="CA242" s="111">
        <v>413</v>
      </c>
      <c r="CB242" s="32">
        <v>323</v>
      </c>
      <c r="CC242" s="33">
        <v>515</v>
      </c>
      <c r="CD242" s="34">
        <v>511</v>
      </c>
      <c r="CE242" s="120">
        <v>332</v>
      </c>
      <c r="CF242" s="42">
        <v>263</v>
      </c>
      <c r="CG242" s="31">
        <v>157</v>
      </c>
      <c r="CH242" s="35">
        <v>205</v>
      </c>
      <c r="CI242" s="35">
        <v>181</v>
      </c>
      <c r="CJ242" s="35">
        <v>210</v>
      </c>
      <c r="CK242" s="32">
        <v>387</v>
      </c>
    </row>
    <row r="243" spans="1:89" ht="13" x14ac:dyDescent="0.25">
      <c r="A243" s="27">
        <v>3706</v>
      </c>
      <c r="B243" s="28" t="s">
        <v>266</v>
      </c>
      <c r="C243" s="29">
        <v>799</v>
      </c>
      <c r="D243" s="30">
        <v>641</v>
      </c>
      <c r="E243" s="20">
        <f t="shared" si="3"/>
        <v>0.80225281602002507</v>
      </c>
      <c r="F243" s="31">
        <v>0</v>
      </c>
      <c r="G243" s="111">
        <v>0</v>
      </c>
      <c r="H243" s="111">
        <v>0</v>
      </c>
      <c r="I243" s="111">
        <v>0</v>
      </c>
      <c r="J243" s="111">
        <v>1</v>
      </c>
      <c r="K243" s="111">
        <v>0</v>
      </c>
      <c r="L243" s="111">
        <v>0</v>
      </c>
      <c r="M243" s="111">
        <v>296</v>
      </c>
      <c r="N243" s="111">
        <v>0</v>
      </c>
      <c r="O243" s="111">
        <v>0</v>
      </c>
      <c r="P243" s="35">
        <v>1</v>
      </c>
      <c r="Q243" s="35">
        <v>2</v>
      </c>
      <c r="R243" s="35">
        <v>331</v>
      </c>
      <c r="S243" s="32">
        <v>0</v>
      </c>
      <c r="T243" s="31">
        <v>276</v>
      </c>
      <c r="U243" s="32">
        <v>333</v>
      </c>
      <c r="V243" s="31">
        <v>353</v>
      </c>
      <c r="W243" s="32">
        <v>259</v>
      </c>
      <c r="X243" s="31">
        <v>276</v>
      </c>
      <c r="Y243" s="32">
        <v>325</v>
      </c>
      <c r="Z243" s="111">
        <v>301</v>
      </c>
      <c r="AA243" s="35">
        <v>0</v>
      </c>
      <c r="AB243" s="35">
        <v>28</v>
      </c>
      <c r="AC243" s="35">
        <v>297</v>
      </c>
      <c r="AD243" s="35">
        <v>0</v>
      </c>
      <c r="AE243" s="33">
        <v>0</v>
      </c>
      <c r="AF243" s="115">
        <v>0</v>
      </c>
      <c r="AG243" s="111">
        <v>301</v>
      </c>
      <c r="AH243" s="32">
        <v>310</v>
      </c>
      <c r="AI243" s="31"/>
      <c r="AJ243" s="33"/>
      <c r="AK243" s="31"/>
      <c r="AL243" s="32"/>
      <c r="AM243" s="31"/>
      <c r="AN243" s="115"/>
      <c r="AO243" s="111"/>
      <c r="AP243" s="32"/>
      <c r="AQ243" s="31"/>
      <c r="AR243" s="115"/>
      <c r="AS243" s="111"/>
      <c r="AT243" s="32"/>
      <c r="AU243" s="31">
        <v>279</v>
      </c>
      <c r="AV243" s="111">
        <v>0</v>
      </c>
      <c r="AW243" s="111">
        <v>320</v>
      </c>
      <c r="AX243" s="31"/>
      <c r="AY243" s="32"/>
      <c r="AZ243" s="31"/>
      <c r="BA243" s="115"/>
      <c r="BB243" s="31">
        <v>336</v>
      </c>
      <c r="BC243" s="32">
        <v>255</v>
      </c>
      <c r="BD243" s="31">
        <v>334</v>
      </c>
      <c r="BE243" s="115">
        <v>258</v>
      </c>
      <c r="BF243" s="111">
        <v>274</v>
      </c>
      <c r="BG243" s="32">
        <v>316</v>
      </c>
      <c r="BH243" s="31">
        <v>336</v>
      </c>
      <c r="BI243" s="32">
        <v>252</v>
      </c>
      <c r="BJ243" s="111">
        <v>40</v>
      </c>
      <c r="BK243" s="33">
        <v>288</v>
      </c>
      <c r="BL243" s="115">
        <v>266</v>
      </c>
      <c r="BM243" s="111">
        <v>271</v>
      </c>
      <c r="BN243" s="35">
        <v>296</v>
      </c>
      <c r="BO243" s="32">
        <v>26</v>
      </c>
      <c r="BP243" s="31">
        <v>336</v>
      </c>
      <c r="BQ243" s="32">
        <v>255</v>
      </c>
      <c r="BR243" s="31">
        <v>251</v>
      </c>
      <c r="BS243" s="32">
        <v>353</v>
      </c>
      <c r="BT243" s="31">
        <v>300</v>
      </c>
      <c r="BU243" s="33">
        <v>37</v>
      </c>
      <c r="BV243" s="115">
        <v>249</v>
      </c>
      <c r="BW243" s="111">
        <v>285</v>
      </c>
      <c r="BX243" s="32">
        <v>323</v>
      </c>
      <c r="BY243" s="31">
        <v>271</v>
      </c>
      <c r="BZ243" s="32">
        <v>308</v>
      </c>
      <c r="CA243" s="111">
        <v>309</v>
      </c>
      <c r="CB243" s="32">
        <v>277</v>
      </c>
      <c r="CC243" s="33">
        <v>414</v>
      </c>
      <c r="CD243" s="34">
        <v>419</v>
      </c>
      <c r="CE243" s="111">
        <v>293</v>
      </c>
      <c r="CF243" s="42">
        <v>191</v>
      </c>
      <c r="CG243" s="31">
        <v>124</v>
      </c>
      <c r="CH243" s="35">
        <v>167</v>
      </c>
      <c r="CI243" s="35">
        <v>154</v>
      </c>
      <c r="CJ243" s="35">
        <v>196</v>
      </c>
      <c r="CK243" s="32">
        <v>247</v>
      </c>
    </row>
    <row r="244" spans="1:89" ht="13" x14ac:dyDescent="0.25">
      <c r="A244" s="27">
        <v>3707</v>
      </c>
      <c r="B244" s="28" t="s">
        <v>267</v>
      </c>
      <c r="C244" s="29">
        <v>658</v>
      </c>
      <c r="D244" s="30">
        <v>550</v>
      </c>
      <c r="E244" s="20">
        <f t="shared" si="3"/>
        <v>0.83586626139817632</v>
      </c>
      <c r="F244" s="31">
        <v>0</v>
      </c>
      <c r="G244" s="111">
        <v>0</v>
      </c>
      <c r="H244" s="111">
        <v>0</v>
      </c>
      <c r="I244" s="111">
        <v>0</v>
      </c>
      <c r="J244" s="111">
        <v>2</v>
      </c>
      <c r="K244" s="111">
        <v>0</v>
      </c>
      <c r="L244" s="111">
        <v>0</v>
      </c>
      <c r="M244" s="111">
        <v>266</v>
      </c>
      <c r="N244" s="111">
        <v>0</v>
      </c>
      <c r="O244" s="111">
        <v>0</v>
      </c>
      <c r="P244" s="35">
        <v>5</v>
      </c>
      <c r="Q244" s="35">
        <v>3</v>
      </c>
      <c r="R244" s="35">
        <v>270</v>
      </c>
      <c r="S244" s="32">
        <v>0</v>
      </c>
      <c r="T244" s="31">
        <v>230</v>
      </c>
      <c r="U244" s="32">
        <v>295</v>
      </c>
      <c r="V244" s="31">
        <v>298</v>
      </c>
      <c r="W244" s="32">
        <v>230</v>
      </c>
      <c r="X244" s="31">
        <v>235</v>
      </c>
      <c r="Y244" s="32">
        <v>280</v>
      </c>
      <c r="Z244" s="111">
        <v>262</v>
      </c>
      <c r="AA244" s="35">
        <v>0</v>
      </c>
      <c r="AB244" s="35">
        <v>17</v>
      </c>
      <c r="AC244" s="35">
        <v>258</v>
      </c>
      <c r="AD244" s="35">
        <v>0</v>
      </c>
      <c r="AE244" s="33">
        <v>0</v>
      </c>
      <c r="AF244" s="115">
        <v>0</v>
      </c>
      <c r="AG244" s="111">
        <v>264</v>
      </c>
      <c r="AH244" s="32">
        <v>260</v>
      </c>
      <c r="AI244" s="31"/>
      <c r="AJ244" s="33"/>
      <c r="AK244" s="31"/>
      <c r="AL244" s="32"/>
      <c r="AM244" s="31"/>
      <c r="AN244" s="115"/>
      <c r="AO244" s="111"/>
      <c r="AP244" s="32"/>
      <c r="AQ244" s="31"/>
      <c r="AR244" s="115"/>
      <c r="AS244" s="111"/>
      <c r="AT244" s="32"/>
      <c r="AU244" s="31">
        <v>241</v>
      </c>
      <c r="AV244" s="111">
        <v>0</v>
      </c>
      <c r="AW244" s="111">
        <v>283</v>
      </c>
      <c r="AX244" s="31"/>
      <c r="AY244" s="32"/>
      <c r="AZ244" s="31"/>
      <c r="BA244" s="115"/>
      <c r="BB244" s="31">
        <v>288</v>
      </c>
      <c r="BC244" s="32">
        <v>220</v>
      </c>
      <c r="BD244" s="31">
        <v>283</v>
      </c>
      <c r="BE244" s="115">
        <v>224</v>
      </c>
      <c r="BF244" s="111">
        <v>221</v>
      </c>
      <c r="BG244" s="32">
        <v>282</v>
      </c>
      <c r="BH244" s="31">
        <v>299</v>
      </c>
      <c r="BI244" s="32">
        <v>209</v>
      </c>
      <c r="BJ244" s="111">
        <v>17</v>
      </c>
      <c r="BK244" s="33">
        <v>263</v>
      </c>
      <c r="BL244" s="115">
        <v>233</v>
      </c>
      <c r="BM244" s="111">
        <v>232</v>
      </c>
      <c r="BN244" s="35">
        <v>262</v>
      </c>
      <c r="BO244" s="32">
        <v>17</v>
      </c>
      <c r="BP244" s="31">
        <v>293</v>
      </c>
      <c r="BQ244" s="32">
        <v>220</v>
      </c>
      <c r="BR244" s="31">
        <v>198</v>
      </c>
      <c r="BS244" s="32">
        <v>322</v>
      </c>
      <c r="BT244" s="31">
        <v>265</v>
      </c>
      <c r="BU244" s="33">
        <v>24</v>
      </c>
      <c r="BV244" s="115">
        <v>212</v>
      </c>
      <c r="BW244" s="111">
        <v>251</v>
      </c>
      <c r="BX244" s="32">
        <v>271</v>
      </c>
      <c r="BY244" s="31">
        <v>225</v>
      </c>
      <c r="BZ244" s="32">
        <v>274</v>
      </c>
      <c r="CA244" s="111">
        <v>276</v>
      </c>
      <c r="CB244" s="32">
        <v>231</v>
      </c>
      <c r="CC244" s="33">
        <v>355</v>
      </c>
      <c r="CD244" s="34">
        <v>352</v>
      </c>
      <c r="CE244" s="111">
        <v>244</v>
      </c>
      <c r="CF244" s="42">
        <v>168</v>
      </c>
      <c r="CG244" s="31">
        <v>121</v>
      </c>
      <c r="CH244" s="35">
        <v>159</v>
      </c>
      <c r="CI244" s="35">
        <v>141</v>
      </c>
      <c r="CJ244" s="35">
        <v>159</v>
      </c>
      <c r="CK244" s="32">
        <v>228</v>
      </c>
    </row>
    <row r="245" spans="1:89" ht="13" x14ac:dyDescent="0.25">
      <c r="A245" s="27">
        <v>3801</v>
      </c>
      <c r="B245" s="28" t="s">
        <v>268</v>
      </c>
      <c r="C245" s="29">
        <v>1143</v>
      </c>
      <c r="D245" s="30">
        <v>965</v>
      </c>
      <c r="E245" s="20">
        <f t="shared" si="3"/>
        <v>0.8442694663167104</v>
      </c>
      <c r="F245" s="31">
        <v>0</v>
      </c>
      <c r="G245" s="111">
        <v>0</v>
      </c>
      <c r="H245" s="111">
        <v>0</v>
      </c>
      <c r="I245" s="111">
        <v>0</v>
      </c>
      <c r="J245" s="111">
        <v>2</v>
      </c>
      <c r="K245" s="111">
        <v>0</v>
      </c>
      <c r="L245" s="111">
        <v>0</v>
      </c>
      <c r="M245" s="111">
        <v>538</v>
      </c>
      <c r="N245" s="111">
        <v>0</v>
      </c>
      <c r="O245" s="111">
        <v>0</v>
      </c>
      <c r="P245" s="35">
        <v>12</v>
      </c>
      <c r="Q245" s="35">
        <v>3</v>
      </c>
      <c r="R245" s="35">
        <v>394</v>
      </c>
      <c r="S245" s="32">
        <v>0</v>
      </c>
      <c r="T245" s="31">
        <v>501</v>
      </c>
      <c r="U245" s="32">
        <v>425</v>
      </c>
      <c r="V245" s="31">
        <v>458</v>
      </c>
      <c r="W245" s="32">
        <v>475</v>
      </c>
      <c r="X245" s="31">
        <v>507</v>
      </c>
      <c r="Y245" s="32">
        <v>403</v>
      </c>
      <c r="Z245" s="111">
        <v>550</v>
      </c>
      <c r="AA245" s="35">
        <v>0</v>
      </c>
      <c r="AB245" s="35">
        <v>24</v>
      </c>
      <c r="AC245" s="35">
        <v>370</v>
      </c>
      <c r="AD245" s="35">
        <v>0</v>
      </c>
      <c r="AE245" s="33">
        <v>0</v>
      </c>
      <c r="AF245" s="115">
        <v>0</v>
      </c>
      <c r="AG245" s="111">
        <v>547</v>
      </c>
      <c r="AH245" s="32">
        <v>384</v>
      </c>
      <c r="AI245" s="31"/>
      <c r="AJ245" s="33"/>
      <c r="AK245" s="31">
        <v>417</v>
      </c>
      <c r="AL245" s="32">
        <v>494</v>
      </c>
      <c r="AM245" s="31"/>
      <c r="AN245" s="115"/>
      <c r="AO245" s="111"/>
      <c r="AP245" s="32"/>
      <c r="AQ245" s="31"/>
      <c r="AR245" s="115"/>
      <c r="AS245" s="111">
        <v>513</v>
      </c>
      <c r="AT245" s="32">
        <v>400</v>
      </c>
      <c r="AU245" s="31"/>
      <c r="AV245" s="111"/>
      <c r="AW245" s="111"/>
      <c r="AX245" s="31"/>
      <c r="AY245" s="32"/>
      <c r="AZ245" s="31"/>
      <c r="BA245" s="115"/>
      <c r="BB245" s="31">
        <v>416</v>
      </c>
      <c r="BC245" s="32">
        <v>471</v>
      </c>
      <c r="BD245" s="31">
        <v>412</v>
      </c>
      <c r="BE245" s="115">
        <v>482</v>
      </c>
      <c r="BF245" s="111">
        <v>486</v>
      </c>
      <c r="BG245" s="32">
        <v>402</v>
      </c>
      <c r="BH245" s="31">
        <v>461</v>
      </c>
      <c r="BI245" s="32">
        <v>439</v>
      </c>
      <c r="BJ245" s="111">
        <v>41</v>
      </c>
      <c r="BK245" s="33">
        <v>372</v>
      </c>
      <c r="BL245" s="115">
        <v>490</v>
      </c>
      <c r="BM245" s="111">
        <v>496</v>
      </c>
      <c r="BN245" s="35">
        <v>384</v>
      </c>
      <c r="BO245" s="32">
        <v>30</v>
      </c>
      <c r="BP245" s="31">
        <v>413</v>
      </c>
      <c r="BQ245" s="32">
        <v>491</v>
      </c>
      <c r="BR245" s="31">
        <v>452</v>
      </c>
      <c r="BS245" s="32">
        <v>465</v>
      </c>
      <c r="BT245" s="31">
        <v>387</v>
      </c>
      <c r="BU245" s="33">
        <v>35</v>
      </c>
      <c r="BV245" s="115">
        <v>475</v>
      </c>
      <c r="BW245" s="111">
        <v>496</v>
      </c>
      <c r="BX245" s="32">
        <v>417</v>
      </c>
      <c r="BY245" s="31">
        <v>487</v>
      </c>
      <c r="BZ245" s="32">
        <v>388</v>
      </c>
      <c r="CA245" s="111">
        <v>403</v>
      </c>
      <c r="CB245" s="32">
        <v>492</v>
      </c>
      <c r="CC245" s="33">
        <v>565</v>
      </c>
      <c r="CD245" s="34">
        <v>687</v>
      </c>
      <c r="CE245" s="111">
        <v>374</v>
      </c>
      <c r="CF245" s="42">
        <v>362</v>
      </c>
      <c r="CG245" s="31">
        <v>369</v>
      </c>
      <c r="CH245" s="35">
        <v>210</v>
      </c>
      <c r="CI245" s="35">
        <v>257</v>
      </c>
      <c r="CJ245" s="35">
        <v>329</v>
      </c>
      <c r="CK245" s="32">
        <v>348</v>
      </c>
    </row>
    <row r="246" spans="1:89" ht="13" x14ac:dyDescent="0.25">
      <c r="A246" s="27">
        <v>3802</v>
      </c>
      <c r="B246" s="28" t="s">
        <v>269</v>
      </c>
      <c r="C246" s="29">
        <v>853</v>
      </c>
      <c r="D246" s="30">
        <v>669</v>
      </c>
      <c r="E246" s="20">
        <f t="shared" si="3"/>
        <v>0.78429073856975384</v>
      </c>
      <c r="F246" s="31">
        <v>0</v>
      </c>
      <c r="G246" s="111">
        <v>0</v>
      </c>
      <c r="H246" s="111">
        <v>0</v>
      </c>
      <c r="I246" s="111">
        <v>0</v>
      </c>
      <c r="J246" s="111">
        <v>0</v>
      </c>
      <c r="K246" s="111">
        <v>0</v>
      </c>
      <c r="L246" s="111">
        <v>0</v>
      </c>
      <c r="M246" s="111">
        <v>314</v>
      </c>
      <c r="N246" s="111">
        <v>0</v>
      </c>
      <c r="O246" s="111">
        <v>0</v>
      </c>
      <c r="P246" s="35">
        <v>8</v>
      </c>
      <c r="Q246" s="35">
        <v>3</v>
      </c>
      <c r="R246" s="35">
        <v>336</v>
      </c>
      <c r="S246" s="32">
        <v>0</v>
      </c>
      <c r="T246" s="31">
        <v>287</v>
      </c>
      <c r="U246" s="32">
        <v>348</v>
      </c>
      <c r="V246" s="31">
        <v>370</v>
      </c>
      <c r="W246" s="32">
        <v>270</v>
      </c>
      <c r="X246" s="31">
        <v>293</v>
      </c>
      <c r="Y246" s="32">
        <v>338</v>
      </c>
      <c r="Z246" s="111">
        <v>311</v>
      </c>
      <c r="AA246" s="35">
        <v>0</v>
      </c>
      <c r="AB246" s="35">
        <v>20</v>
      </c>
      <c r="AC246" s="35">
        <v>313</v>
      </c>
      <c r="AD246" s="35">
        <v>0</v>
      </c>
      <c r="AE246" s="33">
        <v>0</v>
      </c>
      <c r="AF246" s="115">
        <v>0</v>
      </c>
      <c r="AG246" s="111">
        <v>311</v>
      </c>
      <c r="AH246" s="32">
        <v>329</v>
      </c>
      <c r="AI246" s="31"/>
      <c r="AJ246" s="33"/>
      <c r="AK246" s="31">
        <v>346</v>
      </c>
      <c r="AL246" s="32">
        <v>286</v>
      </c>
      <c r="AM246" s="31"/>
      <c r="AN246" s="115"/>
      <c r="AO246" s="111"/>
      <c r="AP246" s="32"/>
      <c r="AQ246" s="31"/>
      <c r="AR246" s="115"/>
      <c r="AS246" s="111">
        <v>288</v>
      </c>
      <c r="AT246" s="32">
        <v>336</v>
      </c>
      <c r="AU246" s="31"/>
      <c r="AV246" s="111"/>
      <c r="AW246" s="111"/>
      <c r="AX246" s="31"/>
      <c r="AY246" s="32"/>
      <c r="AZ246" s="31"/>
      <c r="BA246" s="115"/>
      <c r="BB246" s="31">
        <v>354</v>
      </c>
      <c r="BC246" s="32">
        <v>272</v>
      </c>
      <c r="BD246" s="31">
        <v>334</v>
      </c>
      <c r="BE246" s="115">
        <v>289</v>
      </c>
      <c r="BF246" s="111">
        <v>281</v>
      </c>
      <c r="BG246" s="32">
        <v>338</v>
      </c>
      <c r="BH246" s="31">
        <v>364</v>
      </c>
      <c r="BI246" s="32">
        <v>264</v>
      </c>
      <c r="BJ246" s="111">
        <v>37</v>
      </c>
      <c r="BK246" s="33">
        <v>322</v>
      </c>
      <c r="BL246" s="115">
        <v>271</v>
      </c>
      <c r="BM246" s="111">
        <v>290</v>
      </c>
      <c r="BN246" s="35">
        <v>314</v>
      </c>
      <c r="BO246" s="32">
        <v>27</v>
      </c>
      <c r="BP246" s="31">
        <v>344</v>
      </c>
      <c r="BQ246" s="32">
        <v>284</v>
      </c>
      <c r="BR246" s="31">
        <v>252</v>
      </c>
      <c r="BS246" s="32">
        <v>371</v>
      </c>
      <c r="BT246" s="31">
        <v>318</v>
      </c>
      <c r="BU246" s="33">
        <v>35</v>
      </c>
      <c r="BV246" s="115">
        <v>266</v>
      </c>
      <c r="BW246" s="111">
        <v>287</v>
      </c>
      <c r="BX246" s="32">
        <v>341</v>
      </c>
      <c r="BY246" s="31">
        <v>279</v>
      </c>
      <c r="BZ246" s="32">
        <v>334</v>
      </c>
      <c r="CA246" s="111">
        <v>330</v>
      </c>
      <c r="CB246" s="32">
        <v>294</v>
      </c>
      <c r="CC246" s="33">
        <v>441</v>
      </c>
      <c r="CD246" s="34">
        <v>438</v>
      </c>
      <c r="CE246" s="111">
        <v>258</v>
      </c>
      <c r="CF246" s="42">
        <v>228</v>
      </c>
      <c r="CG246" s="31">
        <v>250</v>
      </c>
      <c r="CH246" s="35">
        <v>154</v>
      </c>
      <c r="CI246" s="35">
        <v>125</v>
      </c>
      <c r="CJ246" s="35">
        <v>162</v>
      </c>
      <c r="CK246" s="32">
        <v>265</v>
      </c>
    </row>
    <row r="247" spans="1:89" ht="13" x14ac:dyDescent="0.25">
      <c r="A247" s="27">
        <v>3803</v>
      </c>
      <c r="B247" s="28" t="s">
        <v>270</v>
      </c>
      <c r="C247" s="29">
        <v>835</v>
      </c>
      <c r="D247" s="30">
        <v>719</v>
      </c>
      <c r="E247" s="20">
        <f t="shared" si="3"/>
        <v>0.86107784431137724</v>
      </c>
      <c r="F247" s="31">
        <v>0</v>
      </c>
      <c r="G247" s="111">
        <v>0</v>
      </c>
      <c r="H247" s="111">
        <v>0</v>
      </c>
      <c r="I247" s="111">
        <v>1</v>
      </c>
      <c r="J247" s="111">
        <v>3</v>
      </c>
      <c r="K247" s="111">
        <v>0</v>
      </c>
      <c r="L247" s="111">
        <v>0</v>
      </c>
      <c r="M247" s="111">
        <v>369</v>
      </c>
      <c r="N247" s="111">
        <v>0</v>
      </c>
      <c r="O247" s="111">
        <v>0</v>
      </c>
      <c r="P247" s="35">
        <v>2</v>
      </c>
      <c r="Q247" s="35">
        <v>2</v>
      </c>
      <c r="R247" s="35">
        <v>326</v>
      </c>
      <c r="S247" s="32">
        <v>0</v>
      </c>
      <c r="T247" s="31">
        <v>337</v>
      </c>
      <c r="U247" s="32">
        <v>347</v>
      </c>
      <c r="V247" s="31">
        <v>370</v>
      </c>
      <c r="W247" s="32">
        <v>321</v>
      </c>
      <c r="X247" s="31">
        <v>335</v>
      </c>
      <c r="Y247" s="32">
        <v>343</v>
      </c>
      <c r="Z247" s="111">
        <v>375</v>
      </c>
      <c r="AA247" s="35">
        <v>0</v>
      </c>
      <c r="AB247" s="35">
        <v>13</v>
      </c>
      <c r="AC247" s="35">
        <v>321</v>
      </c>
      <c r="AD247" s="35">
        <v>0</v>
      </c>
      <c r="AE247" s="33">
        <v>0</v>
      </c>
      <c r="AF247" s="115">
        <v>0</v>
      </c>
      <c r="AG247" s="111">
        <v>372</v>
      </c>
      <c r="AH247" s="32">
        <v>320</v>
      </c>
      <c r="AI247" s="31"/>
      <c r="AJ247" s="33"/>
      <c r="AK247" s="31">
        <v>337</v>
      </c>
      <c r="AL247" s="32">
        <v>338</v>
      </c>
      <c r="AM247" s="31"/>
      <c r="AN247" s="115"/>
      <c r="AO247" s="111"/>
      <c r="AP247" s="32"/>
      <c r="AQ247" s="31"/>
      <c r="AR247" s="115"/>
      <c r="AS247" s="111">
        <v>338</v>
      </c>
      <c r="AT247" s="32">
        <v>324</v>
      </c>
      <c r="AU247" s="31"/>
      <c r="AV247" s="111"/>
      <c r="AW247" s="111"/>
      <c r="AX247" s="31"/>
      <c r="AY247" s="32"/>
      <c r="AZ247" s="31"/>
      <c r="BA247" s="115"/>
      <c r="BB247" s="31">
        <v>347</v>
      </c>
      <c r="BC247" s="32">
        <v>309</v>
      </c>
      <c r="BD247" s="31">
        <v>329</v>
      </c>
      <c r="BE247" s="115">
        <v>328</v>
      </c>
      <c r="BF247" s="111">
        <v>318</v>
      </c>
      <c r="BG247" s="32">
        <v>334</v>
      </c>
      <c r="BH247" s="31">
        <v>353</v>
      </c>
      <c r="BI247" s="32">
        <v>304</v>
      </c>
      <c r="BJ247" s="111">
        <v>17</v>
      </c>
      <c r="BK247" s="33">
        <v>324</v>
      </c>
      <c r="BL247" s="115">
        <v>322</v>
      </c>
      <c r="BM247" s="111">
        <v>336</v>
      </c>
      <c r="BN247" s="35">
        <v>316</v>
      </c>
      <c r="BO247" s="32">
        <v>10</v>
      </c>
      <c r="BP247" s="31">
        <v>331</v>
      </c>
      <c r="BQ247" s="32">
        <v>329</v>
      </c>
      <c r="BR247" s="31">
        <v>298</v>
      </c>
      <c r="BS247" s="32">
        <v>378</v>
      </c>
      <c r="BT247" s="31">
        <v>311</v>
      </c>
      <c r="BU247" s="33">
        <v>18</v>
      </c>
      <c r="BV247" s="115">
        <v>316</v>
      </c>
      <c r="BW247" s="111">
        <v>332</v>
      </c>
      <c r="BX247" s="32">
        <v>338</v>
      </c>
      <c r="BY247" s="31">
        <v>330</v>
      </c>
      <c r="BZ247" s="32">
        <v>311</v>
      </c>
      <c r="CA247" s="111">
        <v>322</v>
      </c>
      <c r="CB247" s="32">
        <v>327</v>
      </c>
      <c r="CC247" s="33">
        <v>441</v>
      </c>
      <c r="CD247" s="34">
        <v>466</v>
      </c>
      <c r="CE247" s="111">
        <v>281</v>
      </c>
      <c r="CF247" s="42">
        <v>243</v>
      </c>
      <c r="CG247" s="31">
        <v>274</v>
      </c>
      <c r="CH247" s="35">
        <v>163</v>
      </c>
      <c r="CI247" s="35">
        <v>170</v>
      </c>
      <c r="CJ247" s="35">
        <v>207</v>
      </c>
      <c r="CK247" s="32">
        <v>272</v>
      </c>
    </row>
    <row r="248" spans="1:89" ht="13" x14ac:dyDescent="0.25">
      <c r="A248" s="27">
        <v>3804</v>
      </c>
      <c r="B248" s="28" t="s">
        <v>271</v>
      </c>
      <c r="C248" s="29">
        <v>1224</v>
      </c>
      <c r="D248" s="30">
        <v>1034</v>
      </c>
      <c r="E248" s="20">
        <f t="shared" si="3"/>
        <v>0.84477124183006536</v>
      </c>
      <c r="F248" s="31">
        <v>0</v>
      </c>
      <c r="G248" s="111">
        <v>0</v>
      </c>
      <c r="H248" s="111">
        <v>0</v>
      </c>
      <c r="I248" s="111">
        <v>0</v>
      </c>
      <c r="J248" s="111">
        <v>2</v>
      </c>
      <c r="K248" s="111">
        <v>0</v>
      </c>
      <c r="L248" s="111">
        <v>0</v>
      </c>
      <c r="M248" s="111">
        <v>546</v>
      </c>
      <c r="N248" s="111">
        <v>0</v>
      </c>
      <c r="O248" s="111">
        <v>0</v>
      </c>
      <c r="P248" s="35">
        <v>4</v>
      </c>
      <c r="Q248" s="35">
        <v>3</v>
      </c>
      <c r="R248" s="35">
        <v>462</v>
      </c>
      <c r="S248" s="32">
        <v>0</v>
      </c>
      <c r="T248" s="31">
        <v>502</v>
      </c>
      <c r="U248" s="32">
        <v>499</v>
      </c>
      <c r="V248" s="31">
        <v>512</v>
      </c>
      <c r="W248" s="32">
        <v>495</v>
      </c>
      <c r="X248" s="31">
        <v>506</v>
      </c>
      <c r="Y248" s="32">
        <v>480</v>
      </c>
      <c r="Z248" s="111">
        <v>565</v>
      </c>
      <c r="AA248" s="35">
        <v>0</v>
      </c>
      <c r="AB248" s="35">
        <v>19</v>
      </c>
      <c r="AC248" s="35">
        <v>431</v>
      </c>
      <c r="AD248" s="35">
        <v>0</v>
      </c>
      <c r="AE248" s="33">
        <v>0</v>
      </c>
      <c r="AF248" s="115">
        <v>0</v>
      </c>
      <c r="AG248" s="111">
        <v>549</v>
      </c>
      <c r="AH248" s="32">
        <v>451</v>
      </c>
      <c r="AI248" s="31"/>
      <c r="AJ248" s="33"/>
      <c r="AK248" s="31">
        <v>485</v>
      </c>
      <c r="AL248" s="32">
        <v>502</v>
      </c>
      <c r="AM248" s="31"/>
      <c r="AN248" s="115"/>
      <c r="AO248" s="111"/>
      <c r="AP248" s="32"/>
      <c r="AQ248" s="31"/>
      <c r="AR248" s="115"/>
      <c r="AS248" s="111">
        <v>525</v>
      </c>
      <c r="AT248" s="32">
        <v>456</v>
      </c>
      <c r="AU248" s="31"/>
      <c r="AV248" s="111"/>
      <c r="AW248" s="111"/>
      <c r="AX248" s="31"/>
      <c r="AY248" s="32"/>
      <c r="AZ248" s="31"/>
      <c r="BA248" s="115"/>
      <c r="BB248" s="31">
        <v>482</v>
      </c>
      <c r="BC248" s="32">
        <v>485</v>
      </c>
      <c r="BD248" s="31">
        <v>464</v>
      </c>
      <c r="BE248" s="115">
        <v>503</v>
      </c>
      <c r="BF248" s="111">
        <v>479</v>
      </c>
      <c r="BG248" s="32">
        <v>483</v>
      </c>
      <c r="BH248" s="31">
        <v>502</v>
      </c>
      <c r="BI248" s="32">
        <v>460</v>
      </c>
      <c r="BJ248" s="111">
        <v>39</v>
      </c>
      <c r="BK248" s="33">
        <v>444</v>
      </c>
      <c r="BL248" s="115">
        <v>480</v>
      </c>
      <c r="BM248" s="111">
        <v>505</v>
      </c>
      <c r="BN248" s="35">
        <v>443</v>
      </c>
      <c r="BO248" s="32">
        <v>21</v>
      </c>
      <c r="BP248" s="31">
        <v>474</v>
      </c>
      <c r="BQ248" s="32">
        <v>503</v>
      </c>
      <c r="BR248" s="31">
        <v>439</v>
      </c>
      <c r="BS248" s="32">
        <v>537</v>
      </c>
      <c r="BT248" s="31">
        <v>442</v>
      </c>
      <c r="BU248" s="33">
        <v>31</v>
      </c>
      <c r="BV248" s="115">
        <v>480</v>
      </c>
      <c r="BW248" s="111">
        <v>510</v>
      </c>
      <c r="BX248" s="32">
        <v>476</v>
      </c>
      <c r="BY248" s="31">
        <v>493</v>
      </c>
      <c r="BZ248" s="32">
        <v>457</v>
      </c>
      <c r="CA248" s="111">
        <v>465</v>
      </c>
      <c r="CB248" s="32">
        <v>488</v>
      </c>
      <c r="CC248" s="33">
        <v>623</v>
      </c>
      <c r="CD248" s="34">
        <v>683</v>
      </c>
      <c r="CE248" s="111">
        <v>421</v>
      </c>
      <c r="CF248" s="42">
        <v>375</v>
      </c>
      <c r="CG248" s="31">
        <v>422</v>
      </c>
      <c r="CH248" s="35">
        <v>263</v>
      </c>
      <c r="CI248" s="35">
        <v>259</v>
      </c>
      <c r="CJ248" s="35">
        <v>292</v>
      </c>
      <c r="CK248" s="32">
        <v>381</v>
      </c>
    </row>
    <row r="249" spans="1:89" ht="13" x14ac:dyDescent="0.25">
      <c r="A249" s="27">
        <v>3805</v>
      </c>
      <c r="B249" s="28" t="s">
        <v>272</v>
      </c>
      <c r="C249" s="29">
        <v>655</v>
      </c>
      <c r="D249" s="30">
        <v>529</v>
      </c>
      <c r="E249" s="20">
        <f t="shared" si="3"/>
        <v>0.80763358778625949</v>
      </c>
      <c r="F249" s="31">
        <v>0</v>
      </c>
      <c r="G249" s="111">
        <v>0</v>
      </c>
      <c r="H249" s="111">
        <v>0</v>
      </c>
      <c r="I249" s="111">
        <v>0</v>
      </c>
      <c r="J249" s="111">
        <v>2</v>
      </c>
      <c r="K249" s="111">
        <v>0</v>
      </c>
      <c r="L249" s="111">
        <v>0</v>
      </c>
      <c r="M249" s="111">
        <v>286</v>
      </c>
      <c r="N249" s="111">
        <v>0</v>
      </c>
      <c r="O249" s="111">
        <v>0</v>
      </c>
      <c r="P249" s="35">
        <v>2</v>
      </c>
      <c r="Q249" s="35">
        <v>1</v>
      </c>
      <c r="R249" s="35">
        <v>227</v>
      </c>
      <c r="S249" s="32">
        <v>0</v>
      </c>
      <c r="T249" s="31">
        <v>248</v>
      </c>
      <c r="U249" s="32">
        <v>264</v>
      </c>
      <c r="V249" s="31">
        <v>265</v>
      </c>
      <c r="W249" s="32">
        <v>251</v>
      </c>
      <c r="X249" s="31">
        <v>268</v>
      </c>
      <c r="Y249" s="32">
        <v>238</v>
      </c>
      <c r="Z249" s="111">
        <v>289</v>
      </c>
      <c r="AA249" s="35">
        <v>0</v>
      </c>
      <c r="AB249" s="35">
        <v>16</v>
      </c>
      <c r="AC249" s="35">
        <v>217</v>
      </c>
      <c r="AD249" s="35">
        <v>0</v>
      </c>
      <c r="AE249" s="33">
        <v>0</v>
      </c>
      <c r="AF249" s="115">
        <v>0</v>
      </c>
      <c r="AG249" s="111">
        <v>287</v>
      </c>
      <c r="AH249" s="32">
        <v>224</v>
      </c>
      <c r="AI249" s="31"/>
      <c r="AJ249" s="33"/>
      <c r="AK249" s="31">
        <v>246</v>
      </c>
      <c r="AL249" s="32">
        <v>259</v>
      </c>
      <c r="AM249" s="31"/>
      <c r="AN249" s="115"/>
      <c r="AO249" s="111"/>
      <c r="AP249" s="32"/>
      <c r="AQ249" s="31"/>
      <c r="AR249" s="115"/>
      <c r="AS249" s="111">
        <v>271</v>
      </c>
      <c r="AT249" s="32">
        <v>233</v>
      </c>
      <c r="AU249" s="31"/>
      <c r="AV249" s="111"/>
      <c r="AW249" s="111"/>
      <c r="AX249" s="31"/>
      <c r="AY249" s="32"/>
      <c r="AZ249" s="31"/>
      <c r="BA249" s="115"/>
      <c r="BB249" s="31">
        <v>256</v>
      </c>
      <c r="BC249" s="32">
        <v>239</v>
      </c>
      <c r="BD249" s="31">
        <v>246</v>
      </c>
      <c r="BE249" s="115">
        <v>250</v>
      </c>
      <c r="BF249" s="111">
        <v>243</v>
      </c>
      <c r="BG249" s="32">
        <v>250</v>
      </c>
      <c r="BH249" s="31">
        <v>277</v>
      </c>
      <c r="BI249" s="32">
        <v>222</v>
      </c>
      <c r="BJ249" s="111">
        <v>28</v>
      </c>
      <c r="BK249" s="33">
        <v>231</v>
      </c>
      <c r="BL249" s="115">
        <v>229</v>
      </c>
      <c r="BM249" s="111">
        <v>265</v>
      </c>
      <c r="BN249" s="35">
        <v>218</v>
      </c>
      <c r="BO249" s="32">
        <v>14</v>
      </c>
      <c r="BP249" s="31">
        <v>242</v>
      </c>
      <c r="BQ249" s="32">
        <v>262</v>
      </c>
      <c r="BR249" s="31">
        <v>214</v>
      </c>
      <c r="BS249" s="32">
        <v>292</v>
      </c>
      <c r="BT249" s="31">
        <v>232</v>
      </c>
      <c r="BU249" s="33">
        <v>23</v>
      </c>
      <c r="BV249" s="115">
        <v>232</v>
      </c>
      <c r="BW249" s="111">
        <v>254</v>
      </c>
      <c r="BX249" s="32">
        <v>250</v>
      </c>
      <c r="BY249" s="31">
        <v>253</v>
      </c>
      <c r="BZ249" s="32">
        <v>235</v>
      </c>
      <c r="CA249" s="111">
        <v>242</v>
      </c>
      <c r="CB249" s="32">
        <v>255</v>
      </c>
      <c r="CC249" s="33">
        <v>357</v>
      </c>
      <c r="CD249" s="34">
        <v>370</v>
      </c>
      <c r="CE249" s="111">
        <v>229</v>
      </c>
      <c r="CF249" s="42">
        <v>198</v>
      </c>
      <c r="CG249" s="31">
        <v>184</v>
      </c>
      <c r="CH249" s="35">
        <v>150</v>
      </c>
      <c r="CI249" s="35">
        <v>131</v>
      </c>
      <c r="CJ249" s="35">
        <v>156</v>
      </c>
      <c r="CK249" s="32">
        <v>214</v>
      </c>
    </row>
    <row r="250" spans="1:89" ht="13" x14ac:dyDescent="0.25">
      <c r="A250" s="27">
        <v>3806</v>
      </c>
      <c r="B250" s="28" t="s">
        <v>273</v>
      </c>
      <c r="C250" s="29">
        <v>1188</v>
      </c>
      <c r="D250" s="30">
        <v>975</v>
      </c>
      <c r="E250" s="20">
        <f t="shared" si="3"/>
        <v>0.82070707070707072</v>
      </c>
      <c r="F250" s="31">
        <v>0</v>
      </c>
      <c r="G250" s="111">
        <v>0</v>
      </c>
      <c r="H250" s="111">
        <v>0</v>
      </c>
      <c r="I250" s="111">
        <v>1</v>
      </c>
      <c r="J250" s="111">
        <v>4</v>
      </c>
      <c r="K250" s="111">
        <v>0</v>
      </c>
      <c r="L250" s="111">
        <v>0</v>
      </c>
      <c r="M250" s="111">
        <v>493</v>
      </c>
      <c r="N250" s="111">
        <v>0</v>
      </c>
      <c r="O250" s="111">
        <v>0</v>
      </c>
      <c r="P250" s="35">
        <v>6</v>
      </c>
      <c r="Q250" s="35">
        <v>3</v>
      </c>
      <c r="R250" s="35">
        <v>450</v>
      </c>
      <c r="S250" s="32">
        <v>0</v>
      </c>
      <c r="T250" s="31">
        <v>439</v>
      </c>
      <c r="U250" s="32">
        <v>495</v>
      </c>
      <c r="V250" s="31">
        <v>510</v>
      </c>
      <c r="W250" s="32">
        <v>433</v>
      </c>
      <c r="X250" s="31">
        <v>446</v>
      </c>
      <c r="Y250" s="32">
        <v>466</v>
      </c>
      <c r="Z250" s="111">
        <v>487</v>
      </c>
      <c r="AA250" s="35">
        <v>0</v>
      </c>
      <c r="AB250" s="35">
        <v>25</v>
      </c>
      <c r="AC250" s="35">
        <v>438</v>
      </c>
      <c r="AD250" s="35">
        <v>0</v>
      </c>
      <c r="AE250" s="33">
        <v>0</v>
      </c>
      <c r="AF250" s="115">
        <v>0</v>
      </c>
      <c r="AG250" s="111">
        <v>483</v>
      </c>
      <c r="AH250" s="32">
        <v>448</v>
      </c>
      <c r="AI250" s="31"/>
      <c r="AJ250" s="33"/>
      <c r="AK250" s="31">
        <v>486</v>
      </c>
      <c r="AL250" s="32">
        <v>431</v>
      </c>
      <c r="AM250" s="31"/>
      <c r="AN250" s="115"/>
      <c r="AO250" s="111"/>
      <c r="AP250" s="32"/>
      <c r="AQ250" s="31"/>
      <c r="AR250" s="115"/>
      <c r="AS250" s="111">
        <v>455</v>
      </c>
      <c r="AT250" s="32">
        <v>456</v>
      </c>
      <c r="AU250" s="31"/>
      <c r="AV250" s="111"/>
      <c r="AW250" s="111"/>
      <c r="AX250" s="31"/>
      <c r="AY250" s="32"/>
      <c r="AZ250" s="31"/>
      <c r="BA250" s="115"/>
      <c r="BB250" s="31">
        <v>479</v>
      </c>
      <c r="BC250" s="32">
        <v>419</v>
      </c>
      <c r="BD250" s="31">
        <v>462</v>
      </c>
      <c r="BE250" s="115">
        <v>430</v>
      </c>
      <c r="BF250" s="111">
        <v>410</v>
      </c>
      <c r="BG250" s="32">
        <v>476</v>
      </c>
      <c r="BH250" s="31">
        <v>507</v>
      </c>
      <c r="BI250" s="32">
        <v>393</v>
      </c>
      <c r="BJ250" s="111">
        <v>38</v>
      </c>
      <c r="BK250" s="33">
        <v>442</v>
      </c>
      <c r="BL250" s="115">
        <v>422</v>
      </c>
      <c r="BM250" s="111">
        <v>446</v>
      </c>
      <c r="BN250" s="35">
        <v>429</v>
      </c>
      <c r="BO250" s="32">
        <v>32</v>
      </c>
      <c r="BP250" s="31">
        <v>470</v>
      </c>
      <c r="BQ250" s="32">
        <v>441</v>
      </c>
      <c r="BR250" s="31">
        <v>391</v>
      </c>
      <c r="BS250" s="32">
        <v>532</v>
      </c>
      <c r="BT250" s="31">
        <v>433</v>
      </c>
      <c r="BU250" s="33">
        <v>39</v>
      </c>
      <c r="BV250" s="115">
        <v>414</v>
      </c>
      <c r="BW250" s="111">
        <v>449</v>
      </c>
      <c r="BX250" s="32">
        <v>476</v>
      </c>
      <c r="BY250" s="31">
        <v>430</v>
      </c>
      <c r="BZ250" s="32">
        <v>447</v>
      </c>
      <c r="CA250" s="111">
        <v>465</v>
      </c>
      <c r="CB250" s="32">
        <v>427</v>
      </c>
      <c r="CC250" s="33">
        <v>623</v>
      </c>
      <c r="CD250" s="34">
        <v>673</v>
      </c>
      <c r="CE250" s="111">
        <v>389</v>
      </c>
      <c r="CF250" s="42">
        <v>333</v>
      </c>
      <c r="CG250" s="31">
        <v>354</v>
      </c>
      <c r="CH250" s="35">
        <v>241</v>
      </c>
      <c r="CI250" s="35">
        <v>249</v>
      </c>
      <c r="CJ250" s="35">
        <v>299</v>
      </c>
      <c r="CK250" s="32">
        <v>355</v>
      </c>
    </row>
    <row r="251" spans="1:89" ht="13" x14ac:dyDescent="0.25">
      <c r="A251" s="27">
        <v>3807</v>
      </c>
      <c r="B251" s="28" t="s">
        <v>274</v>
      </c>
      <c r="C251" s="29">
        <v>701</v>
      </c>
      <c r="D251" s="30">
        <v>579</v>
      </c>
      <c r="E251" s="20">
        <f t="shared" si="3"/>
        <v>0.82596291012838807</v>
      </c>
      <c r="F251" s="31">
        <v>0</v>
      </c>
      <c r="G251" s="111">
        <v>0</v>
      </c>
      <c r="H251" s="111">
        <v>0</v>
      </c>
      <c r="I251" s="111">
        <v>0</v>
      </c>
      <c r="J251" s="111">
        <v>1</v>
      </c>
      <c r="K251" s="111">
        <v>0</v>
      </c>
      <c r="L251" s="111">
        <v>0</v>
      </c>
      <c r="M251" s="111">
        <v>312</v>
      </c>
      <c r="N251" s="111">
        <v>0</v>
      </c>
      <c r="O251" s="111">
        <v>0</v>
      </c>
      <c r="P251" s="35">
        <v>4</v>
      </c>
      <c r="Q251" s="35">
        <v>2</v>
      </c>
      <c r="R251" s="35">
        <v>250</v>
      </c>
      <c r="S251" s="32">
        <v>0</v>
      </c>
      <c r="T251" s="31">
        <v>276</v>
      </c>
      <c r="U251" s="32">
        <v>269</v>
      </c>
      <c r="V251" s="31">
        <v>288</v>
      </c>
      <c r="W251" s="32">
        <v>262</v>
      </c>
      <c r="X251" s="31">
        <v>272</v>
      </c>
      <c r="Y251" s="32">
        <v>257</v>
      </c>
      <c r="Z251" s="111">
        <v>314</v>
      </c>
      <c r="AA251" s="35">
        <v>0</v>
      </c>
      <c r="AB251" s="35">
        <v>19</v>
      </c>
      <c r="AC251" s="35">
        <v>232</v>
      </c>
      <c r="AD251" s="35">
        <v>0</v>
      </c>
      <c r="AE251" s="33">
        <v>0</v>
      </c>
      <c r="AF251" s="115">
        <v>0</v>
      </c>
      <c r="AG251" s="111">
        <v>306</v>
      </c>
      <c r="AH251" s="32">
        <v>240</v>
      </c>
      <c r="AI251" s="31"/>
      <c r="AJ251" s="33"/>
      <c r="AK251" s="31">
        <v>255</v>
      </c>
      <c r="AL251" s="32">
        <v>275</v>
      </c>
      <c r="AM251" s="31"/>
      <c r="AN251" s="115"/>
      <c r="AO251" s="111"/>
      <c r="AP251" s="32"/>
      <c r="AQ251" s="31"/>
      <c r="AR251" s="115"/>
      <c r="AS251" s="111">
        <v>278</v>
      </c>
      <c r="AT251" s="32">
        <v>251</v>
      </c>
      <c r="AU251" s="31"/>
      <c r="AV251" s="111"/>
      <c r="AW251" s="111"/>
      <c r="AX251" s="31"/>
      <c r="AY251" s="32"/>
      <c r="AZ251" s="31"/>
      <c r="BA251" s="115"/>
      <c r="BB251" s="31">
        <v>262</v>
      </c>
      <c r="BC251" s="32">
        <v>261</v>
      </c>
      <c r="BD251" s="31">
        <v>249</v>
      </c>
      <c r="BE251" s="115">
        <v>268</v>
      </c>
      <c r="BF251" s="111">
        <v>260</v>
      </c>
      <c r="BG251" s="32">
        <v>255</v>
      </c>
      <c r="BH251" s="31">
        <v>271</v>
      </c>
      <c r="BI251" s="32">
        <v>247</v>
      </c>
      <c r="BJ251" s="111">
        <v>37</v>
      </c>
      <c r="BK251" s="33">
        <v>225</v>
      </c>
      <c r="BL251" s="115">
        <v>262</v>
      </c>
      <c r="BM251" s="111">
        <v>270</v>
      </c>
      <c r="BN251" s="35">
        <v>224</v>
      </c>
      <c r="BO251" s="32">
        <v>25</v>
      </c>
      <c r="BP251" s="31">
        <v>249</v>
      </c>
      <c r="BQ251" s="32">
        <v>276</v>
      </c>
      <c r="BR251" s="31">
        <v>241</v>
      </c>
      <c r="BS251" s="32">
        <v>285</v>
      </c>
      <c r="BT251" s="31">
        <v>235</v>
      </c>
      <c r="BU251" s="33">
        <v>27</v>
      </c>
      <c r="BV251" s="115">
        <v>247</v>
      </c>
      <c r="BW251" s="111">
        <v>280</v>
      </c>
      <c r="BX251" s="32">
        <v>248</v>
      </c>
      <c r="BY251" s="31">
        <v>267</v>
      </c>
      <c r="BZ251" s="32">
        <v>240</v>
      </c>
      <c r="CA251" s="111">
        <v>250</v>
      </c>
      <c r="CB251" s="32">
        <v>262</v>
      </c>
      <c r="CC251" s="33">
        <v>340</v>
      </c>
      <c r="CD251" s="34">
        <v>357</v>
      </c>
      <c r="CE251" s="111">
        <v>223</v>
      </c>
      <c r="CF251" s="42">
        <v>195</v>
      </c>
      <c r="CG251" s="31">
        <v>219</v>
      </c>
      <c r="CH251" s="35">
        <v>120</v>
      </c>
      <c r="CI251" s="35">
        <v>122</v>
      </c>
      <c r="CJ251" s="35">
        <v>177</v>
      </c>
      <c r="CK251" s="32">
        <v>188</v>
      </c>
    </row>
    <row r="252" spans="1:89" ht="13" x14ac:dyDescent="0.25">
      <c r="A252" s="27">
        <v>3808</v>
      </c>
      <c r="B252" s="28" t="s">
        <v>275</v>
      </c>
      <c r="C252" s="29">
        <v>828</v>
      </c>
      <c r="D252" s="30">
        <v>700</v>
      </c>
      <c r="E252" s="20">
        <f t="shared" si="3"/>
        <v>0.84541062801932365</v>
      </c>
      <c r="F252" s="31">
        <v>0</v>
      </c>
      <c r="G252" s="111">
        <v>0</v>
      </c>
      <c r="H252" s="111">
        <v>0</v>
      </c>
      <c r="I252" s="111">
        <v>0</v>
      </c>
      <c r="J252" s="111">
        <v>0</v>
      </c>
      <c r="K252" s="111">
        <v>0</v>
      </c>
      <c r="L252" s="111">
        <v>0</v>
      </c>
      <c r="M252" s="111">
        <v>403</v>
      </c>
      <c r="N252" s="111">
        <v>0</v>
      </c>
      <c r="O252" s="111">
        <v>0</v>
      </c>
      <c r="P252" s="35">
        <v>5</v>
      </c>
      <c r="Q252" s="35">
        <v>1</v>
      </c>
      <c r="R252" s="35">
        <v>274</v>
      </c>
      <c r="S252" s="32">
        <v>1</v>
      </c>
      <c r="T252" s="31">
        <v>359</v>
      </c>
      <c r="U252" s="32">
        <v>314</v>
      </c>
      <c r="V252" s="31">
        <v>322</v>
      </c>
      <c r="W252" s="32">
        <v>353</v>
      </c>
      <c r="X252" s="31">
        <v>365</v>
      </c>
      <c r="Y252" s="32">
        <v>300</v>
      </c>
      <c r="Z252" s="111">
        <v>405</v>
      </c>
      <c r="AA252" s="35">
        <v>0</v>
      </c>
      <c r="AB252" s="35">
        <v>11</v>
      </c>
      <c r="AC252" s="35">
        <v>266</v>
      </c>
      <c r="AD252" s="35">
        <v>0</v>
      </c>
      <c r="AE252" s="33">
        <v>0</v>
      </c>
      <c r="AF252" s="115">
        <v>0</v>
      </c>
      <c r="AG252" s="111">
        <v>399</v>
      </c>
      <c r="AH252" s="32">
        <v>276</v>
      </c>
      <c r="AI252" s="31"/>
      <c r="AJ252" s="33"/>
      <c r="AK252" s="31">
        <v>301</v>
      </c>
      <c r="AL252" s="32">
        <v>354</v>
      </c>
      <c r="AM252" s="31"/>
      <c r="AN252" s="115"/>
      <c r="AO252" s="111"/>
      <c r="AP252" s="32"/>
      <c r="AQ252" s="31"/>
      <c r="AR252" s="115"/>
      <c r="AS252" s="111">
        <v>366</v>
      </c>
      <c r="AT252" s="32">
        <v>284</v>
      </c>
      <c r="AU252" s="31"/>
      <c r="AV252" s="111"/>
      <c r="AW252" s="111"/>
      <c r="AX252" s="31"/>
      <c r="AY252" s="32"/>
      <c r="AZ252" s="31"/>
      <c r="BA252" s="115"/>
      <c r="BB252" s="31">
        <v>304</v>
      </c>
      <c r="BC252" s="32">
        <v>339</v>
      </c>
      <c r="BD252" s="31">
        <v>289</v>
      </c>
      <c r="BE252" s="115">
        <v>347</v>
      </c>
      <c r="BF252" s="111">
        <v>339</v>
      </c>
      <c r="BG252" s="32">
        <v>295</v>
      </c>
      <c r="BH252" s="31">
        <v>336</v>
      </c>
      <c r="BI252" s="32">
        <v>307</v>
      </c>
      <c r="BJ252" s="111">
        <v>22</v>
      </c>
      <c r="BK252" s="33">
        <v>293</v>
      </c>
      <c r="BL252" s="115">
        <v>333</v>
      </c>
      <c r="BM252" s="111">
        <v>371</v>
      </c>
      <c r="BN252" s="35">
        <v>259</v>
      </c>
      <c r="BO252" s="32">
        <v>19</v>
      </c>
      <c r="BP252" s="31">
        <v>292</v>
      </c>
      <c r="BQ252" s="32">
        <v>354</v>
      </c>
      <c r="BR252" s="31">
        <v>299</v>
      </c>
      <c r="BS252" s="32">
        <v>352</v>
      </c>
      <c r="BT252" s="31">
        <v>279</v>
      </c>
      <c r="BU252" s="33">
        <v>17</v>
      </c>
      <c r="BV252" s="115">
        <v>341</v>
      </c>
      <c r="BW252" s="111">
        <v>351</v>
      </c>
      <c r="BX252" s="32">
        <v>299</v>
      </c>
      <c r="BY252" s="31">
        <v>346</v>
      </c>
      <c r="BZ252" s="32">
        <v>286</v>
      </c>
      <c r="CA252" s="111">
        <v>297</v>
      </c>
      <c r="CB252" s="32">
        <v>342</v>
      </c>
      <c r="CC252" s="33">
        <v>430</v>
      </c>
      <c r="CD252" s="34">
        <v>483</v>
      </c>
      <c r="CE252" s="111">
        <v>284</v>
      </c>
      <c r="CF252" s="42">
        <v>268</v>
      </c>
      <c r="CG252" s="31">
        <v>283</v>
      </c>
      <c r="CH252" s="35">
        <v>150</v>
      </c>
      <c r="CI252" s="35">
        <v>173</v>
      </c>
      <c r="CJ252" s="35">
        <v>225</v>
      </c>
      <c r="CK252" s="32">
        <v>289</v>
      </c>
    </row>
    <row r="253" spans="1:89" ht="13" x14ac:dyDescent="0.25">
      <c r="A253" s="27">
        <v>3901</v>
      </c>
      <c r="B253" s="28" t="s">
        <v>276</v>
      </c>
      <c r="C253" s="29">
        <v>24</v>
      </c>
      <c r="D253" s="30">
        <v>19</v>
      </c>
      <c r="E253" s="20">
        <f t="shared" si="3"/>
        <v>0.79166666666666663</v>
      </c>
      <c r="F253" s="31">
        <v>0</v>
      </c>
      <c r="G253" s="111">
        <v>0</v>
      </c>
      <c r="H253" s="111">
        <v>0</v>
      </c>
      <c r="I253" s="111">
        <v>0</v>
      </c>
      <c r="J253" s="111">
        <v>0</v>
      </c>
      <c r="K253" s="111">
        <v>0</v>
      </c>
      <c r="L253" s="111">
        <v>0</v>
      </c>
      <c r="M253" s="111">
        <v>6</v>
      </c>
      <c r="N253" s="111">
        <v>0</v>
      </c>
      <c r="O253" s="111">
        <v>0</v>
      </c>
      <c r="P253" s="35">
        <v>0</v>
      </c>
      <c r="Q253" s="35">
        <v>0</v>
      </c>
      <c r="R253" s="35">
        <v>13</v>
      </c>
      <c r="S253" s="32">
        <v>0</v>
      </c>
      <c r="T253" s="31">
        <v>4</v>
      </c>
      <c r="U253" s="32">
        <v>15</v>
      </c>
      <c r="V253" s="31">
        <v>17</v>
      </c>
      <c r="W253" s="32">
        <v>2</v>
      </c>
      <c r="X253" s="31">
        <v>4</v>
      </c>
      <c r="Y253" s="32">
        <v>15</v>
      </c>
      <c r="Z253" s="111">
        <v>4</v>
      </c>
      <c r="AA253" s="35">
        <v>0</v>
      </c>
      <c r="AB253" s="35">
        <v>3</v>
      </c>
      <c r="AC253" s="35">
        <v>12</v>
      </c>
      <c r="AD253" s="35">
        <v>0</v>
      </c>
      <c r="AE253" s="33">
        <v>0</v>
      </c>
      <c r="AF253" s="115">
        <v>0</v>
      </c>
      <c r="AG253" s="111">
        <v>4</v>
      </c>
      <c r="AH253" s="32">
        <v>15</v>
      </c>
      <c r="AI253" s="31"/>
      <c r="AJ253" s="33"/>
      <c r="AK253" s="31">
        <v>15</v>
      </c>
      <c r="AL253" s="32">
        <v>4</v>
      </c>
      <c r="AM253" s="31"/>
      <c r="AN253" s="115"/>
      <c r="AO253" s="111"/>
      <c r="AP253" s="32"/>
      <c r="AQ253" s="31"/>
      <c r="AR253" s="115"/>
      <c r="AS253" s="111">
        <v>5</v>
      </c>
      <c r="AT253" s="32">
        <v>14</v>
      </c>
      <c r="AU253" s="31"/>
      <c r="AV253" s="111"/>
      <c r="AW253" s="111"/>
      <c r="AX253" s="31"/>
      <c r="AY253" s="32"/>
      <c r="AZ253" s="31"/>
      <c r="BA253" s="115"/>
      <c r="BB253" s="31">
        <v>15</v>
      </c>
      <c r="BC253" s="32">
        <v>4</v>
      </c>
      <c r="BD253" s="31">
        <v>15</v>
      </c>
      <c r="BE253" s="115">
        <v>4</v>
      </c>
      <c r="BF253" s="111">
        <v>5</v>
      </c>
      <c r="BG253" s="32">
        <v>14</v>
      </c>
      <c r="BH253" s="31">
        <v>16</v>
      </c>
      <c r="BI253" s="32">
        <v>3</v>
      </c>
      <c r="BJ253" s="111">
        <v>1</v>
      </c>
      <c r="BK253" s="33">
        <v>14</v>
      </c>
      <c r="BL253" s="115">
        <v>4</v>
      </c>
      <c r="BM253" s="111">
        <v>4</v>
      </c>
      <c r="BN253" s="35">
        <v>13</v>
      </c>
      <c r="BO253" s="32">
        <v>2</v>
      </c>
      <c r="BP253" s="31">
        <v>15</v>
      </c>
      <c r="BQ253" s="32">
        <v>4</v>
      </c>
      <c r="BR253" s="31">
        <v>3</v>
      </c>
      <c r="BS253" s="32">
        <v>16</v>
      </c>
      <c r="BT253" s="31">
        <v>13</v>
      </c>
      <c r="BU253" s="33">
        <v>2</v>
      </c>
      <c r="BV253" s="115">
        <v>4</v>
      </c>
      <c r="BW253" s="111">
        <v>5</v>
      </c>
      <c r="BX253" s="32">
        <v>14</v>
      </c>
      <c r="BY253" s="31">
        <v>4</v>
      </c>
      <c r="BZ253" s="32">
        <v>15</v>
      </c>
      <c r="CA253" s="111">
        <v>14</v>
      </c>
      <c r="CB253" s="32">
        <v>4</v>
      </c>
      <c r="CC253" s="33">
        <v>19</v>
      </c>
      <c r="CD253" s="34">
        <v>13</v>
      </c>
      <c r="CE253" s="111">
        <v>14</v>
      </c>
      <c r="CF253" s="42">
        <v>2</v>
      </c>
      <c r="CG253" s="31">
        <v>7</v>
      </c>
      <c r="CH253" s="35">
        <v>3</v>
      </c>
      <c r="CI253" s="35">
        <v>2</v>
      </c>
      <c r="CJ253" s="35">
        <v>4</v>
      </c>
      <c r="CK253" s="32">
        <v>11</v>
      </c>
    </row>
    <row r="254" spans="1:89" ht="13" x14ac:dyDescent="0.25">
      <c r="A254" s="27">
        <v>4001</v>
      </c>
      <c r="B254" s="28" t="s">
        <v>277</v>
      </c>
      <c r="C254" s="29">
        <v>1380</v>
      </c>
      <c r="D254" s="30">
        <v>1127</v>
      </c>
      <c r="E254" s="20">
        <f t="shared" si="3"/>
        <v>0.81666666666666665</v>
      </c>
      <c r="F254" s="31">
        <v>0</v>
      </c>
      <c r="G254" s="111">
        <v>0</v>
      </c>
      <c r="H254" s="111">
        <v>0</v>
      </c>
      <c r="I254" s="111">
        <v>0</v>
      </c>
      <c r="J254" s="111">
        <v>3</v>
      </c>
      <c r="K254" s="111">
        <v>0</v>
      </c>
      <c r="L254" s="111">
        <v>0</v>
      </c>
      <c r="M254" s="111">
        <v>570</v>
      </c>
      <c r="N254" s="111">
        <v>0</v>
      </c>
      <c r="O254" s="111">
        <v>0</v>
      </c>
      <c r="P254" s="35">
        <v>5</v>
      </c>
      <c r="Q254" s="35">
        <v>1</v>
      </c>
      <c r="R254" s="35">
        <v>516</v>
      </c>
      <c r="S254" s="32">
        <v>0</v>
      </c>
      <c r="T254" s="31">
        <v>533</v>
      </c>
      <c r="U254" s="32">
        <v>554</v>
      </c>
      <c r="V254" s="31">
        <v>590</v>
      </c>
      <c r="W254" s="32">
        <v>507</v>
      </c>
      <c r="X254" s="31">
        <v>529</v>
      </c>
      <c r="Y254" s="32">
        <v>540</v>
      </c>
      <c r="Z254" s="111">
        <v>587</v>
      </c>
      <c r="AA254" s="35">
        <v>0</v>
      </c>
      <c r="AB254" s="35">
        <v>20</v>
      </c>
      <c r="AC254" s="35">
        <v>497</v>
      </c>
      <c r="AD254" s="35">
        <v>0</v>
      </c>
      <c r="AE254" s="33">
        <v>0</v>
      </c>
      <c r="AF254" s="115">
        <v>0</v>
      </c>
      <c r="AG254" s="111">
        <v>583</v>
      </c>
      <c r="AH254" s="32">
        <v>503</v>
      </c>
      <c r="AI254" s="31"/>
      <c r="AJ254" s="33"/>
      <c r="AK254" s="31"/>
      <c r="AL254" s="32"/>
      <c r="AM254" s="31"/>
      <c r="AN254" s="115"/>
      <c r="AO254" s="111"/>
      <c r="AP254" s="32"/>
      <c r="AQ254" s="31"/>
      <c r="AR254" s="115"/>
      <c r="AS254" s="111"/>
      <c r="AT254" s="32"/>
      <c r="AU254" s="31">
        <v>531</v>
      </c>
      <c r="AV254" s="111">
        <v>0</v>
      </c>
      <c r="AW254" s="111">
        <v>541</v>
      </c>
      <c r="AX254" s="31"/>
      <c r="AY254" s="32"/>
      <c r="AZ254" s="31"/>
      <c r="BA254" s="115"/>
      <c r="BB254" s="31">
        <v>554</v>
      </c>
      <c r="BC254" s="32">
        <v>500</v>
      </c>
      <c r="BD254" s="31">
        <v>558</v>
      </c>
      <c r="BE254" s="115">
        <v>493</v>
      </c>
      <c r="BF254" s="111">
        <v>495</v>
      </c>
      <c r="BG254" s="32">
        <v>550</v>
      </c>
      <c r="BH254" s="31">
        <v>578</v>
      </c>
      <c r="BI254" s="32">
        <v>468</v>
      </c>
      <c r="BJ254" s="111">
        <v>42</v>
      </c>
      <c r="BK254" s="33">
        <v>521</v>
      </c>
      <c r="BL254" s="115">
        <v>490</v>
      </c>
      <c r="BM254" s="111">
        <v>519</v>
      </c>
      <c r="BN254" s="35">
        <v>506</v>
      </c>
      <c r="BO254" s="32">
        <v>32</v>
      </c>
      <c r="BP254" s="31">
        <v>548</v>
      </c>
      <c r="BQ254" s="32">
        <v>512</v>
      </c>
      <c r="BR254" s="31">
        <v>470</v>
      </c>
      <c r="BS254" s="32">
        <v>591</v>
      </c>
      <c r="BT254" s="31">
        <v>530</v>
      </c>
      <c r="BU254" s="33">
        <v>34</v>
      </c>
      <c r="BV254" s="115">
        <v>476</v>
      </c>
      <c r="BW254" s="111">
        <v>506</v>
      </c>
      <c r="BX254" s="32">
        <v>563</v>
      </c>
      <c r="BY254" s="31">
        <v>501</v>
      </c>
      <c r="BZ254" s="32">
        <v>529</v>
      </c>
      <c r="CA254" s="111">
        <v>543</v>
      </c>
      <c r="CB254" s="32">
        <v>500</v>
      </c>
      <c r="CC254" s="33">
        <v>737</v>
      </c>
      <c r="CD254" s="34">
        <v>749</v>
      </c>
      <c r="CE254" s="111">
        <v>490</v>
      </c>
      <c r="CF254" s="38">
        <v>390</v>
      </c>
      <c r="CG254" s="31">
        <v>237</v>
      </c>
      <c r="CH254" s="35">
        <v>331</v>
      </c>
      <c r="CI254" s="35">
        <v>301</v>
      </c>
      <c r="CJ254" s="35">
        <v>352</v>
      </c>
      <c r="CK254" s="32">
        <v>482</v>
      </c>
    </row>
    <row r="255" spans="1:89" ht="13" x14ac:dyDescent="0.25">
      <c r="A255" s="27">
        <v>4002</v>
      </c>
      <c r="B255" s="28" t="s">
        <v>278</v>
      </c>
      <c r="C255" s="29">
        <v>1201</v>
      </c>
      <c r="D255" s="30">
        <v>1015</v>
      </c>
      <c r="E255" s="20">
        <f t="shared" si="3"/>
        <v>0.84512905911740221</v>
      </c>
      <c r="F255" s="31">
        <v>0</v>
      </c>
      <c r="G255" s="111">
        <v>0</v>
      </c>
      <c r="H255" s="111">
        <v>0</v>
      </c>
      <c r="I255" s="111">
        <v>0</v>
      </c>
      <c r="J255" s="111">
        <v>4</v>
      </c>
      <c r="K255" s="111">
        <v>0</v>
      </c>
      <c r="L255" s="111">
        <v>0</v>
      </c>
      <c r="M255" s="111">
        <v>523</v>
      </c>
      <c r="N255" s="111">
        <v>0</v>
      </c>
      <c r="O255" s="111">
        <v>0</v>
      </c>
      <c r="P255" s="35">
        <v>6</v>
      </c>
      <c r="Q255" s="35">
        <v>4</v>
      </c>
      <c r="R255" s="35">
        <v>459</v>
      </c>
      <c r="S255" s="32">
        <v>1</v>
      </c>
      <c r="T255" s="31">
        <v>479</v>
      </c>
      <c r="U255" s="32">
        <v>507</v>
      </c>
      <c r="V255" s="31">
        <v>530</v>
      </c>
      <c r="W255" s="32">
        <v>467</v>
      </c>
      <c r="X255" s="31">
        <v>489</v>
      </c>
      <c r="Y255" s="32">
        <v>490</v>
      </c>
      <c r="Z255" s="111">
        <v>510</v>
      </c>
      <c r="AA255" s="35">
        <v>0</v>
      </c>
      <c r="AB255" s="35">
        <v>21</v>
      </c>
      <c r="AC255" s="35">
        <v>463</v>
      </c>
      <c r="AD255" s="35">
        <v>0</v>
      </c>
      <c r="AE255" s="33">
        <v>0</v>
      </c>
      <c r="AF255" s="115">
        <v>0</v>
      </c>
      <c r="AG255" s="111">
        <v>517</v>
      </c>
      <c r="AH255" s="32">
        <v>471</v>
      </c>
      <c r="AI255" s="31"/>
      <c r="AJ255" s="33"/>
      <c r="AK255" s="31"/>
      <c r="AL255" s="32"/>
      <c r="AM255" s="31"/>
      <c r="AN255" s="115"/>
      <c r="AO255" s="111"/>
      <c r="AP255" s="32"/>
      <c r="AQ255" s="31"/>
      <c r="AR255" s="115"/>
      <c r="AS255" s="111"/>
      <c r="AT255" s="32"/>
      <c r="AU255" s="31">
        <v>486</v>
      </c>
      <c r="AV255" s="111">
        <v>0</v>
      </c>
      <c r="AW255" s="111">
        <v>496</v>
      </c>
      <c r="AX255" s="31"/>
      <c r="AY255" s="32"/>
      <c r="AZ255" s="31"/>
      <c r="BA255" s="115"/>
      <c r="BB255" s="31">
        <v>509</v>
      </c>
      <c r="BC255" s="32">
        <v>453</v>
      </c>
      <c r="BD255" s="31">
        <v>502</v>
      </c>
      <c r="BE255" s="115">
        <v>458</v>
      </c>
      <c r="BF255" s="111">
        <v>473</v>
      </c>
      <c r="BG255" s="32">
        <v>479</v>
      </c>
      <c r="BH255" s="31">
        <v>528</v>
      </c>
      <c r="BI255" s="32">
        <v>426</v>
      </c>
      <c r="BJ255" s="111">
        <v>49</v>
      </c>
      <c r="BK255" s="33">
        <v>471</v>
      </c>
      <c r="BL255" s="115">
        <v>436</v>
      </c>
      <c r="BM255" s="111">
        <v>462</v>
      </c>
      <c r="BN255" s="35">
        <v>466</v>
      </c>
      <c r="BO255" s="32">
        <v>32</v>
      </c>
      <c r="BP255" s="31">
        <v>510</v>
      </c>
      <c r="BQ255" s="32">
        <v>456</v>
      </c>
      <c r="BR255" s="31">
        <v>425</v>
      </c>
      <c r="BS255" s="32">
        <v>541</v>
      </c>
      <c r="BT255" s="31">
        <v>471</v>
      </c>
      <c r="BU255" s="33">
        <v>35</v>
      </c>
      <c r="BV255" s="115">
        <v>447</v>
      </c>
      <c r="BW255" s="111">
        <v>474</v>
      </c>
      <c r="BX255" s="32">
        <v>490</v>
      </c>
      <c r="BY255" s="31">
        <v>472</v>
      </c>
      <c r="BZ255" s="32">
        <v>471</v>
      </c>
      <c r="CA255" s="111">
        <v>489</v>
      </c>
      <c r="CB255" s="32">
        <v>462</v>
      </c>
      <c r="CC255" s="33">
        <v>684</v>
      </c>
      <c r="CD255" s="34">
        <v>698</v>
      </c>
      <c r="CE255" s="111">
        <v>421</v>
      </c>
      <c r="CF255" s="38">
        <v>386</v>
      </c>
      <c r="CG255" s="31">
        <v>236</v>
      </c>
      <c r="CH255" s="35">
        <v>271</v>
      </c>
      <c r="CI255" s="35">
        <v>300</v>
      </c>
      <c r="CJ255" s="35">
        <v>323</v>
      </c>
      <c r="CK255" s="32">
        <v>432</v>
      </c>
    </row>
    <row r="256" spans="1:89" ht="13" x14ac:dyDescent="0.25">
      <c r="A256" s="27">
        <v>4003</v>
      </c>
      <c r="B256" s="28" t="s">
        <v>279</v>
      </c>
      <c r="C256" s="29">
        <v>1324</v>
      </c>
      <c r="D256" s="30">
        <v>1112</v>
      </c>
      <c r="E256" s="20">
        <f t="shared" si="3"/>
        <v>0.83987915407854985</v>
      </c>
      <c r="F256" s="31">
        <v>0</v>
      </c>
      <c r="G256" s="111">
        <v>0</v>
      </c>
      <c r="H256" s="111">
        <v>0</v>
      </c>
      <c r="I256" s="111">
        <v>0</v>
      </c>
      <c r="J256" s="111">
        <v>0</v>
      </c>
      <c r="K256" s="111">
        <v>0</v>
      </c>
      <c r="L256" s="111">
        <v>0</v>
      </c>
      <c r="M256" s="111">
        <v>615</v>
      </c>
      <c r="N256" s="111">
        <v>0</v>
      </c>
      <c r="O256" s="111">
        <v>0</v>
      </c>
      <c r="P256" s="35">
        <v>7</v>
      </c>
      <c r="Q256" s="35">
        <v>2</v>
      </c>
      <c r="R256" s="35">
        <v>465</v>
      </c>
      <c r="S256" s="32">
        <v>0</v>
      </c>
      <c r="T256" s="31">
        <v>557</v>
      </c>
      <c r="U256" s="32">
        <v>521</v>
      </c>
      <c r="V256" s="31">
        <v>534</v>
      </c>
      <c r="W256" s="32">
        <v>547</v>
      </c>
      <c r="X256" s="31">
        <v>578</v>
      </c>
      <c r="Y256" s="32">
        <v>484</v>
      </c>
      <c r="Z256" s="111">
        <v>612</v>
      </c>
      <c r="AA256" s="35">
        <v>0</v>
      </c>
      <c r="AB256" s="35">
        <v>24</v>
      </c>
      <c r="AC256" s="35">
        <v>459</v>
      </c>
      <c r="AD256" s="35">
        <v>0</v>
      </c>
      <c r="AE256" s="33">
        <v>0</v>
      </c>
      <c r="AF256" s="115">
        <v>0</v>
      </c>
      <c r="AG256" s="111">
        <v>618</v>
      </c>
      <c r="AH256" s="32">
        <v>467</v>
      </c>
      <c r="AI256" s="31"/>
      <c r="AJ256" s="33"/>
      <c r="AK256" s="31"/>
      <c r="AL256" s="32"/>
      <c r="AM256" s="31"/>
      <c r="AN256" s="115"/>
      <c r="AO256" s="111"/>
      <c r="AP256" s="32"/>
      <c r="AQ256" s="31"/>
      <c r="AR256" s="115"/>
      <c r="AS256" s="111"/>
      <c r="AT256" s="32"/>
      <c r="AU256" s="31">
        <v>568</v>
      </c>
      <c r="AV256" s="111">
        <v>0</v>
      </c>
      <c r="AW256" s="111">
        <v>502</v>
      </c>
      <c r="AX256" s="31"/>
      <c r="AY256" s="32"/>
      <c r="AZ256" s="31"/>
      <c r="BA256" s="115"/>
      <c r="BB256" s="31">
        <v>510</v>
      </c>
      <c r="BC256" s="32">
        <v>529</v>
      </c>
      <c r="BD256" s="31">
        <v>508</v>
      </c>
      <c r="BE256" s="115">
        <v>530</v>
      </c>
      <c r="BF256" s="111">
        <v>539</v>
      </c>
      <c r="BG256" s="32">
        <v>488</v>
      </c>
      <c r="BH256" s="31">
        <v>524</v>
      </c>
      <c r="BI256" s="32">
        <v>512</v>
      </c>
      <c r="BJ256" s="111">
        <v>31</v>
      </c>
      <c r="BK256" s="33">
        <v>488</v>
      </c>
      <c r="BL256" s="115">
        <v>532</v>
      </c>
      <c r="BM256" s="111">
        <v>551</v>
      </c>
      <c r="BN256" s="35">
        <v>471</v>
      </c>
      <c r="BO256" s="32">
        <v>30</v>
      </c>
      <c r="BP256" s="31">
        <v>509</v>
      </c>
      <c r="BQ256" s="32">
        <v>549</v>
      </c>
      <c r="BR256" s="31">
        <v>503</v>
      </c>
      <c r="BS256" s="32">
        <v>561</v>
      </c>
      <c r="BT256" s="31">
        <v>484</v>
      </c>
      <c r="BU256" s="33">
        <v>29</v>
      </c>
      <c r="BV256" s="115">
        <v>516</v>
      </c>
      <c r="BW256" s="111">
        <v>558</v>
      </c>
      <c r="BX256" s="32">
        <v>502</v>
      </c>
      <c r="BY256" s="31">
        <v>548</v>
      </c>
      <c r="BZ256" s="32">
        <v>481</v>
      </c>
      <c r="CA256" s="111">
        <v>483</v>
      </c>
      <c r="CB256" s="32">
        <v>543</v>
      </c>
      <c r="CC256" s="33">
        <v>680</v>
      </c>
      <c r="CD256" s="34">
        <v>750</v>
      </c>
      <c r="CE256" s="111">
        <v>453</v>
      </c>
      <c r="CF256" s="38">
        <v>439</v>
      </c>
      <c r="CG256" s="31">
        <v>249</v>
      </c>
      <c r="CH256" s="35">
        <v>263</v>
      </c>
      <c r="CI256" s="35">
        <v>339</v>
      </c>
      <c r="CJ256" s="35">
        <v>415</v>
      </c>
      <c r="CK256" s="32">
        <v>450</v>
      </c>
    </row>
    <row r="257" spans="1:89" ht="13" x14ac:dyDescent="0.25">
      <c r="A257" s="27">
        <v>4004</v>
      </c>
      <c r="B257" s="28" t="s">
        <v>280</v>
      </c>
      <c r="C257" s="29">
        <v>644</v>
      </c>
      <c r="D257" s="30">
        <v>541</v>
      </c>
      <c r="E257" s="20">
        <f t="shared" si="3"/>
        <v>0.84006211180124224</v>
      </c>
      <c r="F257" s="31">
        <v>0</v>
      </c>
      <c r="G257" s="111">
        <v>0</v>
      </c>
      <c r="H257" s="111">
        <v>0</v>
      </c>
      <c r="I257" s="111">
        <v>1</v>
      </c>
      <c r="J257" s="111">
        <v>1</v>
      </c>
      <c r="K257" s="111">
        <v>0</v>
      </c>
      <c r="L257" s="111">
        <v>0</v>
      </c>
      <c r="M257" s="111">
        <v>329</v>
      </c>
      <c r="N257" s="111">
        <v>0</v>
      </c>
      <c r="O257" s="111">
        <v>0</v>
      </c>
      <c r="P257" s="35">
        <v>2</v>
      </c>
      <c r="Q257" s="35">
        <v>2</v>
      </c>
      <c r="R257" s="35">
        <v>197</v>
      </c>
      <c r="S257" s="32">
        <v>0</v>
      </c>
      <c r="T257" s="31">
        <v>309</v>
      </c>
      <c r="U257" s="32">
        <v>215</v>
      </c>
      <c r="V257" s="31">
        <v>226</v>
      </c>
      <c r="W257" s="32">
        <v>300</v>
      </c>
      <c r="X257" s="31">
        <v>309</v>
      </c>
      <c r="Y257" s="32">
        <v>214</v>
      </c>
      <c r="Z257" s="111">
        <v>328</v>
      </c>
      <c r="AA257" s="35">
        <v>0</v>
      </c>
      <c r="AB257" s="35">
        <v>15</v>
      </c>
      <c r="AC257" s="35">
        <v>188</v>
      </c>
      <c r="AD257" s="35">
        <v>0</v>
      </c>
      <c r="AE257" s="33">
        <v>0</v>
      </c>
      <c r="AF257" s="115">
        <v>0</v>
      </c>
      <c r="AG257" s="111">
        <v>324</v>
      </c>
      <c r="AH257" s="32">
        <v>201</v>
      </c>
      <c r="AI257" s="31"/>
      <c r="AJ257" s="33"/>
      <c r="AK257" s="31"/>
      <c r="AL257" s="32"/>
      <c r="AM257" s="31"/>
      <c r="AN257" s="115"/>
      <c r="AO257" s="111"/>
      <c r="AP257" s="32"/>
      <c r="AQ257" s="31"/>
      <c r="AR257" s="115"/>
      <c r="AS257" s="111"/>
      <c r="AT257" s="32"/>
      <c r="AU257" s="31">
        <v>321</v>
      </c>
      <c r="AV257" s="111">
        <v>0</v>
      </c>
      <c r="AW257" s="111">
        <v>198</v>
      </c>
      <c r="AX257" s="31"/>
      <c r="AY257" s="32"/>
      <c r="AZ257" s="31"/>
      <c r="BA257" s="115"/>
      <c r="BB257" s="31">
        <v>210</v>
      </c>
      <c r="BC257" s="32">
        <v>298</v>
      </c>
      <c r="BD257" s="31">
        <v>208</v>
      </c>
      <c r="BE257" s="115">
        <v>302</v>
      </c>
      <c r="BF257" s="111">
        <v>299</v>
      </c>
      <c r="BG257" s="32">
        <v>209</v>
      </c>
      <c r="BH257" s="31">
        <v>223</v>
      </c>
      <c r="BI257" s="32">
        <v>284</v>
      </c>
      <c r="BJ257" s="111">
        <v>18</v>
      </c>
      <c r="BK257" s="33">
        <v>195</v>
      </c>
      <c r="BL257" s="115">
        <v>304</v>
      </c>
      <c r="BM257" s="111">
        <v>307</v>
      </c>
      <c r="BN257" s="35">
        <v>195</v>
      </c>
      <c r="BO257" s="32">
        <v>12</v>
      </c>
      <c r="BP257" s="31">
        <v>204</v>
      </c>
      <c r="BQ257" s="32">
        <v>310</v>
      </c>
      <c r="BR257" s="31">
        <v>281</v>
      </c>
      <c r="BS257" s="32">
        <v>235</v>
      </c>
      <c r="BT257" s="31">
        <v>190</v>
      </c>
      <c r="BU257" s="33">
        <v>15</v>
      </c>
      <c r="BV257" s="115">
        <v>302</v>
      </c>
      <c r="BW257" s="111">
        <v>306</v>
      </c>
      <c r="BX257" s="32">
        <v>214</v>
      </c>
      <c r="BY257" s="31">
        <v>305</v>
      </c>
      <c r="BZ257" s="32">
        <v>197</v>
      </c>
      <c r="CA257" s="111">
        <v>199</v>
      </c>
      <c r="CB257" s="32">
        <v>308</v>
      </c>
      <c r="CC257" s="33">
        <v>303</v>
      </c>
      <c r="CD257" s="34">
        <v>385</v>
      </c>
      <c r="CE257" s="111">
        <v>207</v>
      </c>
      <c r="CF257" s="38">
        <v>240</v>
      </c>
      <c r="CG257" s="31">
        <v>91</v>
      </c>
      <c r="CH257" s="35">
        <v>119</v>
      </c>
      <c r="CI257" s="35">
        <v>203</v>
      </c>
      <c r="CJ257" s="35">
        <v>216</v>
      </c>
      <c r="CK257" s="32">
        <v>212</v>
      </c>
    </row>
    <row r="258" spans="1:89" ht="13" x14ac:dyDescent="0.25">
      <c r="A258" s="27">
        <v>4005</v>
      </c>
      <c r="B258" s="28" t="s">
        <v>281</v>
      </c>
      <c r="C258" s="29">
        <v>693</v>
      </c>
      <c r="D258" s="30">
        <v>561</v>
      </c>
      <c r="E258" s="20">
        <f t="shared" si="3"/>
        <v>0.80952380952380953</v>
      </c>
      <c r="F258" s="31">
        <v>0</v>
      </c>
      <c r="G258" s="111">
        <v>0</v>
      </c>
      <c r="H258" s="111">
        <v>0</v>
      </c>
      <c r="I258" s="111">
        <v>0</v>
      </c>
      <c r="J258" s="111">
        <v>0</v>
      </c>
      <c r="K258" s="111">
        <v>0</v>
      </c>
      <c r="L258" s="111">
        <v>0</v>
      </c>
      <c r="M258" s="111">
        <v>322</v>
      </c>
      <c r="N258" s="111">
        <v>0</v>
      </c>
      <c r="O258" s="111">
        <v>0</v>
      </c>
      <c r="P258" s="35">
        <v>6</v>
      </c>
      <c r="Q258" s="35">
        <v>0</v>
      </c>
      <c r="R258" s="35">
        <v>219</v>
      </c>
      <c r="S258" s="32">
        <v>0</v>
      </c>
      <c r="T258" s="31">
        <v>294</v>
      </c>
      <c r="U258" s="32">
        <v>245</v>
      </c>
      <c r="V258" s="31">
        <v>258</v>
      </c>
      <c r="W258" s="32">
        <v>285</v>
      </c>
      <c r="X258" s="31">
        <v>298</v>
      </c>
      <c r="Y258" s="32">
        <v>235</v>
      </c>
      <c r="Z258" s="111">
        <v>320</v>
      </c>
      <c r="AA258" s="35">
        <v>0</v>
      </c>
      <c r="AB258" s="35">
        <v>15</v>
      </c>
      <c r="AC258" s="35">
        <v>216</v>
      </c>
      <c r="AD258" s="35">
        <v>0</v>
      </c>
      <c r="AE258" s="33">
        <v>0</v>
      </c>
      <c r="AF258" s="115">
        <v>0</v>
      </c>
      <c r="AG258" s="111">
        <v>321</v>
      </c>
      <c r="AH258" s="32">
        <v>225</v>
      </c>
      <c r="AI258" s="31"/>
      <c r="AJ258" s="33"/>
      <c r="AK258" s="31"/>
      <c r="AL258" s="32"/>
      <c r="AM258" s="31"/>
      <c r="AN258" s="115"/>
      <c r="AO258" s="111"/>
      <c r="AP258" s="32"/>
      <c r="AQ258" s="31"/>
      <c r="AR258" s="115"/>
      <c r="AS258" s="111"/>
      <c r="AT258" s="32"/>
      <c r="AU258" s="31">
        <v>290</v>
      </c>
      <c r="AV258" s="111">
        <v>1</v>
      </c>
      <c r="AW258" s="111">
        <v>238</v>
      </c>
      <c r="AX258" s="31"/>
      <c r="AY258" s="32"/>
      <c r="AZ258" s="31"/>
      <c r="BA258" s="115"/>
      <c r="BB258" s="31">
        <v>240</v>
      </c>
      <c r="BC258" s="32">
        <v>280</v>
      </c>
      <c r="BD258" s="31">
        <v>235</v>
      </c>
      <c r="BE258" s="115">
        <v>281</v>
      </c>
      <c r="BF258" s="111">
        <v>277</v>
      </c>
      <c r="BG258" s="32">
        <v>240</v>
      </c>
      <c r="BH258" s="31">
        <v>263</v>
      </c>
      <c r="BI258" s="32">
        <v>260</v>
      </c>
      <c r="BJ258" s="111">
        <v>23</v>
      </c>
      <c r="BK258" s="33">
        <v>228</v>
      </c>
      <c r="BL258" s="115">
        <v>273</v>
      </c>
      <c r="BM258" s="111">
        <v>283</v>
      </c>
      <c r="BN258" s="35">
        <v>218</v>
      </c>
      <c r="BO258" s="32">
        <v>21</v>
      </c>
      <c r="BP258" s="31">
        <v>245</v>
      </c>
      <c r="BQ258" s="32">
        <v>280</v>
      </c>
      <c r="BR258" s="31">
        <v>263</v>
      </c>
      <c r="BS258" s="32">
        <v>271</v>
      </c>
      <c r="BT258" s="31">
        <v>224</v>
      </c>
      <c r="BU258" s="33">
        <v>23</v>
      </c>
      <c r="BV258" s="115">
        <v>269</v>
      </c>
      <c r="BW258" s="111">
        <v>286</v>
      </c>
      <c r="BX258" s="32">
        <v>244</v>
      </c>
      <c r="BY258" s="31">
        <v>278</v>
      </c>
      <c r="BZ258" s="32">
        <v>236</v>
      </c>
      <c r="CA258" s="111">
        <v>237</v>
      </c>
      <c r="CB258" s="32">
        <v>280</v>
      </c>
      <c r="CC258" s="33">
        <v>335</v>
      </c>
      <c r="CD258" s="34">
        <v>371</v>
      </c>
      <c r="CE258" s="111">
        <v>244</v>
      </c>
      <c r="CF258" s="38">
        <v>207</v>
      </c>
      <c r="CG258" s="31">
        <v>133</v>
      </c>
      <c r="CH258" s="35">
        <v>154</v>
      </c>
      <c r="CI258" s="35">
        <v>176</v>
      </c>
      <c r="CJ258" s="35">
        <v>200</v>
      </c>
      <c r="CK258" s="32">
        <v>229</v>
      </c>
    </row>
    <row r="259" spans="1:89" ht="13" x14ac:dyDescent="0.25">
      <c r="A259" s="27">
        <v>4006</v>
      </c>
      <c r="B259" s="28" t="s">
        <v>282</v>
      </c>
      <c r="C259" s="29">
        <v>1047</v>
      </c>
      <c r="D259" s="30">
        <v>851</v>
      </c>
      <c r="E259" s="20">
        <f t="shared" si="3"/>
        <v>0.81279847182425979</v>
      </c>
      <c r="F259" s="31">
        <v>0</v>
      </c>
      <c r="G259" s="111">
        <v>0</v>
      </c>
      <c r="H259" s="111">
        <v>0</v>
      </c>
      <c r="I259" s="111">
        <v>0</v>
      </c>
      <c r="J259" s="111">
        <v>5</v>
      </c>
      <c r="K259" s="111">
        <v>0</v>
      </c>
      <c r="L259" s="111">
        <v>0</v>
      </c>
      <c r="M259" s="111">
        <v>448</v>
      </c>
      <c r="N259" s="111">
        <v>0</v>
      </c>
      <c r="O259" s="111">
        <v>0</v>
      </c>
      <c r="P259" s="35">
        <v>14</v>
      </c>
      <c r="Q259" s="35">
        <v>4</v>
      </c>
      <c r="R259" s="35">
        <v>365</v>
      </c>
      <c r="S259" s="32">
        <v>0</v>
      </c>
      <c r="T259" s="31">
        <v>417</v>
      </c>
      <c r="U259" s="32">
        <v>414</v>
      </c>
      <c r="V259" s="31">
        <v>436</v>
      </c>
      <c r="W259" s="32">
        <v>398</v>
      </c>
      <c r="X259" s="31">
        <v>425</v>
      </c>
      <c r="Y259" s="32">
        <v>397</v>
      </c>
      <c r="Z259" s="111">
        <v>453</v>
      </c>
      <c r="AA259" s="35">
        <v>0</v>
      </c>
      <c r="AB259" s="35">
        <v>26</v>
      </c>
      <c r="AC259" s="35">
        <v>358</v>
      </c>
      <c r="AD259" s="35">
        <v>0</v>
      </c>
      <c r="AE259" s="33">
        <v>0</v>
      </c>
      <c r="AF259" s="115">
        <v>0</v>
      </c>
      <c r="AG259" s="111">
        <v>442</v>
      </c>
      <c r="AH259" s="32">
        <v>381</v>
      </c>
      <c r="AI259" s="31"/>
      <c r="AJ259" s="33"/>
      <c r="AK259" s="31"/>
      <c r="AL259" s="32"/>
      <c r="AM259" s="31"/>
      <c r="AN259" s="115"/>
      <c r="AO259" s="111"/>
      <c r="AP259" s="32"/>
      <c r="AQ259" s="31"/>
      <c r="AR259" s="115"/>
      <c r="AS259" s="111"/>
      <c r="AT259" s="32"/>
      <c r="AU259" s="31">
        <v>423</v>
      </c>
      <c r="AV259" s="111">
        <v>0</v>
      </c>
      <c r="AW259" s="111">
        <v>397</v>
      </c>
      <c r="AX259" s="31"/>
      <c r="AY259" s="32"/>
      <c r="AZ259" s="31"/>
      <c r="BA259" s="115"/>
      <c r="BB259" s="31">
        <v>416</v>
      </c>
      <c r="BC259" s="32">
        <v>392</v>
      </c>
      <c r="BD259" s="31">
        <v>405</v>
      </c>
      <c r="BE259" s="115">
        <v>403</v>
      </c>
      <c r="BF259" s="111">
        <v>408</v>
      </c>
      <c r="BG259" s="32">
        <v>399</v>
      </c>
      <c r="BH259" s="31">
        <v>430</v>
      </c>
      <c r="BI259" s="32">
        <v>378</v>
      </c>
      <c r="BJ259" s="111">
        <v>25</v>
      </c>
      <c r="BK259" s="33">
        <v>403</v>
      </c>
      <c r="BL259" s="115">
        <v>386</v>
      </c>
      <c r="BM259" s="111">
        <v>403</v>
      </c>
      <c r="BN259" s="35">
        <v>386</v>
      </c>
      <c r="BO259" s="32">
        <v>26</v>
      </c>
      <c r="BP259" s="31">
        <v>409</v>
      </c>
      <c r="BQ259" s="32">
        <v>404</v>
      </c>
      <c r="BR259" s="31">
        <v>375</v>
      </c>
      <c r="BS259" s="32">
        <v>445</v>
      </c>
      <c r="BT259" s="31">
        <v>384</v>
      </c>
      <c r="BU259" s="33">
        <v>41</v>
      </c>
      <c r="BV259" s="115">
        <v>379</v>
      </c>
      <c r="BW259" s="111">
        <v>418</v>
      </c>
      <c r="BX259" s="32">
        <v>402</v>
      </c>
      <c r="BY259" s="31">
        <v>405</v>
      </c>
      <c r="BZ259" s="32">
        <v>392</v>
      </c>
      <c r="CA259" s="111">
        <v>388</v>
      </c>
      <c r="CB259" s="32">
        <v>421</v>
      </c>
      <c r="CC259" s="33">
        <v>537</v>
      </c>
      <c r="CD259" s="34">
        <v>593</v>
      </c>
      <c r="CE259" s="111">
        <v>334</v>
      </c>
      <c r="CF259" s="38">
        <v>328</v>
      </c>
      <c r="CG259" s="31">
        <v>188</v>
      </c>
      <c r="CH259" s="35">
        <v>194</v>
      </c>
      <c r="CI259" s="35">
        <v>253</v>
      </c>
      <c r="CJ259" s="35">
        <v>294</v>
      </c>
      <c r="CK259" s="32">
        <v>344</v>
      </c>
    </row>
    <row r="260" spans="1:89" ht="13" x14ac:dyDescent="0.25">
      <c r="A260" s="27">
        <v>4007</v>
      </c>
      <c r="B260" s="28" t="s">
        <v>283</v>
      </c>
      <c r="C260" s="29">
        <v>639</v>
      </c>
      <c r="D260" s="30">
        <v>551</v>
      </c>
      <c r="E260" s="20">
        <f t="shared" ref="E260:E323" si="4">SUM(D260/C260)</f>
        <v>0.86228482003129892</v>
      </c>
      <c r="F260" s="31">
        <v>0</v>
      </c>
      <c r="G260" s="111">
        <v>0</v>
      </c>
      <c r="H260" s="111">
        <v>0</v>
      </c>
      <c r="I260" s="111">
        <v>0</v>
      </c>
      <c r="J260" s="111">
        <v>1</v>
      </c>
      <c r="K260" s="111">
        <v>0</v>
      </c>
      <c r="L260" s="111">
        <v>0</v>
      </c>
      <c r="M260" s="111">
        <v>305</v>
      </c>
      <c r="N260" s="111">
        <v>0</v>
      </c>
      <c r="O260" s="111">
        <v>0</v>
      </c>
      <c r="P260" s="35">
        <v>7</v>
      </c>
      <c r="Q260" s="35">
        <v>0</v>
      </c>
      <c r="R260" s="35">
        <v>227</v>
      </c>
      <c r="S260" s="32">
        <v>0</v>
      </c>
      <c r="T260" s="31">
        <v>293</v>
      </c>
      <c r="U260" s="32">
        <v>236</v>
      </c>
      <c r="V260" s="31">
        <v>250</v>
      </c>
      <c r="W260" s="32">
        <v>282</v>
      </c>
      <c r="X260" s="31">
        <v>298</v>
      </c>
      <c r="Y260" s="32">
        <v>224</v>
      </c>
      <c r="Z260" s="111">
        <v>319</v>
      </c>
      <c r="AA260" s="35">
        <v>0</v>
      </c>
      <c r="AB260" s="35">
        <v>9</v>
      </c>
      <c r="AC260" s="35">
        <v>213</v>
      </c>
      <c r="AD260" s="35">
        <v>0</v>
      </c>
      <c r="AE260" s="33">
        <v>0</v>
      </c>
      <c r="AF260" s="115">
        <v>0</v>
      </c>
      <c r="AG260" s="111">
        <v>309</v>
      </c>
      <c r="AH260" s="32">
        <v>221</v>
      </c>
      <c r="AI260" s="31"/>
      <c r="AJ260" s="33"/>
      <c r="AK260" s="31"/>
      <c r="AL260" s="32"/>
      <c r="AM260" s="31"/>
      <c r="AN260" s="115"/>
      <c r="AO260" s="111"/>
      <c r="AP260" s="32"/>
      <c r="AQ260" s="31"/>
      <c r="AR260" s="115"/>
      <c r="AS260" s="111"/>
      <c r="AT260" s="32"/>
      <c r="AU260" s="31">
        <v>293</v>
      </c>
      <c r="AV260" s="111">
        <v>0</v>
      </c>
      <c r="AW260" s="111">
        <v>230</v>
      </c>
      <c r="AX260" s="31"/>
      <c r="AY260" s="32"/>
      <c r="AZ260" s="31"/>
      <c r="BA260" s="115"/>
      <c r="BB260" s="31">
        <v>230</v>
      </c>
      <c r="BC260" s="32">
        <v>281</v>
      </c>
      <c r="BD260" s="31">
        <v>230</v>
      </c>
      <c r="BE260" s="115">
        <v>285</v>
      </c>
      <c r="BF260" s="111">
        <v>275</v>
      </c>
      <c r="BG260" s="32">
        <v>234</v>
      </c>
      <c r="BH260" s="31">
        <v>244</v>
      </c>
      <c r="BI260" s="32">
        <v>267</v>
      </c>
      <c r="BJ260" s="111">
        <v>23</v>
      </c>
      <c r="BK260" s="33">
        <v>201</v>
      </c>
      <c r="BL260" s="115">
        <v>292</v>
      </c>
      <c r="BM260" s="111">
        <v>293</v>
      </c>
      <c r="BN260" s="35">
        <v>206</v>
      </c>
      <c r="BO260" s="32">
        <v>14</v>
      </c>
      <c r="BP260" s="31">
        <v>227</v>
      </c>
      <c r="BQ260" s="32">
        <v>279</v>
      </c>
      <c r="BR260" s="31">
        <v>259</v>
      </c>
      <c r="BS260" s="32">
        <v>261</v>
      </c>
      <c r="BT260" s="31">
        <v>216</v>
      </c>
      <c r="BU260" s="33">
        <v>16</v>
      </c>
      <c r="BV260" s="115">
        <v>272</v>
      </c>
      <c r="BW260" s="111">
        <v>289</v>
      </c>
      <c r="BX260" s="32">
        <v>236</v>
      </c>
      <c r="BY260" s="31">
        <v>289</v>
      </c>
      <c r="BZ260" s="32">
        <v>215</v>
      </c>
      <c r="CA260" s="111">
        <v>228</v>
      </c>
      <c r="CB260" s="32">
        <v>282</v>
      </c>
      <c r="CC260" s="33">
        <v>335</v>
      </c>
      <c r="CD260" s="34">
        <v>376</v>
      </c>
      <c r="CE260" s="111">
        <v>211</v>
      </c>
      <c r="CF260" s="38">
        <v>226</v>
      </c>
      <c r="CG260" s="31">
        <v>115</v>
      </c>
      <c r="CH260" s="35">
        <v>129</v>
      </c>
      <c r="CI260" s="35">
        <v>177</v>
      </c>
      <c r="CJ260" s="35">
        <v>199</v>
      </c>
      <c r="CK260" s="32">
        <v>208</v>
      </c>
    </row>
    <row r="261" spans="1:89" ht="13" x14ac:dyDescent="0.25">
      <c r="A261" s="27">
        <v>4008</v>
      </c>
      <c r="B261" s="28" t="s">
        <v>284</v>
      </c>
      <c r="C261" s="29">
        <v>1088</v>
      </c>
      <c r="D261" s="30">
        <v>864</v>
      </c>
      <c r="E261" s="20">
        <f t="shared" si="4"/>
        <v>0.79411764705882348</v>
      </c>
      <c r="F261" s="31">
        <v>0</v>
      </c>
      <c r="G261" s="111">
        <v>0</v>
      </c>
      <c r="H261" s="111">
        <v>0</v>
      </c>
      <c r="I261" s="111">
        <v>0</v>
      </c>
      <c r="J261" s="111">
        <v>0</v>
      </c>
      <c r="K261" s="111">
        <v>0</v>
      </c>
      <c r="L261" s="111">
        <v>0</v>
      </c>
      <c r="M261" s="111">
        <v>468</v>
      </c>
      <c r="N261" s="111">
        <v>0</v>
      </c>
      <c r="O261" s="111">
        <v>0</v>
      </c>
      <c r="P261" s="35">
        <v>6</v>
      </c>
      <c r="Q261" s="35">
        <v>0</v>
      </c>
      <c r="R261" s="35">
        <v>371</v>
      </c>
      <c r="S261" s="32">
        <v>1</v>
      </c>
      <c r="T261" s="31">
        <v>427</v>
      </c>
      <c r="U261" s="32">
        <v>403</v>
      </c>
      <c r="V261" s="31">
        <v>438</v>
      </c>
      <c r="W261" s="32">
        <v>393</v>
      </c>
      <c r="X261" s="31">
        <v>431</v>
      </c>
      <c r="Y261" s="32">
        <v>396</v>
      </c>
      <c r="Z261" s="111">
        <v>476</v>
      </c>
      <c r="AA261" s="35">
        <v>0</v>
      </c>
      <c r="AB261" s="35">
        <v>13</v>
      </c>
      <c r="AC261" s="35">
        <v>363</v>
      </c>
      <c r="AD261" s="35">
        <v>0</v>
      </c>
      <c r="AE261" s="33">
        <v>0</v>
      </c>
      <c r="AF261" s="115">
        <v>0</v>
      </c>
      <c r="AG261" s="111">
        <v>458</v>
      </c>
      <c r="AH261" s="32">
        <v>380</v>
      </c>
      <c r="AI261" s="31"/>
      <c r="AJ261" s="33"/>
      <c r="AK261" s="31"/>
      <c r="AL261" s="32"/>
      <c r="AM261" s="31"/>
      <c r="AN261" s="115"/>
      <c r="AO261" s="111"/>
      <c r="AP261" s="32"/>
      <c r="AQ261" s="31"/>
      <c r="AR261" s="115"/>
      <c r="AS261" s="111"/>
      <c r="AT261" s="32"/>
      <c r="AU261" s="31">
        <v>432</v>
      </c>
      <c r="AV261" s="111">
        <v>0</v>
      </c>
      <c r="AW261" s="111">
        <v>396</v>
      </c>
      <c r="AX261" s="31"/>
      <c r="AY261" s="32"/>
      <c r="AZ261" s="31"/>
      <c r="BA261" s="115"/>
      <c r="BB261" s="31">
        <v>423</v>
      </c>
      <c r="BC261" s="32">
        <v>381</v>
      </c>
      <c r="BD261" s="31">
        <v>416</v>
      </c>
      <c r="BE261" s="115">
        <v>389</v>
      </c>
      <c r="BF261" s="111">
        <v>397</v>
      </c>
      <c r="BG261" s="32">
        <v>399</v>
      </c>
      <c r="BH261" s="31">
        <v>443</v>
      </c>
      <c r="BI261" s="32">
        <v>358</v>
      </c>
      <c r="BJ261" s="111">
        <v>33</v>
      </c>
      <c r="BK261" s="33">
        <v>386</v>
      </c>
      <c r="BL261" s="115">
        <v>386</v>
      </c>
      <c r="BM261" s="111">
        <v>410</v>
      </c>
      <c r="BN261" s="35">
        <v>381</v>
      </c>
      <c r="BO261" s="32">
        <v>23</v>
      </c>
      <c r="BP261" s="31">
        <v>407</v>
      </c>
      <c r="BQ261" s="32">
        <v>402</v>
      </c>
      <c r="BR261" s="31">
        <v>360</v>
      </c>
      <c r="BS261" s="32">
        <v>460</v>
      </c>
      <c r="BT261" s="31">
        <v>400</v>
      </c>
      <c r="BU261" s="33">
        <v>24</v>
      </c>
      <c r="BV261" s="115">
        <v>374</v>
      </c>
      <c r="BW261" s="111">
        <v>433</v>
      </c>
      <c r="BX261" s="32">
        <v>392</v>
      </c>
      <c r="BY261" s="31">
        <v>394</v>
      </c>
      <c r="BZ261" s="32">
        <v>397</v>
      </c>
      <c r="CA261" s="111">
        <v>414</v>
      </c>
      <c r="CB261" s="32">
        <v>392</v>
      </c>
      <c r="CC261" s="33">
        <v>585</v>
      </c>
      <c r="CD261" s="34">
        <v>605</v>
      </c>
      <c r="CE261" s="111">
        <v>396</v>
      </c>
      <c r="CF261" s="38">
        <v>301</v>
      </c>
      <c r="CG261" s="31">
        <v>180</v>
      </c>
      <c r="CH261" s="35">
        <v>228</v>
      </c>
      <c r="CI261" s="35">
        <v>247</v>
      </c>
      <c r="CJ261" s="35">
        <v>312</v>
      </c>
      <c r="CK261" s="32">
        <v>355</v>
      </c>
    </row>
    <row r="262" spans="1:89" ht="13" x14ac:dyDescent="0.25">
      <c r="A262" s="27">
        <v>4009</v>
      </c>
      <c r="B262" s="28" t="s">
        <v>285</v>
      </c>
      <c r="C262" s="29">
        <v>1120</v>
      </c>
      <c r="D262" s="30">
        <v>898</v>
      </c>
      <c r="E262" s="20">
        <f t="shared" si="4"/>
        <v>0.80178571428571432</v>
      </c>
      <c r="F262" s="31">
        <v>0</v>
      </c>
      <c r="G262" s="111">
        <v>0</v>
      </c>
      <c r="H262" s="111">
        <v>0</v>
      </c>
      <c r="I262" s="111">
        <v>0</v>
      </c>
      <c r="J262" s="111">
        <v>0</v>
      </c>
      <c r="K262" s="111">
        <v>0</v>
      </c>
      <c r="L262" s="111">
        <v>0</v>
      </c>
      <c r="M262" s="111">
        <v>502</v>
      </c>
      <c r="N262" s="111">
        <v>0</v>
      </c>
      <c r="O262" s="111">
        <v>0</v>
      </c>
      <c r="P262" s="35">
        <v>6</v>
      </c>
      <c r="Q262" s="35">
        <v>0</v>
      </c>
      <c r="R262" s="35">
        <v>375</v>
      </c>
      <c r="S262" s="32">
        <v>1</v>
      </c>
      <c r="T262" s="31">
        <v>435</v>
      </c>
      <c r="U262" s="32">
        <v>431</v>
      </c>
      <c r="V262" s="31">
        <v>449</v>
      </c>
      <c r="W262" s="32">
        <v>420</v>
      </c>
      <c r="X262" s="31">
        <v>432</v>
      </c>
      <c r="Y262" s="32">
        <v>423</v>
      </c>
      <c r="Z262" s="111">
        <v>493</v>
      </c>
      <c r="AA262" s="35">
        <v>0</v>
      </c>
      <c r="AB262" s="35">
        <v>20</v>
      </c>
      <c r="AC262" s="35">
        <v>371</v>
      </c>
      <c r="AD262" s="35">
        <v>0</v>
      </c>
      <c r="AE262" s="33">
        <v>0</v>
      </c>
      <c r="AF262" s="115">
        <v>0</v>
      </c>
      <c r="AG262" s="111">
        <v>483</v>
      </c>
      <c r="AH262" s="32">
        <v>391</v>
      </c>
      <c r="AI262" s="31"/>
      <c r="AJ262" s="33"/>
      <c r="AK262" s="31"/>
      <c r="AL262" s="32"/>
      <c r="AM262" s="31"/>
      <c r="AN262" s="115"/>
      <c r="AO262" s="111"/>
      <c r="AP262" s="32"/>
      <c r="AQ262" s="31"/>
      <c r="AR262" s="115"/>
      <c r="AS262" s="111"/>
      <c r="AT262" s="32"/>
      <c r="AU262" s="31">
        <v>448</v>
      </c>
      <c r="AV262" s="111">
        <v>0</v>
      </c>
      <c r="AW262" s="111">
        <v>406</v>
      </c>
      <c r="AX262" s="31"/>
      <c r="AY262" s="32"/>
      <c r="AZ262" s="31"/>
      <c r="BA262" s="115"/>
      <c r="BB262" s="31">
        <v>423</v>
      </c>
      <c r="BC262" s="32">
        <v>421</v>
      </c>
      <c r="BD262" s="31">
        <v>416</v>
      </c>
      <c r="BE262" s="115">
        <v>423</v>
      </c>
      <c r="BF262" s="111">
        <v>423</v>
      </c>
      <c r="BG262" s="32">
        <v>414</v>
      </c>
      <c r="BH262" s="31">
        <v>457</v>
      </c>
      <c r="BI262" s="32">
        <v>382</v>
      </c>
      <c r="BJ262" s="111">
        <v>26</v>
      </c>
      <c r="BK262" s="33">
        <v>401</v>
      </c>
      <c r="BL262" s="115">
        <v>419</v>
      </c>
      <c r="BM262" s="111">
        <v>428</v>
      </c>
      <c r="BN262" s="35">
        <v>397</v>
      </c>
      <c r="BO262" s="32">
        <v>20</v>
      </c>
      <c r="BP262" s="31">
        <v>404</v>
      </c>
      <c r="BQ262" s="32">
        <v>441</v>
      </c>
      <c r="BR262" s="31">
        <v>376</v>
      </c>
      <c r="BS262" s="32">
        <v>471</v>
      </c>
      <c r="BT262" s="31">
        <v>403</v>
      </c>
      <c r="BU262" s="33">
        <v>22</v>
      </c>
      <c r="BV262" s="115">
        <v>407</v>
      </c>
      <c r="BW262" s="111">
        <v>455</v>
      </c>
      <c r="BX262" s="32">
        <v>403</v>
      </c>
      <c r="BY262" s="31">
        <v>416</v>
      </c>
      <c r="BZ262" s="32">
        <v>409</v>
      </c>
      <c r="CA262" s="111">
        <v>410</v>
      </c>
      <c r="CB262" s="32">
        <v>422</v>
      </c>
      <c r="CC262" s="33">
        <v>575</v>
      </c>
      <c r="CD262" s="34">
        <v>620</v>
      </c>
      <c r="CE262" s="111">
        <v>379</v>
      </c>
      <c r="CF262" s="38">
        <v>321</v>
      </c>
      <c r="CG262" s="31">
        <v>208</v>
      </c>
      <c r="CH262" s="35">
        <v>217</v>
      </c>
      <c r="CI262" s="35">
        <v>256</v>
      </c>
      <c r="CJ262" s="35">
        <v>294</v>
      </c>
      <c r="CK262" s="32">
        <v>398</v>
      </c>
    </row>
    <row r="263" spans="1:89" ht="13" x14ac:dyDescent="0.25">
      <c r="A263" s="27">
        <v>4111</v>
      </c>
      <c r="B263" s="28" t="s">
        <v>286</v>
      </c>
      <c r="C263" s="29">
        <v>1406</v>
      </c>
      <c r="D263" s="30">
        <v>845</v>
      </c>
      <c r="E263" s="20">
        <f t="shared" si="4"/>
        <v>0.60099573257467998</v>
      </c>
      <c r="F263" s="31">
        <v>0</v>
      </c>
      <c r="G263" s="111">
        <v>0</v>
      </c>
      <c r="H263" s="111">
        <v>0</v>
      </c>
      <c r="I263" s="111">
        <v>0</v>
      </c>
      <c r="J263" s="111">
        <v>3</v>
      </c>
      <c r="K263" s="111">
        <v>0</v>
      </c>
      <c r="L263" s="111">
        <v>0</v>
      </c>
      <c r="M263" s="111">
        <v>600</v>
      </c>
      <c r="N263" s="111">
        <v>0</v>
      </c>
      <c r="O263" s="111">
        <v>0</v>
      </c>
      <c r="P263" s="35">
        <v>8</v>
      </c>
      <c r="Q263" s="35">
        <v>1</v>
      </c>
      <c r="R263" s="35">
        <v>210</v>
      </c>
      <c r="S263" s="32">
        <v>0</v>
      </c>
      <c r="T263" s="31">
        <v>597</v>
      </c>
      <c r="U263" s="32">
        <v>217</v>
      </c>
      <c r="V263" s="31">
        <v>248</v>
      </c>
      <c r="W263" s="32">
        <v>566</v>
      </c>
      <c r="X263" s="31">
        <v>591</v>
      </c>
      <c r="Y263" s="32">
        <v>201</v>
      </c>
      <c r="Z263" s="111">
        <v>607</v>
      </c>
      <c r="AA263" s="35">
        <v>0</v>
      </c>
      <c r="AB263" s="35">
        <v>30</v>
      </c>
      <c r="AC263" s="35">
        <v>186</v>
      </c>
      <c r="AD263" s="35">
        <v>0</v>
      </c>
      <c r="AE263" s="33">
        <v>0</v>
      </c>
      <c r="AF263" s="115">
        <v>0</v>
      </c>
      <c r="AG263" s="111"/>
      <c r="AH263" s="32"/>
      <c r="AI263" s="31">
        <v>201</v>
      </c>
      <c r="AJ263" s="33">
        <v>598</v>
      </c>
      <c r="AK263" s="31">
        <v>213</v>
      </c>
      <c r="AL263" s="32">
        <v>593</v>
      </c>
      <c r="AM263" s="31"/>
      <c r="AN263" s="115"/>
      <c r="AO263" s="111"/>
      <c r="AP263" s="32"/>
      <c r="AQ263" s="31"/>
      <c r="AR263" s="115"/>
      <c r="AS263" s="111"/>
      <c r="AT263" s="32"/>
      <c r="AU263" s="31"/>
      <c r="AV263" s="111"/>
      <c r="AW263" s="111"/>
      <c r="AX263" s="31">
        <v>215</v>
      </c>
      <c r="AY263" s="32">
        <v>592</v>
      </c>
      <c r="AZ263" s="31"/>
      <c r="BA263" s="115"/>
      <c r="BB263" s="31">
        <v>203</v>
      </c>
      <c r="BC263" s="32">
        <v>590</v>
      </c>
      <c r="BD263" s="31">
        <v>202</v>
      </c>
      <c r="BE263" s="115">
        <v>588</v>
      </c>
      <c r="BF263" s="111">
        <v>575</v>
      </c>
      <c r="BG263" s="32">
        <v>202</v>
      </c>
      <c r="BH263" s="31">
        <v>225</v>
      </c>
      <c r="BI263" s="32">
        <v>565</v>
      </c>
      <c r="BJ263" s="111">
        <v>28</v>
      </c>
      <c r="BK263" s="33">
        <v>176</v>
      </c>
      <c r="BL263" s="115">
        <v>598</v>
      </c>
      <c r="BM263" s="111">
        <v>593</v>
      </c>
      <c r="BN263" s="35">
        <v>177</v>
      </c>
      <c r="BO263" s="32">
        <v>22</v>
      </c>
      <c r="BP263" s="31">
        <v>194</v>
      </c>
      <c r="BQ263" s="32">
        <v>602</v>
      </c>
      <c r="BR263" s="31">
        <v>561</v>
      </c>
      <c r="BS263" s="32">
        <v>246</v>
      </c>
      <c r="BT263" s="31">
        <v>191</v>
      </c>
      <c r="BU263" s="33">
        <v>28</v>
      </c>
      <c r="BV263" s="115">
        <v>578</v>
      </c>
      <c r="BW263" s="111">
        <v>605</v>
      </c>
      <c r="BX263" s="32">
        <v>209</v>
      </c>
      <c r="BY263" s="31">
        <v>601</v>
      </c>
      <c r="BZ263" s="32">
        <v>192</v>
      </c>
      <c r="CA263" s="111">
        <v>196</v>
      </c>
      <c r="CB263" s="32">
        <v>595</v>
      </c>
      <c r="CC263" s="33">
        <v>386</v>
      </c>
      <c r="CD263" s="34">
        <v>686</v>
      </c>
      <c r="CE263" s="111">
        <v>302</v>
      </c>
      <c r="CF263" s="42">
        <v>347</v>
      </c>
      <c r="CG263" s="31">
        <v>193</v>
      </c>
      <c r="CH263" s="35">
        <v>97</v>
      </c>
      <c r="CI263" s="35">
        <v>307</v>
      </c>
      <c r="CJ263" s="35">
        <v>318</v>
      </c>
      <c r="CK263" s="32">
        <v>260</v>
      </c>
    </row>
    <row r="264" spans="1:89" ht="13" x14ac:dyDescent="0.25">
      <c r="A264" s="27">
        <v>4121</v>
      </c>
      <c r="B264" s="28" t="s">
        <v>287</v>
      </c>
      <c r="C264" s="29">
        <v>1045</v>
      </c>
      <c r="D264" s="30">
        <v>703</v>
      </c>
      <c r="E264" s="20">
        <f t="shared" si="4"/>
        <v>0.67272727272727273</v>
      </c>
      <c r="F264" s="31">
        <v>0</v>
      </c>
      <c r="G264" s="111">
        <v>0</v>
      </c>
      <c r="H264" s="111">
        <v>0</v>
      </c>
      <c r="I264" s="111">
        <v>0</v>
      </c>
      <c r="J264" s="111">
        <v>3</v>
      </c>
      <c r="K264" s="111">
        <v>0</v>
      </c>
      <c r="L264" s="111">
        <v>0</v>
      </c>
      <c r="M264" s="111">
        <v>426</v>
      </c>
      <c r="N264" s="111">
        <v>0</v>
      </c>
      <c r="O264" s="111">
        <v>0</v>
      </c>
      <c r="P264" s="35">
        <v>2</v>
      </c>
      <c r="Q264" s="35">
        <v>2</v>
      </c>
      <c r="R264" s="35">
        <v>256</v>
      </c>
      <c r="S264" s="32">
        <v>0</v>
      </c>
      <c r="T264" s="31">
        <v>405</v>
      </c>
      <c r="U264" s="32">
        <v>260</v>
      </c>
      <c r="V264" s="31">
        <v>276</v>
      </c>
      <c r="W264" s="32">
        <v>392</v>
      </c>
      <c r="X264" s="31">
        <v>402</v>
      </c>
      <c r="Y264" s="32">
        <v>253</v>
      </c>
      <c r="Z264" s="111">
        <v>423</v>
      </c>
      <c r="AA264" s="35">
        <v>0</v>
      </c>
      <c r="AB264" s="35">
        <v>38</v>
      </c>
      <c r="AC264" s="35">
        <v>218</v>
      </c>
      <c r="AD264" s="35">
        <v>0</v>
      </c>
      <c r="AE264" s="33">
        <v>0</v>
      </c>
      <c r="AF264" s="115">
        <v>0</v>
      </c>
      <c r="AG264" s="111"/>
      <c r="AH264" s="32"/>
      <c r="AI264" s="31">
        <v>255</v>
      </c>
      <c r="AJ264" s="33">
        <v>404</v>
      </c>
      <c r="AK264" s="31">
        <v>258</v>
      </c>
      <c r="AL264" s="32">
        <v>399</v>
      </c>
      <c r="AM264" s="31"/>
      <c r="AN264" s="115"/>
      <c r="AO264" s="111"/>
      <c r="AP264" s="32"/>
      <c r="AQ264" s="31"/>
      <c r="AR264" s="115"/>
      <c r="AS264" s="111"/>
      <c r="AT264" s="32"/>
      <c r="AU264" s="31"/>
      <c r="AV264" s="111"/>
      <c r="AW264" s="111"/>
      <c r="AX264" s="31">
        <v>257</v>
      </c>
      <c r="AY264" s="32">
        <v>394</v>
      </c>
      <c r="AZ264" s="31"/>
      <c r="BA264" s="115"/>
      <c r="BB264" s="31">
        <v>257</v>
      </c>
      <c r="BC264" s="32">
        <v>390</v>
      </c>
      <c r="BD264" s="31">
        <v>250</v>
      </c>
      <c r="BE264" s="115">
        <v>397</v>
      </c>
      <c r="BF264" s="111">
        <v>390</v>
      </c>
      <c r="BG264" s="32">
        <v>253</v>
      </c>
      <c r="BH264" s="31">
        <v>265</v>
      </c>
      <c r="BI264" s="32">
        <v>380</v>
      </c>
      <c r="BJ264" s="111">
        <v>40</v>
      </c>
      <c r="BK264" s="33">
        <v>215</v>
      </c>
      <c r="BL264" s="115">
        <v>401</v>
      </c>
      <c r="BM264" s="111">
        <v>409</v>
      </c>
      <c r="BN264" s="35">
        <v>218</v>
      </c>
      <c r="BO264" s="32">
        <v>21</v>
      </c>
      <c r="BP264" s="31">
        <v>249</v>
      </c>
      <c r="BQ264" s="32">
        <v>396</v>
      </c>
      <c r="BR264" s="31">
        <v>378</v>
      </c>
      <c r="BS264" s="32">
        <v>275</v>
      </c>
      <c r="BT264" s="31">
        <v>232</v>
      </c>
      <c r="BU264" s="33">
        <v>40</v>
      </c>
      <c r="BV264" s="115">
        <v>376</v>
      </c>
      <c r="BW264" s="111">
        <v>403</v>
      </c>
      <c r="BX264" s="32">
        <v>256</v>
      </c>
      <c r="BY264" s="31">
        <v>396</v>
      </c>
      <c r="BZ264" s="32">
        <v>237</v>
      </c>
      <c r="CA264" s="111">
        <v>239</v>
      </c>
      <c r="CB264" s="32">
        <v>404</v>
      </c>
      <c r="CC264" s="33">
        <v>359</v>
      </c>
      <c r="CD264" s="34">
        <v>519</v>
      </c>
      <c r="CE264" s="111">
        <v>270</v>
      </c>
      <c r="CF264" s="42">
        <v>270</v>
      </c>
      <c r="CG264" s="31">
        <v>137</v>
      </c>
      <c r="CH264" s="35">
        <v>117</v>
      </c>
      <c r="CI264" s="35">
        <v>211</v>
      </c>
      <c r="CJ264" s="35">
        <v>229</v>
      </c>
      <c r="CK264" s="32">
        <v>246</v>
      </c>
    </row>
    <row r="265" spans="1:89" ht="13" x14ac:dyDescent="0.25">
      <c r="A265" s="27">
        <v>4131</v>
      </c>
      <c r="B265" s="28" t="s">
        <v>288</v>
      </c>
      <c r="C265" s="29">
        <v>1055</v>
      </c>
      <c r="D265" s="30">
        <v>666</v>
      </c>
      <c r="E265" s="20">
        <f t="shared" si="4"/>
        <v>0.63127962085308054</v>
      </c>
      <c r="F265" s="31">
        <v>0</v>
      </c>
      <c r="G265" s="111">
        <v>0</v>
      </c>
      <c r="H265" s="111">
        <v>0</v>
      </c>
      <c r="I265" s="111">
        <v>1</v>
      </c>
      <c r="J265" s="111">
        <v>1</v>
      </c>
      <c r="K265" s="111">
        <v>0</v>
      </c>
      <c r="L265" s="111">
        <v>0</v>
      </c>
      <c r="M265" s="111">
        <v>454</v>
      </c>
      <c r="N265" s="111">
        <v>0</v>
      </c>
      <c r="O265" s="111">
        <v>0</v>
      </c>
      <c r="P265" s="35">
        <v>3</v>
      </c>
      <c r="Q265" s="35">
        <v>2</v>
      </c>
      <c r="R265" s="35">
        <v>190</v>
      </c>
      <c r="S265" s="32">
        <v>0</v>
      </c>
      <c r="T265" s="31">
        <v>441</v>
      </c>
      <c r="U265" s="32">
        <v>189</v>
      </c>
      <c r="V265" s="31">
        <v>214</v>
      </c>
      <c r="W265" s="32">
        <v>427</v>
      </c>
      <c r="X265" s="31">
        <v>427</v>
      </c>
      <c r="Y265" s="32">
        <v>187</v>
      </c>
      <c r="Z265" s="111">
        <v>436</v>
      </c>
      <c r="AA265" s="35">
        <v>0</v>
      </c>
      <c r="AB265" s="35">
        <v>38</v>
      </c>
      <c r="AC265" s="35">
        <v>173</v>
      </c>
      <c r="AD265" s="35">
        <v>0</v>
      </c>
      <c r="AE265" s="33">
        <v>0</v>
      </c>
      <c r="AF265" s="115">
        <v>0</v>
      </c>
      <c r="AG265" s="111"/>
      <c r="AH265" s="32"/>
      <c r="AI265" s="31">
        <v>190</v>
      </c>
      <c r="AJ265" s="33">
        <v>441</v>
      </c>
      <c r="AK265" s="31">
        <v>194</v>
      </c>
      <c r="AL265" s="32">
        <v>433</v>
      </c>
      <c r="AM265" s="31"/>
      <c r="AN265" s="115"/>
      <c r="AO265" s="111"/>
      <c r="AP265" s="32"/>
      <c r="AQ265" s="31"/>
      <c r="AR265" s="115"/>
      <c r="AS265" s="111"/>
      <c r="AT265" s="32"/>
      <c r="AU265" s="31"/>
      <c r="AV265" s="111"/>
      <c r="AW265" s="111"/>
      <c r="AX265" s="31">
        <v>199</v>
      </c>
      <c r="AY265" s="32">
        <v>425</v>
      </c>
      <c r="AZ265" s="31"/>
      <c r="BA265" s="115"/>
      <c r="BB265" s="31">
        <v>195</v>
      </c>
      <c r="BC265" s="32">
        <v>418</v>
      </c>
      <c r="BD265" s="31">
        <v>183</v>
      </c>
      <c r="BE265" s="115">
        <v>428</v>
      </c>
      <c r="BF265" s="111">
        <v>422</v>
      </c>
      <c r="BG265" s="32">
        <v>187</v>
      </c>
      <c r="BH265" s="31">
        <v>208</v>
      </c>
      <c r="BI265" s="32">
        <v>409</v>
      </c>
      <c r="BJ265" s="111">
        <v>32</v>
      </c>
      <c r="BK265" s="33">
        <v>162</v>
      </c>
      <c r="BL265" s="115">
        <v>434</v>
      </c>
      <c r="BM265" s="111">
        <v>430</v>
      </c>
      <c r="BN265" s="35">
        <v>165</v>
      </c>
      <c r="BO265" s="32">
        <v>30</v>
      </c>
      <c r="BP265" s="31">
        <v>190</v>
      </c>
      <c r="BQ265" s="32">
        <v>420</v>
      </c>
      <c r="BR265" s="31">
        <v>394</v>
      </c>
      <c r="BS265" s="32">
        <v>222</v>
      </c>
      <c r="BT265" s="31">
        <v>174</v>
      </c>
      <c r="BU265" s="33">
        <v>33</v>
      </c>
      <c r="BV265" s="115">
        <v>408</v>
      </c>
      <c r="BW265" s="111">
        <v>432</v>
      </c>
      <c r="BX265" s="32">
        <v>190</v>
      </c>
      <c r="BY265" s="31">
        <v>435</v>
      </c>
      <c r="BZ265" s="32">
        <v>173</v>
      </c>
      <c r="CA265" s="111">
        <v>178</v>
      </c>
      <c r="CB265" s="32">
        <v>431</v>
      </c>
      <c r="CC265" s="33">
        <v>312</v>
      </c>
      <c r="CD265" s="34">
        <v>510</v>
      </c>
      <c r="CE265" s="111">
        <v>233</v>
      </c>
      <c r="CF265" s="42">
        <v>276</v>
      </c>
      <c r="CG265" s="31">
        <v>145</v>
      </c>
      <c r="CH265" s="35">
        <v>76</v>
      </c>
      <c r="CI265" s="35">
        <v>250</v>
      </c>
      <c r="CJ265" s="35">
        <v>260</v>
      </c>
      <c r="CK265" s="32">
        <v>208</v>
      </c>
    </row>
    <row r="266" spans="1:89" ht="13" x14ac:dyDescent="0.25">
      <c r="A266" s="27">
        <v>4141</v>
      </c>
      <c r="B266" s="28" t="s">
        <v>289</v>
      </c>
      <c r="C266" s="29">
        <v>921</v>
      </c>
      <c r="D266" s="30">
        <v>603</v>
      </c>
      <c r="E266" s="20">
        <f t="shared" si="4"/>
        <v>0.65472312703583058</v>
      </c>
      <c r="F266" s="31">
        <v>0</v>
      </c>
      <c r="G266" s="111">
        <v>0</v>
      </c>
      <c r="H266" s="111">
        <v>0</v>
      </c>
      <c r="I266" s="111">
        <v>1</v>
      </c>
      <c r="J266" s="111">
        <v>2</v>
      </c>
      <c r="K266" s="111">
        <v>0</v>
      </c>
      <c r="L266" s="111">
        <v>0</v>
      </c>
      <c r="M266" s="111">
        <v>389</v>
      </c>
      <c r="N266" s="111">
        <v>0</v>
      </c>
      <c r="O266" s="111">
        <v>0</v>
      </c>
      <c r="P266" s="35">
        <v>2</v>
      </c>
      <c r="Q266" s="35">
        <v>1</v>
      </c>
      <c r="R266" s="35">
        <v>198</v>
      </c>
      <c r="S266" s="32">
        <v>0</v>
      </c>
      <c r="T266" s="31">
        <v>393</v>
      </c>
      <c r="U266" s="32">
        <v>187</v>
      </c>
      <c r="V266" s="31">
        <v>206</v>
      </c>
      <c r="W266" s="32">
        <v>380</v>
      </c>
      <c r="X266" s="31">
        <v>394</v>
      </c>
      <c r="Y266" s="32">
        <v>177</v>
      </c>
      <c r="Z266" s="111">
        <v>387</v>
      </c>
      <c r="AA266" s="35">
        <v>0</v>
      </c>
      <c r="AB266" s="35">
        <v>27</v>
      </c>
      <c r="AC266" s="35">
        <v>176</v>
      </c>
      <c r="AD266" s="35">
        <v>0</v>
      </c>
      <c r="AE266" s="33">
        <v>0</v>
      </c>
      <c r="AF266" s="115">
        <v>0</v>
      </c>
      <c r="AG266" s="111"/>
      <c r="AH266" s="32"/>
      <c r="AI266" s="31">
        <v>176</v>
      </c>
      <c r="AJ266" s="33">
        <v>397</v>
      </c>
      <c r="AK266" s="31">
        <v>182</v>
      </c>
      <c r="AL266" s="32">
        <v>387</v>
      </c>
      <c r="AM266" s="31"/>
      <c r="AN266" s="115"/>
      <c r="AO266" s="111"/>
      <c r="AP266" s="32"/>
      <c r="AQ266" s="31"/>
      <c r="AR266" s="115"/>
      <c r="AS266" s="111"/>
      <c r="AT266" s="32"/>
      <c r="AU266" s="31"/>
      <c r="AV266" s="111"/>
      <c r="AW266" s="111"/>
      <c r="AX266" s="31">
        <v>187</v>
      </c>
      <c r="AY266" s="32">
        <v>385</v>
      </c>
      <c r="AZ266" s="31"/>
      <c r="BA266" s="115"/>
      <c r="BB266" s="31">
        <v>178</v>
      </c>
      <c r="BC266" s="32">
        <v>388</v>
      </c>
      <c r="BD266" s="31">
        <v>181</v>
      </c>
      <c r="BE266" s="115">
        <v>385</v>
      </c>
      <c r="BF266" s="111">
        <v>384</v>
      </c>
      <c r="BG266" s="32">
        <v>179</v>
      </c>
      <c r="BH266" s="31">
        <v>186</v>
      </c>
      <c r="BI266" s="32">
        <v>377</v>
      </c>
      <c r="BJ266" s="111">
        <v>28</v>
      </c>
      <c r="BK266" s="33">
        <v>156</v>
      </c>
      <c r="BL266" s="115">
        <v>391</v>
      </c>
      <c r="BM266" s="111">
        <v>382</v>
      </c>
      <c r="BN266" s="35">
        <v>159</v>
      </c>
      <c r="BO266" s="32">
        <v>26</v>
      </c>
      <c r="BP266" s="31">
        <v>175</v>
      </c>
      <c r="BQ266" s="32">
        <v>396</v>
      </c>
      <c r="BR266" s="31">
        <v>365</v>
      </c>
      <c r="BS266" s="32">
        <v>209</v>
      </c>
      <c r="BT266" s="31">
        <v>158</v>
      </c>
      <c r="BU266" s="33">
        <v>29</v>
      </c>
      <c r="BV266" s="115">
        <v>372</v>
      </c>
      <c r="BW266" s="111">
        <v>386</v>
      </c>
      <c r="BX266" s="32">
        <v>194</v>
      </c>
      <c r="BY266" s="31">
        <v>384</v>
      </c>
      <c r="BZ266" s="32">
        <v>174</v>
      </c>
      <c r="CA266" s="111">
        <v>171</v>
      </c>
      <c r="CB266" s="32">
        <v>392</v>
      </c>
      <c r="CC266" s="33">
        <v>307</v>
      </c>
      <c r="CD266" s="34">
        <v>469</v>
      </c>
      <c r="CE266" s="111">
        <v>232</v>
      </c>
      <c r="CF266" s="42">
        <v>237</v>
      </c>
      <c r="CG266" s="31">
        <v>143</v>
      </c>
      <c r="CH266" s="35">
        <v>90</v>
      </c>
      <c r="CI266" s="35">
        <v>181</v>
      </c>
      <c r="CJ266" s="35">
        <v>218</v>
      </c>
      <c r="CK266" s="32">
        <v>201</v>
      </c>
    </row>
    <row r="267" spans="1:89" ht="13" x14ac:dyDescent="0.25">
      <c r="A267" s="27">
        <v>4311</v>
      </c>
      <c r="B267" s="28" t="s">
        <v>290</v>
      </c>
      <c r="C267" s="29">
        <v>590</v>
      </c>
      <c r="D267" s="30">
        <v>380</v>
      </c>
      <c r="E267" s="20">
        <f t="shared" si="4"/>
        <v>0.64406779661016944</v>
      </c>
      <c r="F267" s="31">
        <v>0</v>
      </c>
      <c r="G267" s="111">
        <v>0</v>
      </c>
      <c r="H267" s="111">
        <v>0</v>
      </c>
      <c r="I267" s="111">
        <v>0</v>
      </c>
      <c r="J267" s="111">
        <v>0</v>
      </c>
      <c r="K267" s="111">
        <v>0</v>
      </c>
      <c r="L267" s="111">
        <v>0</v>
      </c>
      <c r="M267" s="111">
        <v>269</v>
      </c>
      <c r="N267" s="111">
        <v>0</v>
      </c>
      <c r="O267" s="111">
        <v>0</v>
      </c>
      <c r="P267" s="35">
        <v>2</v>
      </c>
      <c r="Q267" s="35">
        <v>1</v>
      </c>
      <c r="R267" s="35">
        <v>105</v>
      </c>
      <c r="S267" s="32">
        <v>0</v>
      </c>
      <c r="T267" s="31">
        <v>267</v>
      </c>
      <c r="U267" s="32">
        <v>103</v>
      </c>
      <c r="V267" s="31">
        <v>116</v>
      </c>
      <c r="W267" s="32">
        <v>255</v>
      </c>
      <c r="X267" s="31">
        <v>260</v>
      </c>
      <c r="Y267" s="32">
        <v>94</v>
      </c>
      <c r="Z267" s="111">
        <v>266</v>
      </c>
      <c r="AA267" s="35">
        <v>0</v>
      </c>
      <c r="AB267" s="35">
        <v>14</v>
      </c>
      <c r="AC267" s="35">
        <v>92</v>
      </c>
      <c r="AD267" s="35">
        <v>0</v>
      </c>
      <c r="AE267" s="33">
        <v>0</v>
      </c>
      <c r="AF267" s="115">
        <v>0</v>
      </c>
      <c r="AG267" s="111"/>
      <c r="AH267" s="32"/>
      <c r="AI267" s="31">
        <v>90</v>
      </c>
      <c r="AJ267" s="33">
        <v>263</v>
      </c>
      <c r="AK267" s="31">
        <v>96</v>
      </c>
      <c r="AL267" s="32">
        <v>265</v>
      </c>
      <c r="AM267" s="31"/>
      <c r="AN267" s="115"/>
      <c r="AO267" s="111"/>
      <c r="AP267" s="32"/>
      <c r="AQ267" s="31"/>
      <c r="AR267" s="115"/>
      <c r="AS267" s="111"/>
      <c r="AT267" s="32"/>
      <c r="AU267" s="31"/>
      <c r="AV267" s="111"/>
      <c r="AW267" s="111"/>
      <c r="AX267" s="31">
        <v>95</v>
      </c>
      <c r="AY267" s="32">
        <v>263</v>
      </c>
      <c r="AZ267" s="31"/>
      <c r="BA267" s="115"/>
      <c r="BB267" s="31">
        <v>97</v>
      </c>
      <c r="BC267" s="32">
        <v>260</v>
      </c>
      <c r="BD267" s="31">
        <v>94</v>
      </c>
      <c r="BE267" s="115">
        <v>262</v>
      </c>
      <c r="BF267" s="111">
        <v>259</v>
      </c>
      <c r="BG267" s="32">
        <v>92</v>
      </c>
      <c r="BH267" s="31">
        <v>95</v>
      </c>
      <c r="BI267" s="32">
        <v>258</v>
      </c>
      <c r="BJ267" s="111">
        <v>19</v>
      </c>
      <c r="BK267" s="33">
        <v>86</v>
      </c>
      <c r="BL267" s="115">
        <v>258</v>
      </c>
      <c r="BM267" s="111">
        <v>265</v>
      </c>
      <c r="BN267" s="35">
        <v>85</v>
      </c>
      <c r="BO267" s="32">
        <v>11</v>
      </c>
      <c r="BP267" s="31">
        <v>98</v>
      </c>
      <c r="BQ267" s="32">
        <v>258</v>
      </c>
      <c r="BR267" s="31">
        <v>241</v>
      </c>
      <c r="BS267" s="32">
        <v>119</v>
      </c>
      <c r="BT267" s="31">
        <v>90</v>
      </c>
      <c r="BU267" s="33">
        <v>16</v>
      </c>
      <c r="BV267" s="115">
        <v>251</v>
      </c>
      <c r="BW267" s="111">
        <v>263</v>
      </c>
      <c r="BX267" s="32">
        <v>104</v>
      </c>
      <c r="BY267" s="31">
        <v>255</v>
      </c>
      <c r="BZ267" s="32">
        <v>95</v>
      </c>
      <c r="CA267" s="111">
        <v>96</v>
      </c>
      <c r="CB267" s="32">
        <v>254</v>
      </c>
      <c r="CC267" s="33">
        <v>174</v>
      </c>
      <c r="CD267" s="34">
        <v>303</v>
      </c>
      <c r="CE267" s="111">
        <v>126</v>
      </c>
      <c r="CF267" s="42">
        <v>172</v>
      </c>
      <c r="CG267" s="31">
        <v>81</v>
      </c>
      <c r="CH267" s="35">
        <v>45</v>
      </c>
      <c r="CI267" s="35">
        <v>150</v>
      </c>
      <c r="CJ267" s="35">
        <v>148</v>
      </c>
      <c r="CK267" s="32">
        <v>113</v>
      </c>
    </row>
    <row r="268" spans="1:89" ht="13" x14ac:dyDescent="0.25">
      <c r="A268" s="27">
        <v>4312</v>
      </c>
      <c r="B268" s="28" t="s">
        <v>291</v>
      </c>
      <c r="C268" s="29">
        <v>1208</v>
      </c>
      <c r="D268" s="30">
        <v>710</v>
      </c>
      <c r="E268" s="20">
        <f t="shared" si="4"/>
        <v>0.58774834437086088</v>
      </c>
      <c r="F268" s="31">
        <v>0</v>
      </c>
      <c r="G268" s="111">
        <v>0</v>
      </c>
      <c r="H268" s="111">
        <v>0</v>
      </c>
      <c r="I268" s="111">
        <v>1</v>
      </c>
      <c r="J268" s="111">
        <v>1</v>
      </c>
      <c r="K268" s="111">
        <v>0</v>
      </c>
      <c r="L268" s="111">
        <v>0</v>
      </c>
      <c r="M268" s="111">
        <v>462</v>
      </c>
      <c r="N268" s="111">
        <v>0</v>
      </c>
      <c r="O268" s="111">
        <v>0</v>
      </c>
      <c r="P268" s="35">
        <v>4</v>
      </c>
      <c r="Q268" s="35">
        <v>1</v>
      </c>
      <c r="R268" s="35">
        <v>230</v>
      </c>
      <c r="S268" s="32">
        <v>0</v>
      </c>
      <c r="T268" s="31">
        <v>457</v>
      </c>
      <c r="U268" s="32">
        <v>230</v>
      </c>
      <c r="V268" s="31">
        <v>251</v>
      </c>
      <c r="W268" s="32">
        <v>430</v>
      </c>
      <c r="X268" s="31">
        <v>467</v>
      </c>
      <c r="Y268" s="32">
        <v>209</v>
      </c>
      <c r="Z268" s="111">
        <v>466</v>
      </c>
      <c r="AA268" s="35">
        <v>0</v>
      </c>
      <c r="AB268" s="35">
        <v>23</v>
      </c>
      <c r="AC268" s="35">
        <v>203</v>
      </c>
      <c r="AD268" s="35">
        <v>0</v>
      </c>
      <c r="AE268" s="33">
        <v>0</v>
      </c>
      <c r="AF268" s="115">
        <v>0</v>
      </c>
      <c r="AG268" s="111"/>
      <c r="AH268" s="32"/>
      <c r="AI268" s="31">
        <v>213</v>
      </c>
      <c r="AJ268" s="33">
        <v>460</v>
      </c>
      <c r="AK268" s="31">
        <v>226</v>
      </c>
      <c r="AL268" s="32">
        <v>454</v>
      </c>
      <c r="AM268" s="31"/>
      <c r="AN268" s="115"/>
      <c r="AO268" s="111"/>
      <c r="AP268" s="32"/>
      <c r="AQ268" s="31"/>
      <c r="AR268" s="115"/>
      <c r="AS268" s="111"/>
      <c r="AT268" s="32"/>
      <c r="AU268" s="31"/>
      <c r="AV268" s="111"/>
      <c r="AW268" s="111"/>
      <c r="AX268" s="31">
        <v>240</v>
      </c>
      <c r="AY268" s="32">
        <v>439</v>
      </c>
      <c r="AZ268" s="31"/>
      <c r="BA268" s="115"/>
      <c r="BB268" s="31">
        <v>223</v>
      </c>
      <c r="BC268" s="32">
        <v>450</v>
      </c>
      <c r="BD268" s="31">
        <v>215</v>
      </c>
      <c r="BE268" s="115">
        <v>458</v>
      </c>
      <c r="BF268" s="111">
        <v>447</v>
      </c>
      <c r="BG268" s="32">
        <v>220</v>
      </c>
      <c r="BH268" s="31">
        <v>237</v>
      </c>
      <c r="BI268" s="32">
        <v>431</v>
      </c>
      <c r="BJ268" s="111">
        <v>25</v>
      </c>
      <c r="BK268" s="33">
        <v>194</v>
      </c>
      <c r="BL268" s="115">
        <v>466</v>
      </c>
      <c r="BM268" s="111">
        <v>450</v>
      </c>
      <c r="BN268" s="35">
        <v>199</v>
      </c>
      <c r="BO268" s="32">
        <v>21</v>
      </c>
      <c r="BP268" s="31">
        <v>226</v>
      </c>
      <c r="BQ268" s="32">
        <v>445</v>
      </c>
      <c r="BR268" s="31">
        <v>425</v>
      </c>
      <c r="BS268" s="32">
        <v>255</v>
      </c>
      <c r="BT268" s="31">
        <v>218</v>
      </c>
      <c r="BU268" s="33">
        <v>28</v>
      </c>
      <c r="BV268" s="115">
        <v>430</v>
      </c>
      <c r="BW268" s="111">
        <v>456</v>
      </c>
      <c r="BX268" s="32">
        <v>224</v>
      </c>
      <c r="BY268" s="31">
        <v>451</v>
      </c>
      <c r="BZ268" s="32">
        <v>212</v>
      </c>
      <c r="CA268" s="111">
        <v>212</v>
      </c>
      <c r="CB268" s="32">
        <v>456</v>
      </c>
      <c r="CC268" s="33">
        <v>343</v>
      </c>
      <c r="CD268" s="34">
        <v>573</v>
      </c>
      <c r="CE268" s="111">
        <v>256</v>
      </c>
      <c r="CF268" s="42">
        <v>322</v>
      </c>
      <c r="CG268" s="31">
        <v>161</v>
      </c>
      <c r="CH268" s="35">
        <v>94</v>
      </c>
      <c r="CI268" s="35">
        <v>273</v>
      </c>
      <c r="CJ268" s="35">
        <v>271</v>
      </c>
      <c r="CK268" s="32">
        <v>242</v>
      </c>
    </row>
    <row r="269" spans="1:89" ht="13" x14ac:dyDescent="0.25">
      <c r="A269" s="27">
        <v>4321</v>
      </c>
      <c r="B269" s="28" t="s">
        <v>292</v>
      </c>
      <c r="C269" s="29">
        <v>1063</v>
      </c>
      <c r="D269" s="30">
        <v>555</v>
      </c>
      <c r="E269" s="20">
        <f t="shared" si="4"/>
        <v>0.52210724365004701</v>
      </c>
      <c r="F269" s="31">
        <v>0</v>
      </c>
      <c r="G269" s="111">
        <v>0</v>
      </c>
      <c r="H269" s="111">
        <v>0</v>
      </c>
      <c r="I269" s="111">
        <v>1</v>
      </c>
      <c r="J269" s="111">
        <v>3</v>
      </c>
      <c r="K269" s="111">
        <v>0</v>
      </c>
      <c r="L269" s="111">
        <v>0</v>
      </c>
      <c r="M269" s="111">
        <v>403</v>
      </c>
      <c r="N269" s="111">
        <v>0</v>
      </c>
      <c r="O269" s="111">
        <v>0</v>
      </c>
      <c r="P269" s="35">
        <v>3</v>
      </c>
      <c r="Q269" s="35">
        <v>0</v>
      </c>
      <c r="R269" s="35">
        <v>136</v>
      </c>
      <c r="S269" s="32">
        <v>0</v>
      </c>
      <c r="T269" s="31">
        <v>414</v>
      </c>
      <c r="U269" s="32">
        <v>132</v>
      </c>
      <c r="V269" s="31">
        <v>154</v>
      </c>
      <c r="W269" s="32">
        <v>390</v>
      </c>
      <c r="X269" s="31">
        <v>407</v>
      </c>
      <c r="Y269" s="32">
        <v>130</v>
      </c>
      <c r="Z269" s="111">
        <v>414</v>
      </c>
      <c r="AA269" s="35">
        <v>0</v>
      </c>
      <c r="AB269" s="35">
        <v>14</v>
      </c>
      <c r="AC269" s="35">
        <v>117</v>
      </c>
      <c r="AD269" s="35">
        <v>0</v>
      </c>
      <c r="AE269" s="33">
        <v>0</v>
      </c>
      <c r="AF269" s="115">
        <v>0</v>
      </c>
      <c r="AG269" s="111"/>
      <c r="AH269" s="32"/>
      <c r="AI269" s="31">
        <v>125</v>
      </c>
      <c r="AJ269" s="33">
        <v>416</v>
      </c>
      <c r="AK269" s="31">
        <v>129</v>
      </c>
      <c r="AL269" s="32">
        <v>412</v>
      </c>
      <c r="AM269" s="31"/>
      <c r="AN269" s="115"/>
      <c r="AO269" s="111"/>
      <c r="AP269" s="32"/>
      <c r="AQ269" s="31"/>
      <c r="AR269" s="115"/>
      <c r="AS269" s="111"/>
      <c r="AT269" s="32"/>
      <c r="AU269" s="31"/>
      <c r="AV269" s="111"/>
      <c r="AW269" s="111"/>
      <c r="AX269" s="31">
        <v>147</v>
      </c>
      <c r="AY269" s="32">
        <v>391</v>
      </c>
      <c r="AZ269" s="31"/>
      <c r="BA269" s="115"/>
      <c r="BB269" s="31">
        <v>133</v>
      </c>
      <c r="BC269" s="32">
        <v>400</v>
      </c>
      <c r="BD269" s="31">
        <v>130</v>
      </c>
      <c r="BE269" s="115">
        <v>406</v>
      </c>
      <c r="BF269" s="111">
        <v>403</v>
      </c>
      <c r="BG269" s="32">
        <v>129</v>
      </c>
      <c r="BH269" s="31">
        <v>137</v>
      </c>
      <c r="BI269" s="32">
        <v>394</v>
      </c>
      <c r="BJ269" s="111">
        <v>11</v>
      </c>
      <c r="BK269" s="33">
        <v>110</v>
      </c>
      <c r="BL269" s="115">
        <v>421</v>
      </c>
      <c r="BM269" s="111">
        <v>409</v>
      </c>
      <c r="BN269" s="35">
        <v>117</v>
      </c>
      <c r="BO269" s="32">
        <v>16</v>
      </c>
      <c r="BP269" s="31">
        <v>127</v>
      </c>
      <c r="BQ269" s="32">
        <v>411</v>
      </c>
      <c r="BR269" s="31">
        <v>383</v>
      </c>
      <c r="BS269" s="32">
        <v>154</v>
      </c>
      <c r="BT269" s="31">
        <v>129</v>
      </c>
      <c r="BU269" s="33">
        <v>14</v>
      </c>
      <c r="BV269" s="115">
        <v>396</v>
      </c>
      <c r="BW269" s="111">
        <v>413</v>
      </c>
      <c r="BX269" s="32">
        <v>123</v>
      </c>
      <c r="BY269" s="31">
        <v>402</v>
      </c>
      <c r="BZ269" s="32">
        <v>127</v>
      </c>
      <c r="CA269" s="111">
        <v>121</v>
      </c>
      <c r="CB269" s="32">
        <v>414</v>
      </c>
      <c r="CC269" s="33">
        <v>250</v>
      </c>
      <c r="CD269" s="34">
        <v>460</v>
      </c>
      <c r="CE269" s="111">
        <v>169</v>
      </c>
      <c r="CF269" s="42">
        <v>287</v>
      </c>
      <c r="CG269" s="31">
        <v>111</v>
      </c>
      <c r="CH269" s="35">
        <v>56</v>
      </c>
      <c r="CI269" s="35">
        <v>245</v>
      </c>
      <c r="CJ269" s="35">
        <v>259</v>
      </c>
      <c r="CK269" s="32">
        <v>136</v>
      </c>
    </row>
    <row r="270" spans="1:89" ht="13" x14ac:dyDescent="0.25">
      <c r="A270" s="27">
        <v>4331</v>
      </c>
      <c r="B270" s="28" t="s">
        <v>293</v>
      </c>
      <c r="C270" s="29">
        <v>1219</v>
      </c>
      <c r="D270" s="30">
        <v>702</v>
      </c>
      <c r="E270" s="20">
        <f t="shared" si="4"/>
        <v>0.57588187038556193</v>
      </c>
      <c r="F270" s="31">
        <v>0</v>
      </c>
      <c r="G270" s="111">
        <v>0</v>
      </c>
      <c r="H270" s="111">
        <v>0</v>
      </c>
      <c r="I270" s="111">
        <v>4</v>
      </c>
      <c r="J270" s="111">
        <v>1</v>
      </c>
      <c r="K270" s="111">
        <v>0</v>
      </c>
      <c r="L270" s="111">
        <v>0</v>
      </c>
      <c r="M270" s="111">
        <v>492</v>
      </c>
      <c r="N270" s="111">
        <v>0</v>
      </c>
      <c r="O270" s="111">
        <v>0</v>
      </c>
      <c r="P270" s="35">
        <v>2</v>
      </c>
      <c r="Q270" s="35">
        <v>1</v>
      </c>
      <c r="R270" s="35">
        <v>188</v>
      </c>
      <c r="S270" s="32">
        <v>0</v>
      </c>
      <c r="T270" s="31">
        <v>481</v>
      </c>
      <c r="U270" s="32">
        <v>197</v>
      </c>
      <c r="V270" s="31">
        <v>208</v>
      </c>
      <c r="W270" s="32">
        <v>473</v>
      </c>
      <c r="X270" s="31">
        <v>483</v>
      </c>
      <c r="Y270" s="32">
        <v>177</v>
      </c>
      <c r="Z270" s="111">
        <v>484</v>
      </c>
      <c r="AA270" s="35">
        <v>0</v>
      </c>
      <c r="AB270" s="35">
        <v>35</v>
      </c>
      <c r="AC270" s="35">
        <v>161</v>
      </c>
      <c r="AD270" s="35">
        <v>0</v>
      </c>
      <c r="AE270" s="33">
        <v>0</v>
      </c>
      <c r="AF270" s="115">
        <v>0</v>
      </c>
      <c r="AG270" s="111"/>
      <c r="AH270" s="32"/>
      <c r="AI270" s="31">
        <v>171</v>
      </c>
      <c r="AJ270" s="33">
        <v>498</v>
      </c>
      <c r="AK270" s="31">
        <v>184</v>
      </c>
      <c r="AL270" s="32">
        <v>484</v>
      </c>
      <c r="AM270" s="31"/>
      <c r="AN270" s="115"/>
      <c r="AO270" s="111"/>
      <c r="AP270" s="32"/>
      <c r="AQ270" s="31"/>
      <c r="AR270" s="115"/>
      <c r="AS270" s="111"/>
      <c r="AT270" s="32"/>
      <c r="AU270" s="31"/>
      <c r="AV270" s="111"/>
      <c r="AW270" s="111"/>
      <c r="AX270" s="31">
        <v>193</v>
      </c>
      <c r="AY270" s="32">
        <v>476</v>
      </c>
      <c r="AZ270" s="31"/>
      <c r="BA270" s="115"/>
      <c r="BB270" s="31">
        <v>183</v>
      </c>
      <c r="BC270" s="32">
        <v>481</v>
      </c>
      <c r="BD270" s="31">
        <v>170</v>
      </c>
      <c r="BE270" s="115">
        <v>493</v>
      </c>
      <c r="BF270" s="111">
        <v>488</v>
      </c>
      <c r="BG270" s="32">
        <v>174</v>
      </c>
      <c r="BH270" s="31">
        <v>186</v>
      </c>
      <c r="BI270" s="32">
        <v>473</v>
      </c>
      <c r="BJ270" s="111">
        <v>24</v>
      </c>
      <c r="BK270" s="33">
        <v>160</v>
      </c>
      <c r="BL270" s="115">
        <v>490</v>
      </c>
      <c r="BM270" s="111">
        <v>480</v>
      </c>
      <c r="BN270" s="35">
        <v>161</v>
      </c>
      <c r="BO270" s="32">
        <v>22</v>
      </c>
      <c r="BP270" s="31">
        <v>177</v>
      </c>
      <c r="BQ270" s="32">
        <v>489</v>
      </c>
      <c r="BR270" s="31">
        <v>458</v>
      </c>
      <c r="BS270" s="32">
        <v>207</v>
      </c>
      <c r="BT270" s="31">
        <v>172</v>
      </c>
      <c r="BU270" s="33">
        <v>26</v>
      </c>
      <c r="BV270" s="115">
        <v>467</v>
      </c>
      <c r="BW270" s="111">
        <v>487</v>
      </c>
      <c r="BX270" s="32">
        <v>182</v>
      </c>
      <c r="BY270" s="31">
        <v>485</v>
      </c>
      <c r="BZ270" s="32">
        <v>167</v>
      </c>
      <c r="CA270" s="111">
        <v>173</v>
      </c>
      <c r="CB270" s="32">
        <v>492</v>
      </c>
      <c r="CC270" s="33">
        <v>316</v>
      </c>
      <c r="CD270" s="34">
        <v>579</v>
      </c>
      <c r="CE270" s="111">
        <v>247</v>
      </c>
      <c r="CF270" s="42">
        <v>329</v>
      </c>
      <c r="CG270" s="31">
        <v>142</v>
      </c>
      <c r="CH270" s="35">
        <v>95</v>
      </c>
      <c r="CI270" s="35">
        <v>279</v>
      </c>
      <c r="CJ270" s="35">
        <v>310</v>
      </c>
      <c r="CK270" s="32">
        <v>208</v>
      </c>
    </row>
    <row r="271" spans="1:89" ht="13" x14ac:dyDescent="0.25">
      <c r="A271" s="27">
        <v>4341</v>
      </c>
      <c r="B271" s="28" t="s">
        <v>294</v>
      </c>
      <c r="C271" s="29">
        <v>1130</v>
      </c>
      <c r="D271" s="30">
        <v>746</v>
      </c>
      <c r="E271" s="20">
        <f t="shared" si="4"/>
        <v>0.66017699115044248</v>
      </c>
      <c r="F271" s="31">
        <v>0</v>
      </c>
      <c r="G271" s="111">
        <v>0</v>
      </c>
      <c r="H271" s="111">
        <v>0</v>
      </c>
      <c r="I271" s="111">
        <v>0</v>
      </c>
      <c r="J271" s="111">
        <v>0</v>
      </c>
      <c r="K271" s="111">
        <v>0</v>
      </c>
      <c r="L271" s="111">
        <v>0</v>
      </c>
      <c r="M271" s="111">
        <v>521</v>
      </c>
      <c r="N271" s="111">
        <v>0</v>
      </c>
      <c r="O271" s="111">
        <v>0</v>
      </c>
      <c r="P271" s="35">
        <v>4</v>
      </c>
      <c r="Q271" s="35">
        <v>2</v>
      </c>
      <c r="R271" s="35">
        <v>208</v>
      </c>
      <c r="S271" s="32">
        <v>0</v>
      </c>
      <c r="T271" s="31">
        <v>501</v>
      </c>
      <c r="U271" s="32">
        <v>218</v>
      </c>
      <c r="V271" s="31">
        <v>242</v>
      </c>
      <c r="W271" s="32">
        <v>483</v>
      </c>
      <c r="X271" s="31">
        <v>495</v>
      </c>
      <c r="Y271" s="32">
        <v>216</v>
      </c>
      <c r="Z271" s="111">
        <v>521</v>
      </c>
      <c r="AA271" s="35">
        <v>0</v>
      </c>
      <c r="AB271" s="35">
        <v>21</v>
      </c>
      <c r="AC271" s="35">
        <v>187</v>
      </c>
      <c r="AD271" s="35">
        <v>0</v>
      </c>
      <c r="AE271" s="33">
        <v>0</v>
      </c>
      <c r="AF271" s="115">
        <v>0</v>
      </c>
      <c r="AG271" s="111"/>
      <c r="AH271" s="32"/>
      <c r="AI271" s="31">
        <v>207</v>
      </c>
      <c r="AJ271" s="33">
        <v>508</v>
      </c>
      <c r="AK271" s="31">
        <v>226</v>
      </c>
      <c r="AL271" s="32">
        <v>493</v>
      </c>
      <c r="AM271" s="31"/>
      <c r="AN271" s="115"/>
      <c r="AO271" s="111"/>
      <c r="AP271" s="32"/>
      <c r="AQ271" s="31"/>
      <c r="AR271" s="115"/>
      <c r="AS271" s="111"/>
      <c r="AT271" s="32"/>
      <c r="AU271" s="31"/>
      <c r="AV271" s="111"/>
      <c r="AW271" s="111"/>
      <c r="AX271" s="31">
        <v>219</v>
      </c>
      <c r="AY271" s="32">
        <v>485</v>
      </c>
      <c r="AZ271" s="31"/>
      <c r="BA271" s="115"/>
      <c r="BB271" s="31">
        <v>214</v>
      </c>
      <c r="BC271" s="32">
        <v>490</v>
      </c>
      <c r="BD271" s="31">
        <v>209</v>
      </c>
      <c r="BE271" s="115">
        <v>493</v>
      </c>
      <c r="BF271" s="111">
        <v>490</v>
      </c>
      <c r="BG271" s="32">
        <v>207</v>
      </c>
      <c r="BH271" s="31">
        <v>230</v>
      </c>
      <c r="BI271" s="32">
        <v>474</v>
      </c>
      <c r="BJ271" s="111">
        <v>20</v>
      </c>
      <c r="BK271" s="33">
        <v>194</v>
      </c>
      <c r="BL271" s="115">
        <v>506</v>
      </c>
      <c r="BM271" s="111">
        <v>504</v>
      </c>
      <c r="BN271" s="35">
        <v>184</v>
      </c>
      <c r="BO271" s="32">
        <v>25</v>
      </c>
      <c r="BP271" s="31">
        <v>215</v>
      </c>
      <c r="BQ271" s="32">
        <v>494</v>
      </c>
      <c r="BR271" s="31">
        <v>484</v>
      </c>
      <c r="BS271" s="32">
        <v>235</v>
      </c>
      <c r="BT271" s="31">
        <v>205</v>
      </c>
      <c r="BU271" s="33">
        <v>19</v>
      </c>
      <c r="BV271" s="115">
        <v>479</v>
      </c>
      <c r="BW271" s="111">
        <v>503</v>
      </c>
      <c r="BX271" s="32">
        <v>217</v>
      </c>
      <c r="BY271" s="31">
        <v>484</v>
      </c>
      <c r="BZ271" s="32">
        <v>214</v>
      </c>
      <c r="CA271" s="111">
        <v>212</v>
      </c>
      <c r="CB271" s="32">
        <v>493</v>
      </c>
      <c r="CC271" s="33">
        <v>337</v>
      </c>
      <c r="CD271" s="34">
        <v>599</v>
      </c>
      <c r="CE271" s="111">
        <v>264</v>
      </c>
      <c r="CF271" s="42">
        <v>333</v>
      </c>
      <c r="CG271" s="31">
        <v>151</v>
      </c>
      <c r="CH271" s="35">
        <v>90</v>
      </c>
      <c r="CI271" s="35">
        <v>299</v>
      </c>
      <c r="CJ271" s="35">
        <v>311</v>
      </c>
      <c r="CK271" s="32">
        <v>252</v>
      </c>
    </row>
    <row r="272" spans="1:89" ht="13" x14ac:dyDescent="0.25">
      <c r="A272" s="27">
        <v>4342</v>
      </c>
      <c r="B272" s="28" t="s">
        <v>295</v>
      </c>
      <c r="C272" s="29">
        <v>562</v>
      </c>
      <c r="D272" s="30">
        <v>389</v>
      </c>
      <c r="E272" s="20">
        <f t="shared" si="4"/>
        <v>0.69217081850533813</v>
      </c>
      <c r="F272" s="31">
        <v>0</v>
      </c>
      <c r="G272" s="111">
        <v>0</v>
      </c>
      <c r="H272" s="111">
        <v>0</v>
      </c>
      <c r="I272" s="111">
        <v>1</v>
      </c>
      <c r="J272" s="111">
        <v>0</v>
      </c>
      <c r="K272" s="111">
        <v>0</v>
      </c>
      <c r="L272" s="111">
        <v>0</v>
      </c>
      <c r="M272" s="111">
        <v>285</v>
      </c>
      <c r="N272" s="111">
        <v>0</v>
      </c>
      <c r="O272" s="111">
        <v>0</v>
      </c>
      <c r="P272" s="35">
        <v>2</v>
      </c>
      <c r="Q272" s="35">
        <v>0</v>
      </c>
      <c r="R272" s="35">
        <v>98</v>
      </c>
      <c r="S272" s="32">
        <v>0</v>
      </c>
      <c r="T272" s="31">
        <v>285</v>
      </c>
      <c r="U272" s="32">
        <v>89</v>
      </c>
      <c r="V272" s="31">
        <v>106</v>
      </c>
      <c r="W272" s="32">
        <v>270</v>
      </c>
      <c r="X272" s="31">
        <v>282</v>
      </c>
      <c r="Y272" s="32">
        <v>83</v>
      </c>
      <c r="Z272" s="111">
        <v>289</v>
      </c>
      <c r="AA272" s="35">
        <v>0</v>
      </c>
      <c r="AB272" s="35">
        <v>10</v>
      </c>
      <c r="AC272" s="35">
        <v>82</v>
      </c>
      <c r="AD272" s="35">
        <v>0</v>
      </c>
      <c r="AE272" s="33">
        <v>0</v>
      </c>
      <c r="AF272" s="115">
        <v>0</v>
      </c>
      <c r="AG272" s="111"/>
      <c r="AH272" s="32"/>
      <c r="AI272" s="31">
        <v>88</v>
      </c>
      <c r="AJ272" s="33">
        <v>280</v>
      </c>
      <c r="AK272" s="31">
        <v>91</v>
      </c>
      <c r="AL272" s="32">
        <v>279</v>
      </c>
      <c r="AM272" s="31"/>
      <c r="AN272" s="115"/>
      <c r="AO272" s="111"/>
      <c r="AP272" s="32"/>
      <c r="AQ272" s="31"/>
      <c r="AR272" s="115"/>
      <c r="AS272" s="111"/>
      <c r="AT272" s="32"/>
      <c r="AU272" s="31"/>
      <c r="AV272" s="111"/>
      <c r="AW272" s="111"/>
      <c r="AX272" s="31">
        <v>91</v>
      </c>
      <c r="AY272" s="32">
        <v>274</v>
      </c>
      <c r="AZ272" s="31"/>
      <c r="BA272" s="115"/>
      <c r="BB272" s="31">
        <v>87</v>
      </c>
      <c r="BC272" s="32">
        <v>271</v>
      </c>
      <c r="BD272" s="31">
        <v>85</v>
      </c>
      <c r="BE272" s="115">
        <v>276</v>
      </c>
      <c r="BF272" s="111">
        <v>273</v>
      </c>
      <c r="BG272" s="32">
        <v>82</v>
      </c>
      <c r="BH272" s="31">
        <v>101</v>
      </c>
      <c r="BI272" s="32">
        <v>258</v>
      </c>
      <c r="BJ272" s="111">
        <v>14</v>
      </c>
      <c r="BK272" s="33">
        <v>69</v>
      </c>
      <c r="BL272" s="115">
        <v>282</v>
      </c>
      <c r="BM272" s="111">
        <v>272</v>
      </c>
      <c r="BN272" s="35">
        <v>78</v>
      </c>
      <c r="BO272" s="32">
        <v>10</v>
      </c>
      <c r="BP272" s="31">
        <v>94</v>
      </c>
      <c r="BQ272" s="32">
        <v>266</v>
      </c>
      <c r="BR272" s="31">
        <v>264</v>
      </c>
      <c r="BS272" s="32">
        <v>102</v>
      </c>
      <c r="BT272" s="31">
        <v>75</v>
      </c>
      <c r="BU272" s="33">
        <v>15</v>
      </c>
      <c r="BV272" s="115">
        <v>270</v>
      </c>
      <c r="BW272" s="111">
        <v>278</v>
      </c>
      <c r="BX272" s="32">
        <v>91</v>
      </c>
      <c r="BY272" s="31">
        <v>270</v>
      </c>
      <c r="BZ272" s="32">
        <v>87</v>
      </c>
      <c r="CA272" s="111">
        <v>83</v>
      </c>
      <c r="CB272" s="32">
        <v>275</v>
      </c>
      <c r="CC272" s="33">
        <v>172</v>
      </c>
      <c r="CD272" s="34">
        <v>317</v>
      </c>
      <c r="CE272" s="111">
        <v>132</v>
      </c>
      <c r="CF272" s="42">
        <v>183</v>
      </c>
      <c r="CG272" s="31">
        <v>68</v>
      </c>
      <c r="CH272" s="35">
        <v>46</v>
      </c>
      <c r="CI272" s="35">
        <v>169</v>
      </c>
      <c r="CJ272" s="35">
        <v>161</v>
      </c>
      <c r="CK272" s="32">
        <v>124</v>
      </c>
    </row>
    <row r="273" spans="1:89" ht="13" x14ac:dyDescent="0.25">
      <c r="A273" s="27">
        <v>4343</v>
      </c>
      <c r="B273" s="28" t="s">
        <v>296</v>
      </c>
      <c r="C273" s="29">
        <v>795</v>
      </c>
      <c r="D273" s="30">
        <v>513</v>
      </c>
      <c r="E273" s="20">
        <f t="shared" si="4"/>
        <v>0.6452830188679245</v>
      </c>
      <c r="F273" s="31">
        <v>0</v>
      </c>
      <c r="G273" s="111">
        <v>0</v>
      </c>
      <c r="H273" s="111">
        <v>0</v>
      </c>
      <c r="I273" s="111">
        <v>0</v>
      </c>
      <c r="J273" s="111">
        <v>0</v>
      </c>
      <c r="K273" s="111">
        <v>0</v>
      </c>
      <c r="L273" s="111">
        <v>0</v>
      </c>
      <c r="M273" s="111">
        <v>442</v>
      </c>
      <c r="N273" s="111">
        <v>0</v>
      </c>
      <c r="O273" s="111">
        <v>0</v>
      </c>
      <c r="P273" s="35">
        <v>3</v>
      </c>
      <c r="Q273" s="35">
        <v>1</v>
      </c>
      <c r="R273" s="35">
        <v>59</v>
      </c>
      <c r="S273" s="32">
        <v>0</v>
      </c>
      <c r="T273" s="31">
        <v>440</v>
      </c>
      <c r="U273" s="32">
        <v>56</v>
      </c>
      <c r="V273" s="31">
        <v>71</v>
      </c>
      <c r="W273" s="32">
        <v>429</v>
      </c>
      <c r="X273" s="31">
        <v>436</v>
      </c>
      <c r="Y273" s="32">
        <v>58</v>
      </c>
      <c r="Z273" s="111">
        <v>435</v>
      </c>
      <c r="AA273" s="35">
        <v>0</v>
      </c>
      <c r="AB273" s="35">
        <v>13</v>
      </c>
      <c r="AC273" s="35">
        <v>55</v>
      </c>
      <c r="AD273" s="35">
        <v>0</v>
      </c>
      <c r="AE273" s="33">
        <v>0</v>
      </c>
      <c r="AF273" s="115">
        <v>0</v>
      </c>
      <c r="AG273" s="111"/>
      <c r="AH273" s="32"/>
      <c r="AI273" s="31">
        <v>65</v>
      </c>
      <c r="AJ273" s="33">
        <v>433</v>
      </c>
      <c r="AK273" s="31">
        <v>63</v>
      </c>
      <c r="AL273" s="32">
        <v>434</v>
      </c>
      <c r="AM273" s="31"/>
      <c r="AN273" s="115"/>
      <c r="AO273" s="111"/>
      <c r="AP273" s="32"/>
      <c r="AQ273" s="31"/>
      <c r="AR273" s="115"/>
      <c r="AS273" s="111"/>
      <c r="AT273" s="32"/>
      <c r="AU273" s="31"/>
      <c r="AV273" s="111"/>
      <c r="AW273" s="111"/>
      <c r="AX273" s="31">
        <v>69</v>
      </c>
      <c r="AY273" s="32">
        <v>420</v>
      </c>
      <c r="AZ273" s="31"/>
      <c r="BA273" s="115"/>
      <c r="BB273" s="31">
        <v>57</v>
      </c>
      <c r="BC273" s="32">
        <v>434</v>
      </c>
      <c r="BD273" s="31">
        <v>64</v>
      </c>
      <c r="BE273" s="115">
        <v>430</v>
      </c>
      <c r="BF273" s="111">
        <v>433</v>
      </c>
      <c r="BG273" s="32">
        <v>59</v>
      </c>
      <c r="BH273" s="31">
        <v>70</v>
      </c>
      <c r="BI273" s="32">
        <v>420</v>
      </c>
      <c r="BJ273" s="111">
        <v>14</v>
      </c>
      <c r="BK273" s="33">
        <v>48</v>
      </c>
      <c r="BL273" s="115">
        <v>439</v>
      </c>
      <c r="BM273" s="111">
        <v>428</v>
      </c>
      <c r="BN273" s="35">
        <v>54</v>
      </c>
      <c r="BO273" s="32">
        <v>13</v>
      </c>
      <c r="BP273" s="31">
        <v>65</v>
      </c>
      <c r="BQ273" s="32">
        <v>426</v>
      </c>
      <c r="BR273" s="31">
        <v>419</v>
      </c>
      <c r="BS273" s="32">
        <v>79</v>
      </c>
      <c r="BT273" s="31">
        <v>62</v>
      </c>
      <c r="BU273" s="33">
        <v>12</v>
      </c>
      <c r="BV273" s="115">
        <v>420</v>
      </c>
      <c r="BW273" s="111">
        <v>436</v>
      </c>
      <c r="BX273" s="32">
        <v>59</v>
      </c>
      <c r="BY273" s="31">
        <v>429</v>
      </c>
      <c r="BZ273" s="32">
        <v>60</v>
      </c>
      <c r="CA273" s="111">
        <v>59</v>
      </c>
      <c r="CB273" s="32">
        <v>431</v>
      </c>
      <c r="CC273" s="33">
        <v>167</v>
      </c>
      <c r="CD273" s="34">
        <v>459</v>
      </c>
      <c r="CE273" s="111">
        <v>146</v>
      </c>
      <c r="CF273" s="42">
        <v>264</v>
      </c>
      <c r="CG273" s="31">
        <v>102</v>
      </c>
      <c r="CH273" s="35">
        <v>39</v>
      </c>
      <c r="CI273" s="35">
        <v>244</v>
      </c>
      <c r="CJ273" s="35">
        <v>237</v>
      </c>
      <c r="CK273" s="32">
        <v>120</v>
      </c>
    </row>
    <row r="274" spans="1:89" ht="13" x14ac:dyDescent="0.25">
      <c r="A274" s="27">
        <v>4411</v>
      </c>
      <c r="B274" s="28" t="s">
        <v>297</v>
      </c>
      <c r="C274" s="29">
        <v>898</v>
      </c>
      <c r="D274" s="30">
        <v>482</v>
      </c>
      <c r="E274" s="20">
        <f t="shared" si="4"/>
        <v>0.53674832962138086</v>
      </c>
      <c r="F274" s="31">
        <v>0</v>
      </c>
      <c r="G274" s="111">
        <v>0</v>
      </c>
      <c r="H274" s="111">
        <v>0</v>
      </c>
      <c r="I274" s="111">
        <v>2</v>
      </c>
      <c r="J274" s="111">
        <v>3</v>
      </c>
      <c r="K274" s="111">
        <v>0</v>
      </c>
      <c r="L274" s="111">
        <v>0</v>
      </c>
      <c r="M274" s="111">
        <v>293</v>
      </c>
      <c r="N274" s="111">
        <v>0</v>
      </c>
      <c r="O274" s="111">
        <v>0</v>
      </c>
      <c r="P274" s="35">
        <v>3</v>
      </c>
      <c r="Q274" s="35">
        <v>0</v>
      </c>
      <c r="R274" s="35">
        <v>176</v>
      </c>
      <c r="S274" s="32">
        <v>0</v>
      </c>
      <c r="T274" s="37">
        <v>300</v>
      </c>
      <c r="U274" s="38">
        <v>166</v>
      </c>
      <c r="V274" s="37">
        <v>174</v>
      </c>
      <c r="W274" s="32">
        <v>295</v>
      </c>
      <c r="X274" s="31">
        <v>299</v>
      </c>
      <c r="Y274" s="32">
        <v>161</v>
      </c>
      <c r="Z274" s="111">
        <v>310</v>
      </c>
      <c r="AA274" s="35">
        <v>0</v>
      </c>
      <c r="AB274" s="35">
        <v>25</v>
      </c>
      <c r="AC274" s="35">
        <v>140</v>
      </c>
      <c r="AD274" s="35">
        <v>0</v>
      </c>
      <c r="AE274" s="33">
        <v>0</v>
      </c>
      <c r="AF274" s="116">
        <v>0</v>
      </c>
      <c r="AG274" s="120">
        <v>314</v>
      </c>
      <c r="AH274" s="38">
        <v>150</v>
      </c>
      <c r="AI274" s="37"/>
      <c r="AJ274" s="36"/>
      <c r="AK274" s="37"/>
      <c r="AL274" s="38"/>
      <c r="AM274" s="37"/>
      <c r="AN274" s="116"/>
      <c r="AO274" s="120"/>
      <c r="AP274" s="38"/>
      <c r="AQ274" s="37">
        <v>154</v>
      </c>
      <c r="AR274" s="116">
        <v>301</v>
      </c>
      <c r="AS274" s="120"/>
      <c r="AT274" s="38"/>
      <c r="AU274" s="37"/>
      <c r="AV274" s="120"/>
      <c r="AW274" s="120"/>
      <c r="AX274" s="37"/>
      <c r="AY274" s="38"/>
      <c r="AZ274" s="37"/>
      <c r="BA274" s="116"/>
      <c r="BB274" s="31">
        <v>154</v>
      </c>
      <c r="BC274" s="32">
        <v>300</v>
      </c>
      <c r="BD274" s="31">
        <v>150</v>
      </c>
      <c r="BE274" s="116">
        <v>300</v>
      </c>
      <c r="BF274" s="120">
        <v>298</v>
      </c>
      <c r="BG274" s="38">
        <v>154</v>
      </c>
      <c r="BH274" s="37">
        <v>158</v>
      </c>
      <c r="BI274" s="38">
        <v>291</v>
      </c>
      <c r="BJ274" s="111">
        <v>32</v>
      </c>
      <c r="BK274" s="33">
        <v>124</v>
      </c>
      <c r="BL274" s="115">
        <v>297</v>
      </c>
      <c r="BM274" s="111">
        <v>288</v>
      </c>
      <c r="BN274" s="35">
        <v>139</v>
      </c>
      <c r="BO274" s="32">
        <v>26</v>
      </c>
      <c r="BP274" s="31">
        <v>152</v>
      </c>
      <c r="BQ274" s="32">
        <v>296</v>
      </c>
      <c r="BR274" s="31">
        <v>281</v>
      </c>
      <c r="BS274" s="32">
        <v>175</v>
      </c>
      <c r="BT274" s="31">
        <v>148</v>
      </c>
      <c r="BU274" s="33">
        <v>24</v>
      </c>
      <c r="BV274" s="115">
        <v>276</v>
      </c>
      <c r="BW274" s="111">
        <v>298</v>
      </c>
      <c r="BX274" s="32">
        <v>160</v>
      </c>
      <c r="BY274" s="31">
        <v>311</v>
      </c>
      <c r="BZ274" s="32">
        <v>136</v>
      </c>
      <c r="CA274" s="111">
        <v>154</v>
      </c>
      <c r="CB274" s="32">
        <v>298</v>
      </c>
      <c r="CC274" s="33">
        <v>283</v>
      </c>
      <c r="CD274" s="34">
        <v>360</v>
      </c>
      <c r="CE274" s="120">
        <v>182</v>
      </c>
      <c r="CF274" s="42">
        <v>193</v>
      </c>
      <c r="CG274" s="31">
        <v>107</v>
      </c>
      <c r="CH274" s="35">
        <v>78</v>
      </c>
      <c r="CI274" s="35">
        <v>154</v>
      </c>
      <c r="CJ274" s="35">
        <v>198</v>
      </c>
      <c r="CK274" s="32">
        <v>127</v>
      </c>
    </row>
    <row r="275" spans="1:89" ht="13" x14ac:dyDescent="0.25">
      <c r="A275" s="27">
        <v>4412</v>
      </c>
      <c r="B275" s="28" t="s">
        <v>298</v>
      </c>
      <c r="C275" s="29">
        <v>1224</v>
      </c>
      <c r="D275" s="30">
        <v>650</v>
      </c>
      <c r="E275" s="20">
        <f t="shared" si="4"/>
        <v>0.53104575163398693</v>
      </c>
      <c r="F275" s="31">
        <v>0</v>
      </c>
      <c r="G275" s="111">
        <v>0</v>
      </c>
      <c r="H275" s="111">
        <v>0</v>
      </c>
      <c r="I275" s="111">
        <v>1</v>
      </c>
      <c r="J275" s="111">
        <v>2</v>
      </c>
      <c r="K275" s="111">
        <v>0</v>
      </c>
      <c r="L275" s="111">
        <v>0</v>
      </c>
      <c r="M275" s="111">
        <v>337</v>
      </c>
      <c r="N275" s="111">
        <v>0</v>
      </c>
      <c r="O275" s="111">
        <v>0</v>
      </c>
      <c r="P275" s="35">
        <v>1</v>
      </c>
      <c r="Q275" s="35">
        <v>4</v>
      </c>
      <c r="R275" s="35">
        <v>299</v>
      </c>
      <c r="S275" s="32">
        <v>0</v>
      </c>
      <c r="T275" s="37">
        <v>322</v>
      </c>
      <c r="U275" s="38">
        <v>294</v>
      </c>
      <c r="V275" s="37">
        <v>299</v>
      </c>
      <c r="W275" s="32">
        <v>322</v>
      </c>
      <c r="X275" s="31">
        <v>331</v>
      </c>
      <c r="Y275" s="32">
        <v>277</v>
      </c>
      <c r="Z275" s="111">
        <v>350</v>
      </c>
      <c r="AA275" s="35">
        <v>0</v>
      </c>
      <c r="AB275" s="35">
        <v>28</v>
      </c>
      <c r="AC275" s="35">
        <v>256</v>
      </c>
      <c r="AD275" s="35">
        <v>0</v>
      </c>
      <c r="AE275" s="33">
        <v>0</v>
      </c>
      <c r="AF275" s="116">
        <v>0</v>
      </c>
      <c r="AG275" s="120">
        <v>348</v>
      </c>
      <c r="AH275" s="38">
        <v>264</v>
      </c>
      <c r="AI275" s="37"/>
      <c r="AJ275" s="36"/>
      <c r="AK275" s="37"/>
      <c r="AL275" s="38"/>
      <c r="AM275" s="37"/>
      <c r="AN275" s="116"/>
      <c r="AO275" s="120"/>
      <c r="AP275" s="38"/>
      <c r="AQ275" s="37">
        <v>289</v>
      </c>
      <c r="AR275" s="116">
        <v>321</v>
      </c>
      <c r="AS275" s="120"/>
      <c r="AT275" s="38"/>
      <c r="AU275" s="37"/>
      <c r="AV275" s="120"/>
      <c r="AW275" s="120"/>
      <c r="AX275" s="37"/>
      <c r="AY275" s="38"/>
      <c r="AZ275" s="37"/>
      <c r="BA275" s="116"/>
      <c r="BB275" s="31">
        <v>283</v>
      </c>
      <c r="BC275" s="32">
        <v>320</v>
      </c>
      <c r="BD275" s="31">
        <v>279</v>
      </c>
      <c r="BE275" s="116">
        <v>326</v>
      </c>
      <c r="BF275" s="120">
        <v>327</v>
      </c>
      <c r="BG275" s="38">
        <v>277</v>
      </c>
      <c r="BH275" s="37">
        <v>288</v>
      </c>
      <c r="BI275" s="38">
        <v>312</v>
      </c>
      <c r="BJ275" s="111">
        <v>24</v>
      </c>
      <c r="BK275" s="33">
        <v>262</v>
      </c>
      <c r="BL275" s="115">
        <v>324</v>
      </c>
      <c r="BM275" s="111">
        <v>318</v>
      </c>
      <c r="BN275" s="35">
        <v>262</v>
      </c>
      <c r="BO275" s="32">
        <v>26</v>
      </c>
      <c r="BP275" s="31">
        <v>279</v>
      </c>
      <c r="BQ275" s="32">
        <v>320</v>
      </c>
      <c r="BR275" s="31">
        <v>299</v>
      </c>
      <c r="BS275" s="32">
        <v>312</v>
      </c>
      <c r="BT275" s="31">
        <v>263</v>
      </c>
      <c r="BU275" s="33">
        <v>30</v>
      </c>
      <c r="BV275" s="115">
        <v>313</v>
      </c>
      <c r="BW275" s="111">
        <v>345</v>
      </c>
      <c r="BX275" s="32">
        <v>274</v>
      </c>
      <c r="BY275" s="31">
        <v>330</v>
      </c>
      <c r="BZ275" s="32">
        <v>268</v>
      </c>
      <c r="CA275" s="111">
        <v>266</v>
      </c>
      <c r="CB275" s="32">
        <v>334</v>
      </c>
      <c r="CC275" s="33">
        <v>383</v>
      </c>
      <c r="CD275" s="34">
        <v>435</v>
      </c>
      <c r="CE275" s="120">
        <v>265</v>
      </c>
      <c r="CF275" s="42">
        <v>245</v>
      </c>
      <c r="CG275" s="31">
        <v>151</v>
      </c>
      <c r="CH275" s="35">
        <v>109</v>
      </c>
      <c r="CI275" s="35">
        <v>173</v>
      </c>
      <c r="CJ275" s="35">
        <v>228</v>
      </c>
      <c r="CK275" s="32">
        <v>243</v>
      </c>
    </row>
    <row r="276" spans="1:89" ht="13" x14ac:dyDescent="0.25">
      <c r="A276" s="27">
        <v>4413</v>
      </c>
      <c r="B276" s="28" t="s">
        <v>299</v>
      </c>
      <c r="C276" s="29">
        <v>1102</v>
      </c>
      <c r="D276" s="30">
        <v>700</v>
      </c>
      <c r="E276" s="20">
        <f t="shared" si="4"/>
        <v>0.63520871143375679</v>
      </c>
      <c r="F276" s="31">
        <v>0</v>
      </c>
      <c r="G276" s="111">
        <v>0</v>
      </c>
      <c r="H276" s="111">
        <v>0</v>
      </c>
      <c r="I276" s="111">
        <v>1</v>
      </c>
      <c r="J276" s="111">
        <v>0</v>
      </c>
      <c r="K276" s="111">
        <v>0</v>
      </c>
      <c r="L276" s="111">
        <v>0</v>
      </c>
      <c r="M276" s="111">
        <v>408</v>
      </c>
      <c r="N276" s="111">
        <v>0</v>
      </c>
      <c r="O276" s="111">
        <v>0</v>
      </c>
      <c r="P276" s="35">
        <v>4</v>
      </c>
      <c r="Q276" s="35">
        <v>5</v>
      </c>
      <c r="R276" s="35">
        <v>272</v>
      </c>
      <c r="S276" s="32">
        <v>1</v>
      </c>
      <c r="T276" s="37">
        <v>383</v>
      </c>
      <c r="U276" s="38">
        <v>286</v>
      </c>
      <c r="V276" s="37">
        <v>272</v>
      </c>
      <c r="W276" s="32">
        <v>394</v>
      </c>
      <c r="X276" s="31">
        <v>396</v>
      </c>
      <c r="Y276" s="32">
        <v>253</v>
      </c>
      <c r="Z276" s="111">
        <v>415</v>
      </c>
      <c r="AA276" s="35">
        <v>0</v>
      </c>
      <c r="AB276" s="35">
        <v>24</v>
      </c>
      <c r="AC276" s="35">
        <v>241</v>
      </c>
      <c r="AD276" s="35">
        <v>0</v>
      </c>
      <c r="AE276" s="33">
        <v>0</v>
      </c>
      <c r="AF276" s="116">
        <v>0</v>
      </c>
      <c r="AG276" s="120">
        <v>412</v>
      </c>
      <c r="AH276" s="38">
        <v>249</v>
      </c>
      <c r="AI276" s="37"/>
      <c r="AJ276" s="36"/>
      <c r="AK276" s="37"/>
      <c r="AL276" s="38"/>
      <c r="AM276" s="37"/>
      <c r="AN276" s="116"/>
      <c r="AO276" s="120"/>
      <c r="AP276" s="38"/>
      <c r="AQ276" s="37">
        <v>261</v>
      </c>
      <c r="AR276" s="116">
        <v>381</v>
      </c>
      <c r="AS276" s="120"/>
      <c r="AT276" s="38"/>
      <c r="AU276" s="37"/>
      <c r="AV276" s="120"/>
      <c r="AW276" s="120"/>
      <c r="AX276" s="37"/>
      <c r="AY276" s="38"/>
      <c r="AZ276" s="37"/>
      <c r="BA276" s="116"/>
      <c r="BB276" s="31">
        <v>261</v>
      </c>
      <c r="BC276" s="32">
        <v>383</v>
      </c>
      <c r="BD276" s="31">
        <v>251</v>
      </c>
      <c r="BE276" s="116">
        <v>397</v>
      </c>
      <c r="BF276" s="120">
        <v>380</v>
      </c>
      <c r="BG276" s="38">
        <v>258</v>
      </c>
      <c r="BH276" s="37">
        <v>269</v>
      </c>
      <c r="BI276" s="38">
        <v>377</v>
      </c>
      <c r="BJ276" s="111">
        <v>44</v>
      </c>
      <c r="BK276" s="33">
        <v>228</v>
      </c>
      <c r="BL276" s="115">
        <v>371</v>
      </c>
      <c r="BM276" s="111">
        <v>388</v>
      </c>
      <c r="BN276" s="35">
        <v>230</v>
      </c>
      <c r="BO276" s="32">
        <v>27</v>
      </c>
      <c r="BP276" s="31">
        <v>254</v>
      </c>
      <c r="BQ276" s="32">
        <v>388</v>
      </c>
      <c r="BR276" s="31">
        <v>368</v>
      </c>
      <c r="BS276" s="32">
        <v>281</v>
      </c>
      <c r="BT276" s="31">
        <v>235</v>
      </c>
      <c r="BU276" s="33">
        <v>39</v>
      </c>
      <c r="BV276" s="115">
        <v>366</v>
      </c>
      <c r="BW276" s="111">
        <v>396</v>
      </c>
      <c r="BX276" s="32">
        <v>260</v>
      </c>
      <c r="BY276" s="31">
        <v>387</v>
      </c>
      <c r="BZ276" s="32">
        <v>243</v>
      </c>
      <c r="CA276" s="111">
        <v>243</v>
      </c>
      <c r="CB276" s="32">
        <v>386</v>
      </c>
      <c r="CC276" s="33">
        <v>401</v>
      </c>
      <c r="CD276" s="34">
        <v>498</v>
      </c>
      <c r="CE276" s="120">
        <v>280</v>
      </c>
      <c r="CF276" s="42">
        <v>278</v>
      </c>
      <c r="CG276" s="31">
        <v>164</v>
      </c>
      <c r="CH276" s="35">
        <v>123</v>
      </c>
      <c r="CI276" s="35">
        <v>212</v>
      </c>
      <c r="CJ276" s="35">
        <v>269</v>
      </c>
      <c r="CK276" s="32">
        <v>222</v>
      </c>
    </row>
    <row r="277" spans="1:89" ht="13" x14ac:dyDescent="0.25">
      <c r="A277" s="27">
        <v>4421</v>
      </c>
      <c r="B277" s="28" t="s">
        <v>300</v>
      </c>
      <c r="C277" s="29">
        <v>1037</v>
      </c>
      <c r="D277" s="30">
        <v>736</v>
      </c>
      <c r="E277" s="20">
        <f t="shared" si="4"/>
        <v>0.70973963355834135</v>
      </c>
      <c r="F277" s="31">
        <v>0</v>
      </c>
      <c r="G277" s="111">
        <v>0</v>
      </c>
      <c r="H277" s="111">
        <v>0</v>
      </c>
      <c r="I277" s="111">
        <v>1</v>
      </c>
      <c r="J277" s="111">
        <v>0</v>
      </c>
      <c r="K277" s="111">
        <v>0</v>
      </c>
      <c r="L277" s="111">
        <v>0</v>
      </c>
      <c r="M277" s="111">
        <v>421</v>
      </c>
      <c r="N277" s="111">
        <v>0</v>
      </c>
      <c r="O277" s="111">
        <v>0</v>
      </c>
      <c r="P277" s="35">
        <v>10</v>
      </c>
      <c r="Q277" s="35">
        <v>6</v>
      </c>
      <c r="R277" s="35">
        <v>292</v>
      </c>
      <c r="S277" s="32">
        <v>0</v>
      </c>
      <c r="T277" s="37">
        <v>407</v>
      </c>
      <c r="U277" s="38">
        <v>311</v>
      </c>
      <c r="V277" s="37">
        <v>319</v>
      </c>
      <c r="W277" s="32">
        <v>399</v>
      </c>
      <c r="X277" s="31">
        <v>416</v>
      </c>
      <c r="Y277" s="32">
        <v>291</v>
      </c>
      <c r="Z277" s="111">
        <v>440</v>
      </c>
      <c r="AA277" s="35">
        <v>0</v>
      </c>
      <c r="AB277" s="35">
        <v>28</v>
      </c>
      <c r="AC277" s="35">
        <v>254</v>
      </c>
      <c r="AD277" s="35">
        <v>0</v>
      </c>
      <c r="AE277" s="33">
        <v>0</v>
      </c>
      <c r="AF277" s="116">
        <v>0</v>
      </c>
      <c r="AG277" s="120">
        <v>423</v>
      </c>
      <c r="AH277" s="38">
        <v>281</v>
      </c>
      <c r="AI277" s="37"/>
      <c r="AJ277" s="36"/>
      <c r="AK277" s="37"/>
      <c r="AL277" s="38"/>
      <c r="AM277" s="37"/>
      <c r="AN277" s="116"/>
      <c r="AO277" s="120"/>
      <c r="AP277" s="38"/>
      <c r="AQ277" s="37">
        <v>290</v>
      </c>
      <c r="AR277" s="116">
        <v>403</v>
      </c>
      <c r="AS277" s="120"/>
      <c r="AT277" s="38"/>
      <c r="AU277" s="37"/>
      <c r="AV277" s="120"/>
      <c r="AW277" s="120"/>
      <c r="AX277" s="37"/>
      <c r="AY277" s="38"/>
      <c r="AZ277" s="37"/>
      <c r="BA277" s="116"/>
      <c r="BB277" s="31">
        <v>302</v>
      </c>
      <c r="BC277" s="32">
        <v>380</v>
      </c>
      <c r="BD277" s="31">
        <v>291</v>
      </c>
      <c r="BE277" s="116">
        <v>392</v>
      </c>
      <c r="BF277" s="120">
        <v>387</v>
      </c>
      <c r="BG277" s="38">
        <v>296</v>
      </c>
      <c r="BH277" s="37">
        <v>309</v>
      </c>
      <c r="BI277" s="38">
        <v>371</v>
      </c>
      <c r="BJ277" s="111">
        <v>42</v>
      </c>
      <c r="BK277" s="33">
        <v>262</v>
      </c>
      <c r="BL277" s="115">
        <v>380</v>
      </c>
      <c r="BM277" s="111">
        <v>398</v>
      </c>
      <c r="BN277" s="35">
        <v>258</v>
      </c>
      <c r="BO277" s="32">
        <v>32</v>
      </c>
      <c r="BP277" s="31">
        <v>296</v>
      </c>
      <c r="BQ277" s="32">
        <v>387</v>
      </c>
      <c r="BR277" s="31">
        <v>357</v>
      </c>
      <c r="BS277" s="32">
        <v>329</v>
      </c>
      <c r="BT277" s="31">
        <v>261</v>
      </c>
      <c r="BU277" s="33">
        <v>40</v>
      </c>
      <c r="BV277" s="115">
        <v>374</v>
      </c>
      <c r="BW277" s="111">
        <v>404</v>
      </c>
      <c r="BX277" s="32">
        <v>284</v>
      </c>
      <c r="BY277" s="31">
        <v>402</v>
      </c>
      <c r="BZ277" s="32">
        <v>271</v>
      </c>
      <c r="CA277" s="111">
        <v>280</v>
      </c>
      <c r="CB277" s="32">
        <v>398</v>
      </c>
      <c r="CC277" s="33">
        <v>440</v>
      </c>
      <c r="CD277" s="34">
        <v>522</v>
      </c>
      <c r="CE277" s="120">
        <v>308</v>
      </c>
      <c r="CF277" s="42">
        <v>265</v>
      </c>
      <c r="CG277" s="31">
        <v>186</v>
      </c>
      <c r="CH277" s="35">
        <v>143</v>
      </c>
      <c r="CI277" s="35">
        <v>199</v>
      </c>
      <c r="CJ277" s="35">
        <v>273</v>
      </c>
      <c r="CK277" s="32">
        <v>271</v>
      </c>
    </row>
    <row r="278" spans="1:89" ht="13" x14ac:dyDescent="0.25">
      <c r="A278" s="27">
        <v>4422</v>
      </c>
      <c r="B278" s="28" t="s">
        <v>301</v>
      </c>
      <c r="C278" s="29">
        <v>1269</v>
      </c>
      <c r="D278" s="30">
        <v>786</v>
      </c>
      <c r="E278" s="20">
        <f t="shared" si="4"/>
        <v>0.61938534278959811</v>
      </c>
      <c r="F278" s="31">
        <v>0</v>
      </c>
      <c r="G278" s="111">
        <v>0</v>
      </c>
      <c r="H278" s="111">
        <v>0</v>
      </c>
      <c r="I278" s="111">
        <v>0</v>
      </c>
      <c r="J278" s="111">
        <v>3</v>
      </c>
      <c r="K278" s="111">
        <v>0</v>
      </c>
      <c r="L278" s="111">
        <v>0</v>
      </c>
      <c r="M278" s="111">
        <v>443</v>
      </c>
      <c r="N278" s="111">
        <v>0</v>
      </c>
      <c r="O278" s="111">
        <v>0</v>
      </c>
      <c r="P278" s="35">
        <v>5</v>
      </c>
      <c r="Q278" s="35">
        <v>4</v>
      </c>
      <c r="R278" s="35">
        <v>321</v>
      </c>
      <c r="S278" s="32">
        <v>0</v>
      </c>
      <c r="T278" s="37">
        <v>410</v>
      </c>
      <c r="U278" s="38">
        <v>349</v>
      </c>
      <c r="V278" s="37">
        <v>359</v>
      </c>
      <c r="W278" s="32">
        <v>398</v>
      </c>
      <c r="X278" s="31">
        <v>420</v>
      </c>
      <c r="Y278" s="32">
        <v>328</v>
      </c>
      <c r="Z278" s="111">
        <v>461</v>
      </c>
      <c r="AA278" s="35">
        <v>0</v>
      </c>
      <c r="AB278" s="35">
        <v>23</v>
      </c>
      <c r="AC278" s="35">
        <v>290</v>
      </c>
      <c r="AD278" s="35">
        <v>0</v>
      </c>
      <c r="AE278" s="33">
        <v>0</v>
      </c>
      <c r="AF278" s="116">
        <v>0</v>
      </c>
      <c r="AG278" s="120">
        <v>454</v>
      </c>
      <c r="AH278" s="38">
        <v>299</v>
      </c>
      <c r="AI278" s="37"/>
      <c r="AJ278" s="36"/>
      <c r="AK278" s="37"/>
      <c r="AL278" s="38"/>
      <c r="AM278" s="37"/>
      <c r="AN278" s="116"/>
      <c r="AO278" s="120"/>
      <c r="AP278" s="38"/>
      <c r="AQ278" s="37">
        <v>313</v>
      </c>
      <c r="AR278" s="116">
        <v>421</v>
      </c>
      <c r="AS278" s="120"/>
      <c r="AT278" s="38"/>
      <c r="AU278" s="37"/>
      <c r="AV278" s="120"/>
      <c r="AW278" s="120"/>
      <c r="AX278" s="37"/>
      <c r="AY278" s="38"/>
      <c r="AZ278" s="37"/>
      <c r="BA278" s="116"/>
      <c r="BB278" s="31">
        <v>330</v>
      </c>
      <c r="BC278" s="32">
        <v>397</v>
      </c>
      <c r="BD278" s="31">
        <v>304</v>
      </c>
      <c r="BE278" s="116">
        <v>424</v>
      </c>
      <c r="BF278" s="120">
        <v>406</v>
      </c>
      <c r="BG278" s="38">
        <v>318</v>
      </c>
      <c r="BH278" s="37">
        <v>335</v>
      </c>
      <c r="BI278" s="38">
        <v>392</v>
      </c>
      <c r="BJ278" s="111">
        <v>40</v>
      </c>
      <c r="BK278" s="33">
        <v>283</v>
      </c>
      <c r="BL278" s="115">
        <v>418</v>
      </c>
      <c r="BM278" s="111">
        <v>417</v>
      </c>
      <c r="BN278" s="35">
        <v>288</v>
      </c>
      <c r="BO278" s="32">
        <v>31</v>
      </c>
      <c r="BP278" s="31">
        <v>307</v>
      </c>
      <c r="BQ278" s="32">
        <v>411</v>
      </c>
      <c r="BR278" s="31">
        <v>383</v>
      </c>
      <c r="BS278" s="32">
        <v>346</v>
      </c>
      <c r="BT278" s="31">
        <v>283</v>
      </c>
      <c r="BU278" s="33">
        <v>38</v>
      </c>
      <c r="BV278" s="115">
        <v>399</v>
      </c>
      <c r="BW278" s="111">
        <v>420</v>
      </c>
      <c r="BX278" s="32">
        <v>324</v>
      </c>
      <c r="BY278" s="31">
        <v>423</v>
      </c>
      <c r="BZ278" s="32">
        <v>287</v>
      </c>
      <c r="CA278" s="111">
        <v>302</v>
      </c>
      <c r="CB278" s="32">
        <v>413</v>
      </c>
      <c r="CC278" s="33">
        <v>483</v>
      </c>
      <c r="CD278" s="34">
        <v>543</v>
      </c>
      <c r="CE278" s="120">
        <v>312</v>
      </c>
      <c r="CF278" s="42">
        <v>311</v>
      </c>
      <c r="CG278" s="31">
        <v>192</v>
      </c>
      <c r="CH278" s="35">
        <v>158</v>
      </c>
      <c r="CI278" s="35">
        <v>234</v>
      </c>
      <c r="CJ278" s="35">
        <v>289</v>
      </c>
      <c r="CK278" s="32">
        <v>250</v>
      </c>
    </row>
    <row r="279" spans="1:89" ht="13" x14ac:dyDescent="0.25">
      <c r="A279" s="27">
        <v>4423</v>
      </c>
      <c r="B279" s="28" t="s">
        <v>302</v>
      </c>
      <c r="C279" s="29">
        <v>1047</v>
      </c>
      <c r="D279" s="30">
        <v>732</v>
      </c>
      <c r="E279" s="20">
        <f t="shared" si="4"/>
        <v>0.69914040114613185</v>
      </c>
      <c r="F279" s="31">
        <v>0</v>
      </c>
      <c r="G279" s="111">
        <v>0</v>
      </c>
      <c r="H279" s="111">
        <v>0</v>
      </c>
      <c r="I279" s="111">
        <v>0</v>
      </c>
      <c r="J279" s="111">
        <v>1</v>
      </c>
      <c r="K279" s="111">
        <v>0</v>
      </c>
      <c r="L279" s="111">
        <v>0</v>
      </c>
      <c r="M279" s="111">
        <v>405</v>
      </c>
      <c r="N279" s="111">
        <v>0</v>
      </c>
      <c r="O279" s="111">
        <v>0</v>
      </c>
      <c r="P279" s="35">
        <v>10</v>
      </c>
      <c r="Q279" s="35">
        <v>1</v>
      </c>
      <c r="R279" s="35">
        <v>302</v>
      </c>
      <c r="S279" s="32">
        <v>0</v>
      </c>
      <c r="T279" s="37">
        <v>385</v>
      </c>
      <c r="U279" s="38">
        <v>315</v>
      </c>
      <c r="V279" s="37">
        <v>320</v>
      </c>
      <c r="W279" s="32">
        <v>380</v>
      </c>
      <c r="X279" s="31">
        <v>391</v>
      </c>
      <c r="Y279" s="32">
        <v>301</v>
      </c>
      <c r="Z279" s="111">
        <v>413</v>
      </c>
      <c r="AA279" s="35">
        <v>0</v>
      </c>
      <c r="AB279" s="35">
        <v>23</v>
      </c>
      <c r="AC279" s="35">
        <v>278</v>
      </c>
      <c r="AD279" s="35">
        <v>0</v>
      </c>
      <c r="AE279" s="33">
        <v>0</v>
      </c>
      <c r="AF279" s="116">
        <v>0</v>
      </c>
      <c r="AG279" s="120">
        <v>410</v>
      </c>
      <c r="AH279" s="38">
        <v>288</v>
      </c>
      <c r="AI279" s="37"/>
      <c r="AJ279" s="36"/>
      <c r="AK279" s="37"/>
      <c r="AL279" s="38"/>
      <c r="AM279" s="37"/>
      <c r="AN279" s="116"/>
      <c r="AO279" s="120"/>
      <c r="AP279" s="38"/>
      <c r="AQ279" s="37">
        <v>310</v>
      </c>
      <c r="AR279" s="116">
        <v>381</v>
      </c>
      <c r="AS279" s="120"/>
      <c r="AT279" s="38"/>
      <c r="AU279" s="37"/>
      <c r="AV279" s="120"/>
      <c r="AW279" s="120"/>
      <c r="AX279" s="37"/>
      <c r="AY279" s="38"/>
      <c r="AZ279" s="37"/>
      <c r="BA279" s="116"/>
      <c r="BB279" s="31">
        <v>309</v>
      </c>
      <c r="BC279" s="32">
        <v>373</v>
      </c>
      <c r="BD279" s="31">
        <v>302</v>
      </c>
      <c r="BE279" s="116">
        <v>379</v>
      </c>
      <c r="BF279" s="120">
        <v>384</v>
      </c>
      <c r="BG279" s="38">
        <v>295</v>
      </c>
      <c r="BH279" s="37">
        <v>326</v>
      </c>
      <c r="BI279" s="38">
        <v>353</v>
      </c>
      <c r="BJ279" s="111">
        <v>49</v>
      </c>
      <c r="BK279" s="33">
        <v>266</v>
      </c>
      <c r="BL279" s="115">
        <v>371</v>
      </c>
      <c r="BM279" s="111">
        <v>376</v>
      </c>
      <c r="BN279" s="35">
        <v>277</v>
      </c>
      <c r="BO279" s="32">
        <v>32</v>
      </c>
      <c r="BP279" s="31">
        <v>314</v>
      </c>
      <c r="BQ279" s="32">
        <v>363</v>
      </c>
      <c r="BR279" s="31">
        <v>345</v>
      </c>
      <c r="BS279" s="32">
        <v>340</v>
      </c>
      <c r="BT279" s="31">
        <v>281</v>
      </c>
      <c r="BU279" s="33">
        <v>39</v>
      </c>
      <c r="BV279" s="115">
        <v>357</v>
      </c>
      <c r="BW279" s="111">
        <v>382</v>
      </c>
      <c r="BX279" s="32">
        <v>312</v>
      </c>
      <c r="BY279" s="31">
        <v>385</v>
      </c>
      <c r="BZ279" s="32">
        <v>288</v>
      </c>
      <c r="CA279" s="111">
        <v>297</v>
      </c>
      <c r="CB279" s="32">
        <v>379</v>
      </c>
      <c r="CC279" s="33">
        <v>466</v>
      </c>
      <c r="CD279" s="34">
        <v>501</v>
      </c>
      <c r="CE279" s="120">
        <v>308</v>
      </c>
      <c r="CF279" s="42">
        <v>265</v>
      </c>
      <c r="CG279" s="31">
        <v>189</v>
      </c>
      <c r="CH279" s="35">
        <v>161</v>
      </c>
      <c r="CI279" s="35">
        <v>194</v>
      </c>
      <c r="CJ279" s="35">
        <v>250</v>
      </c>
      <c r="CK279" s="32">
        <v>246</v>
      </c>
    </row>
    <row r="280" spans="1:89" ht="13" x14ac:dyDescent="0.25">
      <c r="A280" s="27">
        <v>4431</v>
      </c>
      <c r="B280" s="28" t="s">
        <v>303</v>
      </c>
      <c r="C280" s="29">
        <v>1144</v>
      </c>
      <c r="D280" s="30">
        <v>801</v>
      </c>
      <c r="E280" s="20">
        <f t="shared" si="4"/>
        <v>0.70017482517482521</v>
      </c>
      <c r="F280" s="31">
        <v>0</v>
      </c>
      <c r="G280" s="111">
        <v>0</v>
      </c>
      <c r="H280" s="111">
        <v>0</v>
      </c>
      <c r="I280" s="111">
        <v>0</v>
      </c>
      <c r="J280" s="111">
        <v>1</v>
      </c>
      <c r="K280" s="111">
        <v>0</v>
      </c>
      <c r="L280" s="111">
        <v>0</v>
      </c>
      <c r="M280" s="111">
        <v>455</v>
      </c>
      <c r="N280" s="111">
        <v>0</v>
      </c>
      <c r="O280" s="111">
        <v>0</v>
      </c>
      <c r="P280" s="35">
        <v>6</v>
      </c>
      <c r="Q280" s="35">
        <v>1</v>
      </c>
      <c r="R280" s="35">
        <v>327</v>
      </c>
      <c r="S280" s="32">
        <v>0</v>
      </c>
      <c r="T280" s="37">
        <v>449</v>
      </c>
      <c r="U280" s="38">
        <v>327</v>
      </c>
      <c r="V280" s="37">
        <v>330</v>
      </c>
      <c r="W280" s="32">
        <v>448</v>
      </c>
      <c r="X280" s="31">
        <v>466</v>
      </c>
      <c r="Y280" s="32">
        <v>291</v>
      </c>
      <c r="Z280" s="111">
        <v>460</v>
      </c>
      <c r="AA280" s="35">
        <v>0</v>
      </c>
      <c r="AB280" s="35">
        <v>31</v>
      </c>
      <c r="AC280" s="35">
        <v>289</v>
      </c>
      <c r="AD280" s="35">
        <v>0</v>
      </c>
      <c r="AE280" s="33">
        <v>0</v>
      </c>
      <c r="AF280" s="116">
        <v>0</v>
      </c>
      <c r="AG280" s="120">
        <v>466</v>
      </c>
      <c r="AH280" s="38">
        <v>305</v>
      </c>
      <c r="AI280" s="37"/>
      <c r="AJ280" s="36"/>
      <c r="AK280" s="37"/>
      <c r="AL280" s="38"/>
      <c r="AM280" s="37"/>
      <c r="AN280" s="116"/>
      <c r="AO280" s="120"/>
      <c r="AP280" s="38"/>
      <c r="AQ280" s="37">
        <v>312</v>
      </c>
      <c r="AR280" s="116">
        <v>443</v>
      </c>
      <c r="AS280" s="120"/>
      <c r="AT280" s="38"/>
      <c r="AU280" s="37"/>
      <c r="AV280" s="120"/>
      <c r="AW280" s="120"/>
      <c r="AX280" s="37"/>
      <c r="AY280" s="38"/>
      <c r="AZ280" s="37"/>
      <c r="BA280" s="116"/>
      <c r="BB280" s="31">
        <v>324</v>
      </c>
      <c r="BC280" s="32">
        <v>426</v>
      </c>
      <c r="BD280" s="31">
        <v>299</v>
      </c>
      <c r="BE280" s="116">
        <v>451</v>
      </c>
      <c r="BF280" s="120">
        <v>433</v>
      </c>
      <c r="BG280" s="38">
        <v>310</v>
      </c>
      <c r="BH280" s="37">
        <v>325</v>
      </c>
      <c r="BI280" s="38">
        <v>424</v>
      </c>
      <c r="BJ280" s="111">
        <v>43</v>
      </c>
      <c r="BK280" s="33">
        <v>286</v>
      </c>
      <c r="BL280" s="115">
        <v>422</v>
      </c>
      <c r="BM280" s="111">
        <v>425</v>
      </c>
      <c r="BN280" s="35">
        <v>284</v>
      </c>
      <c r="BO280" s="32">
        <v>35</v>
      </c>
      <c r="BP280" s="31">
        <v>308</v>
      </c>
      <c r="BQ280" s="32">
        <v>437</v>
      </c>
      <c r="BR280" s="31">
        <v>409</v>
      </c>
      <c r="BS280" s="32">
        <v>348</v>
      </c>
      <c r="BT280" s="31">
        <v>280</v>
      </c>
      <c r="BU280" s="33">
        <v>41</v>
      </c>
      <c r="BV280" s="115">
        <v>420</v>
      </c>
      <c r="BW280" s="111">
        <v>442</v>
      </c>
      <c r="BX280" s="32">
        <v>324</v>
      </c>
      <c r="BY280" s="31">
        <v>455</v>
      </c>
      <c r="BZ280" s="32">
        <v>285</v>
      </c>
      <c r="CA280" s="111">
        <v>299</v>
      </c>
      <c r="CB280" s="32">
        <v>441</v>
      </c>
      <c r="CC280" s="33">
        <v>494</v>
      </c>
      <c r="CD280" s="34">
        <v>592</v>
      </c>
      <c r="CE280" s="120">
        <v>314</v>
      </c>
      <c r="CF280" s="42">
        <v>316</v>
      </c>
      <c r="CG280" s="31">
        <v>167</v>
      </c>
      <c r="CH280" s="35">
        <v>134</v>
      </c>
      <c r="CI280" s="35">
        <v>259</v>
      </c>
      <c r="CJ280" s="35">
        <v>321</v>
      </c>
      <c r="CK280" s="32">
        <v>242</v>
      </c>
    </row>
    <row r="281" spans="1:89" ht="13" x14ac:dyDescent="0.25">
      <c r="A281" s="27">
        <v>4432</v>
      </c>
      <c r="B281" s="28" t="s">
        <v>304</v>
      </c>
      <c r="C281" s="29">
        <v>854</v>
      </c>
      <c r="D281" s="30">
        <v>584</v>
      </c>
      <c r="E281" s="20">
        <f t="shared" si="4"/>
        <v>0.68384074941451989</v>
      </c>
      <c r="F281" s="31">
        <v>0</v>
      </c>
      <c r="G281" s="111">
        <v>0</v>
      </c>
      <c r="H281" s="111">
        <v>0</v>
      </c>
      <c r="I281" s="111">
        <v>0</v>
      </c>
      <c r="J281" s="111">
        <v>0</v>
      </c>
      <c r="K281" s="111">
        <v>0</v>
      </c>
      <c r="L281" s="111">
        <v>0</v>
      </c>
      <c r="M281" s="111">
        <v>330</v>
      </c>
      <c r="N281" s="111">
        <v>0</v>
      </c>
      <c r="O281" s="111">
        <v>0</v>
      </c>
      <c r="P281" s="35">
        <v>9</v>
      </c>
      <c r="Q281" s="35">
        <v>6</v>
      </c>
      <c r="R281" s="35">
        <v>231</v>
      </c>
      <c r="S281" s="32">
        <v>0</v>
      </c>
      <c r="T281" s="37">
        <v>311</v>
      </c>
      <c r="U281" s="38">
        <v>246</v>
      </c>
      <c r="V281" s="37">
        <v>246</v>
      </c>
      <c r="W281" s="32">
        <v>314</v>
      </c>
      <c r="X281" s="31">
        <v>311</v>
      </c>
      <c r="Y281" s="32">
        <v>238</v>
      </c>
      <c r="Z281" s="111">
        <v>336</v>
      </c>
      <c r="AA281" s="35">
        <v>0</v>
      </c>
      <c r="AB281" s="35">
        <v>17</v>
      </c>
      <c r="AC281" s="35">
        <v>212</v>
      </c>
      <c r="AD281" s="35">
        <v>0</v>
      </c>
      <c r="AE281" s="33">
        <v>0</v>
      </c>
      <c r="AF281" s="116">
        <v>0</v>
      </c>
      <c r="AG281" s="120">
        <v>336</v>
      </c>
      <c r="AH281" s="38">
        <v>216</v>
      </c>
      <c r="AI281" s="37"/>
      <c r="AJ281" s="36"/>
      <c r="AK281" s="37"/>
      <c r="AL281" s="38"/>
      <c r="AM281" s="37"/>
      <c r="AN281" s="116"/>
      <c r="AO281" s="120"/>
      <c r="AP281" s="38"/>
      <c r="AQ281" s="37">
        <v>236</v>
      </c>
      <c r="AR281" s="116">
        <v>302</v>
      </c>
      <c r="AS281" s="120"/>
      <c r="AT281" s="38"/>
      <c r="AU281" s="37"/>
      <c r="AV281" s="120"/>
      <c r="AW281" s="120"/>
      <c r="AX281" s="37"/>
      <c r="AY281" s="38"/>
      <c r="AZ281" s="37"/>
      <c r="BA281" s="116"/>
      <c r="BB281" s="31">
        <v>240</v>
      </c>
      <c r="BC281" s="32">
        <v>295</v>
      </c>
      <c r="BD281" s="31">
        <v>226</v>
      </c>
      <c r="BE281" s="116">
        <v>308</v>
      </c>
      <c r="BF281" s="120">
        <v>314</v>
      </c>
      <c r="BG281" s="38">
        <v>222</v>
      </c>
      <c r="BH281" s="37">
        <v>248</v>
      </c>
      <c r="BI281" s="38">
        <v>284</v>
      </c>
      <c r="BJ281" s="111">
        <v>28</v>
      </c>
      <c r="BK281" s="33">
        <v>203</v>
      </c>
      <c r="BL281" s="115">
        <v>308</v>
      </c>
      <c r="BM281" s="111">
        <v>321</v>
      </c>
      <c r="BN281" s="35">
        <v>202</v>
      </c>
      <c r="BO281" s="32">
        <v>20</v>
      </c>
      <c r="BP281" s="31">
        <v>230</v>
      </c>
      <c r="BQ281" s="32">
        <v>309</v>
      </c>
      <c r="BR281" s="31">
        <v>277</v>
      </c>
      <c r="BS281" s="32">
        <v>267</v>
      </c>
      <c r="BT281" s="31">
        <v>203</v>
      </c>
      <c r="BU281" s="33">
        <v>34</v>
      </c>
      <c r="BV281" s="115">
        <v>299</v>
      </c>
      <c r="BW281" s="111">
        <v>323</v>
      </c>
      <c r="BX281" s="32">
        <v>229</v>
      </c>
      <c r="BY281" s="31">
        <v>316</v>
      </c>
      <c r="BZ281" s="32">
        <v>208</v>
      </c>
      <c r="CA281" s="111">
        <v>226</v>
      </c>
      <c r="CB281" s="32">
        <v>310</v>
      </c>
      <c r="CC281" s="33">
        <v>351</v>
      </c>
      <c r="CD281" s="34">
        <v>414</v>
      </c>
      <c r="CE281" s="120">
        <v>224</v>
      </c>
      <c r="CF281" s="42">
        <v>233</v>
      </c>
      <c r="CG281" s="31">
        <v>150</v>
      </c>
      <c r="CH281" s="35">
        <v>99</v>
      </c>
      <c r="CI281" s="35">
        <v>174</v>
      </c>
      <c r="CJ281" s="35">
        <v>208</v>
      </c>
      <c r="CK281" s="32">
        <v>202</v>
      </c>
    </row>
    <row r="282" spans="1:89" ht="13" x14ac:dyDescent="0.25">
      <c r="A282" s="27">
        <v>4433</v>
      </c>
      <c r="B282" s="28" t="s">
        <v>305</v>
      </c>
      <c r="C282" s="29">
        <v>1560</v>
      </c>
      <c r="D282" s="30">
        <v>1048</v>
      </c>
      <c r="E282" s="20">
        <f t="shared" si="4"/>
        <v>0.67179487179487174</v>
      </c>
      <c r="F282" s="31">
        <v>0</v>
      </c>
      <c r="G282" s="111">
        <v>0</v>
      </c>
      <c r="H282" s="111">
        <v>0</v>
      </c>
      <c r="I282" s="111">
        <v>0</v>
      </c>
      <c r="J282" s="111">
        <v>3</v>
      </c>
      <c r="K282" s="111">
        <v>0</v>
      </c>
      <c r="L282" s="111">
        <v>0</v>
      </c>
      <c r="M282" s="111">
        <v>546</v>
      </c>
      <c r="N282" s="111">
        <v>0</v>
      </c>
      <c r="O282" s="111">
        <v>0</v>
      </c>
      <c r="P282" s="35">
        <v>3</v>
      </c>
      <c r="Q282" s="35">
        <v>3</v>
      </c>
      <c r="R282" s="35">
        <v>469</v>
      </c>
      <c r="S282" s="32">
        <v>0</v>
      </c>
      <c r="T282" s="37">
        <v>523</v>
      </c>
      <c r="U282" s="38">
        <v>479</v>
      </c>
      <c r="V282" s="37">
        <v>488</v>
      </c>
      <c r="W282" s="32">
        <v>513</v>
      </c>
      <c r="X282" s="31">
        <v>536</v>
      </c>
      <c r="Y282" s="32">
        <v>441</v>
      </c>
      <c r="Z282" s="111">
        <v>546</v>
      </c>
      <c r="AA282" s="35">
        <v>0</v>
      </c>
      <c r="AB282" s="35">
        <v>47</v>
      </c>
      <c r="AC282" s="35">
        <v>428</v>
      </c>
      <c r="AD282" s="35">
        <v>0</v>
      </c>
      <c r="AE282" s="33">
        <v>0</v>
      </c>
      <c r="AF282" s="116">
        <v>0</v>
      </c>
      <c r="AG282" s="120">
        <v>550</v>
      </c>
      <c r="AH282" s="38">
        <v>447</v>
      </c>
      <c r="AI282" s="37"/>
      <c r="AJ282" s="36"/>
      <c r="AK282" s="37"/>
      <c r="AL282" s="38"/>
      <c r="AM282" s="37"/>
      <c r="AN282" s="116"/>
      <c r="AO282" s="120"/>
      <c r="AP282" s="38"/>
      <c r="AQ282" s="37">
        <v>464</v>
      </c>
      <c r="AR282" s="116">
        <v>513</v>
      </c>
      <c r="AS282" s="120"/>
      <c r="AT282" s="38"/>
      <c r="AU282" s="37"/>
      <c r="AV282" s="120"/>
      <c r="AW282" s="120"/>
      <c r="AX282" s="37"/>
      <c r="AY282" s="38"/>
      <c r="AZ282" s="37"/>
      <c r="BA282" s="116"/>
      <c r="BB282" s="31">
        <v>446</v>
      </c>
      <c r="BC282" s="32">
        <v>520</v>
      </c>
      <c r="BD282" s="31">
        <v>443</v>
      </c>
      <c r="BE282" s="116">
        <v>517</v>
      </c>
      <c r="BF282" s="120">
        <v>510</v>
      </c>
      <c r="BG282" s="38">
        <v>442</v>
      </c>
      <c r="BH282" s="37">
        <v>474</v>
      </c>
      <c r="BI282" s="38">
        <v>489</v>
      </c>
      <c r="BJ282" s="111">
        <v>62</v>
      </c>
      <c r="BK282" s="33">
        <v>409</v>
      </c>
      <c r="BL282" s="115">
        <v>510</v>
      </c>
      <c r="BM282" s="111">
        <v>526</v>
      </c>
      <c r="BN282" s="35">
        <v>410</v>
      </c>
      <c r="BO282" s="32">
        <v>43</v>
      </c>
      <c r="BP282" s="31">
        <v>469</v>
      </c>
      <c r="BQ282" s="32">
        <v>504</v>
      </c>
      <c r="BR282" s="31">
        <v>481</v>
      </c>
      <c r="BS282" s="32">
        <v>507</v>
      </c>
      <c r="BT282" s="31">
        <v>429</v>
      </c>
      <c r="BU282" s="33">
        <v>59</v>
      </c>
      <c r="BV282" s="115">
        <v>471</v>
      </c>
      <c r="BW282" s="111">
        <v>527</v>
      </c>
      <c r="BX282" s="32">
        <v>470</v>
      </c>
      <c r="BY282" s="31">
        <v>518</v>
      </c>
      <c r="BZ282" s="32">
        <v>434</v>
      </c>
      <c r="CA282" s="111">
        <v>449</v>
      </c>
      <c r="CB282" s="32">
        <v>519</v>
      </c>
      <c r="CC282" s="33">
        <v>643</v>
      </c>
      <c r="CD282" s="34">
        <v>726</v>
      </c>
      <c r="CE282" s="120">
        <v>445</v>
      </c>
      <c r="CF282" s="42">
        <v>363</v>
      </c>
      <c r="CG282" s="31">
        <v>263</v>
      </c>
      <c r="CH282" s="35">
        <v>230</v>
      </c>
      <c r="CI282" s="35">
        <v>255</v>
      </c>
      <c r="CJ282" s="35">
        <v>301</v>
      </c>
      <c r="CK282" s="32">
        <v>424</v>
      </c>
    </row>
    <row r="283" spans="1:89" ht="13" x14ac:dyDescent="0.25">
      <c r="A283" s="27">
        <v>4441</v>
      </c>
      <c r="B283" s="28" t="s">
        <v>306</v>
      </c>
      <c r="C283" s="29">
        <v>965</v>
      </c>
      <c r="D283" s="30">
        <v>601</v>
      </c>
      <c r="E283" s="20">
        <f t="shared" si="4"/>
        <v>0.62279792746113993</v>
      </c>
      <c r="F283" s="31">
        <v>0</v>
      </c>
      <c r="G283" s="111">
        <v>0</v>
      </c>
      <c r="H283" s="111">
        <v>0</v>
      </c>
      <c r="I283" s="111">
        <v>0</v>
      </c>
      <c r="J283" s="111">
        <v>0</v>
      </c>
      <c r="K283" s="111">
        <v>0</v>
      </c>
      <c r="L283" s="111">
        <v>0</v>
      </c>
      <c r="M283" s="111">
        <v>320</v>
      </c>
      <c r="N283" s="111">
        <v>0</v>
      </c>
      <c r="O283" s="111">
        <v>0</v>
      </c>
      <c r="P283" s="35">
        <v>0</v>
      </c>
      <c r="Q283" s="35">
        <v>1</v>
      </c>
      <c r="R283" s="35">
        <v>265</v>
      </c>
      <c r="S283" s="32">
        <v>0</v>
      </c>
      <c r="T283" s="37">
        <v>321</v>
      </c>
      <c r="U283" s="38">
        <v>254</v>
      </c>
      <c r="V283" s="37">
        <v>270</v>
      </c>
      <c r="W283" s="32">
        <v>311</v>
      </c>
      <c r="X283" s="31">
        <v>328</v>
      </c>
      <c r="Y283" s="32">
        <v>235</v>
      </c>
      <c r="Z283" s="111">
        <v>328</v>
      </c>
      <c r="AA283" s="35">
        <v>0</v>
      </c>
      <c r="AB283" s="35">
        <v>34</v>
      </c>
      <c r="AC283" s="35">
        <v>226</v>
      </c>
      <c r="AD283" s="35">
        <v>0</v>
      </c>
      <c r="AE283" s="33">
        <v>0</v>
      </c>
      <c r="AF283" s="116">
        <v>0</v>
      </c>
      <c r="AG283" s="120">
        <v>341</v>
      </c>
      <c r="AH283" s="38">
        <v>234</v>
      </c>
      <c r="AI283" s="37"/>
      <c r="AJ283" s="36"/>
      <c r="AK283" s="37"/>
      <c r="AL283" s="38"/>
      <c r="AM283" s="37"/>
      <c r="AN283" s="116"/>
      <c r="AO283" s="120"/>
      <c r="AP283" s="38"/>
      <c r="AQ283" s="37">
        <v>238</v>
      </c>
      <c r="AR283" s="116">
        <v>326</v>
      </c>
      <c r="AS283" s="120"/>
      <c r="AT283" s="38"/>
      <c r="AU283" s="37"/>
      <c r="AV283" s="120"/>
      <c r="AW283" s="120"/>
      <c r="AX283" s="37"/>
      <c r="AY283" s="38"/>
      <c r="AZ283" s="37"/>
      <c r="BA283" s="116"/>
      <c r="BB283" s="31">
        <v>246</v>
      </c>
      <c r="BC283" s="32">
        <v>315</v>
      </c>
      <c r="BD283" s="31">
        <v>242</v>
      </c>
      <c r="BE283" s="116">
        <v>312</v>
      </c>
      <c r="BF283" s="120">
        <v>313</v>
      </c>
      <c r="BG283" s="38">
        <v>240</v>
      </c>
      <c r="BH283" s="37">
        <v>251</v>
      </c>
      <c r="BI283" s="38">
        <v>304</v>
      </c>
      <c r="BJ283" s="111">
        <v>32</v>
      </c>
      <c r="BK283" s="33">
        <v>225</v>
      </c>
      <c r="BL283" s="115">
        <v>313</v>
      </c>
      <c r="BM283" s="111">
        <v>324</v>
      </c>
      <c r="BN283" s="35">
        <v>221</v>
      </c>
      <c r="BO283" s="32">
        <v>23</v>
      </c>
      <c r="BP283" s="31">
        <v>238</v>
      </c>
      <c r="BQ283" s="32">
        <v>320</v>
      </c>
      <c r="BR283" s="31">
        <v>309</v>
      </c>
      <c r="BS283" s="32">
        <v>264</v>
      </c>
      <c r="BT283" s="31">
        <v>229</v>
      </c>
      <c r="BU283" s="33">
        <v>36</v>
      </c>
      <c r="BV283" s="115">
        <v>300</v>
      </c>
      <c r="BW283" s="111">
        <v>329</v>
      </c>
      <c r="BX283" s="32">
        <v>248</v>
      </c>
      <c r="BY283" s="31">
        <v>320</v>
      </c>
      <c r="BZ283" s="32">
        <v>232</v>
      </c>
      <c r="CA283" s="111">
        <v>231</v>
      </c>
      <c r="CB283" s="32">
        <v>330</v>
      </c>
      <c r="CC283" s="33">
        <v>363</v>
      </c>
      <c r="CD283" s="34">
        <v>440</v>
      </c>
      <c r="CE283" s="120">
        <v>250</v>
      </c>
      <c r="CF283" s="42">
        <v>221</v>
      </c>
      <c r="CG283" s="31">
        <v>145</v>
      </c>
      <c r="CH283" s="35">
        <v>103</v>
      </c>
      <c r="CI283" s="35">
        <v>170</v>
      </c>
      <c r="CJ283" s="35">
        <v>201</v>
      </c>
      <c r="CK283" s="32">
        <v>207</v>
      </c>
    </row>
    <row r="284" spans="1:89" ht="13" x14ac:dyDescent="0.25">
      <c r="A284" s="27">
        <v>4442</v>
      </c>
      <c r="B284" s="28" t="s">
        <v>307</v>
      </c>
      <c r="C284" s="29">
        <v>1133</v>
      </c>
      <c r="D284" s="30">
        <v>691</v>
      </c>
      <c r="E284" s="20">
        <f t="shared" si="4"/>
        <v>0.60988526037069724</v>
      </c>
      <c r="F284" s="31">
        <v>0</v>
      </c>
      <c r="G284" s="111">
        <v>0</v>
      </c>
      <c r="H284" s="111">
        <v>0</v>
      </c>
      <c r="I284" s="111">
        <v>1</v>
      </c>
      <c r="J284" s="111">
        <v>1</v>
      </c>
      <c r="K284" s="111">
        <v>0</v>
      </c>
      <c r="L284" s="111">
        <v>0</v>
      </c>
      <c r="M284" s="111">
        <v>410</v>
      </c>
      <c r="N284" s="111">
        <v>0</v>
      </c>
      <c r="O284" s="111">
        <v>0</v>
      </c>
      <c r="P284" s="35">
        <v>2</v>
      </c>
      <c r="Q284" s="35">
        <v>0</v>
      </c>
      <c r="R284" s="35">
        <v>269</v>
      </c>
      <c r="S284" s="32">
        <v>0</v>
      </c>
      <c r="T284" s="37">
        <v>398</v>
      </c>
      <c r="U284" s="38">
        <v>270</v>
      </c>
      <c r="V284" s="37">
        <v>278</v>
      </c>
      <c r="W284" s="32">
        <v>387</v>
      </c>
      <c r="X284" s="31">
        <v>408</v>
      </c>
      <c r="Y284" s="32">
        <v>250</v>
      </c>
      <c r="Z284" s="111">
        <v>422</v>
      </c>
      <c r="AA284" s="35">
        <v>0</v>
      </c>
      <c r="AB284" s="35">
        <v>16</v>
      </c>
      <c r="AC284" s="35">
        <v>236</v>
      </c>
      <c r="AD284" s="35">
        <v>0</v>
      </c>
      <c r="AE284" s="33">
        <v>0</v>
      </c>
      <c r="AF284" s="116">
        <v>0</v>
      </c>
      <c r="AG284" s="120">
        <v>415</v>
      </c>
      <c r="AH284" s="38">
        <v>249</v>
      </c>
      <c r="AI284" s="37"/>
      <c r="AJ284" s="36"/>
      <c r="AK284" s="37"/>
      <c r="AL284" s="38"/>
      <c r="AM284" s="37"/>
      <c r="AN284" s="116"/>
      <c r="AO284" s="120"/>
      <c r="AP284" s="38"/>
      <c r="AQ284" s="37">
        <v>266</v>
      </c>
      <c r="AR284" s="116">
        <v>385</v>
      </c>
      <c r="AS284" s="120"/>
      <c r="AT284" s="38"/>
      <c r="AU284" s="37"/>
      <c r="AV284" s="120"/>
      <c r="AW284" s="120"/>
      <c r="AX284" s="37"/>
      <c r="AY284" s="38"/>
      <c r="AZ284" s="37"/>
      <c r="BA284" s="116"/>
      <c r="BB284" s="31">
        <v>274</v>
      </c>
      <c r="BC284" s="32">
        <v>369</v>
      </c>
      <c r="BD284" s="31">
        <v>252</v>
      </c>
      <c r="BE284" s="116">
        <v>382</v>
      </c>
      <c r="BF284" s="120">
        <v>378</v>
      </c>
      <c r="BG284" s="38">
        <v>257</v>
      </c>
      <c r="BH284" s="37">
        <v>277</v>
      </c>
      <c r="BI284" s="38">
        <v>365</v>
      </c>
      <c r="BJ284" s="111">
        <v>32</v>
      </c>
      <c r="BK284" s="33">
        <v>229</v>
      </c>
      <c r="BL284" s="115">
        <v>388</v>
      </c>
      <c r="BM284" s="111">
        <v>388</v>
      </c>
      <c r="BN284" s="35">
        <v>222</v>
      </c>
      <c r="BO284" s="32">
        <v>30</v>
      </c>
      <c r="BP284" s="31">
        <v>254</v>
      </c>
      <c r="BQ284" s="32">
        <v>378</v>
      </c>
      <c r="BR284" s="31">
        <v>364</v>
      </c>
      <c r="BS284" s="32">
        <v>292</v>
      </c>
      <c r="BT284" s="31">
        <v>256</v>
      </c>
      <c r="BU284" s="33">
        <v>21</v>
      </c>
      <c r="BV284" s="115">
        <v>368</v>
      </c>
      <c r="BW284" s="111">
        <v>383</v>
      </c>
      <c r="BX284" s="32">
        <v>276</v>
      </c>
      <c r="BY284" s="31">
        <v>386</v>
      </c>
      <c r="BZ284" s="32">
        <v>240</v>
      </c>
      <c r="CA284" s="111">
        <v>248</v>
      </c>
      <c r="CB284" s="32">
        <v>387</v>
      </c>
      <c r="CC284" s="33">
        <v>388</v>
      </c>
      <c r="CD284" s="34">
        <v>499</v>
      </c>
      <c r="CE284" s="120">
        <v>250</v>
      </c>
      <c r="CF284" s="42">
        <v>284</v>
      </c>
      <c r="CG284" s="31">
        <v>164</v>
      </c>
      <c r="CH284" s="35">
        <v>117</v>
      </c>
      <c r="CI284" s="35">
        <v>230</v>
      </c>
      <c r="CJ284" s="35">
        <v>256</v>
      </c>
      <c r="CK284" s="32">
        <v>208</v>
      </c>
    </row>
    <row r="285" spans="1:89" ht="13" x14ac:dyDescent="0.25">
      <c r="A285" s="27">
        <v>4443</v>
      </c>
      <c r="B285" s="28" t="s">
        <v>308</v>
      </c>
      <c r="C285" s="29">
        <v>1092</v>
      </c>
      <c r="D285" s="30">
        <v>780</v>
      </c>
      <c r="E285" s="20">
        <f t="shared" si="4"/>
        <v>0.7142857142857143</v>
      </c>
      <c r="F285" s="31">
        <v>0</v>
      </c>
      <c r="G285" s="111">
        <v>0</v>
      </c>
      <c r="H285" s="111">
        <v>0</v>
      </c>
      <c r="I285" s="111">
        <v>2</v>
      </c>
      <c r="J285" s="111">
        <v>2</v>
      </c>
      <c r="K285" s="111">
        <v>0</v>
      </c>
      <c r="L285" s="111">
        <v>0</v>
      </c>
      <c r="M285" s="111">
        <v>401</v>
      </c>
      <c r="N285" s="111">
        <v>0</v>
      </c>
      <c r="O285" s="111">
        <v>0</v>
      </c>
      <c r="P285" s="35">
        <v>6</v>
      </c>
      <c r="Q285" s="35">
        <v>2</v>
      </c>
      <c r="R285" s="35">
        <v>344</v>
      </c>
      <c r="S285" s="32">
        <v>0</v>
      </c>
      <c r="T285" s="37">
        <v>391</v>
      </c>
      <c r="U285" s="38">
        <v>359</v>
      </c>
      <c r="V285" s="37">
        <v>378</v>
      </c>
      <c r="W285" s="32">
        <v>376</v>
      </c>
      <c r="X285" s="31">
        <v>390</v>
      </c>
      <c r="Y285" s="32">
        <v>347</v>
      </c>
      <c r="Z285" s="111">
        <v>428</v>
      </c>
      <c r="AA285" s="35">
        <v>0</v>
      </c>
      <c r="AB285" s="35">
        <v>24</v>
      </c>
      <c r="AC285" s="35">
        <v>310</v>
      </c>
      <c r="AD285" s="35">
        <v>0</v>
      </c>
      <c r="AE285" s="33">
        <v>0</v>
      </c>
      <c r="AF285" s="116">
        <v>0</v>
      </c>
      <c r="AG285" s="120">
        <v>426</v>
      </c>
      <c r="AH285" s="38">
        <v>317</v>
      </c>
      <c r="AI285" s="37"/>
      <c r="AJ285" s="36"/>
      <c r="AK285" s="37"/>
      <c r="AL285" s="38"/>
      <c r="AM285" s="37"/>
      <c r="AN285" s="116"/>
      <c r="AO285" s="120"/>
      <c r="AP285" s="38"/>
      <c r="AQ285" s="37">
        <v>350</v>
      </c>
      <c r="AR285" s="116">
        <v>386</v>
      </c>
      <c r="AS285" s="120"/>
      <c r="AT285" s="38"/>
      <c r="AU285" s="37"/>
      <c r="AV285" s="120"/>
      <c r="AW285" s="120"/>
      <c r="AX285" s="37"/>
      <c r="AY285" s="38"/>
      <c r="AZ285" s="37"/>
      <c r="BA285" s="116"/>
      <c r="BB285" s="31">
        <v>354</v>
      </c>
      <c r="BC285" s="32">
        <v>376</v>
      </c>
      <c r="BD285" s="31">
        <v>339</v>
      </c>
      <c r="BE285" s="116">
        <v>385</v>
      </c>
      <c r="BF285" s="120">
        <v>384</v>
      </c>
      <c r="BG285" s="38">
        <v>339</v>
      </c>
      <c r="BH285" s="37">
        <v>369</v>
      </c>
      <c r="BI285" s="38">
        <v>359</v>
      </c>
      <c r="BJ285" s="111">
        <v>31</v>
      </c>
      <c r="BK285" s="33">
        <v>323</v>
      </c>
      <c r="BL285" s="115">
        <v>382</v>
      </c>
      <c r="BM285" s="111">
        <v>397</v>
      </c>
      <c r="BN285" s="35">
        <v>313</v>
      </c>
      <c r="BO285" s="32">
        <v>25</v>
      </c>
      <c r="BP285" s="31">
        <v>351</v>
      </c>
      <c r="BQ285" s="32">
        <v>383</v>
      </c>
      <c r="BR285" s="31">
        <v>371</v>
      </c>
      <c r="BS285" s="32">
        <v>366</v>
      </c>
      <c r="BT285" s="31">
        <v>322</v>
      </c>
      <c r="BU285" s="33">
        <v>39</v>
      </c>
      <c r="BV285" s="115">
        <v>364</v>
      </c>
      <c r="BW285" s="111">
        <v>399</v>
      </c>
      <c r="BX285" s="32">
        <v>353</v>
      </c>
      <c r="BY285" s="31">
        <v>398</v>
      </c>
      <c r="BZ285" s="32">
        <v>322</v>
      </c>
      <c r="CA285" s="111">
        <v>336</v>
      </c>
      <c r="CB285" s="32">
        <v>395</v>
      </c>
      <c r="CC285" s="33">
        <v>470</v>
      </c>
      <c r="CD285" s="34">
        <v>541</v>
      </c>
      <c r="CE285" s="120">
        <v>317</v>
      </c>
      <c r="CF285" s="42">
        <v>287</v>
      </c>
      <c r="CG285" s="31">
        <v>174</v>
      </c>
      <c r="CH285" s="35">
        <v>129</v>
      </c>
      <c r="CI285" s="35">
        <v>230</v>
      </c>
      <c r="CJ285" s="35">
        <v>274</v>
      </c>
      <c r="CK285" s="32">
        <v>272</v>
      </c>
    </row>
    <row r="286" spans="1:89" ht="13" x14ac:dyDescent="0.25">
      <c r="A286" s="27">
        <v>4611</v>
      </c>
      <c r="B286" s="28" t="s">
        <v>309</v>
      </c>
      <c r="C286" s="29">
        <v>1308</v>
      </c>
      <c r="D286" s="30">
        <v>911</v>
      </c>
      <c r="E286" s="20">
        <f t="shared" si="4"/>
        <v>0.69648318042813451</v>
      </c>
      <c r="F286" s="31">
        <v>0</v>
      </c>
      <c r="G286" s="111">
        <v>0</v>
      </c>
      <c r="H286" s="111">
        <v>0</v>
      </c>
      <c r="I286" s="111">
        <v>0</v>
      </c>
      <c r="J286" s="111">
        <v>1</v>
      </c>
      <c r="K286" s="111">
        <v>0</v>
      </c>
      <c r="L286" s="111">
        <v>0</v>
      </c>
      <c r="M286" s="111">
        <v>398</v>
      </c>
      <c r="N286" s="111">
        <v>0</v>
      </c>
      <c r="O286" s="111">
        <v>0</v>
      </c>
      <c r="P286" s="35">
        <v>7</v>
      </c>
      <c r="Q286" s="35">
        <v>0</v>
      </c>
      <c r="R286" s="35">
        <v>500</v>
      </c>
      <c r="S286" s="32">
        <v>0</v>
      </c>
      <c r="T286" s="37">
        <v>393</v>
      </c>
      <c r="U286" s="38">
        <v>491</v>
      </c>
      <c r="V286" s="37">
        <v>512</v>
      </c>
      <c r="W286" s="32">
        <v>373</v>
      </c>
      <c r="X286" s="31">
        <v>401</v>
      </c>
      <c r="Y286" s="32">
        <v>471</v>
      </c>
      <c r="Z286" s="111">
        <v>406</v>
      </c>
      <c r="AA286" s="35">
        <v>0</v>
      </c>
      <c r="AB286" s="35">
        <v>55</v>
      </c>
      <c r="AC286" s="35">
        <v>435</v>
      </c>
      <c r="AD286" s="35">
        <v>0</v>
      </c>
      <c r="AE286" s="33">
        <v>0</v>
      </c>
      <c r="AF286" s="116">
        <v>0</v>
      </c>
      <c r="AG286" s="120">
        <v>435</v>
      </c>
      <c r="AH286" s="38">
        <v>442</v>
      </c>
      <c r="AI286" s="37"/>
      <c r="AJ286" s="36"/>
      <c r="AK286" s="37">
        <v>470</v>
      </c>
      <c r="AL286" s="38">
        <v>389</v>
      </c>
      <c r="AM286" s="37"/>
      <c r="AN286" s="116"/>
      <c r="AO286" s="120"/>
      <c r="AP286" s="38"/>
      <c r="AQ286" s="37"/>
      <c r="AR286" s="116"/>
      <c r="AS286" s="120">
        <v>397</v>
      </c>
      <c r="AT286" s="38">
        <v>465</v>
      </c>
      <c r="AU286" s="37"/>
      <c r="AV286" s="120"/>
      <c r="AW286" s="120"/>
      <c r="AX286" s="37"/>
      <c r="AY286" s="38"/>
      <c r="AZ286" s="37"/>
      <c r="BA286" s="116"/>
      <c r="BB286" s="31">
        <v>479</v>
      </c>
      <c r="BC286" s="32">
        <v>384</v>
      </c>
      <c r="BD286" s="31">
        <v>474</v>
      </c>
      <c r="BE286" s="116">
        <v>386</v>
      </c>
      <c r="BF286" s="120">
        <v>383</v>
      </c>
      <c r="BG286" s="38">
        <v>471</v>
      </c>
      <c r="BH286" s="37">
        <v>509</v>
      </c>
      <c r="BI286" s="38">
        <v>354</v>
      </c>
      <c r="BJ286" s="111">
        <v>42</v>
      </c>
      <c r="BK286" s="33">
        <v>431</v>
      </c>
      <c r="BL286" s="115">
        <v>391</v>
      </c>
      <c r="BM286" s="111">
        <v>388</v>
      </c>
      <c r="BN286" s="35">
        <v>439</v>
      </c>
      <c r="BO286" s="32">
        <v>32</v>
      </c>
      <c r="BP286" s="31">
        <v>466</v>
      </c>
      <c r="BQ286" s="32">
        <v>394</v>
      </c>
      <c r="BR286" s="31">
        <v>353</v>
      </c>
      <c r="BS286" s="32">
        <v>519</v>
      </c>
      <c r="BT286" s="31">
        <v>455</v>
      </c>
      <c r="BU286" s="33">
        <v>44</v>
      </c>
      <c r="BV286" s="115">
        <v>362</v>
      </c>
      <c r="BW286" s="111">
        <v>404</v>
      </c>
      <c r="BX286" s="32">
        <v>472</v>
      </c>
      <c r="BY286" s="31">
        <v>388</v>
      </c>
      <c r="BZ286" s="32">
        <v>463</v>
      </c>
      <c r="CA286" s="111">
        <v>460</v>
      </c>
      <c r="CB286" s="32">
        <v>394</v>
      </c>
      <c r="CC286" s="33">
        <v>615</v>
      </c>
      <c r="CD286" s="34">
        <v>619</v>
      </c>
      <c r="CE286" s="120">
        <v>425</v>
      </c>
      <c r="CF286" s="42">
        <v>303</v>
      </c>
      <c r="CG286" s="31">
        <v>223</v>
      </c>
      <c r="CH286" s="35">
        <v>188</v>
      </c>
      <c r="CI286" s="35">
        <v>181</v>
      </c>
      <c r="CJ286" s="35">
        <v>239</v>
      </c>
      <c r="CK286" s="32">
        <v>439</v>
      </c>
    </row>
    <row r="287" spans="1:89" ht="13" x14ac:dyDescent="0.25">
      <c r="A287" s="27">
        <v>4612</v>
      </c>
      <c r="B287" s="28" t="s">
        <v>310</v>
      </c>
      <c r="C287" s="29">
        <v>566</v>
      </c>
      <c r="D287" s="30">
        <v>282</v>
      </c>
      <c r="E287" s="20">
        <f t="shared" si="4"/>
        <v>0.49823321554770317</v>
      </c>
      <c r="F287" s="31">
        <v>0</v>
      </c>
      <c r="G287" s="111">
        <v>0</v>
      </c>
      <c r="H287" s="111">
        <v>0</v>
      </c>
      <c r="I287" s="111">
        <v>0</v>
      </c>
      <c r="J287" s="111">
        <v>0</v>
      </c>
      <c r="K287" s="111">
        <v>0</v>
      </c>
      <c r="L287" s="111">
        <v>0</v>
      </c>
      <c r="M287" s="111">
        <v>170</v>
      </c>
      <c r="N287" s="111">
        <v>0</v>
      </c>
      <c r="O287" s="111">
        <v>0</v>
      </c>
      <c r="P287" s="35">
        <v>2</v>
      </c>
      <c r="Q287" s="35">
        <v>0</v>
      </c>
      <c r="R287" s="35">
        <v>108</v>
      </c>
      <c r="S287" s="32">
        <v>0</v>
      </c>
      <c r="T287" s="37">
        <v>171</v>
      </c>
      <c r="U287" s="38">
        <v>100</v>
      </c>
      <c r="V287" s="37">
        <v>111</v>
      </c>
      <c r="W287" s="32">
        <v>164</v>
      </c>
      <c r="X287" s="31">
        <v>169</v>
      </c>
      <c r="Y287" s="32">
        <v>101</v>
      </c>
      <c r="Z287" s="111">
        <v>174</v>
      </c>
      <c r="AA287" s="35">
        <v>0</v>
      </c>
      <c r="AB287" s="35">
        <v>17</v>
      </c>
      <c r="AC287" s="35">
        <v>86</v>
      </c>
      <c r="AD287" s="35">
        <v>0</v>
      </c>
      <c r="AE287" s="33">
        <v>0</v>
      </c>
      <c r="AF287" s="116">
        <v>0</v>
      </c>
      <c r="AG287" s="120">
        <v>178</v>
      </c>
      <c r="AH287" s="38">
        <v>95</v>
      </c>
      <c r="AI287" s="37"/>
      <c r="AJ287" s="36"/>
      <c r="AK287" s="37">
        <v>103</v>
      </c>
      <c r="AL287" s="38">
        <v>168</v>
      </c>
      <c r="AM287" s="37"/>
      <c r="AN287" s="116"/>
      <c r="AO287" s="120"/>
      <c r="AP287" s="38"/>
      <c r="AQ287" s="37"/>
      <c r="AR287" s="116"/>
      <c r="AS287" s="120">
        <v>171</v>
      </c>
      <c r="AT287" s="38">
        <v>100</v>
      </c>
      <c r="AU287" s="37"/>
      <c r="AV287" s="120"/>
      <c r="AW287" s="120"/>
      <c r="AX287" s="37"/>
      <c r="AY287" s="38"/>
      <c r="AZ287" s="37"/>
      <c r="BA287" s="116"/>
      <c r="BB287" s="31">
        <v>99</v>
      </c>
      <c r="BC287" s="32">
        <v>169</v>
      </c>
      <c r="BD287" s="31">
        <v>99</v>
      </c>
      <c r="BE287" s="116">
        <v>166</v>
      </c>
      <c r="BF287" s="120">
        <v>164</v>
      </c>
      <c r="BG287" s="38">
        <v>102</v>
      </c>
      <c r="BH287" s="37">
        <v>104</v>
      </c>
      <c r="BI287" s="38">
        <v>163</v>
      </c>
      <c r="BJ287" s="111">
        <v>13</v>
      </c>
      <c r="BK287" s="33">
        <v>86</v>
      </c>
      <c r="BL287" s="115">
        <v>169</v>
      </c>
      <c r="BM287" s="111">
        <v>170</v>
      </c>
      <c r="BN287" s="35">
        <v>88</v>
      </c>
      <c r="BO287" s="32">
        <v>10</v>
      </c>
      <c r="BP287" s="31">
        <v>100</v>
      </c>
      <c r="BQ287" s="32">
        <v>172</v>
      </c>
      <c r="BR287" s="31">
        <v>160</v>
      </c>
      <c r="BS287" s="32">
        <v>109</v>
      </c>
      <c r="BT287" s="31">
        <v>94</v>
      </c>
      <c r="BU287" s="33">
        <v>8</v>
      </c>
      <c r="BV287" s="115">
        <v>165</v>
      </c>
      <c r="BW287" s="111">
        <v>169</v>
      </c>
      <c r="BX287" s="32">
        <v>103</v>
      </c>
      <c r="BY287" s="31">
        <v>167</v>
      </c>
      <c r="BZ287" s="32">
        <v>96</v>
      </c>
      <c r="CA287" s="111">
        <v>99</v>
      </c>
      <c r="CB287" s="32">
        <v>165</v>
      </c>
      <c r="CC287" s="33">
        <v>165</v>
      </c>
      <c r="CD287" s="34">
        <v>214</v>
      </c>
      <c r="CE287" s="120">
        <v>133</v>
      </c>
      <c r="CF287" s="42">
        <v>99</v>
      </c>
      <c r="CG287" s="31">
        <v>80</v>
      </c>
      <c r="CH287" s="35">
        <v>48</v>
      </c>
      <c r="CI287" s="35">
        <v>78</v>
      </c>
      <c r="CJ287" s="35">
        <v>93</v>
      </c>
      <c r="CK287" s="32">
        <v>98</v>
      </c>
    </row>
    <row r="288" spans="1:89" ht="13" x14ac:dyDescent="0.25">
      <c r="A288" s="27">
        <v>4621</v>
      </c>
      <c r="B288" s="28" t="s">
        <v>311</v>
      </c>
      <c r="C288" s="29">
        <v>982</v>
      </c>
      <c r="D288" s="30">
        <v>594</v>
      </c>
      <c r="E288" s="20">
        <f t="shared" si="4"/>
        <v>0.60488798370672103</v>
      </c>
      <c r="F288" s="31">
        <v>0</v>
      </c>
      <c r="G288" s="111">
        <v>0</v>
      </c>
      <c r="H288" s="111">
        <v>0</v>
      </c>
      <c r="I288" s="111">
        <v>0</v>
      </c>
      <c r="J288" s="111">
        <v>1</v>
      </c>
      <c r="K288" s="111">
        <v>0</v>
      </c>
      <c r="L288" s="111">
        <v>0</v>
      </c>
      <c r="M288" s="111">
        <v>222</v>
      </c>
      <c r="N288" s="111">
        <v>0</v>
      </c>
      <c r="O288" s="111">
        <v>0</v>
      </c>
      <c r="P288" s="35">
        <v>2</v>
      </c>
      <c r="Q288" s="35">
        <v>2</v>
      </c>
      <c r="R288" s="35">
        <v>363</v>
      </c>
      <c r="S288" s="32">
        <v>0</v>
      </c>
      <c r="T288" s="37">
        <v>228</v>
      </c>
      <c r="U288" s="38">
        <v>346</v>
      </c>
      <c r="V288" s="37">
        <v>356</v>
      </c>
      <c r="W288" s="32">
        <v>219</v>
      </c>
      <c r="X288" s="31">
        <v>230</v>
      </c>
      <c r="Y288" s="32">
        <v>335</v>
      </c>
      <c r="Z288" s="111">
        <v>238</v>
      </c>
      <c r="AA288" s="35">
        <v>0</v>
      </c>
      <c r="AB288" s="35">
        <v>30</v>
      </c>
      <c r="AC288" s="35">
        <v>316</v>
      </c>
      <c r="AD288" s="35">
        <v>0</v>
      </c>
      <c r="AE288" s="33">
        <v>0</v>
      </c>
      <c r="AF288" s="116">
        <v>0</v>
      </c>
      <c r="AG288" s="120">
        <v>257</v>
      </c>
      <c r="AH288" s="38">
        <v>311</v>
      </c>
      <c r="AI288" s="37"/>
      <c r="AJ288" s="36"/>
      <c r="AK288" s="37">
        <v>336</v>
      </c>
      <c r="AL288" s="38">
        <v>227</v>
      </c>
      <c r="AM288" s="37"/>
      <c r="AN288" s="116"/>
      <c r="AO288" s="120"/>
      <c r="AP288" s="38"/>
      <c r="AQ288" s="37"/>
      <c r="AR288" s="116"/>
      <c r="AS288" s="120">
        <v>234</v>
      </c>
      <c r="AT288" s="38">
        <v>325</v>
      </c>
      <c r="AU288" s="37"/>
      <c r="AV288" s="120"/>
      <c r="AW288" s="120"/>
      <c r="AX288" s="37"/>
      <c r="AY288" s="38"/>
      <c r="AZ288" s="37"/>
      <c r="BA288" s="116"/>
      <c r="BB288" s="31">
        <v>339</v>
      </c>
      <c r="BC288" s="32">
        <v>220</v>
      </c>
      <c r="BD288" s="31">
        <v>334</v>
      </c>
      <c r="BE288" s="116">
        <v>224</v>
      </c>
      <c r="BF288" s="120">
        <v>216</v>
      </c>
      <c r="BG288" s="38">
        <v>334</v>
      </c>
      <c r="BH288" s="37">
        <v>342</v>
      </c>
      <c r="BI288" s="38">
        <v>214</v>
      </c>
      <c r="BJ288" s="111">
        <v>31</v>
      </c>
      <c r="BK288" s="33">
        <v>301</v>
      </c>
      <c r="BL288" s="115">
        <v>231</v>
      </c>
      <c r="BM288" s="111">
        <v>221</v>
      </c>
      <c r="BN288" s="35">
        <v>309</v>
      </c>
      <c r="BO288" s="32">
        <v>27</v>
      </c>
      <c r="BP288" s="31">
        <v>335</v>
      </c>
      <c r="BQ288" s="32">
        <v>227</v>
      </c>
      <c r="BR288" s="31">
        <v>209</v>
      </c>
      <c r="BS288" s="32">
        <v>350</v>
      </c>
      <c r="BT288" s="31">
        <v>322</v>
      </c>
      <c r="BU288" s="33">
        <v>27</v>
      </c>
      <c r="BV288" s="115">
        <v>209</v>
      </c>
      <c r="BW288" s="111">
        <v>247</v>
      </c>
      <c r="BX288" s="32">
        <v>323</v>
      </c>
      <c r="BY288" s="31">
        <v>239</v>
      </c>
      <c r="BZ288" s="32">
        <v>316</v>
      </c>
      <c r="CA288" s="111">
        <v>326</v>
      </c>
      <c r="CB288" s="32">
        <v>231</v>
      </c>
      <c r="CC288" s="33">
        <v>413</v>
      </c>
      <c r="CD288" s="34">
        <v>375</v>
      </c>
      <c r="CE288" s="120">
        <v>308</v>
      </c>
      <c r="CF288" s="42">
        <v>184</v>
      </c>
      <c r="CG288" s="31">
        <v>147</v>
      </c>
      <c r="CH288" s="35">
        <v>191</v>
      </c>
      <c r="CI288" s="35">
        <v>110</v>
      </c>
      <c r="CJ288" s="35">
        <v>139</v>
      </c>
      <c r="CK288" s="32">
        <v>289</v>
      </c>
    </row>
    <row r="289" spans="1:89" ht="13" x14ac:dyDescent="0.25">
      <c r="A289" s="27">
        <v>4622</v>
      </c>
      <c r="B289" s="28" t="s">
        <v>312</v>
      </c>
      <c r="C289" s="29">
        <v>579</v>
      </c>
      <c r="D289" s="30">
        <v>412</v>
      </c>
      <c r="E289" s="20">
        <f t="shared" si="4"/>
        <v>0.7115716753022453</v>
      </c>
      <c r="F289" s="31">
        <v>0</v>
      </c>
      <c r="G289" s="111">
        <v>0</v>
      </c>
      <c r="H289" s="111">
        <v>0</v>
      </c>
      <c r="I289" s="111">
        <v>0</v>
      </c>
      <c r="J289" s="111">
        <v>4</v>
      </c>
      <c r="K289" s="111">
        <v>0</v>
      </c>
      <c r="L289" s="111">
        <v>0</v>
      </c>
      <c r="M289" s="111">
        <v>145</v>
      </c>
      <c r="N289" s="111">
        <v>0</v>
      </c>
      <c r="O289" s="111">
        <v>0</v>
      </c>
      <c r="P289" s="35">
        <v>2</v>
      </c>
      <c r="Q289" s="35">
        <v>1</v>
      </c>
      <c r="R289" s="35">
        <v>257</v>
      </c>
      <c r="S289" s="32">
        <v>0</v>
      </c>
      <c r="T289" s="37">
        <v>140</v>
      </c>
      <c r="U289" s="38">
        <v>256</v>
      </c>
      <c r="V289" s="37">
        <v>264</v>
      </c>
      <c r="W289" s="32">
        <v>137</v>
      </c>
      <c r="X289" s="31">
        <v>151</v>
      </c>
      <c r="Y289" s="32">
        <v>239</v>
      </c>
      <c r="Z289" s="111">
        <v>149</v>
      </c>
      <c r="AA289" s="35">
        <v>0</v>
      </c>
      <c r="AB289" s="35">
        <v>23</v>
      </c>
      <c r="AC289" s="35">
        <v>237</v>
      </c>
      <c r="AD289" s="35">
        <v>0</v>
      </c>
      <c r="AE289" s="33">
        <v>0</v>
      </c>
      <c r="AF289" s="116">
        <v>0</v>
      </c>
      <c r="AG289" s="120">
        <v>163</v>
      </c>
      <c r="AH289" s="38">
        <v>238</v>
      </c>
      <c r="AI289" s="37"/>
      <c r="AJ289" s="36"/>
      <c r="AK289" s="37">
        <v>248</v>
      </c>
      <c r="AL289" s="38">
        <v>146</v>
      </c>
      <c r="AM289" s="37"/>
      <c r="AN289" s="116"/>
      <c r="AO289" s="120"/>
      <c r="AP289" s="38"/>
      <c r="AQ289" s="37"/>
      <c r="AR289" s="116"/>
      <c r="AS289" s="120">
        <v>152</v>
      </c>
      <c r="AT289" s="38">
        <v>238</v>
      </c>
      <c r="AU289" s="37"/>
      <c r="AV289" s="120"/>
      <c r="AW289" s="120"/>
      <c r="AX289" s="37"/>
      <c r="AY289" s="38"/>
      <c r="AZ289" s="37"/>
      <c r="BA289" s="116"/>
      <c r="BB289" s="31">
        <v>254</v>
      </c>
      <c r="BC289" s="32">
        <v>134</v>
      </c>
      <c r="BD289" s="31">
        <v>250</v>
      </c>
      <c r="BE289" s="116">
        <v>137</v>
      </c>
      <c r="BF289" s="120">
        <v>138</v>
      </c>
      <c r="BG289" s="38">
        <v>247</v>
      </c>
      <c r="BH289" s="37">
        <v>263</v>
      </c>
      <c r="BI289" s="38">
        <v>126</v>
      </c>
      <c r="BJ289" s="111">
        <v>17</v>
      </c>
      <c r="BK289" s="33">
        <v>231</v>
      </c>
      <c r="BL289" s="115">
        <v>141</v>
      </c>
      <c r="BM289" s="111">
        <v>141</v>
      </c>
      <c r="BN289" s="35">
        <v>224</v>
      </c>
      <c r="BO289" s="32">
        <v>17</v>
      </c>
      <c r="BP289" s="31">
        <v>241</v>
      </c>
      <c r="BQ289" s="32">
        <v>147</v>
      </c>
      <c r="BR289" s="31">
        <v>140</v>
      </c>
      <c r="BS289" s="32">
        <v>250</v>
      </c>
      <c r="BT289" s="31">
        <v>237</v>
      </c>
      <c r="BU289" s="33">
        <v>14</v>
      </c>
      <c r="BV289" s="115">
        <v>132</v>
      </c>
      <c r="BW289" s="111">
        <v>147</v>
      </c>
      <c r="BX289" s="32">
        <v>243</v>
      </c>
      <c r="BY289" s="31">
        <v>143</v>
      </c>
      <c r="BZ289" s="32">
        <v>235</v>
      </c>
      <c r="CA289" s="111">
        <v>235</v>
      </c>
      <c r="CB289" s="32">
        <v>146</v>
      </c>
      <c r="CC289" s="33">
        <v>283</v>
      </c>
      <c r="CD289" s="34">
        <v>249</v>
      </c>
      <c r="CE289" s="120">
        <v>206</v>
      </c>
      <c r="CF289" s="42">
        <v>116</v>
      </c>
      <c r="CG289" s="31">
        <v>81</v>
      </c>
      <c r="CH289" s="35">
        <v>129</v>
      </c>
      <c r="CI289" s="35">
        <v>72</v>
      </c>
      <c r="CJ289" s="35">
        <v>92</v>
      </c>
      <c r="CK289" s="32">
        <v>201</v>
      </c>
    </row>
    <row r="290" spans="1:89" ht="13" x14ac:dyDescent="0.25">
      <c r="A290" s="27">
        <v>4631</v>
      </c>
      <c r="B290" s="28" t="s">
        <v>313</v>
      </c>
      <c r="C290" s="29">
        <v>1169</v>
      </c>
      <c r="D290" s="30">
        <v>790</v>
      </c>
      <c r="E290" s="20">
        <f t="shared" si="4"/>
        <v>0.67579127459366983</v>
      </c>
      <c r="F290" s="31">
        <v>0</v>
      </c>
      <c r="G290" s="111">
        <v>0</v>
      </c>
      <c r="H290" s="111">
        <v>0</v>
      </c>
      <c r="I290" s="111">
        <v>0</v>
      </c>
      <c r="J290" s="111">
        <v>1</v>
      </c>
      <c r="K290" s="111">
        <v>0</v>
      </c>
      <c r="L290" s="111">
        <v>0</v>
      </c>
      <c r="M290" s="111">
        <v>332</v>
      </c>
      <c r="N290" s="111">
        <v>0</v>
      </c>
      <c r="O290" s="111">
        <v>0</v>
      </c>
      <c r="P290" s="35">
        <v>6</v>
      </c>
      <c r="Q290" s="35">
        <v>1</v>
      </c>
      <c r="R290" s="35">
        <v>440</v>
      </c>
      <c r="S290" s="32">
        <v>0</v>
      </c>
      <c r="T290" s="31">
        <v>313</v>
      </c>
      <c r="U290" s="32">
        <v>443</v>
      </c>
      <c r="V290" s="31">
        <v>448</v>
      </c>
      <c r="W290" s="32">
        <v>310</v>
      </c>
      <c r="X290" s="31">
        <v>323</v>
      </c>
      <c r="Y290" s="32">
        <v>415</v>
      </c>
      <c r="Z290" s="111">
        <v>346</v>
      </c>
      <c r="AA290" s="35">
        <v>0</v>
      </c>
      <c r="AB290" s="35">
        <v>37</v>
      </c>
      <c r="AC290" s="35">
        <v>388</v>
      </c>
      <c r="AD290" s="35">
        <v>0</v>
      </c>
      <c r="AE290" s="33">
        <v>0</v>
      </c>
      <c r="AF290" s="115">
        <v>0</v>
      </c>
      <c r="AG290" s="111">
        <v>359</v>
      </c>
      <c r="AH290" s="32">
        <v>383</v>
      </c>
      <c r="AI290" s="31"/>
      <c r="AJ290" s="33"/>
      <c r="AK290" s="31">
        <v>420</v>
      </c>
      <c r="AL290" s="32">
        <v>316</v>
      </c>
      <c r="AM290" s="31"/>
      <c r="AN290" s="115"/>
      <c r="AO290" s="111"/>
      <c r="AP290" s="32"/>
      <c r="AQ290" s="31"/>
      <c r="AR290" s="115"/>
      <c r="AS290" s="111">
        <v>329</v>
      </c>
      <c r="AT290" s="32">
        <v>404</v>
      </c>
      <c r="AU290" s="31"/>
      <c r="AV290" s="111"/>
      <c r="AW290" s="111"/>
      <c r="AX290" s="31"/>
      <c r="AY290" s="32"/>
      <c r="AZ290" s="31"/>
      <c r="BA290" s="115"/>
      <c r="BB290" s="31">
        <v>428</v>
      </c>
      <c r="BC290" s="32">
        <v>304</v>
      </c>
      <c r="BD290" s="31">
        <v>414</v>
      </c>
      <c r="BE290" s="115">
        <v>313</v>
      </c>
      <c r="BF290" s="111">
        <v>309</v>
      </c>
      <c r="BG290" s="32">
        <v>413</v>
      </c>
      <c r="BH290" s="31">
        <v>445</v>
      </c>
      <c r="BI290" s="32">
        <v>286</v>
      </c>
      <c r="BJ290" s="111">
        <v>37</v>
      </c>
      <c r="BK290" s="33">
        <v>381</v>
      </c>
      <c r="BL290" s="115">
        <v>321</v>
      </c>
      <c r="BM290" s="111">
        <v>328</v>
      </c>
      <c r="BN290" s="35">
        <v>380</v>
      </c>
      <c r="BO290" s="32">
        <v>30</v>
      </c>
      <c r="BP290" s="31">
        <v>409</v>
      </c>
      <c r="BQ290" s="32">
        <v>326</v>
      </c>
      <c r="BR290" s="31">
        <v>289</v>
      </c>
      <c r="BS290" s="32">
        <v>459</v>
      </c>
      <c r="BT290" s="31">
        <v>405</v>
      </c>
      <c r="BU290" s="33">
        <v>34</v>
      </c>
      <c r="BV290" s="115">
        <v>295</v>
      </c>
      <c r="BW290" s="111">
        <v>324</v>
      </c>
      <c r="BX290" s="32">
        <v>422</v>
      </c>
      <c r="BY290" s="31">
        <v>316</v>
      </c>
      <c r="BZ290" s="32">
        <v>408</v>
      </c>
      <c r="CA290" s="111">
        <v>419</v>
      </c>
      <c r="CB290" s="32">
        <v>311</v>
      </c>
      <c r="CC290" s="33">
        <v>521</v>
      </c>
      <c r="CD290" s="34">
        <v>534</v>
      </c>
      <c r="CE290" s="111">
        <v>375</v>
      </c>
      <c r="CF290" s="42">
        <v>245</v>
      </c>
      <c r="CG290" s="31">
        <v>187</v>
      </c>
      <c r="CH290" s="35">
        <v>194</v>
      </c>
      <c r="CI290" s="35">
        <v>185</v>
      </c>
      <c r="CJ290" s="35">
        <v>192</v>
      </c>
      <c r="CK290" s="32">
        <v>349</v>
      </c>
    </row>
    <row r="291" spans="1:89" ht="13" x14ac:dyDescent="0.25">
      <c r="A291" s="27">
        <v>4632</v>
      </c>
      <c r="B291" s="28" t="s">
        <v>314</v>
      </c>
      <c r="C291" s="29">
        <v>759</v>
      </c>
      <c r="D291" s="30">
        <v>590</v>
      </c>
      <c r="E291" s="20">
        <f t="shared" si="4"/>
        <v>0.77733860342555994</v>
      </c>
      <c r="F291" s="31">
        <v>0</v>
      </c>
      <c r="G291" s="111">
        <v>0</v>
      </c>
      <c r="H291" s="111">
        <v>0</v>
      </c>
      <c r="I291" s="111">
        <v>0</v>
      </c>
      <c r="J291" s="111">
        <v>2</v>
      </c>
      <c r="K291" s="111">
        <v>0</v>
      </c>
      <c r="L291" s="111">
        <v>0</v>
      </c>
      <c r="M291" s="111">
        <v>206</v>
      </c>
      <c r="N291" s="111">
        <v>0</v>
      </c>
      <c r="O291" s="111">
        <v>0</v>
      </c>
      <c r="P291" s="35">
        <v>3</v>
      </c>
      <c r="Q291" s="35">
        <v>1</v>
      </c>
      <c r="R291" s="35">
        <v>374</v>
      </c>
      <c r="S291" s="32">
        <v>0</v>
      </c>
      <c r="T291" s="31">
        <v>192</v>
      </c>
      <c r="U291" s="32">
        <v>375</v>
      </c>
      <c r="V291" s="31">
        <v>393</v>
      </c>
      <c r="W291" s="32">
        <v>180</v>
      </c>
      <c r="X291" s="31">
        <v>199</v>
      </c>
      <c r="Y291" s="32">
        <v>355</v>
      </c>
      <c r="Z291" s="111">
        <v>218</v>
      </c>
      <c r="AA291" s="35">
        <v>0</v>
      </c>
      <c r="AB291" s="35">
        <v>22</v>
      </c>
      <c r="AC291" s="35">
        <v>333</v>
      </c>
      <c r="AD291" s="35">
        <v>0</v>
      </c>
      <c r="AE291" s="33">
        <v>0</v>
      </c>
      <c r="AF291" s="115">
        <v>0</v>
      </c>
      <c r="AG291" s="111">
        <v>229</v>
      </c>
      <c r="AH291" s="32">
        <v>330</v>
      </c>
      <c r="AI291" s="31"/>
      <c r="AJ291" s="33"/>
      <c r="AK291" s="31">
        <v>359</v>
      </c>
      <c r="AL291" s="32">
        <v>195</v>
      </c>
      <c r="AM291" s="31"/>
      <c r="AN291" s="115"/>
      <c r="AO291" s="111"/>
      <c r="AP291" s="32"/>
      <c r="AQ291" s="31"/>
      <c r="AR291" s="115"/>
      <c r="AS291" s="111">
        <v>208</v>
      </c>
      <c r="AT291" s="32">
        <v>343</v>
      </c>
      <c r="AU291" s="31"/>
      <c r="AV291" s="111"/>
      <c r="AW291" s="111"/>
      <c r="AX291" s="31"/>
      <c r="AY291" s="32"/>
      <c r="AZ291" s="31"/>
      <c r="BA291" s="115"/>
      <c r="BB291" s="31">
        <v>369</v>
      </c>
      <c r="BC291" s="32">
        <v>182</v>
      </c>
      <c r="BD291" s="31">
        <v>345</v>
      </c>
      <c r="BE291" s="115">
        <v>199</v>
      </c>
      <c r="BF291" s="111">
        <v>192</v>
      </c>
      <c r="BG291" s="32">
        <v>353</v>
      </c>
      <c r="BH291" s="31">
        <v>369</v>
      </c>
      <c r="BI291" s="32">
        <v>182</v>
      </c>
      <c r="BJ291" s="111">
        <v>29</v>
      </c>
      <c r="BK291" s="33">
        <v>332</v>
      </c>
      <c r="BL291" s="115">
        <v>191</v>
      </c>
      <c r="BM291" s="111">
        <v>204</v>
      </c>
      <c r="BN291" s="35">
        <v>326</v>
      </c>
      <c r="BO291" s="32">
        <v>21</v>
      </c>
      <c r="BP291" s="31">
        <v>351</v>
      </c>
      <c r="BQ291" s="32">
        <v>200</v>
      </c>
      <c r="BR291" s="31">
        <v>177</v>
      </c>
      <c r="BS291" s="32">
        <v>385</v>
      </c>
      <c r="BT291" s="31">
        <v>343</v>
      </c>
      <c r="BU291" s="33">
        <v>24</v>
      </c>
      <c r="BV291" s="115">
        <v>180</v>
      </c>
      <c r="BW291" s="111">
        <v>209</v>
      </c>
      <c r="BX291" s="32">
        <v>353</v>
      </c>
      <c r="BY291" s="31">
        <v>203</v>
      </c>
      <c r="BZ291" s="32">
        <v>342</v>
      </c>
      <c r="CA291" s="111">
        <v>353</v>
      </c>
      <c r="CB291" s="32">
        <v>198</v>
      </c>
      <c r="CC291" s="33">
        <v>408</v>
      </c>
      <c r="CD291" s="34">
        <v>383</v>
      </c>
      <c r="CE291" s="111">
        <v>303</v>
      </c>
      <c r="CF291" s="42">
        <v>176</v>
      </c>
      <c r="CG291" s="31">
        <v>125</v>
      </c>
      <c r="CH291" s="35">
        <v>189</v>
      </c>
      <c r="CI291" s="35">
        <v>102</v>
      </c>
      <c r="CJ291" s="35">
        <v>128</v>
      </c>
      <c r="CK291" s="32">
        <v>309</v>
      </c>
    </row>
    <row r="292" spans="1:89" ht="13" x14ac:dyDescent="0.25">
      <c r="A292" s="27">
        <v>4641</v>
      </c>
      <c r="B292" s="28" t="s">
        <v>315</v>
      </c>
      <c r="C292" s="29">
        <v>837</v>
      </c>
      <c r="D292" s="30">
        <v>659</v>
      </c>
      <c r="E292" s="20">
        <f t="shared" si="4"/>
        <v>0.78733572281959374</v>
      </c>
      <c r="F292" s="31">
        <v>0</v>
      </c>
      <c r="G292" s="111">
        <v>0</v>
      </c>
      <c r="H292" s="111">
        <v>0</v>
      </c>
      <c r="I292" s="111">
        <v>0</v>
      </c>
      <c r="J292" s="111">
        <v>0</v>
      </c>
      <c r="K292" s="111">
        <v>0</v>
      </c>
      <c r="L292" s="111">
        <v>0</v>
      </c>
      <c r="M292" s="111">
        <v>222</v>
      </c>
      <c r="N292" s="111">
        <v>0</v>
      </c>
      <c r="O292" s="111">
        <v>0</v>
      </c>
      <c r="P292" s="35">
        <v>8</v>
      </c>
      <c r="Q292" s="35">
        <v>3</v>
      </c>
      <c r="R292" s="35">
        <v>421</v>
      </c>
      <c r="S292" s="32">
        <v>0</v>
      </c>
      <c r="T292" s="31">
        <v>198</v>
      </c>
      <c r="U292" s="32">
        <v>426</v>
      </c>
      <c r="V292" s="31">
        <v>434</v>
      </c>
      <c r="W292" s="32">
        <v>198</v>
      </c>
      <c r="X292" s="31">
        <v>203</v>
      </c>
      <c r="Y292" s="32">
        <v>413</v>
      </c>
      <c r="Z292" s="111">
        <v>233</v>
      </c>
      <c r="AA292" s="35">
        <v>0</v>
      </c>
      <c r="AB292" s="35">
        <v>31</v>
      </c>
      <c r="AC292" s="35">
        <v>378</v>
      </c>
      <c r="AD292" s="35">
        <v>0</v>
      </c>
      <c r="AE292" s="33">
        <v>0</v>
      </c>
      <c r="AF292" s="115">
        <v>0</v>
      </c>
      <c r="AG292" s="111">
        <v>248</v>
      </c>
      <c r="AH292" s="32">
        <v>383</v>
      </c>
      <c r="AI292" s="31"/>
      <c r="AJ292" s="33"/>
      <c r="AK292" s="31">
        <v>401</v>
      </c>
      <c r="AL292" s="32">
        <v>208</v>
      </c>
      <c r="AM292" s="31"/>
      <c r="AN292" s="115"/>
      <c r="AO292" s="111"/>
      <c r="AP292" s="32"/>
      <c r="AQ292" s="31"/>
      <c r="AR292" s="115"/>
      <c r="AS292" s="111">
        <v>214</v>
      </c>
      <c r="AT292" s="32">
        <v>394</v>
      </c>
      <c r="AU292" s="31"/>
      <c r="AV292" s="111"/>
      <c r="AW292" s="111"/>
      <c r="AX292" s="31"/>
      <c r="AY292" s="32"/>
      <c r="AZ292" s="31"/>
      <c r="BA292" s="115"/>
      <c r="BB292" s="31">
        <v>422</v>
      </c>
      <c r="BC292" s="32">
        <v>179</v>
      </c>
      <c r="BD292" s="31">
        <v>402</v>
      </c>
      <c r="BE292" s="115">
        <v>198</v>
      </c>
      <c r="BF292" s="111">
        <v>183</v>
      </c>
      <c r="BG292" s="32">
        <v>412</v>
      </c>
      <c r="BH292" s="31">
        <v>434</v>
      </c>
      <c r="BI292" s="32">
        <v>170</v>
      </c>
      <c r="BJ292" s="111">
        <v>43</v>
      </c>
      <c r="BK292" s="33">
        <v>364</v>
      </c>
      <c r="BL292" s="115">
        <v>199</v>
      </c>
      <c r="BM292" s="111">
        <v>213</v>
      </c>
      <c r="BN292" s="35">
        <v>374</v>
      </c>
      <c r="BO292" s="32">
        <v>19</v>
      </c>
      <c r="BP292" s="31">
        <v>410</v>
      </c>
      <c r="BQ292" s="32">
        <v>199</v>
      </c>
      <c r="BR292" s="31">
        <v>182</v>
      </c>
      <c r="BS292" s="32">
        <v>438</v>
      </c>
      <c r="BT292" s="31">
        <v>379</v>
      </c>
      <c r="BU292" s="33">
        <v>39</v>
      </c>
      <c r="BV292" s="115">
        <v>178</v>
      </c>
      <c r="BW292" s="111">
        <v>214</v>
      </c>
      <c r="BX292" s="32">
        <v>398</v>
      </c>
      <c r="BY292" s="31">
        <v>200</v>
      </c>
      <c r="BZ292" s="32">
        <v>391</v>
      </c>
      <c r="CA292" s="111">
        <v>391</v>
      </c>
      <c r="CB292" s="32">
        <v>207</v>
      </c>
      <c r="CC292" s="33">
        <v>466</v>
      </c>
      <c r="CD292" s="34">
        <v>404</v>
      </c>
      <c r="CE292" s="111">
        <v>357</v>
      </c>
      <c r="CF292" s="42">
        <v>173</v>
      </c>
      <c r="CG292" s="31">
        <v>163</v>
      </c>
      <c r="CH292" s="35">
        <v>220</v>
      </c>
      <c r="CI292" s="35">
        <v>85</v>
      </c>
      <c r="CJ292" s="35">
        <v>125</v>
      </c>
      <c r="CK292" s="32">
        <v>386</v>
      </c>
    </row>
    <row r="293" spans="1:89" ht="13" x14ac:dyDescent="0.25">
      <c r="A293" s="27">
        <v>4642</v>
      </c>
      <c r="B293" s="28" t="s">
        <v>316</v>
      </c>
      <c r="C293" s="29">
        <v>1098</v>
      </c>
      <c r="D293" s="30">
        <v>913</v>
      </c>
      <c r="E293" s="20">
        <f t="shared" si="4"/>
        <v>0.83151183970856102</v>
      </c>
      <c r="F293" s="31">
        <v>0</v>
      </c>
      <c r="G293" s="111">
        <v>0</v>
      </c>
      <c r="H293" s="111">
        <v>0</v>
      </c>
      <c r="I293" s="111">
        <v>0</v>
      </c>
      <c r="J293" s="111">
        <v>3</v>
      </c>
      <c r="K293" s="111">
        <v>0</v>
      </c>
      <c r="L293" s="111">
        <v>0</v>
      </c>
      <c r="M293" s="111">
        <v>292</v>
      </c>
      <c r="N293" s="111">
        <v>0</v>
      </c>
      <c r="O293" s="111">
        <v>0</v>
      </c>
      <c r="P293" s="35">
        <v>3</v>
      </c>
      <c r="Q293" s="35">
        <v>2</v>
      </c>
      <c r="R293" s="35">
        <v>601</v>
      </c>
      <c r="S293" s="32">
        <v>0</v>
      </c>
      <c r="T293" s="31">
        <v>288</v>
      </c>
      <c r="U293" s="32">
        <v>592</v>
      </c>
      <c r="V293" s="31">
        <v>631</v>
      </c>
      <c r="W293" s="32">
        <v>255</v>
      </c>
      <c r="X293" s="31">
        <v>287</v>
      </c>
      <c r="Y293" s="32">
        <v>588</v>
      </c>
      <c r="Z293" s="111">
        <v>315</v>
      </c>
      <c r="AA293" s="35">
        <v>0</v>
      </c>
      <c r="AB293" s="35">
        <v>28</v>
      </c>
      <c r="AC293" s="35">
        <v>557</v>
      </c>
      <c r="AD293" s="35">
        <v>0</v>
      </c>
      <c r="AE293" s="33">
        <v>0</v>
      </c>
      <c r="AF293" s="115">
        <v>0</v>
      </c>
      <c r="AG293" s="111">
        <v>332</v>
      </c>
      <c r="AH293" s="32">
        <v>551</v>
      </c>
      <c r="AI293" s="31"/>
      <c r="AJ293" s="33"/>
      <c r="AK293" s="31">
        <v>583</v>
      </c>
      <c r="AL293" s="32">
        <v>285</v>
      </c>
      <c r="AM293" s="31"/>
      <c r="AN293" s="115"/>
      <c r="AO293" s="111"/>
      <c r="AP293" s="32"/>
      <c r="AQ293" s="31"/>
      <c r="AR293" s="115"/>
      <c r="AS293" s="111">
        <v>289</v>
      </c>
      <c r="AT293" s="32">
        <v>578</v>
      </c>
      <c r="AU293" s="31"/>
      <c r="AV293" s="111"/>
      <c r="AW293" s="111"/>
      <c r="AX293" s="31"/>
      <c r="AY293" s="32"/>
      <c r="AZ293" s="31"/>
      <c r="BA293" s="115"/>
      <c r="BB293" s="31">
        <v>602</v>
      </c>
      <c r="BC293" s="32">
        <v>257</v>
      </c>
      <c r="BD293" s="31">
        <v>586</v>
      </c>
      <c r="BE293" s="115">
        <v>268</v>
      </c>
      <c r="BF293" s="111">
        <v>271</v>
      </c>
      <c r="BG293" s="32">
        <v>573</v>
      </c>
      <c r="BH293" s="31">
        <v>622</v>
      </c>
      <c r="BI293" s="32">
        <v>229</v>
      </c>
      <c r="BJ293" s="111">
        <v>44</v>
      </c>
      <c r="BK293" s="33">
        <v>547</v>
      </c>
      <c r="BL293" s="115">
        <v>267</v>
      </c>
      <c r="BM293" s="111">
        <v>287</v>
      </c>
      <c r="BN293" s="35">
        <v>538</v>
      </c>
      <c r="BO293" s="32">
        <v>32</v>
      </c>
      <c r="BP293" s="31">
        <v>571</v>
      </c>
      <c r="BQ293" s="32">
        <v>289</v>
      </c>
      <c r="BR293" s="31">
        <v>233</v>
      </c>
      <c r="BS293" s="32">
        <v>636</v>
      </c>
      <c r="BT293" s="31">
        <v>560</v>
      </c>
      <c r="BU293" s="33">
        <v>40</v>
      </c>
      <c r="BV293" s="115">
        <v>251</v>
      </c>
      <c r="BW293" s="111">
        <v>293</v>
      </c>
      <c r="BX293" s="32">
        <v>580</v>
      </c>
      <c r="BY293" s="31">
        <v>273</v>
      </c>
      <c r="BZ293" s="32">
        <v>568</v>
      </c>
      <c r="CA293" s="111">
        <v>567</v>
      </c>
      <c r="CB293" s="32">
        <v>282</v>
      </c>
      <c r="CC293" s="33">
        <v>685</v>
      </c>
      <c r="CD293" s="34">
        <v>587</v>
      </c>
      <c r="CE293" s="111">
        <v>504</v>
      </c>
      <c r="CF293" s="42">
        <v>235</v>
      </c>
      <c r="CG293" s="31">
        <v>250</v>
      </c>
      <c r="CH293" s="35">
        <v>303</v>
      </c>
      <c r="CI293" s="35">
        <v>126</v>
      </c>
      <c r="CJ293" s="35">
        <v>168</v>
      </c>
      <c r="CK293" s="32">
        <v>535</v>
      </c>
    </row>
    <row r="294" spans="1:89" ht="13" x14ac:dyDescent="0.25">
      <c r="A294" s="27">
        <v>4911</v>
      </c>
      <c r="B294" s="28" t="s">
        <v>317</v>
      </c>
      <c r="C294" s="29">
        <v>1004</v>
      </c>
      <c r="D294" s="30">
        <v>609</v>
      </c>
      <c r="E294" s="20">
        <f t="shared" si="4"/>
        <v>0.60657370517928288</v>
      </c>
      <c r="F294" s="31">
        <v>0</v>
      </c>
      <c r="G294" s="111">
        <v>0</v>
      </c>
      <c r="H294" s="111">
        <v>0</v>
      </c>
      <c r="I294" s="111">
        <v>0</v>
      </c>
      <c r="J294" s="111">
        <v>3</v>
      </c>
      <c r="K294" s="111">
        <v>0</v>
      </c>
      <c r="L294" s="111">
        <v>0</v>
      </c>
      <c r="M294" s="111">
        <v>289</v>
      </c>
      <c r="N294" s="111">
        <v>0</v>
      </c>
      <c r="O294" s="111">
        <v>0</v>
      </c>
      <c r="P294" s="35">
        <v>2</v>
      </c>
      <c r="Q294" s="35">
        <v>0</v>
      </c>
      <c r="R294" s="35">
        <v>305</v>
      </c>
      <c r="S294" s="32">
        <v>0</v>
      </c>
      <c r="T294" s="31">
        <v>277</v>
      </c>
      <c r="U294" s="32">
        <v>301</v>
      </c>
      <c r="V294" s="31">
        <v>309</v>
      </c>
      <c r="W294" s="32">
        <v>269</v>
      </c>
      <c r="X294" s="31">
        <v>274</v>
      </c>
      <c r="Y294" s="32">
        <v>300</v>
      </c>
      <c r="Z294" s="111">
        <v>292</v>
      </c>
      <c r="AA294" s="35">
        <v>0</v>
      </c>
      <c r="AB294" s="35">
        <v>29</v>
      </c>
      <c r="AC294" s="35">
        <v>273</v>
      </c>
      <c r="AD294" s="35">
        <v>0</v>
      </c>
      <c r="AE294" s="33">
        <v>0</v>
      </c>
      <c r="AF294" s="115">
        <v>0</v>
      </c>
      <c r="AG294" s="111">
        <v>20</v>
      </c>
      <c r="AH294" s="32">
        <v>33</v>
      </c>
      <c r="AI294" s="31">
        <v>260</v>
      </c>
      <c r="AJ294" s="33">
        <v>265</v>
      </c>
      <c r="AK294" s="31"/>
      <c r="AL294" s="32"/>
      <c r="AM294" s="31"/>
      <c r="AN294" s="115"/>
      <c r="AO294" s="111"/>
      <c r="AP294" s="32"/>
      <c r="AQ294" s="31"/>
      <c r="AR294" s="115"/>
      <c r="AS294" s="111"/>
      <c r="AT294" s="32"/>
      <c r="AU294" s="31">
        <v>279</v>
      </c>
      <c r="AV294" s="111">
        <v>0</v>
      </c>
      <c r="AW294" s="111">
        <v>293</v>
      </c>
      <c r="AX294" s="31"/>
      <c r="AY294" s="32"/>
      <c r="AZ294" s="31"/>
      <c r="BA294" s="115"/>
      <c r="BB294" s="31">
        <v>306</v>
      </c>
      <c r="BC294" s="32">
        <v>265</v>
      </c>
      <c r="BD294" s="31">
        <v>300</v>
      </c>
      <c r="BE294" s="115">
        <v>268</v>
      </c>
      <c r="BF294" s="111">
        <v>266</v>
      </c>
      <c r="BG294" s="32">
        <v>300</v>
      </c>
      <c r="BH294" s="31">
        <v>310</v>
      </c>
      <c r="BI294" s="32">
        <v>255</v>
      </c>
      <c r="BJ294" s="111">
        <v>28</v>
      </c>
      <c r="BK294" s="33">
        <v>283</v>
      </c>
      <c r="BL294" s="115">
        <v>262</v>
      </c>
      <c r="BM294" s="111">
        <v>273</v>
      </c>
      <c r="BN294" s="35">
        <v>271</v>
      </c>
      <c r="BO294" s="32">
        <v>23</v>
      </c>
      <c r="BP294" s="31">
        <v>298</v>
      </c>
      <c r="BQ294" s="32">
        <v>275</v>
      </c>
      <c r="BR294" s="31">
        <v>257</v>
      </c>
      <c r="BS294" s="32">
        <v>327</v>
      </c>
      <c r="BT294" s="31">
        <v>292</v>
      </c>
      <c r="BU294" s="33">
        <v>28</v>
      </c>
      <c r="BV294" s="115">
        <v>249</v>
      </c>
      <c r="BW294" s="111">
        <v>285</v>
      </c>
      <c r="BX294" s="32">
        <v>297</v>
      </c>
      <c r="BY294" s="31">
        <v>275</v>
      </c>
      <c r="BZ294" s="32">
        <v>291</v>
      </c>
      <c r="CA294" s="111">
        <v>289</v>
      </c>
      <c r="CB294" s="32">
        <v>279</v>
      </c>
      <c r="CC294" s="33">
        <v>393</v>
      </c>
      <c r="CD294" s="34">
        <v>418</v>
      </c>
      <c r="CE294" s="111">
        <v>234</v>
      </c>
      <c r="CF294" s="38">
        <v>221</v>
      </c>
      <c r="CG294" s="31">
        <v>124</v>
      </c>
      <c r="CH294" s="35">
        <v>128</v>
      </c>
      <c r="CI294" s="35">
        <v>133</v>
      </c>
      <c r="CJ294" s="35">
        <v>176</v>
      </c>
      <c r="CK294" s="32">
        <v>227</v>
      </c>
    </row>
    <row r="295" spans="1:89" ht="13" x14ac:dyDescent="0.25">
      <c r="A295" s="27">
        <v>4912</v>
      </c>
      <c r="B295" s="28" t="s">
        <v>318</v>
      </c>
      <c r="C295" s="29">
        <v>844</v>
      </c>
      <c r="D295" s="30">
        <v>537</v>
      </c>
      <c r="E295" s="20">
        <f t="shared" si="4"/>
        <v>0.63625592417061616</v>
      </c>
      <c r="F295" s="31">
        <v>0</v>
      </c>
      <c r="G295" s="111">
        <v>0</v>
      </c>
      <c r="H295" s="111">
        <v>0</v>
      </c>
      <c r="I295" s="111">
        <v>0</v>
      </c>
      <c r="J295" s="111">
        <v>1</v>
      </c>
      <c r="K295" s="111">
        <v>0</v>
      </c>
      <c r="L295" s="111">
        <v>0</v>
      </c>
      <c r="M295" s="111">
        <v>311</v>
      </c>
      <c r="N295" s="111">
        <v>0</v>
      </c>
      <c r="O295" s="111">
        <v>0</v>
      </c>
      <c r="P295" s="35">
        <v>3</v>
      </c>
      <c r="Q295" s="35">
        <v>0</v>
      </c>
      <c r="R295" s="35">
        <v>211</v>
      </c>
      <c r="S295" s="32">
        <v>0</v>
      </c>
      <c r="T295" s="31">
        <v>306</v>
      </c>
      <c r="U295" s="32">
        <v>208</v>
      </c>
      <c r="V295" s="31">
        <v>221</v>
      </c>
      <c r="W295" s="32">
        <v>295</v>
      </c>
      <c r="X295" s="31">
        <v>301</v>
      </c>
      <c r="Y295" s="32">
        <v>203</v>
      </c>
      <c r="Z295" s="111">
        <v>305</v>
      </c>
      <c r="AA295" s="35">
        <v>0</v>
      </c>
      <c r="AB295" s="35">
        <v>24</v>
      </c>
      <c r="AC295" s="35">
        <v>190</v>
      </c>
      <c r="AD295" s="35">
        <v>0</v>
      </c>
      <c r="AE295" s="33">
        <v>0</v>
      </c>
      <c r="AF295" s="115">
        <v>0</v>
      </c>
      <c r="AG295" s="111"/>
      <c r="AH295" s="32"/>
      <c r="AI295" s="31">
        <v>200</v>
      </c>
      <c r="AJ295" s="33">
        <v>305</v>
      </c>
      <c r="AK295" s="31"/>
      <c r="AL295" s="32"/>
      <c r="AM295" s="31"/>
      <c r="AN295" s="115"/>
      <c r="AO295" s="111"/>
      <c r="AP295" s="32"/>
      <c r="AQ295" s="31"/>
      <c r="AR295" s="115"/>
      <c r="AS295" s="111"/>
      <c r="AT295" s="32"/>
      <c r="AU295" s="31">
        <v>297</v>
      </c>
      <c r="AV295" s="111">
        <v>0</v>
      </c>
      <c r="AW295" s="111">
        <v>204</v>
      </c>
      <c r="AX295" s="31"/>
      <c r="AY295" s="32"/>
      <c r="AZ295" s="31"/>
      <c r="BA295" s="115"/>
      <c r="BB295" s="31">
        <v>205</v>
      </c>
      <c r="BC295" s="32">
        <v>291</v>
      </c>
      <c r="BD295" s="31">
        <v>201</v>
      </c>
      <c r="BE295" s="115">
        <v>292</v>
      </c>
      <c r="BF295" s="111">
        <v>293</v>
      </c>
      <c r="BG295" s="32">
        <v>201</v>
      </c>
      <c r="BH295" s="31">
        <v>207</v>
      </c>
      <c r="BI295" s="32">
        <v>287</v>
      </c>
      <c r="BJ295" s="111">
        <v>22</v>
      </c>
      <c r="BK295" s="33">
        <v>186</v>
      </c>
      <c r="BL295" s="115">
        <v>298</v>
      </c>
      <c r="BM295" s="111">
        <v>294</v>
      </c>
      <c r="BN295" s="35">
        <v>185</v>
      </c>
      <c r="BO295" s="32">
        <v>17</v>
      </c>
      <c r="BP295" s="31">
        <v>201</v>
      </c>
      <c r="BQ295" s="32">
        <v>293</v>
      </c>
      <c r="BR295" s="31">
        <v>273</v>
      </c>
      <c r="BS295" s="32">
        <v>227</v>
      </c>
      <c r="BT295" s="31">
        <v>178</v>
      </c>
      <c r="BU295" s="33">
        <v>25</v>
      </c>
      <c r="BV295" s="115">
        <v>292</v>
      </c>
      <c r="BW295" s="111">
        <v>303</v>
      </c>
      <c r="BX295" s="32">
        <v>202</v>
      </c>
      <c r="BY295" s="31">
        <v>297</v>
      </c>
      <c r="BZ295" s="32">
        <v>194</v>
      </c>
      <c r="CA295" s="111">
        <v>208</v>
      </c>
      <c r="CB295" s="32">
        <v>285</v>
      </c>
      <c r="CC295" s="33">
        <v>312</v>
      </c>
      <c r="CD295" s="34">
        <v>405</v>
      </c>
      <c r="CE295" s="111">
        <v>218</v>
      </c>
      <c r="CF295" s="38">
        <v>214</v>
      </c>
      <c r="CG295" s="31">
        <v>100</v>
      </c>
      <c r="CH295" s="35">
        <v>112</v>
      </c>
      <c r="CI295" s="35">
        <v>171</v>
      </c>
      <c r="CJ295" s="35">
        <v>204</v>
      </c>
      <c r="CK295" s="32">
        <v>183</v>
      </c>
    </row>
    <row r="296" spans="1:89" ht="13" x14ac:dyDescent="0.25">
      <c r="A296" s="27">
        <v>4921</v>
      </c>
      <c r="B296" s="28" t="s">
        <v>319</v>
      </c>
      <c r="C296" s="29">
        <v>840</v>
      </c>
      <c r="D296" s="30">
        <v>678</v>
      </c>
      <c r="E296" s="20">
        <f t="shared" si="4"/>
        <v>0.80714285714285716</v>
      </c>
      <c r="F296" s="31">
        <v>0</v>
      </c>
      <c r="G296" s="111">
        <v>0</v>
      </c>
      <c r="H296" s="111">
        <v>0</v>
      </c>
      <c r="I296" s="111">
        <v>0</v>
      </c>
      <c r="J296" s="111">
        <v>0</v>
      </c>
      <c r="K296" s="111">
        <v>0</v>
      </c>
      <c r="L296" s="111">
        <v>0</v>
      </c>
      <c r="M296" s="111">
        <v>351</v>
      </c>
      <c r="N296" s="111">
        <v>0</v>
      </c>
      <c r="O296" s="111">
        <v>0</v>
      </c>
      <c r="P296" s="35">
        <v>4</v>
      </c>
      <c r="Q296" s="35">
        <v>2</v>
      </c>
      <c r="R296" s="35">
        <v>305</v>
      </c>
      <c r="S296" s="32">
        <v>0</v>
      </c>
      <c r="T296" s="31">
        <v>323</v>
      </c>
      <c r="U296" s="32">
        <v>328</v>
      </c>
      <c r="V296" s="31">
        <v>331</v>
      </c>
      <c r="W296" s="32">
        <v>322</v>
      </c>
      <c r="X296" s="31">
        <v>324</v>
      </c>
      <c r="Y296" s="32">
        <v>323</v>
      </c>
      <c r="Z296" s="111">
        <v>351</v>
      </c>
      <c r="AA296" s="35">
        <v>0</v>
      </c>
      <c r="AB296" s="35">
        <v>8</v>
      </c>
      <c r="AC296" s="35">
        <v>302</v>
      </c>
      <c r="AD296" s="35">
        <v>0</v>
      </c>
      <c r="AE296" s="33">
        <v>0</v>
      </c>
      <c r="AF296" s="115">
        <v>0</v>
      </c>
      <c r="AG296" s="111">
        <v>0</v>
      </c>
      <c r="AH296" s="32">
        <v>0</v>
      </c>
      <c r="AI296" s="31">
        <v>320</v>
      </c>
      <c r="AJ296" s="33">
        <v>328</v>
      </c>
      <c r="AK296" s="31"/>
      <c r="AL296" s="32"/>
      <c r="AM296" s="31"/>
      <c r="AN296" s="115"/>
      <c r="AO296" s="111"/>
      <c r="AP296" s="32"/>
      <c r="AQ296" s="31"/>
      <c r="AR296" s="115"/>
      <c r="AS296" s="111"/>
      <c r="AT296" s="32"/>
      <c r="AU296" s="31">
        <v>340</v>
      </c>
      <c r="AV296" s="111">
        <v>0</v>
      </c>
      <c r="AW296" s="111">
        <v>313</v>
      </c>
      <c r="AX296" s="31"/>
      <c r="AY296" s="32"/>
      <c r="AZ296" s="31"/>
      <c r="BA296" s="115"/>
      <c r="BB296" s="31">
        <v>325</v>
      </c>
      <c r="BC296" s="32">
        <v>323</v>
      </c>
      <c r="BD296" s="31">
        <v>325</v>
      </c>
      <c r="BE296" s="115">
        <v>315</v>
      </c>
      <c r="BF296" s="111">
        <v>322</v>
      </c>
      <c r="BG296" s="32">
        <v>318</v>
      </c>
      <c r="BH296" s="31">
        <v>339</v>
      </c>
      <c r="BI296" s="32">
        <v>306</v>
      </c>
      <c r="BJ296" s="111">
        <v>22</v>
      </c>
      <c r="BK296" s="33">
        <v>308</v>
      </c>
      <c r="BL296" s="115">
        <v>321</v>
      </c>
      <c r="BM296" s="111">
        <v>342</v>
      </c>
      <c r="BN296" s="35">
        <v>298</v>
      </c>
      <c r="BO296" s="32">
        <v>11</v>
      </c>
      <c r="BP296" s="31">
        <v>320</v>
      </c>
      <c r="BQ296" s="32">
        <v>320</v>
      </c>
      <c r="BR296" s="31">
        <v>303</v>
      </c>
      <c r="BS296" s="32">
        <v>345</v>
      </c>
      <c r="BT296" s="31">
        <v>311</v>
      </c>
      <c r="BU296" s="33">
        <v>14</v>
      </c>
      <c r="BV296" s="115">
        <v>316</v>
      </c>
      <c r="BW296" s="111">
        <v>362</v>
      </c>
      <c r="BX296" s="32">
        <v>294</v>
      </c>
      <c r="BY296" s="31">
        <v>320</v>
      </c>
      <c r="BZ296" s="32">
        <v>316</v>
      </c>
      <c r="CA296" s="111">
        <v>316</v>
      </c>
      <c r="CB296" s="32">
        <v>323</v>
      </c>
      <c r="CC296" s="33">
        <v>426</v>
      </c>
      <c r="CD296" s="34">
        <v>467</v>
      </c>
      <c r="CE296" s="111">
        <v>299</v>
      </c>
      <c r="CF296" s="38">
        <v>253</v>
      </c>
      <c r="CG296" s="31">
        <v>147</v>
      </c>
      <c r="CH296" s="35">
        <v>147</v>
      </c>
      <c r="CI296" s="35">
        <v>191</v>
      </c>
      <c r="CJ296" s="35">
        <v>243</v>
      </c>
      <c r="CK296" s="32">
        <v>292</v>
      </c>
    </row>
    <row r="297" spans="1:89" ht="13" x14ac:dyDescent="0.25">
      <c r="A297" s="27">
        <v>4931</v>
      </c>
      <c r="B297" s="28" t="s">
        <v>320</v>
      </c>
      <c r="C297" s="29">
        <v>1564</v>
      </c>
      <c r="D297" s="30">
        <v>1112</v>
      </c>
      <c r="E297" s="20">
        <f t="shared" si="4"/>
        <v>0.71099744245524299</v>
      </c>
      <c r="F297" s="31">
        <v>0</v>
      </c>
      <c r="G297" s="111">
        <v>0</v>
      </c>
      <c r="H297" s="111">
        <v>0</v>
      </c>
      <c r="I297" s="111">
        <v>0</v>
      </c>
      <c r="J297" s="111">
        <v>0</v>
      </c>
      <c r="K297" s="111">
        <v>0</v>
      </c>
      <c r="L297" s="111">
        <v>0</v>
      </c>
      <c r="M297" s="111">
        <v>536</v>
      </c>
      <c r="N297" s="111">
        <v>0</v>
      </c>
      <c r="O297" s="111">
        <v>0</v>
      </c>
      <c r="P297" s="35">
        <v>7</v>
      </c>
      <c r="Q297" s="35">
        <v>6</v>
      </c>
      <c r="R297" s="35">
        <v>544</v>
      </c>
      <c r="S297" s="32">
        <v>0</v>
      </c>
      <c r="T297" s="31">
        <v>505</v>
      </c>
      <c r="U297" s="32">
        <v>562</v>
      </c>
      <c r="V297" s="31">
        <v>582</v>
      </c>
      <c r="W297" s="32">
        <v>487</v>
      </c>
      <c r="X297" s="31">
        <v>511</v>
      </c>
      <c r="Y297" s="32">
        <v>543</v>
      </c>
      <c r="Z297" s="111">
        <v>550</v>
      </c>
      <c r="AA297" s="35">
        <v>1</v>
      </c>
      <c r="AB297" s="35">
        <v>34</v>
      </c>
      <c r="AC297" s="35">
        <v>507</v>
      </c>
      <c r="AD297" s="35">
        <v>0</v>
      </c>
      <c r="AE297" s="33">
        <v>0</v>
      </c>
      <c r="AF297" s="115">
        <v>0</v>
      </c>
      <c r="AG297" s="111">
        <v>75</v>
      </c>
      <c r="AH297" s="32">
        <v>74</v>
      </c>
      <c r="AI297" s="31">
        <v>473</v>
      </c>
      <c r="AJ297" s="33">
        <v>427</v>
      </c>
      <c r="AK297" s="31"/>
      <c r="AL297" s="32"/>
      <c r="AM297" s="31"/>
      <c r="AN297" s="115"/>
      <c r="AO297" s="111"/>
      <c r="AP297" s="32"/>
      <c r="AQ297" s="31"/>
      <c r="AR297" s="115"/>
      <c r="AS297" s="111"/>
      <c r="AT297" s="32"/>
      <c r="AU297" s="31">
        <v>511</v>
      </c>
      <c r="AV297" s="111">
        <v>0</v>
      </c>
      <c r="AW297" s="111">
        <v>540</v>
      </c>
      <c r="AX297" s="31"/>
      <c r="AY297" s="32"/>
      <c r="AZ297" s="31"/>
      <c r="BA297" s="115"/>
      <c r="BB297" s="31">
        <v>561</v>
      </c>
      <c r="BC297" s="32">
        <v>482</v>
      </c>
      <c r="BD297" s="31">
        <v>544</v>
      </c>
      <c r="BE297" s="115">
        <v>484</v>
      </c>
      <c r="BF297" s="111">
        <v>489</v>
      </c>
      <c r="BG297" s="32">
        <v>542</v>
      </c>
      <c r="BH297" s="31">
        <v>564</v>
      </c>
      <c r="BI297" s="32">
        <v>470</v>
      </c>
      <c r="BJ297" s="111">
        <v>42</v>
      </c>
      <c r="BK297" s="33">
        <v>504</v>
      </c>
      <c r="BL297" s="115">
        <v>505</v>
      </c>
      <c r="BM297" s="111">
        <v>503</v>
      </c>
      <c r="BN297" s="35">
        <v>511</v>
      </c>
      <c r="BO297" s="32">
        <v>33</v>
      </c>
      <c r="BP297" s="31">
        <v>540</v>
      </c>
      <c r="BQ297" s="32">
        <v>508</v>
      </c>
      <c r="BR297" s="31">
        <v>457</v>
      </c>
      <c r="BS297" s="32">
        <v>598</v>
      </c>
      <c r="BT297" s="31">
        <v>523</v>
      </c>
      <c r="BU297" s="33">
        <v>35</v>
      </c>
      <c r="BV297" s="115">
        <v>475</v>
      </c>
      <c r="BW297" s="111">
        <v>510</v>
      </c>
      <c r="BX297" s="32">
        <v>543</v>
      </c>
      <c r="BY297" s="31">
        <v>503</v>
      </c>
      <c r="BZ297" s="32">
        <v>517</v>
      </c>
      <c r="CA297" s="111">
        <v>528</v>
      </c>
      <c r="CB297" s="32">
        <v>497</v>
      </c>
      <c r="CC297" s="33">
        <v>691</v>
      </c>
      <c r="CD297" s="34">
        <v>743</v>
      </c>
      <c r="CE297" s="111">
        <v>506</v>
      </c>
      <c r="CF297" s="38">
        <v>346</v>
      </c>
      <c r="CG297" s="31">
        <v>248</v>
      </c>
      <c r="CH297" s="35">
        <v>276</v>
      </c>
      <c r="CI297" s="35">
        <v>260</v>
      </c>
      <c r="CJ297" s="35">
        <v>335</v>
      </c>
      <c r="CK297" s="32">
        <v>497</v>
      </c>
    </row>
    <row r="298" spans="1:89" ht="13" x14ac:dyDescent="0.25">
      <c r="A298" s="27">
        <v>4932</v>
      </c>
      <c r="B298" s="28" t="s">
        <v>321</v>
      </c>
      <c r="C298" s="29">
        <v>786</v>
      </c>
      <c r="D298" s="30">
        <v>631</v>
      </c>
      <c r="E298" s="20">
        <f t="shared" si="4"/>
        <v>0.80279898218829515</v>
      </c>
      <c r="F298" s="31">
        <v>0</v>
      </c>
      <c r="G298" s="111">
        <v>0</v>
      </c>
      <c r="H298" s="111">
        <v>0</v>
      </c>
      <c r="I298" s="111">
        <v>0</v>
      </c>
      <c r="J298" s="111">
        <v>2</v>
      </c>
      <c r="K298" s="111">
        <v>0</v>
      </c>
      <c r="L298" s="111">
        <v>0</v>
      </c>
      <c r="M298" s="111">
        <v>240</v>
      </c>
      <c r="N298" s="111">
        <v>0</v>
      </c>
      <c r="O298" s="111">
        <v>0</v>
      </c>
      <c r="P298" s="35">
        <v>2</v>
      </c>
      <c r="Q298" s="35">
        <v>2</v>
      </c>
      <c r="R298" s="35">
        <v>374</v>
      </c>
      <c r="S298" s="32">
        <v>0</v>
      </c>
      <c r="T298" s="31">
        <v>214</v>
      </c>
      <c r="U298" s="32">
        <v>397</v>
      </c>
      <c r="V298" s="31">
        <v>409</v>
      </c>
      <c r="W298" s="32">
        <v>208</v>
      </c>
      <c r="X298" s="31">
        <v>217</v>
      </c>
      <c r="Y298" s="32">
        <v>384</v>
      </c>
      <c r="Z298" s="111">
        <v>241</v>
      </c>
      <c r="AA298" s="35">
        <v>0</v>
      </c>
      <c r="AB298" s="35">
        <v>21</v>
      </c>
      <c r="AC298" s="35">
        <v>355</v>
      </c>
      <c r="AD298" s="35">
        <v>0</v>
      </c>
      <c r="AE298" s="33">
        <v>0</v>
      </c>
      <c r="AF298" s="115">
        <v>0</v>
      </c>
      <c r="AG298" s="111"/>
      <c r="AH298" s="32"/>
      <c r="AI298" s="31">
        <v>384</v>
      </c>
      <c r="AJ298" s="33">
        <v>215</v>
      </c>
      <c r="AK298" s="31"/>
      <c r="AL298" s="32"/>
      <c r="AM298" s="31"/>
      <c r="AN298" s="115"/>
      <c r="AO298" s="111"/>
      <c r="AP298" s="32"/>
      <c r="AQ298" s="31"/>
      <c r="AR298" s="115"/>
      <c r="AS298" s="111"/>
      <c r="AT298" s="32"/>
      <c r="AU298" s="31">
        <v>211</v>
      </c>
      <c r="AV298" s="111">
        <v>0</v>
      </c>
      <c r="AW298" s="111">
        <v>390</v>
      </c>
      <c r="AX298" s="31"/>
      <c r="AY298" s="32"/>
      <c r="AZ298" s="31"/>
      <c r="BA298" s="115"/>
      <c r="BB298" s="31">
        <v>390</v>
      </c>
      <c r="BC298" s="32">
        <v>205</v>
      </c>
      <c r="BD298" s="31">
        <v>382</v>
      </c>
      <c r="BE298" s="115">
        <v>202</v>
      </c>
      <c r="BF298" s="111">
        <v>208</v>
      </c>
      <c r="BG298" s="32">
        <v>375</v>
      </c>
      <c r="BH298" s="31">
        <v>392</v>
      </c>
      <c r="BI298" s="32">
        <v>187</v>
      </c>
      <c r="BJ298" s="111">
        <v>20</v>
      </c>
      <c r="BK298" s="33">
        <v>352</v>
      </c>
      <c r="BL298" s="115">
        <v>220</v>
      </c>
      <c r="BM298" s="111">
        <v>215</v>
      </c>
      <c r="BN298" s="35">
        <v>363</v>
      </c>
      <c r="BO298" s="32">
        <v>13</v>
      </c>
      <c r="BP298" s="31">
        <v>374</v>
      </c>
      <c r="BQ298" s="32">
        <v>220</v>
      </c>
      <c r="BR298" s="31">
        <v>191</v>
      </c>
      <c r="BS298" s="32">
        <v>420</v>
      </c>
      <c r="BT298" s="31">
        <v>359</v>
      </c>
      <c r="BU298" s="33">
        <v>24</v>
      </c>
      <c r="BV298" s="115">
        <v>204</v>
      </c>
      <c r="BW298" s="111">
        <v>219</v>
      </c>
      <c r="BX298" s="32">
        <v>393</v>
      </c>
      <c r="BY298" s="31">
        <v>212</v>
      </c>
      <c r="BZ298" s="32">
        <v>373</v>
      </c>
      <c r="CA298" s="111">
        <v>371</v>
      </c>
      <c r="CB298" s="32">
        <v>218</v>
      </c>
      <c r="CC298" s="33">
        <v>445</v>
      </c>
      <c r="CD298" s="34">
        <v>383</v>
      </c>
      <c r="CE298" s="111">
        <v>335</v>
      </c>
      <c r="CF298" s="38">
        <v>174</v>
      </c>
      <c r="CG298" s="31">
        <v>142</v>
      </c>
      <c r="CH298" s="35">
        <v>180</v>
      </c>
      <c r="CI298" s="35">
        <v>122</v>
      </c>
      <c r="CJ298" s="35">
        <v>146</v>
      </c>
      <c r="CK298" s="32">
        <v>332</v>
      </c>
    </row>
    <row r="299" spans="1:89" ht="13" x14ac:dyDescent="0.25">
      <c r="A299" s="27">
        <v>4941</v>
      </c>
      <c r="B299" s="28" t="s">
        <v>322</v>
      </c>
      <c r="C299" s="29">
        <v>1085</v>
      </c>
      <c r="D299" s="30">
        <v>888</v>
      </c>
      <c r="E299" s="20">
        <f t="shared" si="4"/>
        <v>0.81843317972350227</v>
      </c>
      <c r="F299" s="31">
        <v>0</v>
      </c>
      <c r="G299" s="111">
        <v>0</v>
      </c>
      <c r="H299" s="111">
        <v>0</v>
      </c>
      <c r="I299" s="111">
        <v>1</v>
      </c>
      <c r="J299" s="111">
        <v>2</v>
      </c>
      <c r="K299" s="111">
        <v>0</v>
      </c>
      <c r="L299" s="111">
        <v>0</v>
      </c>
      <c r="M299" s="111">
        <v>420</v>
      </c>
      <c r="N299" s="111">
        <v>0</v>
      </c>
      <c r="O299" s="111">
        <v>0</v>
      </c>
      <c r="P299" s="35">
        <v>5</v>
      </c>
      <c r="Q299" s="35">
        <v>0</v>
      </c>
      <c r="R299" s="35">
        <v>442</v>
      </c>
      <c r="S299" s="32">
        <v>0</v>
      </c>
      <c r="T299" s="31">
        <v>384</v>
      </c>
      <c r="U299" s="32">
        <v>477</v>
      </c>
      <c r="V299" s="31">
        <v>500</v>
      </c>
      <c r="W299" s="32">
        <v>365</v>
      </c>
      <c r="X299" s="31">
        <v>379</v>
      </c>
      <c r="Y299" s="32">
        <v>472</v>
      </c>
      <c r="Z299" s="111">
        <v>422</v>
      </c>
      <c r="AA299" s="35">
        <v>0</v>
      </c>
      <c r="AB299" s="35">
        <v>25</v>
      </c>
      <c r="AC299" s="35">
        <v>427</v>
      </c>
      <c r="AD299" s="35">
        <v>0</v>
      </c>
      <c r="AE299" s="33">
        <v>0</v>
      </c>
      <c r="AF299" s="115">
        <v>3</v>
      </c>
      <c r="AG299" s="111"/>
      <c r="AH299" s="32"/>
      <c r="AI299" s="31">
        <v>465</v>
      </c>
      <c r="AJ299" s="33">
        <v>382</v>
      </c>
      <c r="AK299" s="31"/>
      <c r="AL299" s="32"/>
      <c r="AM299" s="31"/>
      <c r="AN299" s="115"/>
      <c r="AO299" s="111"/>
      <c r="AP299" s="32"/>
      <c r="AQ299" s="31"/>
      <c r="AR299" s="115"/>
      <c r="AS299" s="111"/>
      <c r="AT299" s="32"/>
      <c r="AU299" s="31">
        <v>395</v>
      </c>
      <c r="AV299" s="111">
        <v>0</v>
      </c>
      <c r="AW299" s="111">
        <v>459</v>
      </c>
      <c r="AX299" s="31"/>
      <c r="AY299" s="32"/>
      <c r="AZ299" s="31"/>
      <c r="BA299" s="115"/>
      <c r="BB299" s="31">
        <v>484</v>
      </c>
      <c r="BC299" s="32">
        <v>354</v>
      </c>
      <c r="BD299" s="31">
        <v>461</v>
      </c>
      <c r="BE299" s="115">
        <v>372</v>
      </c>
      <c r="BF299" s="111">
        <v>377</v>
      </c>
      <c r="BG299" s="32">
        <v>454</v>
      </c>
      <c r="BH299" s="31">
        <v>500</v>
      </c>
      <c r="BI299" s="32">
        <v>334</v>
      </c>
      <c r="BJ299" s="111">
        <v>40</v>
      </c>
      <c r="BK299" s="33">
        <v>417</v>
      </c>
      <c r="BL299" s="115">
        <v>386</v>
      </c>
      <c r="BM299" s="111">
        <v>384</v>
      </c>
      <c r="BN299" s="35">
        <v>425</v>
      </c>
      <c r="BO299" s="32">
        <v>33</v>
      </c>
      <c r="BP299" s="31">
        <v>460</v>
      </c>
      <c r="BQ299" s="32">
        <v>386</v>
      </c>
      <c r="BR299" s="31">
        <v>343</v>
      </c>
      <c r="BS299" s="32">
        <v>507</v>
      </c>
      <c r="BT299" s="31">
        <v>441</v>
      </c>
      <c r="BU299" s="33">
        <v>38</v>
      </c>
      <c r="BV299" s="115">
        <v>352</v>
      </c>
      <c r="BW299" s="111">
        <v>389</v>
      </c>
      <c r="BX299" s="32">
        <v>464</v>
      </c>
      <c r="BY299" s="31">
        <v>376</v>
      </c>
      <c r="BZ299" s="32">
        <v>449</v>
      </c>
      <c r="CA299" s="111">
        <v>455</v>
      </c>
      <c r="CB299" s="32">
        <v>380</v>
      </c>
      <c r="CC299" s="33">
        <v>607</v>
      </c>
      <c r="CD299" s="34">
        <v>621</v>
      </c>
      <c r="CE299" s="111">
        <v>457</v>
      </c>
      <c r="CF299" s="38">
        <v>264</v>
      </c>
      <c r="CG299" s="31">
        <v>197</v>
      </c>
      <c r="CH299" s="35">
        <v>265</v>
      </c>
      <c r="CI299" s="35">
        <v>190</v>
      </c>
      <c r="CJ299" s="35">
        <v>239</v>
      </c>
      <c r="CK299" s="32">
        <v>431</v>
      </c>
    </row>
    <row r="300" spans="1:89" ht="13" x14ac:dyDescent="0.25">
      <c r="A300" s="27">
        <v>4942</v>
      </c>
      <c r="B300" s="28" t="s">
        <v>323</v>
      </c>
      <c r="C300" s="29">
        <v>1595</v>
      </c>
      <c r="D300" s="30">
        <v>1213</v>
      </c>
      <c r="E300" s="20">
        <f t="shared" si="4"/>
        <v>0.76050156739811914</v>
      </c>
      <c r="F300" s="31">
        <v>0</v>
      </c>
      <c r="G300" s="111">
        <v>0</v>
      </c>
      <c r="H300" s="111">
        <v>0</v>
      </c>
      <c r="I300" s="111">
        <v>0</v>
      </c>
      <c r="J300" s="111">
        <v>5</v>
      </c>
      <c r="K300" s="111">
        <v>0</v>
      </c>
      <c r="L300" s="111">
        <v>0</v>
      </c>
      <c r="M300" s="111">
        <v>550</v>
      </c>
      <c r="N300" s="111">
        <v>0</v>
      </c>
      <c r="O300" s="111">
        <v>0</v>
      </c>
      <c r="P300" s="35">
        <v>9</v>
      </c>
      <c r="Q300" s="35">
        <v>2</v>
      </c>
      <c r="R300" s="35">
        <v>625</v>
      </c>
      <c r="S300" s="32">
        <v>0</v>
      </c>
      <c r="T300" s="31">
        <v>522</v>
      </c>
      <c r="U300" s="32">
        <v>633</v>
      </c>
      <c r="V300" s="31">
        <v>651</v>
      </c>
      <c r="W300" s="32">
        <v>506</v>
      </c>
      <c r="X300" s="31">
        <v>536</v>
      </c>
      <c r="Y300" s="32">
        <v>607</v>
      </c>
      <c r="Z300" s="111">
        <v>565</v>
      </c>
      <c r="AA300" s="35">
        <v>0</v>
      </c>
      <c r="AB300" s="35">
        <v>60</v>
      </c>
      <c r="AC300" s="35">
        <v>562</v>
      </c>
      <c r="AD300" s="35">
        <v>0</v>
      </c>
      <c r="AE300" s="33">
        <v>0</v>
      </c>
      <c r="AF300" s="115">
        <v>0</v>
      </c>
      <c r="AG300" s="111">
        <v>585</v>
      </c>
      <c r="AH300" s="32">
        <v>580</v>
      </c>
      <c r="AI300" s="31"/>
      <c r="AJ300" s="33"/>
      <c r="AK300" s="31"/>
      <c r="AL300" s="32"/>
      <c r="AM300" s="31"/>
      <c r="AN300" s="115"/>
      <c r="AO300" s="111"/>
      <c r="AP300" s="32"/>
      <c r="AQ300" s="31"/>
      <c r="AR300" s="115"/>
      <c r="AS300" s="111"/>
      <c r="AT300" s="32"/>
      <c r="AU300" s="31">
        <v>524</v>
      </c>
      <c r="AV300" s="111">
        <v>0</v>
      </c>
      <c r="AW300" s="111">
        <v>613</v>
      </c>
      <c r="AX300" s="31"/>
      <c r="AY300" s="32"/>
      <c r="AZ300" s="31"/>
      <c r="BA300" s="115"/>
      <c r="BB300" s="31">
        <v>634</v>
      </c>
      <c r="BC300" s="32">
        <v>486</v>
      </c>
      <c r="BD300" s="31">
        <v>604</v>
      </c>
      <c r="BE300" s="115">
        <v>511</v>
      </c>
      <c r="BF300" s="111">
        <v>512</v>
      </c>
      <c r="BG300" s="32">
        <v>600</v>
      </c>
      <c r="BH300" s="31">
        <v>633</v>
      </c>
      <c r="BI300" s="32">
        <v>480</v>
      </c>
      <c r="BJ300" s="111">
        <v>66</v>
      </c>
      <c r="BK300" s="33">
        <v>554</v>
      </c>
      <c r="BL300" s="115">
        <v>511</v>
      </c>
      <c r="BM300" s="111">
        <v>514</v>
      </c>
      <c r="BN300" s="35">
        <v>570</v>
      </c>
      <c r="BO300" s="32">
        <v>40</v>
      </c>
      <c r="BP300" s="31">
        <v>619</v>
      </c>
      <c r="BQ300" s="32">
        <v>514</v>
      </c>
      <c r="BR300" s="31">
        <v>473</v>
      </c>
      <c r="BS300" s="32">
        <v>674</v>
      </c>
      <c r="BT300" s="31">
        <v>579</v>
      </c>
      <c r="BU300" s="33">
        <v>64</v>
      </c>
      <c r="BV300" s="115">
        <v>483</v>
      </c>
      <c r="BW300" s="111">
        <v>529</v>
      </c>
      <c r="BX300" s="32">
        <v>628</v>
      </c>
      <c r="BY300" s="31">
        <v>515</v>
      </c>
      <c r="BZ300" s="32">
        <v>598</v>
      </c>
      <c r="CA300" s="111">
        <v>591</v>
      </c>
      <c r="CB300" s="32">
        <v>523</v>
      </c>
      <c r="CC300" s="33">
        <v>802</v>
      </c>
      <c r="CD300" s="34">
        <v>824</v>
      </c>
      <c r="CE300" s="111">
        <v>597</v>
      </c>
      <c r="CF300" s="38">
        <v>390</v>
      </c>
      <c r="CG300" s="31">
        <v>255</v>
      </c>
      <c r="CH300" s="35">
        <v>328</v>
      </c>
      <c r="CI300" s="35">
        <v>285</v>
      </c>
      <c r="CJ300" s="35">
        <v>329</v>
      </c>
      <c r="CK300" s="32">
        <v>565</v>
      </c>
    </row>
    <row r="301" spans="1:89" ht="13" x14ac:dyDescent="0.25">
      <c r="A301" s="27">
        <v>5201</v>
      </c>
      <c r="B301" s="28" t="s">
        <v>324</v>
      </c>
      <c r="C301" s="29">
        <v>745</v>
      </c>
      <c r="D301" s="30">
        <v>574</v>
      </c>
      <c r="E301" s="20">
        <f t="shared" si="4"/>
        <v>0.77046979865771814</v>
      </c>
      <c r="F301" s="31">
        <v>0</v>
      </c>
      <c r="G301" s="111">
        <v>0</v>
      </c>
      <c r="H301" s="111">
        <v>0</v>
      </c>
      <c r="I301" s="111">
        <v>0</v>
      </c>
      <c r="J301" s="111">
        <v>1</v>
      </c>
      <c r="K301" s="111">
        <v>0</v>
      </c>
      <c r="L301" s="111">
        <v>0</v>
      </c>
      <c r="M301" s="111">
        <v>399</v>
      </c>
      <c r="N301" s="111">
        <v>0</v>
      </c>
      <c r="O301" s="111">
        <v>0</v>
      </c>
      <c r="P301" s="35">
        <v>2</v>
      </c>
      <c r="Q301" s="35">
        <v>2</v>
      </c>
      <c r="R301" s="35">
        <v>166</v>
      </c>
      <c r="S301" s="32">
        <v>0</v>
      </c>
      <c r="T301" s="31">
        <v>397</v>
      </c>
      <c r="U301" s="32">
        <v>157</v>
      </c>
      <c r="V301" s="31">
        <v>161</v>
      </c>
      <c r="W301" s="32">
        <v>389</v>
      </c>
      <c r="X301" s="31">
        <v>390</v>
      </c>
      <c r="Y301" s="32">
        <v>147</v>
      </c>
      <c r="Z301" s="111">
        <v>389</v>
      </c>
      <c r="AA301" s="35">
        <v>0</v>
      </c>
      <c r="AB301" s="35">
        <v>23</v>
      </c>
      <c r="AC301" s="35">
        <v>149</v>
      </c>
      <c r="AD301" s="35">
        <v>0</v>
      </c>
      <c r="AE301" s="33">
        <v>0</v>
      </c>
      <c r="AF301" s="115">
        <v>0</v>
      </c>
      <c r="AG301" s="111"/>
      <c r="AH301" s="32"/>
      <c r="AI301" s="31">
        <v>151</v>
      </c>
      <c r="AJ301" s="33">
        <v>389</v>
      </c>
      <c r="AK301" s="31"/>
      <c r="AL301" s="32"/>
      <c r="AM301" s="31"/>
      <c r="AN301" s="115"/>
      <c r="AO301" s="111"/>
      <c r="AP301" s="32"/>
      <c r="AQ301" s="31"/>
      <c r="AR301" s="115"/>
      <c r="AS301" s="111"/>
      <c r="AT301" s="32"/>
      <c r="AU301" s="31">
        <v>397</v>
      </c>
      <c r="AV301" s="111">
        <v>0</v>
      </c>
      <c r="AW301" s="111">
        <v>153</v>
      </c>
      <c r="AX301" s="31"/>
      <c r="AY301" s="32"/>
      <c r="AZ301" s="31"/>
      <c r="BA301" s="115"/>
      <c r="BB301" s="31">
        <v>150</v>
      </c>
      <c r="BC301" s="32">
        <v>390</v>
      </c>
      <c r="BD301" s="31">
        <v>155</v>
      </c>
      <c r="BE301" s="115">
        <v>383</v>
      </c>
      <c r="BF301" s="111">
        <v>383</v>
      </c>
      <c r="BG301" s="32">
        <v>154</v>
      </c>
      <c r="BH301" s="31">
        <v>168</v>
      </c>
      <c r="BI301" s="32">
        <v>367</v>
      </c>
      <c r="BJ301" s="111">
        <v>12</v>
      </c>
      <c r="BK301" s="33">
        <v>137</v>
      </c>
      <c r="BL301" s="115">
        <v>406</v>
      </c>
      <c r="BM301" s="111">
        <v>393</v>
      </c>
      <c r="BN301" s="35">
        <v>136</v>
      </c>
      <c r="BO301" s="32">
        <v>13</v>
      </c>
      <c r="BP301" s="31">
        <v>146</v>
      </c>
      <c r="BQ301" s="32">
        <v>398</v>
      </c>
      <c r="BR301" s="31">
        <v>374</v>
      </c>
      <c r="BS301" s="32">
        <v>179</v>
      </c>
      <c r="BT301" s="31">
        <v>145</v>
      </c>
      <c r="BU301" s="33">
        <v>20</v>
      </c>
      <c r="BV301" s="115">
        <v>380</v>
      </c>
      <c r="BW301" s="111">
        <v>398</v>
      </c>
      <c r="BX301" s="32">
        <v>159</v>
      </c>
      <c r="BY301" s="31">
        <v>393</v>
      </c>
      <c r="BZ301" s="32">
        <v>144</v>
      </c>
      <c r="CA301" s="111">
        <v>141</v>
      </c>
      <c r="CB301" s="32">
        <v>399</v>
      </c>
      <c r="CC301" s="33">
        <v>253</v>
      </c>
      <c r="CD301" s="34">
        <v>455</v>
      </c>
      <c r="CE301" s="111">
        <v>182</v>
      </c>
      <c r="CF301" s="38">
        <v>292</v>
      </c>
      <c r="CG301" s="31">
        <v>102</v>
      </c>
      <c r="CH301" s="35">
        <v>68</v>
      </c>
      <c r="CI301" s="35">
        <v>258</v>
      </c>
      <c r="CJ301" s="35">
        <v>275</v>
      </c>
      <c r="CK301" s="32">
        <v>166</v>
      </c>
    </row>
    <row r="302" spans="1:89" ht="13" x14ac:dyDescent="0.25">
      <c r="A302" s="27">
        <v>5202</v>
      </c>
      <c r="B302" s="28" t="s">
        <v>325</v>
      </c>
      <c r="C302" s="29">
        <v>947</v>
      </c>
      <c r="D302" s="30">
        <v>701</v>
      </c>
      <c r="E302" s="20">
        <f t="shared" si="4"/>
        <v>0.74023231256599786</v>
      </c>
      <c r="F302" s="31">
        <v>0</v>
      </c>
      <c r="G302" s="111">
        <v>0</v>
      </c>
      <c r="H302" s="111">
        <v>0</v>
      </c>
      <c r="I302" s="111">
        <v>0</v>
      </c>
      <c r="J302" s="111">
        <v>1</v>
      </c>
      <c r="K302" s="111">
        <v>0</v>
      </c>
      <c r="L302" s="111">
        <v>0</v>
      </c>
      <c r="M302" s="111">
        <v>461</v>
      </c>
      <c r="N302" s="111">
        <v>0</v>
      </c>
      <c r="O302" s="111">
        <v>0</v>
      </c>
      <c r="P302" s="35">
        <v>2</v>
      </c>
      <c r="Q302" s="35">
        <v>2</v>
      </c>
      <c r="R302" s="35">
        <v>225</v>
      </c>
      <c r="S302" s="32">
        <v>1</v>
      </c>
      <c r="T302" s="31">
        <v>448</v>
      </c>
      <c r="U302" s="32">
        <v>237</v>
      </c>
      <c r="V302" s="31">
        <v>249</v>
      </c>
      <c r="W302" s="32">
        <v>439</v>
      </c>
      <c r="X302" s="31">
        <v>444</v>
      </c>
      <c r="Y302" s="32">
        <v>231</v>
      </c>
      <c r="Z302" s="111">
        <v>482</v>
      </c>
      <c r="AA302" s="35">
        <v>0</v>
      </c>
      <c r="AB302" s="35">
        <v>11</v>
      </c>
      <c r="AC302" s="35">
        <v>201</v>
      </c>
      <c r="AD302" s="35">
        <v>0</v>
      </c>
      <c r="AE302" s="33">
        <v>0</v>
      </c>
      <c r="AF302" s="115">
        <v>0</v>
      </c>
      <c r="AG302" s="111"/>
      <c r="AH302" s="32"/>
      <c r="AI302" s="31">
        <v>227</v>
      </c>
      <c r="AJ302" s="33">
        <v>455</v>
      </c>
      <c r="AK302" s="31"/>
      <c r="AL302" s="32"/>
      <c r="AM302" s="31"/>
      <c r="AN302" s="115"/>
      <c r="AO302" s="111"/>
      <c r="AP302" s="32"/>
      <c r="AQ302" s="31"/>
      <c r="AR302" s="115"/>
      <c r="AS302" s="111"/>
      <c r="AT302" s="32"/>
      <c r="AU302" s="31">
        <v>440</v>
      </c>
      <c r="AV302" s="111">
        <v>0</v>
      </c>
      <c r="AW302" s="111">
        <v>223</v>
      </c>
      <c r="AX302" s="31"/>
      <c r="AY302" s="32"/>
      <c r="AZ302" s="31"/>
      <c r="BA302" s="115"/>
      <c r="BB302" s="31">
        <v>228</v>
      </c>
      <c r="BC302" s="32">
        <v>432</v>
      </c>
      <c r="BD302" s="31">
        <v>220</v>
      </c>
      <c r="BE302" s="115">
        <v>432</v>
      </c>
      <c r="BF302" s="111">
        <v>430</v>
      </c>
      <c r="BG302" s="32">
        <v>223</v>
      </c>
      <c r="BH302" s="31">
        <v>241</v>
      </c>
      <c r="BI302" s="32">
        <v>419</v>
      </c>
      <c r="BJ302" s="111">
        <v>22</v>
      </c>
      <c r="BK302" s="33">
        <v>196</v>
      </c>
      <c r="BL302" s="115">
        <v>451</v>
      </c>
      <c r="BM302" s="111">
        <v>445</v>
      </c>
      <c r="BN302" s="35">
        <v>195</v>
      </c>
      <c r="BO302" s="32">
        <v>22</v>
      </c>
      <c r="BP302" s="31">
        <v>208</v>
      </c>
      <c r="BQ302" s="32">
        <v>446</v>
      </c>
      <c r="BR302" s="31">
        <v>417</v>
      </c>
      <c r="BS302" s="32">
        <v>247</v>
      </c>
      <c r="BT302" s="31">
        <v>212</v>
      </c>
      <c r="BU302" s="33">
        <v>16</v>
      </c>
      <c r="BV302" s="115">
        <v>429</v>
      </c>
      <c r="BW302" s="111">
        <v>446</v>
      </c>
      <c r="BX302" s="32">
        <v>227</v>
      </c>
      <c r="BY302" s="31">
        <v>426</v>
      </c>
      <c r="BZ302" s="32">
        <v>221</v>
      </c>
      <c r="CA302" s="111">
        <v>219</v>
      </c>
      <c r="CB302" s="32">
        <v>434</v>
      </c>
      <c r="CC302" s="33">
        <v>363</v>
      </c>
      <c r="CD302" s="34">
        <v>542</v>
      </c>
      <c r="CE302" s="111">
        <v>215</v>
      </c>
      <c r="CF302" s="38">
        <v>345</v>
      </c>
      <c r="CG302" s="31">
        <v>128</v>
      </c>
      <c r="CH302" s="35">
        <v>90</v>
      </c>
      <c r="CI302" s="35">
        <v>278</v>
      </c>
      <c r="CJ302" s="35">
        <v>302</v>
      </c>
      <c r="CK302" s="32">
        <v>247</v>
      </c>
    </row>
    <row r="303" spans="1:89" ht="13" x14ac:dyDescent="0.25">
      <c r="A303" s="27">
        <v>5203</v>
      </c>
      <c r="B303" s="28" t="s">
        <v>326</v>
      </c>
      <c r="C303" s="29">
        <v>1041</v>
      </c>
      <c r="D303" s="30">
        <v>725</v>
      </c>
      <c r="E303" s="20">
        <f t="shared" si="4"/>
        <v>0.69644572526416904</v>
      </c>
      <c r="F303" s="31">
        <v>0</v>
      </c>
      <c r="G303" s="111">
        <v>0</v>
      </c>
      <c r="H303" s="111">
        <v>0</v>
      </c>
      <c r="I303" s="111">
        <v>0</v>
      </c>
      <c r="J303" s="111">
        <v>4</v>
      </c>
      <c r="K303" s="111">
        <v>0</v>
      </c>
      <c r="L303" s="111">
        <v>0</v>
      </c>
      <c r="M303" s="111">
        <v>448</v>
      </c>
      <c r="N303" s="111">
        <v>0</v>
      </c>
      <c r="O303" s="111">
        <v>0</v>
      </c>
      <c r="P303" s="35">
        <v>4</v>
      </c>
      <c r="Q303" s="35">
        <v>2</v>
      </c>
      <c r="R303" s="35">
        <v>250</v>
      </c>
      <c r="S303" s="32">
        <v>0</v>
      </c>
      <c r="T303" s="31">
        <v>413</v>
      </c>
      <c r="U303" s="32">
        <v>277</v>
      </c>
      <c r="V303" s="31">
        <v>310</v>
      </c>
      <c r="W303" s="32">
        <v>389</v>
      </c>
      <c r="X303" s="31">
        <v>424</v>
      </c>
      <c r="Y303" s="32">
        <v>265</v>
      </c>
      <c r="Z303" s="111">
        <v>446</v>
      </c>
      <c r="AA303" s="35">
        <v>0</v>
      </c>
      <c r="AB303" s="35">
        <v>21</v>
      </c>
      <c r="AC303" s="35">
        <v>241</v>
      </c>
      <c r="AD303" s="35">
        <v>0</v>
      </c>
      <c r="AE303" s="33">
        <v>0</v>
      </c>
      <c r="AF303" s="115">
        <v>0</v>
      </c>
      <c r="AG303" s="111"/>
      <c r="AH303" s="32"/>
      <c r="AI303" s="31">
        <v>269</v>
      </c>
      <c r="AJ303" s="33">
        <v>419</v>
      </c>
      <c r="AK303" s="31"/>
      <c r="AL303" s="32"/>
      <c r="AM303" s="31"/>
      <c r="AN303" s="115"/>
      <c r="AO303" s="111"/>
      <c r="AP303" s="32"/>
      <c r="AQ303" s="31"/>
      <c r="AR303" s="115"/>
      <c r="AS303" s="111"/>
      <c r="AT303" s="32"/>
      <c r="AU303" s="31">
        <v>419</v>
      </c>
      <c r="AV303" s="111">
        <v>0</v>
      </c>
      <c r="AW303" s="111">
        <v>265</v>
      </c>
      <c r="AX303" s="31"/>
      <c r="AY303" s="32"/>
      <c r="AZ303" s="31"/>
      <c r="BA303" s="115"/>
      <c r="BB303" s="31">
        <v>284</v>
      </c>
      <c r="BC303" s="32">
        <v>400</v>
      </c>
      <c r="BD303" s="31">
        <v>269</v>
      </c>
      <c r="BE303" s="115">
        <v>410</v>
      </c>
      <c r="BF303" s="111">
        <v>408</v>
      </c>
      <c r="BG303" s="32">
        <v>272</v>
      </c>
      <c r="BH303" s="31">
        <v>314</v>
      </c>
      <c r="BI303" s="32">
        <v>370</v>
      </c>
      <c r="BJ303" s="111">
        <v>17</v>
      </c>
      <c r="BK303" s="33">
        <v>255</v>
      </c>
      <c r="BL303" s="115">
        <v>415</v>
      </c>
      <c r="BM303" s="111">
        <v>416</v>
      </c>
      <c r="BN303" s="35">
        <v>252</v>
      </c>
      <c r="BO303" s="32">
        <v>18</v>
      </c>
      <c r="BP303" s="31">
        <v>274</v>
      </c>
      <c r="BQ303" s="32">
        <v>409</v>
      </c>
      <c r="BR303" s="31">
        <v>390</v>
      </c>
      <c r="BS303" s="32">
        <v>293</v>
      </c>
      <c r="BT303" s="31">
        <v>262</v>
      </c>
      <c r="BU303" s="33">
        <v>24</v>
      </c>
      <c r="BV303" s="115">
        <v>392</v>
      </c>
      <c r="BW303" s="111">
        <v>434</v>
      </c>
      <c r="BX303" s="32">
        <v>262</v>
      </c>
      <c r="BY303" s="31">
        <v>408</v>
      </c>
      <c r="BZ303" s="32">
        <v>266</v>
      </c>
      <c r="CA303" s="111">
        <v>263</v>
      </c>
      <c r="CB303" s="32">
        <v>420</v>
      </c>
      <c r="CC303" s="33">
        <v>408</v>
      </c>
      <c r="CD303" s="34">
        <v>539</v>
      </c>
      <c r="CE303" s="111">
        <v>279</v>
      </c>
      <c r="CF303" s="38">
        <v>293</v>
      </c>
      <c r="CG303" s="31">
        <v>188</v>
      </c>
      <c r="CH303" s="35">
        <v>126</v>
      </c>
      <c r="CI303" s="35">
        <v>238</v>
      </c>
      <c r="CJ303" s="35">
        <v>241</v>
      </c>
      <c r="CK303" s="32">
        <v>278</v>
      </c>
    </row>
    <row r="304" spans="1:89" ht="13" x14ac:dyDescent="0.25">
      <c r="A304" s="27">
        <v>5204</v>
      </c>
      <c r="B304" s="28" t="s">
        <v>327</v>
      </c>
      <c r="C304" s="29">
        <v>799</v>
      </c>
      <c r="D304" s="30">
        <v>570</v>
      </c>
      <c r="E304" s="20">
        <f t="shared" si="4"/>
        <v>0.71339173967459324</v>
      </c>
      <c r="F304" s="31">
        <v>0</v>
      </c>
      <c r="G304" s="111">
        <v>0</v>
      </c>
      <c r="H304" s="111">
        <v>0</v>
      </c>
      <c r="I304" s="111">
        <v>0</v>
      </c>
      <c r="J304" s="111">
        <v>1</v>
      </c>
      <c r="K304" s="111">
        <v>0</v>
      </c>
      <c r="L304" s="111">
        <v>0</v>
      </c>
      <c r="M304" s="111">
        <v>276</v>
      </c>
      <c r="N304" s="111">
        <v>0</v>
      </c>
      <c r="O304" s="111">
        <v>0</v>
      </c>
      <c r="P304" s="35">
        <v>2</v>
      </c>
      <c r="Q304" s="35">
        <v>0</v>
      </c>
      <c r="R304" s="35">
        <v>282</v>
      </c>
      <c r="S304" s="32">
        <v>0</v>
      </c>
      <c r="T304" s="31">
        <v>278</v>
      </c>
      <c r="U304" s="32">
        <v>270</v>
      </c>
      <c r="V304" s="31">
        <v>277</v>
      </c>
      <c r="W304" s="32">
        <v>267</v>
      </c>
      <c r="X304" s="31">
        <v>280</v>
      </c>
      <c r="Y304" s="32">
        <v>249</v>
      </c>
      <c r="Z304" s="111">
        <v>291</v>
      </c>
      <c r="AA304" s="35">
        <v>0</v>
      </c>
      <c r="AB304" s="35">
        <v>27</v>
      </c>
      <c r="AC304" s="35">
        <v>238</v>
      </c>
      <c r="AD304" s="35">
        <v>0</v>
      </c>
      <c r="AE304" s="33">
        <v>0</v>
      </c>
      <c r="AF304" s="115">
        <v>0</v>
      </c>
      <c r="AG304" s="111"/>
      <c r="AH304" s="32"/>
      <c r="AI304" s="31">
        <v>251</v>
      </c>
      <c r="AJ304" s="33">
        <v>277</v>
      </c>
      <c r="AK304" s="31"/>
      <c r="AL304" s="32"/>
      <c r="AM304" s="31"/>
      <c r="AN304" s="115"/>
      <c r="AO304" s="111"/>
      <c r="AP304" s="32"/>
      <c r="AQ304" s="31"/>
      <c r="AR304" s="115"/>
      <c r="AS304" s="111"/>
      <c r="AT304" s="32"/>
      <c r="AU304" s="31">
        <v>278</v>
      </c>
      <c r="AV304" s="111">
        <v>0</v>
      </c>
      <c r="AW304" s="111">
        <v>257</v>
      </c>
      <c r="AX304" s="31"/>
      <c r="AY304" s="32"/>
      <c r="AZ304" s="31"/>
      <c r="BA304" s="115"/>
      <c r="BB304" s="31">
        <v>258</v>
      </c>
      <c r="BC304" s="32">
        <v>267</v>
      </c>
      <c r="BD304" s="31">
        <v>254</v>
      </c>
      <c r="BE304" s="115">
        <v>266</v>
      </c>
      <c r="BF304" s="111">
        <v>267</v>
      </c>
      <c r="BG304" s="32">
        <v>253</v>
      </c>
      <c r="BH304" s="31">
        <v>264</v>
      </c>
      <c r="BI304" s="32">
        <v>259</v>
      </c>
      <c r="BJ304" s="111">
        <v>28</v>
      </c>
      <c r="BK304" s="33">
        <v>223</v>
      </c>
      <c r="BL304" s="115">
        <v>278</v>
      </c>
      <c r="BM304" s="111">
        <v>266</v>
      </c>
      <c r="BN304" s="35">
        <v>231</v>
      </c>
      <c r="BO304" s="32">
        <v>25</v>
      </c>
      <c r="BP304" s="31">
        <v>245</v>
      </c>
      <c r="BQ304" s="32">
        <v>278</v>
      </c>
      <c r="BR304" s="31">
        <v>262</v>
      </c>
      <c r="BS304" s="32">
        <v>271</v>
      </c>
      <c r="BT304" s="31">
        <v>241</v>
      </c>
      <c r="BU304" s="33">
        <v>30</v>
      </c>
      <c r="BV304" s="115">
        <v>254</v>
      </c>
      <c r="BW304" s="111">
        <v>269</v>
      </c>
      <c r="BX304" s="32">
        <v>265</v>
      </c>
      <c r="BY304" s="31">
        <v>273</v>
      </c>
      <c r="BZ304" s="32">
        <v>247</v>
      </c>
      <c r="CA304" s="111">
        <v>256</v>
      </c>
      <c r="CB304" s="32">
        <v>271</v>
      </c>
      <c r="CC304" s="33">
        <v>350</v>
      </c>
      <c r="CD304" s="34">
        <v>376</v>
      </c>
      <c r="CE304" s="111">
        <v>208</v>
      </c>
      <c r="CF304" s="38">
        <v>245</v>
      </c>
      <c r="CG304" s="31">
        <v>125</v>
      </c>
      <c r="CH304" s="35">
        <v>96</v>
      </c>
      <c r="CI304" s="35">
        <v>172</v>
      </c>
      <c r="CJ304" s="35">
        <v>189</v>
      </c>
      <c r="CK304" s="32">
        <v>223</v>
      </c>
    </row>
    <row r="305" spans="1:89" ht="13" x14ac:dyDescent="0.25">
      <c r="A305" s="27">
        <v>5205</v>
      </c>
      <c r="B305" s="28" t="s">
        <v>328</v>
      </c>
      <c r="C305" s="29">
        <v>1063</v>
      </c>
      <c r="D305" s="30">
        <v>692</v>
      </c>
      <c r="E305" s="20">
        <f t="shared" si="4"/>
        <v>0.65098777046095957</v>
      </c>
      <c r="F305" s="31">
        <v>0</v>
      </c>
      <c r="G305" s="111">
        <v>0</v>
      </c>
      <c r="H305" s="111">
        <v>0</v>
      </c>
      <c r="I305" s="111">
        <v>0</v>
      </c>
      <c r="J305" s="111">
        <v>2</v>
      </c>
      <c r="K305" s="111">
        <v>0</v>
      </c>
      <c r="L305" s="111">
        <v>0</v>
      </c>
      <c r="M305" s="111">
        <v>412</v>
      </c>
      <c r="N305" s="111">
        <v>0</v>
      </c>
      <c r="O305" s="111">
        <v>0</v>
      </c>
      <c r="P305" s="35">
        <v>4</v>
      </c>
      <c r="Q305" s="35">
        <v>1</v>
      </c>
      <c r="R305" s="35">
        <v>264</v>
      </c>
      <c r="S305" s="32">
        <v>0</v>
      </c>
      <c r="T305" s="31">
        <v>400</v>
      </c>
      <c r="U305" s="32">
        <v>262</v>
      </c>
      <c r="V305" s="31">
        <v>271</v>
      </c>
      <c r="W305" s="32">
        <v>397</v>
      </c>
      <c r="X305" s="31">
        <v>407</v>
      </c>
      <c r="Y305" s="32">
        <v>251</v>
      </c>
      <c r="Z305" s="111">
        <v>411</v>
      </c>
      <c r="AA305" s="35">
        <v>0</v>
      </c>
      <c r="AB305" s="35">
        <v>24</v>
      </c>
      <c r="AC305" s="35">
        <v>245</v>
      </c>
      <c r="AD305" s="35">
        <v>0</v>
      </c>
      <c r="AE305" s="33">
        <v>0</v>
      </c>
      <c r="AF305" s="115">
        <v>0</v>
      </c>
      <c r="AG305" s="111"/>
      <c r="AH305" s="32"/>
      <c r="AI305" s="31">
        <v>250</v>
      </c>
      <c r="AJ305" s="33">
        <v>404</v>
      </c>
      <c r="AK305" s="31"/>
      <c r="AL305" s="32"/>
      <c r="AM305" s="31"/>
      <c r="AN305" s="115"/>
      <c r="AO305" s="111"/>
      <c r="AP305" s="32"/>
      <c r="AQ305" s="31"/>
      <c r="AR305" s="115"/>
      <c r="AS305" s="111"/>
      <c r="AT305" s="32"/>
      <c r="AU305" s="31">
        <v>396</v>
      </c>
      <c r="AV305" s="111">
        <v>0</v>
      </c>
      <c r="AW305" s="111">
        <v>254</v>
      </c>
      <c r="AX305" s="31"/>
      <c r="AY305" s="32"/>
      <c r="AZ305" s="31"/>
      <c r="BA305" s="115"/>
      <c r="BB305" s="31">
        <v>260</v>
      </c>
      <c r="BC305" s="32">
        <v>385</v>
      </c>
      <c r="BD305" s="31">
        <v>252</v>
      </c>
      <c r="BE305" s="115">
        <v>392</v>
      </c>
      <c r="BF305" s="111">
        <v>388</v>
      </c>
      <c r="BG305" s="32">
        <v>252</v>
      </c>
      <c r="BH305" s="31">
        <v>272</v>
      </c>
      <c r="BI305" s="32">
        <v>369</v>
      </c>
      <c r="BJ305" s="111">
        <v>26</v>
      </c>
      <c r="BK305" s="33">
        <v>233</v>
      </c>
      <c r="BL305" s="115">
        <v>386</v>
      </c>
      <c r="BM305" s="111">
        <v>392</v>
      </c>
      <c r="BN305" s="35">
        <v>231</v>
      </c>
      <c r="BO305" s="32">
        <v>17</v>
      </c>
      <c r="BP305" s="31">
        <v>251</v>
      </c>
      <c r="BQ305" s="32">
        <v>392</v>
      </c>
      <c r="BR305" s="31">
        <v>375</v>
      </c>
      <c r="BS305" s="32">
        <v>272</v>
      </c>
      <c r="BT305" s="31">
        <v>239</v>
      </c>
      <c r="BU305" s="33">
        <v>29</v>
      </c>
      <c r="BV305" s="115">
        <v>368</v>
      </c>
      <c r="BW305" s="111">
        <v>401</v>
      </c>
      <c r="BX305" s="32">
        <v>261</v>
      </c>
      <c r="BY305" s="31">
        <v>391</v>
      </c>
      <c r="BZ305" s="32">
        <v>243</v>
      </c>
      <c r="CA305" s="111">
        <v>234</v>
      </c>
      <c r="CB305" s="32">
        <v>411</v>
      </c>
      <c r="CC305" s="33">
        <v>401</v>
      </c>
      <c r="CD305" s="34">
        <v>518</v>
      </c>
      <c r="CE305" s="111">
        <v>304</v>
      </c>
      <c r="CF305" s="38">
        <v>244</v>
      </c>
      <c r="CG305" s="31">
        <v>166</v>
      </c>
      <c r="CH305" s="35">
        <v>112</v>
      </c>
      <c r="CI305" s="35">
        <v>211</v>
      </c>
      <c r="CJ305" s="35">
        <v>244</v>
      </c>
      <c r="CK305" s="32">
        <v>239</v>
      </c>
    </row>
    <row r="306" spans="1:89" ht="13" x14ac:dyDescent="0.25">
      <c r="A306" s="27">
        <v>5206</v>
      </c>
      <c r="B306" s="28" t="s">
        <v>329</v>
      </c>
      <c r="C306" s="29">
        <v>832</v>
      </c>
      <c r="D306" s="30">
        <v>602</v>
      </c>
      <c r="E306" s="20">
        <f t="shared" si="4"/>
        <v>0.72355769230769229</v>
      </c>
      <c r="F306" s="31">
        <v>0</v>
      </c>
      <c r="G306" s="111">
        <v>0</v>
      </c>
      <c r="H306" s="111">
        <v>0</v>
      </c>
      <c r="I306" s="111">
        <v>0</v>
      </c>
      <c r="J306" s="111">
        <v>0</v>
      </c>
      <c r="K306" s="111">
        <v>0</v>
      </c>
      <c r="L306" s="111">
        <v>0</v>
      </c>
      <c r="M306" s="111">
        <v>348</v>
      </c>
      <c r="N306" s="111">
        <v>0</v>
      </c>
      <c r="O306" s="111">
        <v>0</v>
      </c>
      <c r="P306" s="35">
        <v>2</v>
      </c>
      <c r="Q306" s="35">
        <v>3</v>
      </c>
      <c r="R306" s="35">
        <v>243</v>
      </c>
      <c r="S306" s="32">
        <v>0</v>
      </c>
      <c r="T306" s="31">
        <v>338</v>
      </c>
      <c r="U306" s="32">
        <v>243</v>
      </c>
      <c r="V306" s="31">
        <v>248</v>
      </c>
      <c r="W306" s="32">
        <v>330</v>
      </c>
      <c r="X306" s="31">
        <v>339</v>
      </c>
      <c r="Y306" s="32">
        <v>230</v>
      </c>
      <c r="Z306" s="111">
        <v>353</v>
      </c>
      <c r="AA306" s="35">
        <v>0</v>
      </c>
      <c r="AB306" s="35">
        <v>24</v>
      </c>
      <c r="AC306" s="35">
        <v>207</v>
      </c>
      <c r="AD306" s="35">
        <v>0</v>
      </c>
      <c r="AE306" s="33">
        <v>0</v>
      </c>
      <c r="AF306" s="115">
        <v>0</v>
      </c>
      <c r="AG306" s="111"/>
      <c r="AH306" s="32"/>
      <c r="AI306" s="31">
        <v>229</v>
      </c>
      <c r="AJ306" s="33">
        <v>345</v>
      </c>
      <c r="AK306" s="31"/>
      <c r="AL306" s="32"/>
      <c r="AM306" s="31"/>
      <c r="AN306" s="115"/>
      <c r="AO306" s="111"/>
      <c r="AP306" s="32"/>
      <c r="AQ306" s="31"/>
      <c r="AR306" s="115"/>
      <c r="AS306" s="111"/>
      <c r="AT306" s="32"/>
      <c r="AU306" s="31">
        <v>341</v>
      </c>
      <c r="AV306" s="111">
        <v>0</v>
      </c>
      <c r="AW306" s="111">
        <v>226</v>
      </c>
      <c r="AX306" s="31"/>
      <c r="AY306" s="32"/>
      <c r="AZ306" s="31"/>
      <c r="BA306" s="115"/>
      <c r="BB306" s="31">
        <v>227</v>
      </c>
      <c r="BC306" s="32">
        <v>335</v>
      </c>
      <c r="BD306" s="31">
        <v>224</v>
      </c>
      <c r="BE306" s="115">
        <v>337</v>
      </c>
      <c r="BF306" s="111">
        <v>328</v>
      </c>
      <c r="BG306" s="32">
        <v>232</v>
      </c>
      <c r="BH306" s="31">
        <v>235</v>
      </c>
      <c r="BI306" s="32">
        <v>322</v>
      </c>
      <c r="BJ306" s="111">
        <v>26</v>
      </c>
      <c r="BK306" s="33">
        <v>204</v>
      </c>
      <c r="BL306" s="115">
        <v>343</v>
      </c>
      <c r="BM306" s="111">
        <v>330</v>
      </c>
      <c r="BN306" s="35">
        <v>208</v>
      </c>
      <c r="BO306" s="32">
        <v>22</v>
      </c>
      <c r="BP306" s="31">
        <v>225</v>
      </c>
      <c r="BQ306" s="32">
        <v>342</v>
      </c>
      <c r="BR306" s="31">
        <v>311</v>
      </c>
      <c r="BS306" s="32">
        <v>251</v>
      </c>
      <c r="BT306" s="31">
        <v>211</v>
      </c>
      <c r="BU306" s="33">
        <v>30</v>
      </c>
      <c r="BV306" s="115">
        <v>319</v>
      </c>
      <c r="BW306" s="111">
        <v>344</v>
      </c>
      <c r="BX306" s="32">
        <v>228</v>
      </c>
      <c r="BY306" s="31">
        <v>338</v>
      </c>
      <c r="BZ306" s="32">
        <v>212</v>
      </c>
      <c r="CA306" s="111">
        <v>213</v>
      </c>
      <c r="CB306" s="32">
        <v>342</v>
      </c>
      <c r="CC306" s="33">
        <v>331</v>
      </c>
      <c r="CD306" s="34">
        <v>433</v>
      </c>
      <c r="CE306" s="111">
        <v>216</v>
      </c>
      <c r="CF306" s="38">
        <v>269</v>
      </c>
      <c r="CG306" s="31">
        <v>112</v>
      </c>
      <c r="CH306" s="35">
        <v>94</v>
      </c>
      <c r="CI306" s="35">
        <v>212</v>
      </c>
      <c r="CJ306" s="35">
        <v>247</v>
      </c>
      <c r="CK306" s="32">
        <v>213</v>
      </c>
    </row>
    <row r="307" spans="1:89" ht="13" x14ac:dyDescent="0.25">
      <c r="A307" s="27">
        <v>5207</v>
      </c>
      <c r="B307" s="28" t="s">
        <v>330</v>
      </c>
      <c r="C307" s="29">
        <v>771</v>
      </c>
      <c r="D307" s="30">
        <v>537</v>
      </c>
      <c r="E307" s="20">
        <f t="shared" si="4"/>
        <v>0.69649805447470814</v>
      </c>
      <c r="F307" s="31">
        <v>0</v>
      </c>
      <c r="G307" s="111">
        <v>0</v>
      </c>
      <c r="H307" s="111">
        <v>0</v>
      </c>
      <c r="I307" s="111">
        <v>0</v>
      </c>
      <c r="J307" s="111">
        <v>3</v>
      </c>
      <c r="K307" s="111">
        <v>0</v>
      </c>
      <c r="L307" s="111">
        <v>0</v>
      </c>
      <c r="M307" s="111">
        <v>402</v>
      </c>
      <c r="N307" s="111">
        <v>0</v>
      </c>
      <c r="O307" s="111">
        <v>0</v>
      </c>
      <c r="P307" s="35">
        <v>4</v>
      </c>
      <c r="Q307" s="35">
        <v>0</v>
      </c>
      <c r="R307" s="35">
        <v>121</v>
      </c>
      <c r="S307" s="32">
        <v>0</v>
      </c>
      <c r="T307" s="31">
        <v>397</v>
      </c>
      <c r="U307" s="32">
        <v>125</v>
      </c>
      <c r="V307" s="31">
        <v>132</v>
      </c>
      <c r="W307" s="32">
        <v>394</v>
      </c>
      <c r="X307" s="31">
        <v>390</v>
      </c>
      <c r="Y307" s="32">
        <v>119</v>
      </c>
      <c r="Z307" s="111">
        <v>401</v>
      </c>
      <c r="AA307" s="35">
        <v>0</v>
      </c>
      <c r="AB307" s="35">
        <v>18</v>
      </c>
      <c r="AC307" s="35">
        <v>109</v>
      </c>
      <c r="AD307" s="35">
        <v>0</v>
      </c>
      <c r="AE307" s="33">
        <v>0</v>
      </c>
      <c r="AF307" s="115">
        <v>0</v>
      </c>
      <c r="AG307" s="111"/>
      <c r="AH307" s="32"/>
      <c r="AI307" s="31">
        <v>124</v>
      </c>
      <c r="AJ307" s="33">
        <v>396</v>
      </c>
      <c r="AK307" s="31"/>
      <c r="AL307" s="32"/>
      <c r="AM307" s="31"/>
      <c r="AN307" s="115"/>
      <c r="AO307" s="111"/>
      <c r="AP307" s="32"/>
      <c r="AQ307" s="31"/>
      <c r="AR307" s="115"/>
      <c r="AS307" s="111"/>
      <c r="AT307" s="32"/>
      <c r="AU307" s="31">
        <v>395</v>
      </c>
      <c r="AV307" s="111">
        <v>0</v>
      </c>
      <c r="AW307" s="111">
        <v>122</v>
      </c>
      <c r="AX307" s="31"/>
      <c r="AY307" s="32"/>
      <c r="AZ307" s="31"/>
      <c r="BA307" s="115"/>
      <c r="BB307" s="31">
        <v>119</v>
      </c>
      <c r="BC307" s="32">
        <v>381</v>
      </c>
      <c r="BD307" s="31">
        <v>122</v>
      </c>
      <c r="BE307" s="115">
        <v>383</v>
      </c>
      <c r="BF307" s="111">
        <v>389</v>
      </c>
      <c r="BG307" s="32">
        <v>119</v>
      </c>
      <c r="BH307" s="31">
        <v>125</v>
      </c>
      <c r="BI307" s="32">
        <v>373</v>
      </c>
      <c r="BJ307" s="111">
        <v>16</v>
      </c>
      <c r="BK307" s="33">
        <v>113</v>
      </c>
      <c r="BL307" s="115">
        <v>392</v>
      </c>
      <c r="BM307" s="111">
        <v>376</v>
      </c>
      <c r="BN307" s="35">
        <v>110</v>
      </c>
      <c r="BO307" s="32">
        <v>17</v>
      </c>
      <c r="BP307" s="31">
        <v>120</v>
      </c>
      <c r="BQ307" s="32">
        <v>386</v>
      </c>
      <c r="BR307" s="31">
        <v>368</v>
      </c>
      <c r="BS307" s="32">
        <v>140</v>
      </c>
      <c r="BT307" s="31">
        <v>110</v>
      </c>
      <c r="BU307" s="33">
        <v>18</v>
      </c>
      <c r="BV307" s="115">
        <v>382</v>
      </c>
      <c r="BW307" s="111">
        <v>391</v>
      </c>
      <c r="BX307" s="32">
        <v>127</v>
      </c>
      <c r="BY307" s="31">
        <v>389</v>
      </c>
      <c r="BZ307" s="32">
        <v>109</v>
      </c>
      <c r="CA307" s="111">
        <v>123</v>
      </c>
      <c r="CB307" s="32">
        <v>386</v>
      </c>
      <c r="CC307" s="33">
        <v>247</v>
      </c>
      <c r="CD307" s="34">
        <v>439</v>
      </c>
      <c r="CE307" s="111">
        <v>162</v>
      </c>
      <c r="CF307" s="38">
        <v>268</v>
      </c>
      <c r="CG307" s="31">
        <v>102</v>
      </c>
      <c r="CH307" s="35">
        <v>47</v>
      </c>
      <c r="CI307" s="35">
        <v>247</v>
      </c>
      <c r="CJ307" s="35">
        <v>264</v>
      </c>
      <c r="CK307" s="32">
        <v>124</v>
      </c>
    </row>
    <row r="308" spans="1:89" ht="13" x14ac:dyDescent="0.25">
      <c r="A308" s="27">
        <v>5208</v>
      </c>
      <c r="B308" s="28" t="s">
        <v>331</v>
      </c>
      <c r="C308" s="29">
        <v>901</v>
      </c>
      <c r="D308" s="30">
        <v>707</v>
      </c>
      <c r="E308" s="20">
        <f t="shared" si="4"/>
        <v>0.78468368479467254</v>
      </c>
      <c r="F308" s="31">
        <v>0</v>
      </c>
      <c r="G308" s="111">
        <v>0</v>
      </c>
      <c r="H308" s="111">
        <v>0</v>
      </c>
      <c r="I308" s="111">
        <v>0</v>
      </c>
      <c r="J308" s="111">
        <v>0</v>
      </c>
      <c r="K308" s="111">
        <v>0</v>
      </c>
      <c r="L308" s="111">
        <v>0</v>
      </c>
      <c r="M308" s="111">
        <v>511</v>
      </c>
      <c r="N308" s="111">
        <v>0</v>
      </c>
      <c r="O308" s="111">
        <v>0</v>
      </c>
      <c r="P308" s="35">
        <v>7</v>
      </c>
      <c r="Q308" s="35">
        <v>0</v>
      </c>
      <c r="R308" s="35">
        <v>180</v>
      </c>
      <c r="S308" s="32">
        <v>0</v>
      </c>
      <c r="T308" s="31">
        <v>504</v>
      </c>
      <c r="U308" s="32">
        <v>182</v>
      </c>
      <c r="V308" s="31">
        <v>184</v>
      </c>
      <c r="W308" s="32">
        <v>501</v>
      </c>
      <c r="X308" s="31">
        <v>500</v>
      </c>
      <c r="Y308" s="32">
        <v>180</v>
      </c>
      <c r="Z308" s="111">
        <v>506</v>
      </c>
      <c r="AA308" s="35">
        <v>0</v>
      </c>
      <c r="AB308" s="35">
        <v>9</v>
      </c>
      <c r="AC308" s="35">
        <v>177</v>
      </c>
      <c r="AD308" s="35">
        <v>0</v>
      </c>
      <c r="AE308" s="33">
        <v>0</v>
      </c>
      <c r="AF308" s="115">
        <v>0</v>
      </c>
      <c r="AG308" s="111"/>
      <c r="AH308" s="32"/>
      <c r="AI308" s="31">
        <v>174</v>
      </c>
      <c r="AJ308" s="33">
        <v>508</v>
      </c>
      <c r="AK308" s="31"/>
      <c r="AL308" s="32"/>
      <c r="AM308" s="31"/>
      <c r="AN308" s="115"/>
      <c r="AO308" s="111"/>
      <c r="AP308" s="32"/>
      <c r="AQ308" s="31"/>
      <c r="AR308" s="115"/>
      <c r="AS308" s="111"/>
      <c r="AT308" s="32"/>
      <c r="AU308" s="31">
        <v>510</v>
      </c>
      <c r="AV308" s="111">
        <v>0</v>
      </c>
      <c r="AW308" s="111">
        <v>177</v>
      </c>
      <c r="AX308" s="31"/>
      <c r="AY308" s="32"/>
      <c r="AZ308" s="31"/>
      <c r="BA308" s="115"/>
      <c r="BB308" s="31">
        <v>177</v>
      </c>
      <c r="BC308" s="32">
        <v>498</v>
      </c>
      <c r="BD308" s="31">
        <v>176</v>
      </c>
      <c r="BE308" s="115">
        <v>502</v>
      </c>
      <c r="BF308" s="111">
        <v>501</v>
      </c>
      <c r="BG308" s="32">
        <v>175</v>
      </c>
      <c r="BH308" s="31">
        <v>195</v>
      </c>
      <c r="BI308" s="32">
        <v>481</v>
      </c>
      <c r="BJ308" s="111">
        <v>15</v>
      </c>
      <c r="BK308" s="33">
        <v>163</v>
      </c>
      <c r="BL308" s="115">
        <v>509</v>
      </c>
      <c r="BM308" s="111">
        <v>500</v>
      </c>
      <c r="BN308" s="35">
        <v>165</v>
      </c>
      <c r="BO308" s="32">
        <v>16</v>
      </c>
      <c r="BP308" s="31">
        <v>167</v>
      </c>
      <c r="BQ308" s="32">
        <v>514</v>
      </c>
      <c r="BR308" s="31">
        <v>477</v>
      </c>
      <c r="BS308" s="32">
        <v>204</v>
      </c>
      <c r="BT308" s="31">
        <v>171</v>
      </c>
      <c r="BU308" s="33">
        <v>22</v>
      </c>
      <c r="BV308" s="115">
        <v>488</v>
      </c>
      <c r="BW308" s="111">
        <v>504</v>
      </c>
      <c r="BX308" s="32">
        <v>181</v>
      </c>
      <c r="BY308" s="31">
        <v>498</v>
      </c>
      <c r="BZ308" s="32">
        <v>168</v>
      </c>
      <c r="CA308" s="111">
        <v>165</v>
      </c>
      <c r="CB308" s="32">
        <v>509</v>
      </c>
      <c r="CC308" s="33">
        <v>339</v>
      </c>
      <c r="CD308" s="34">
        <v>600</v>
      </c>
      <c r="CE308" s="111">
        <v>222</v>
      </c>
      <c r="CF308" s="38">
        <v>376</v>
      </c>
      <c r="CG308" s="31">
        <v>160</v>
      </c>
      <c r="CH308" s="35">
        <v>77</v>
      </c>
      <c r="CI308" s="35">
        <v>353</v>
      </c>
      <c r="CJ308" s="35">
        <v>361</v>
      </c>
      <c r="CK308" s="32">
        <v>174</v>
      </c>
    </row>
    <row r="309" spans="1:89" ht="13" x14ac:dyDescent="0.25">
      <c r="A309" s="27">
        <v>5301</v>
      </c>
      <c r="B309" s="28" t="s">
        <v>332</v>
      </c>
      <c r="C309" s="29">
        <v>1490</v>
      </c>
      <c r="D309" s="30">
        <v>1239</v>
      </c>
      <c r="E309" s="20">
        <f t="shared" si="4"/>
        <v>0.83154362416107386</v>
      </c>
      <c r="F309" s="31">
        <v>0</v>
      </c>
      <c r="G309" s="111">
        <v>0</v>
      </c>
      <c r="H309" s="111">
        <v>0</v>
      </c>
      <c r="I309" s="111">
        <v>0</v>
      </c>
      <c r="J309" s="111">
        <v>3</v>
      </c>
      <c r="K309" s="111">
        <v>0</v>
      </c>
      <c r="L309" s="111">
        <v>0</v>
      </c>
      <c r="M309" s="111">
        <v>849</v>
      </c>
      <c r="N309" s="111">
        <v>0</v>
      </c>
      <c r="O309" s="111">
        <v>0</v>
      </c>
      <c r="P309" s="35">
        <v>8</v>
      </c>
      <c r="Q309" s="35">
        <v>0</v>
      </c>
      <c r="R309" s="35">
        <v>356</v>
      </c>
      <c r="S309" s="32">
        <v>1</v>
      </c>
      <c r="T309" s="31">
        <v>770</v>
      </c>
      <c r="U309" s="32">
        <v>424</v>
      </c>
      <c r="V309" s="31">
        <v>455</v>
      </c>
      <c r="W309" s="32">
        <v>753</v>
      </c>
      <c r="X309" s="31">
        <v>782</v>
      </c>
      <c r="Y309" s="32">
        <v>395</v>
      </c>
      <c r="Z309" s="111">
        <v>853</v>
      </c>
      <c r="AA309" s="35">
        <v>0</v>
      </c>
      <c r="AB309" s="35">
        <v>30</v>
      </c>
      <c r="AC309" s="35">
        <v>341</v>
      </c>
      <c r="AD309" s="35">
        <v>0</v>
      </c>
      <c r="AE309" s="33">
        <v>0</v>
      </c>
      <c r="AF309" s="115">
        <v>0</v>
      </c>
      <c r="AG309" s="111"/>
      <c r="AH309" s="32"/>
      <c r="AI309" s="31">
        <v>400</v>
      </c>
      <c r="AJ309" s="33">
        <v>794</v>
      </c>
      <c r="AK309" s="31">
        <v>395</v>
      </c>
      <c r="AL309" s="32">
        <v>788</v>
      </c>
      <c r="AM309" s="31"/>
      <c r="AN309" s="115"/>
      <c r="AO309" s="111"/>
      <c r="AP309" s="32"/>
      <c r="AQ309" s="31"/>
      <c r="AR309" s="115"/>
      <c r="AS309" s="111">
        <v>795</v>
      </c>
      <c r="AT309" s="32">
        <v>382</v>
      </c>
      <c r="AU309" s="31"/>
      <c r="AV309" s="111"/>
      <c r="AW309" s="111"/>
      <c r="AX309" s="31"/>
      <c r="AY309" s="32"/>
      <c r="AZ309" s="31"/>
      <c r="BA309" s="115"/>
      <c r="BB309" s="31">
        <v>410</v>
      </c>
      <c r="BC309" s="32">
        <v>762</v>
      </c>
      <c r="BD309" s="31">
        <v>408</v>
      </c>
      <c r="BE309" s="115">
        <v>760</v>
      </c>
      <c r="BF309" s="111">
        <v>762</v>
      </c>
      <c r="BG309" s="32">
        <v>401</v>
      </c>
      <c r="BH309" s="31">
        <v>449</v>
      </c>
      <c r="BI309" s="32">
        <v>728</v>
      </c>
      <c r="BJ309" s="111">
        <v>50</v>
      </c>
      <c r="BK309" s="33">
        <v>374</v>
      </c>
      <c r="BL309" s="115">
        <v>758</v>
      </c>
      <c r="BM309" s="111">
        <v>802</v>
      </c>
      <c r="BN309" s="35">
        <v>355</v>
      </c>
      <c r="BO309" s="32">
        <v>30</v>
      </c>
      <c r="BP309" s="31">
        <v>405</v>
      </c>
      <c r="BQ309" s="32">
        <v>768</v>
      </c>
      <c r="BR309" s="31">
        <v>693</v>
      </c>
      <c r="BS309" s="32">
        <v>496</v>
      </c>
      <c r="BT309" s="31">
        <v>369</v>
      </c>
      <c r="BU309" s="33">
        <v>39</v>
      </c>
      <c r="BV309" s="115">
        <v>751</v>
      </c>
      <c r="BW309" s="111">
        <v>793</v>
      </c>
      <c r="BX309" s="32">
        <v>395</v>
      </c>
      <c r="BY309" s="31">
        <v>765</v>
      </c>
      <c r="BZ309" s="32">
        <v>380</v>
      </c>
      <c r="CA309" s="111">
        <v>378</v>
      </c>
      <c r="CB309" s="32">
        <v>782</v>
      </c>
      <c r="CC309" s="33">
        <v>639</v>
      </c>
      <c r="CD309" s="34">
        <v>908</v>
      </c>
      <c r="CE309" s="111">
        <v>414</v>
      </c>
      <c r="CF309" s="42">
        <v>550</v>
      </c>
      <c r="CG309" s="31">
        <v>214</v>
      </c>
      <c r="CH309" s="35">
        <v>247</v>
      </c>
      <c r="CI309" s="35">
        <v>499</v>
      </c>
      <c r="CJ309" s="35">
        <v>552</v>
      </c>
      <c r="CK309" s="32">
        <v>356</v>
      </c>
    </row>
    <row r="310" spans="1:89" ht="13" x14ac:dyDescent="0.25">
      <c r="A310" s="27">
        <v>5302</v>
      </c>
      <c r="B310" s="28" t="s">
        <v>333</v>
      </c>
      <c r="C310" s="29">
        <v>1470</v>
      </c>
      <c r="D310" s="30">
        <v>1211</v>
      </c>
      <c r="E310" s="20">
        <f t="shared" si="4"/>
        <v>0.82380952380952377</v>
      </c>
      <c r="F310" s="31">
        <v>0</v>
      </c>
      <c r="G310" s="111">
        <v>0</v>
      </c>
      <c r="H310" s="111">
        <v>0</v>
      </c>
      <c r="I310" s="111">
        <v>1</v>
      </c>
      <c r="J310" s="111">
        <v>2</v>
      </c>
      <c r="K310" s="111">
        <v>0</v>
      </c>
      <c r="L310" s="111">
        <v>0</v>
      </c>
      <c r="M310" s="111">
        <v>845</v>
      </c>
      <c r="N310" s="111">
        <v>0</v>
      </c>
      <c r="O310" s="111">
        <v>0</v>
      </c>
      <c r="P310" s="35">
        <v>8</v>
      </c>
      <c r="Q310" s="35">
        <v>2</v>
      </c>
      <c r="R310" s="35">
        <v>337</v>
      </c>
      <c r="S310" s="32">
        <v>0</v>
      </c>
      <c r="T310" s="31">
        <v>790</v>
      </c>
      <c r="U310" s="32">
        <v>385</v>
      </c>
      <c r="V310" s="31">
        <v>402</v>
      </c>
      <c r="W310" s="32">
        <v>778</v>
      </c>
      <c r="X310" s="31">
        <v>793</v>
      </c>
      <c r="Y310" s="32">
        <v>368</v>
      </c>
      <c r="Z310" s="111">
        <v>853</v>
      </c>
      <c r="AA310" s="35">
        <v>0</v>
      </c>
      <c r="AB310" s="35">
        <v>21</v>
      </c>
      <c r="AC310" s="35">
        <v>322</v>
      </c>
      <c r="AD310" s="35">
        <v>0</v>
      </c>
      <c r="AE310" s="33">
        <v>0</v>
      </c>
      <c r="AF310" s="115">
        <v>0</v>
      </c>
      <c r="AG310" s="111"/>
      <c r="AH310" s="32"/>
      <c r="AI310" s="31">
        <v>378</v>
      </c>
      <c r="AJ310" s="33">
        <v>779</v>
      </c>
      <c r="AK310" s="31">
        <v>359</v>
      </c>
      <c r="AL310" s="32">
        <v>799</v>
      </c>
      <c r="AM310" s="31"/>
      <c r="AN310" s="115"/>
      <c r="AO310" s="111"/>
      <c r="AP310" s="32"/>
      <c r="AQ310" s="31"/>
      <c r="AR310" s="115"/>
      <c r="AS310" s="111">
        <v>797</v>
      </c>
      <c r="AT310" s="32">
        <v>358</v>
      </c>
      <c r="AU310" s="31"/>
      <c r="AV310" s="111"/>
      <c r="AW310" s="111"/>
      <c r="AX310" s="31"/>
      <c r="AY310" s="32"/>
      <c r="AZ310" s="31"/>
      <c r="BA310" s="115"/>
      <c r="BB310" s="31">
        <v>385</v>
      </c>
      <c r="BC310" s="32">
        <v>768</v>
      </c>
      <c r="BD310" s="31">
        <v>364</v>
      </c>
      <c r="BE310" s="115">
        <v>781</v>
      </c>
      <c r="BF310" s="111">
        <v>767</v>
      </c>
      <c r="BG310" s="32">
        <v>372</v>
      </c>
      <c r="BH310" s="31">
        <v>422</v>
      </c>
      <c r="BI310" s="32">
        <v>724</v>
      </c>
      <c r="BJ310" s="111">
        <v>43</v>
      </c>
      <c r="BK310" s="33">
        <v>351</v>
      </c>
      <c r="BL310" s="115">
        <v>758</v>
      </c>
      <c r="BM310" s="111">
        <v>796</v>
      </c>
      <c r="BN310" s="35">
        <v>325</v>
      </c>
      <c r="BO310" s="32">
        <v>37</v>
      </c>
      <c r="BP310" s="31">
        <v>390</v>
      </c>
      <c r="BQ310" s="32">
        <v>752</v>
      </c>
      <c r="BR310" s="31">
        <v>716</v>
      </c>
      <c r="BS310" s="32">
        <v>439</v>
      </c>
      <c r="BT310" s="31">
        <v>343</v>
      </c>
      <c r="BU310" s="33">
        <v>43</v>
      </c>
      <c r="BV310" s="115">
        <v>754</v>
      </c>
      <c r="BW310" s="111">
        <v>789</v>
      </c>
      <c r="BX310" s="32">
        <v>373</v>
      </c>
      <c r="BY310" s="31">
        <v>772</v>
      </c>
      <c r="BZ310" s="32">
        <v>352</v>
      </c>
      <c r="CA310" s="111">
        <v>369</v>
      </c>
      <c r="CB310" s="32">
        <v>773</v>
      </c>
      <c r="CC310" s="33">
        <v>637</v>
      </c>
      <c r="CD310" s="34">
        <v>910</v>
      </c>
      <c r="CE310" s="111">
        <v>408</v>
      </c>
      <c r="CF310" s="42">
        <v>536</v>
      </c>
      <c r="CG310" s="31">
        <v>224</v>
      </c>
      <c r="CH310" s="35">
        <v>220</v>
      </c>
      <c r="CI310" s="35">
        <v>515</v>
      </c>
      <c r="CJ310" s="35">
        <v>575</v>
      </c>
      <c r="CK310" s="32">
        <v>341</v>
      </c>
    </row>
    <row r="311" spans="1:89" ht="13" x14ac:dyDescent="0.25">
      <c r="A311" s="27">
        <v>5303</v>
      </c>
      <c r="B311" s="28" t="s">
        <v>334</v>
      </c>
      <c r="C311" s="29">
        <v>1472</v>
      </c>
      <c r="D311" s="30">
        <v>1193</v>
      </c>
      <c r="E311" s="20">
        <f t="shared" si="4"/>
        <v>0.81046195652173914</v>
      </c>
      <c r="F311" s="31">
        <v>0</v>
      </c>
      <c r="G311" s="111">
        <v>0</v>
      </c>
      <c r="H311" s="111">
        <v>0</v>
      </c>
      <c r="I311" s="111">
        <v>0</v>
      </c>
      <c r="J311" s="111">
        <v>2</v>
      </c>
      <c r="K311" s="111">
        <v>0</v>
      </c>
      <c r="L311" s="111">
        <v>0</v>
      </c>
      <c r="M311" s="111">
        <v>831</v>
      </c>
      <c r="N311" s="111">
        <v>0</v>
      </c>
      <c r="O311" s="111">
        <v>0</v>
      </c>
      <c r="P311" s="35">
        <v>6</v>
      </c>
      <c r="Q311" s="35">
        <v>2</v>
      </c>
      <c r="R311" s="35">
        <v>325</v>
      </c>
      <c r="S311" s="32">
        <v>0</v>
      </c>
      <c r="T311" s="31">
        <v>782</v>
      </c>
      <c r="U311" s="32">
        <v>374</v>
      </c>
      <c r="V311" s="31">
        <v>387</v>
      </c>
      <c r="W311" s="32">
        <v>770</v>
      </c>
      <c r="X311" s="31">
        <v>787</v>
      </c>
      <c r="Y311" s="32">
        <v>349</v>
      </c>
      <c r="Z311" s="111">
        <v>829</v>
      </c>
      <c r="AA311" s="35">
        <v>0</v>
      </c>
      <c r="AB311" s="35">
        <v>27</v>
      </c>
      <c r="AC311" s="35">
        <v>314</v>
      </c>
      <c r="AD311" s="35">
        <v>0</v>
      </c>
      <c r="AE311" s="33">
        <v>0</v>
      </c>
      <c r="AF311" s="115">
        <v>0</v>
      </c>
      <c r="AG311" s="111"/>
      <c r="AH311" s="32"/>
      <c r="AI311" s="31">
        <v>359</v>
      </c>
      <c r="AJ311" s="33">
        <v>768</v>
      </c>
      <c r="AK311" s="31">
        <v>354</v>
      </c>
      <c r="AL311" s="32">
        <v>777</v>
      </c>
      <c r="AM311" s="31"/>
      <c r="AN311" s="115"/>
      <c r="AO311" s="111"/>
      <c r="AP311" s="32"/>
      <c r="AQ311" s="31"/>
      <c r="AR311" s="115"/>
      <c r="AS311" s="111">
        <v>786</v>
      </c>
      <c r="AT311" s="32">
        <v>339</v>
      </c>
      <c r="AU311" s="31"/>
      <c r="AV311" s="111"/>
      <c r="AW311" s="111"/>
      <c r="AX311" s="31"/>
      <c r="AY311" s="32"/>
      <c r="AZ311" s="31"/>
      <c r="BA311" s="115"/>
      <c r="BB311" s="31">
        <v>367</v>
      </c>
      <c r="BC311" s="32">
        <v>762</v>
      </c>
      <c r="BD311" s="31">
        <v>360</v>
      </c>
      <c r="BE311" s="115">
        <v>758</v>
      </c>
      <c r="BF311" s="111">
        <v>760</v>
      </c>
      <c r="BG311" s="32">
        <v>359</v>
      </c>
      <c r="BH311" s="31">
        <v>401</v>
      </c>
      <c r="BI311" s="32">
        <v>725</v>
      </c>
      <c r="BJ311" s="111">
        <v>54</v>
      </c>
      <c r="BK311" s="33">
        <v>340</v>
      </c>
      <c r="BL311" s="115">
        <v>742</v>
      </c>
      <c r="BM311" s="111">
        <v>789</v>
      </c>
      <c r="BN311" s="35">
        <v>311</v>
      </c>
      <c r="BO311" s="32">
        <v>40</v>
      </c>
      <c r="BP311" s="31">
        <v>381</v>
      </c>
      <c r="BQ311" s="32">
        <v>746</v>
      </c>
      <c r="BR311" s="31">
        <v>696</v>
      </c>
      <c r="BS311" s="32">
        <v>446</v>
      </c>
      <c r="BT311" s="31">
        <v>335</v>
      </c>
      <c r="BU311" s="33">
        <v>44</v>
      </c>
      <c r="BV311" s="115">
        <v>737</v>
      </c>
      <c r="BW311" s="111">
        <v>772</v>
      </c>
      <c r="BX311" s="32">
        <v>369</v>
      </c>
      <c r="BY311" s="31">
        <v>772</v>
      </c>
      <c r="BZ311" s="32">
        <v>341</v>
      </c>
      <c r="CA311" s="111">
        <v>365</v>
      </c>
      <c r="CB311" s="32">
        <v>759</v>
      </c>
      <c r="CC311" s="33">
        <v>628</v>
      </c>
      <c r="CD311" s="34">
        <v>894</v>
      </c>
      <c r="CE311" s="111">
        <v>412</v>
      </c>
      <c r="CF311" s="42">
        <v>509</v>
      </c>
      <c r="CG311" s="31">
        <v>261</v>
      </c>
      <c r="CH311" s="35">
        <v>224</v>
      </c>
      <c r="CI311" s="35">
        <v>437</v>
      </c>
      <c r="CJ311" s="35">
        <v>535</v>
      </c>
      <c r="CK311" s="32">
        <v>336</v>
      </c>
    </row>
    <row r="312" spans="1:89" ht="13" x14ac:dyDescent="0.25">
      <c r="A312" s="27">
        <v>5304</v>
      </c>
      <c r="B312" s="28" t="s">
        <v>335</v>
      </c>
      <c r="C312" s="29">
        <v>1375</v>
      </c>
      <c r="D312" s="30">
        <v>1085</v>
      </c>
      <c r="E312" s="20">
        <f t="shared" si="4"/>
        <v>0.78909090909090907</v>
      </c>
      <c r="F312" s="31">
        <v>0</v>
      </c>
      <c r="G312" s="111">
        <v>0</v>
      </c>
      <c r="H312" s="111">
        <v>0</v>
      </c>
      <c r="I312" s="111">
        <v>0</v>
      </c>
      <c r="J312" s="111">
        <v>2</v>
      </c>
      <c r="K312" s="111">
        <v>0</v>
      </c>
      <c r="L312" s="111">
        <v>0</v>
      </c>
      <c r="M312" s="111">
        <v>784</v>
      </c>
      <c r="N312" s="111">
        <v>0</v>
      </c>
      <c r="O312" s="111">
        <v>0</v>
      </c>
      <c r="P312" s="35">
        <v>3</v>
      </c>
      <c r="Q312" s="35">
        <v>4</v>
      </c>
      <c r="R312" s="35">
        <v>279</v>
      </c>
      <c r="S312" s="32">
        <v>0</v>
      </c>
      <c r="T312" s="31">
        <v>744</v>
      </c>
      <c r="U312" s="32">
        <v>307</v>
      </c>
      <c r="V312" s="31">
        <v>327</v>
      </c>
      <c r="W312" s="32">
        <v>730</v>
      </c>
      <c r="X312" s="31">
        <v>751</v>
      </c>
      <c r="Y312" s="32">
        <v>286</v>
      </c>
      <c r="Z312" s="111">
        <v>778</v>
      </c>
      <c r="AA312" s="35">
        <v>0</v>
      </c>
      <c r="AB312" s="35">
        <v>37</v>
      </c>
      <c r="AC312" s="35">
        <v>255</v>
      </c>
      <c r="AD312" s="35">
        <v>0</v>
      </c>
      <c r="AE312" s="33">
        <v>0</v>
      </c>
      <c r="AF312" s="115">
        <v>0</v>
      </c>
      <c r="AG312" s="111"/>
      <c r="AH312" s="32"/>
      <c r="AI312" s="31">
        <v>298</v>
      </c>
      <c r="AJ312" s="33">
        <v>739</v>
      </c>
      <c r="AK312" s="31">
        <v>290</v>
      </c>
      <c r="AL312" s="32">
        <v>753</v>
      </c>
      <c r="AM312" s="31"/>
      <c r="AN312" s="115"/>
      <c r="AO312" s="111"/>
      <c r="AP312" s="32"/>
      <c r="AQ312" s="31"/>
      <c r="AR312" s="115"/>
      <c r="AS312" s="111">
        <v>755</v>
      </c>
      <c r="AT312" s="32">
        <v>284</v>
      </c>
      <c r="AU312" s="31"/>
      <c r="AV312" s="111"/>
      <c r="AW312" s="111"/>
      <c r="AX312" s="31"/>
      <c r="AY312" s="32"/>
      <c r="AZ312" s="31"/>
      <c r="BA312" s="115"/>
      <c r="BB312" s="31">
        <v>301</v>
      </c>
      <c r="BC312" s="32">
        <v>727</v>
      </c>
      <c r="BD312" s="31">
        <v>302</v>
      </c>
      <c r="BE312" s="115">
        <v>729</v>
      </c>
      <c r="BF312" s="111">
        <v>725</v>
      </c>
      <c r="BG312" s="32">
        <v>298</v>
      </c>
      <c r="BH312" s="31">
        <v>317</v>
      </c>
      <c r="BI312" s="32">
        <v>706</v>
      </c>
      <c r="BJ312" s="111">
        <v>45</v>
      </c>
      <c r="BK312" s="33">
        <v>262</v>
      </c>
      <c r="BL312" s="115">
        <v>722</v>
      </c>
      <c r="BM312" s="111">
        <v>740</v>
      </c>
      <c r="BN312" s="35">
        <v>261</v>
      </c>
      <c r="BO312" s="32">
        <v>33</v>
      </c>
      <c r="BP312" s="31">
        <v>296</v>
      </c>
      <c r="BQ312" s="32">
        <v>732</v>
      </c>
      <c r="BR312" s="31">
        <v>684</v>
      </c>
      <c r="BS312" s="32">
        <v>351</v>
      </c>
      <c r="BT312" s="31">
        <v>271</v>
      </c>
      <c r="BU312" s="33">
        <v>46</v>
      </c>
      <c r="BV312" s="115">
        <v>709</v>
      </c>
      <c r="BW312" s="111">
        <v>757</v>
      </c>
      <c r="BX312" s="32">
        <v>284</v>
      </c>
      <c r="BY312" s="31">
        <v>739</v>
      </c>
      <c r="BZ312" s="32">
        <v>281</v>
      </c>
      <c r="CA312" s="111">
        <v>290</v>
      </c>
      <c r="CB312" s="32">
        <v>735</v>
      </c>
      <c r="CC312" s="33">
        <v>544</v>
      </c>
      <c r="CD312" s="34">
        <v>872</v>
      </c>
      <c r="CE312" s="111">
        <v>360</v>
      </c>
      <c r="CF312" s="42">
        <v>505</v>
      </c>
      <c r="CG312" s="31">
        <v>215</v>
      </c>
      <c r="CH312" s="35">
        <v>172</v>
      </c>
      <c r="CI312" s="35">
        <v>477</v>
      </c>
      <c r="CJ312" s="35">
        <v>493</v>
      </c>
      <c r="CK312" s="32">
        <v>313</v>
      </c>
    </row>
    <row r="313" spans="1:89" ht="13" x14ac:dyDescent="0.25">
      <c r="A313" s="27">
        <v>5305</v>
      </c>
      <c r="B313" s="28" t="s">
        <v>336</v>
      </c>
      <c r="C313" s="29">
        <v>1357</v>
      </c>
      <c r="D313" s="30">
        <v>1133</v>
      </c>
      <c r="E313" s="20">
        <f t="shared" si="4"/>
        <v>0.83492999263080325</v>
      </c>
      <c r="F313" s="31">
        <v>0</v>
      </c>
      <c r="G313" s="111">
        <v>0</v>
      </c>
      <c r="H313" s="111">
        <v>0</v>
      </c>
      <c r="I313" s="111">
        <v>1</v>
      </c>
      <c r="J313" s="111">
        <v>1</v>
      </c>
      <c r="K313" s="111">
        <v>0</v>
      </c>
      <c r="L313" s="111">
        <v>0</v>
      </c>
      <c r="M313" s="111">
        <v>764</v>
      </c>
      <c r="N313" s="111">
        <v>0</v>
      </c>
      <c r="O313" s="111">
        <v>0</v>
      </c>
      <c r="P313" s="35">
        <v>10</v>
      </c>
      <c r="Q313" s="35">
        <v>1</v>
      </c>
      <c r="R313" s="35">
        <v>336</v>
      </c>
      <c r="S313" s="32">
        <v>0</v>
      </c>
      <c r="T313" s="31">
        <v>733</v>
      </c>
      <c r="U313" s="32">
        <v>373</v>
      </c>
      <c r="V313" s="31">
        <v>412</v>
      </c>
      <c r="W313" s="32">
        <v>694</v>
      </c>
      <c r="X313" s="31">
        <v>731</v>
      </c>
      <c r="Y313" s="32">
        <v>357</v>
      </c>
      <c r="Z313" s="111">
        <v>777</v>
      </c>
      <c r="AA313" s="35">
        <v>0</v>
      </c>
      <c r="AB313" s="35">
        <v>23</v>
      </c>
      <c r="AC313" s="35">
        <v>320</v>
      </c>
      <c r="AD313" s="35">
        <v>0</v>
      </c>
      <c r="AE313" s="33">
        <v>0</v>
      </c>
      <c r="AF313" s="115">
        <v>0</v>
      </c>
      <c r="AG313" s="111"/>
      <c r="AH313" s="32"/>
      <c r="AI313" s="31">
        <v>358</v>
      </c>
      <c r="AJ313" s="33">
        <v>723</v>
      </c>
      <c r="AK313" s="31">
        <v>355</v>
      </c>
      <c r="AL313" s="32">
        <v>728</v>
      </c>
      <c r="AM313" s="31"/>
      <c r="AN313" s="115"/>
      <c r="AO313" s="111"/>
      <c r="AP313" s="32"/>
      <c r="AQ313" s="31"/>
      <c r="AR313" s="115"/>
      <c r="AS313" s="111">
        <v>734</v>
      </c>
      <c r="AT313" s="32">
        <v>345</v>
      </c>
      <c r="AU313" s="31"/>
      <c r="AV313" s="111"/>
      <c r="AW313" s="111"/>
      <c r="AX313" s="31"/>
      <c r="AY313" s="32"/>
      <c r="AZ313" s="31"/>
      <c r="BA313" s="115"/>
      <c r="BB313" s="31">
        <v>364</v>
      </c>
      <c r="BC313" s="32">
        <v>702</v>
      </c>
      <c r="BD313" s="31">
        <v>370</v>
      </c>
      <c r="BE313" s="115">
        <v>693</v>
      </c>
      <c r="BF313" s="111">
        <v>697</v>
      </c>
      <c r="BG313" s="32">
        <v>368</v>
      </c>
      <c r="BH313" s="31">
        <v>406</v>
      </c>
      <c r="BI313" s="32">
        <v>659</v>
      </c>
      <c r="BJ313" s="111">
        <v>39</v>
      </c>
      <c r="BK313" s="33">
        <v>348</v>
      </c>
      <c r="BL313" s="115">
        <v>682</v>
      </c>
      <c r="BM313" s="111">
        <v>734</v>
      </c>
      <c r="BN313" s="35">
        <v>318</v>
      </c>
      <c r="BO313" s="32">
        <v>33</v>
      </c>
      <c r="BP313" s="31">
        <v>372</v>
      </c>
      <c r="BQ313" s="32">
        <v>696</v>
      </c>
      <c r="BR313" s="31">
        <v>647</v>
      </c>
      <c r="BS313" s="32">
        <v>428</v>
      </c>
      <c r="BT313" s="31">
        <v>333</v>
      </c>
      <c r="BU313" s="33">
        <v>41</v>
      </c>
      <c r="BV313" s="115">
        <v>697</v>
      </c>
      <c r="BW313" s="111">
        <v>735</v>
      </c>
      <c r="BX313" s="32">
        <v>356</v>
      </c>
      <c r="BY313" s="31">
        <v>700</v>
      </c>
      <c r="BZ313" s="32">
        <v>348</v>
      </c>
      <c r="CA313" s="111">
        <v>345</v>
      </c>
      <c r="CB313" s="32">
        <v>710</v>
      </c>
      <c r="CC313" s="33">
        <v>610</v>
      </c>
      <c r="CD313" s="34">
        <v>831</v>
      </c>
      <c r="CE313" s="111">
        <v>394</v>
      </c>
      <c r="CF313" s="42">
        <v>500</v>
      </c>
      <c r="CG313" s="31">
        <v>228</v>
      </c>
      <c r="CH313" s="35">
        <v>237</v>
      </c>
      <c r="CI313" s="35">
        <v>457</v>
      </c>
      <c r="CJ313" s="35">
        <v>505</v>
      </c>
      <c r="CK313" s="32">
        <v>361</v>
      </c>
    </row>
    <row r="314" spans="1:89" ht="13" x14ac:dyDescent="0.25">
      <c r="A314" s="27">
        <v>5501</v>
      </c>
      <c r="B314" s="28" t="s">
        <v>337</v>
      </c>
      <c r="C314" s="29">
        <v>860</v>
      </c>
      <c r="D314" s="30">
        <v>686</v>
      </c>
      <c r="E314" s="20">
        <f t="shared" si="4"/>
        <v>0.79767441860465116</v>
      </c>
      <c r="F314" s="31">
        <v>0</v>
      </c>
      <c r="G314" s="111">
        <v>0</v>
      </c>
      <c r="H314" s="111">
        <v>0</v>
      </c>
      <c r="I314" s="111">
        <v>0</v>
      </c>
      <c r="J314" s="111">
        <v>1</v>
      </c>
      <c r="K314" s="111">
        <v>0</v>
      </c>
      <c r="L314" s="111">
        <v>0</v>
      </c>
      <c r="M314" s="111">
        <v>409</v>
      </c>
      <c r="N314" s="111">
        <v>0</v>
      </c>
      <c r="O314" s="111">
        <v>0</v>
      </c>
      <c r="P314" s="35">
        <v>4</v>
      </c>
      <c r="Q314" s="35">
        <v>0</v>
      </c>
      <c r="R314" s="35">
        <v>263</v>
      </c>
      <c r="S314" s="32">
        <v>0</v>
      </c>
      <c r="T314" s="31">
        <v>394</v>
      </c>
      <c r="U314" s="32">
        <v>273</v>
      </c>
      <c r="V314" s="31">
        <v>286</v>
      </c>
      <c r="W314" s="32">
        <v>382</v>
      </c>
      <c r="X314" s="31">
        <v>390</v>
      </c>
      <c r="Y314" s="32">
        <v>266</v>
      </c>
      <c r="Z314" s="111">
        <v>417</v>
      </c>
      <c r="AA314" s="35">
        <v>0</v>
      </c>
      <c r="AB314" s="35">
        <v>6</v>
      </c>
      <c r="AC314" s="35">
        <v>247</v>
      </c>
      <c r="AD314" s="35">
        <v>0</v>
      </c>
      <c r="AE314" s="33">
        <v>0</v>
      </c>
      <c r="AF314" s="115">
        <v>0</v>
      </c>
      <c r="AG314" s="111">
        <v>483</v>
      </c>
      <c r="AH314" s="32">
        <v>187</v>
      </c>
      <c r="AI314" s="31"/>
      <c r="AJ314" s="33"/>
      <c r="AK314" s="31">
        <v>269</v>
      </c>
      <c r="AL314" s="32">
        <v>383</v>
      </c>
      <c r="AM314" s="31"/>
      <c r="AN314" s="115"/>
      <c r="AO314" s="111"/>
      <c r="AP314" s="32"/>
      <c r="AQ314" s="31"/>
      <c r="AR314" s="115"/>
      <c r="AS314" s="111">
        <v>386</v>
      </c>
      <c r="AT314" s="32">
        <v>267</v>
      </c>
      <c r="AU314" s="31"/>
      <c r="AV314" s="111"/>
      <c r="AW314" s="111"/>
      <c r="AX314" s="31"/>
      <c r="AY314" s="32"/>
      <c r="AZ314" s="31"/>
      <c r="BA314" s="115"/>
      <c r="BB314" s="31">
        <v>276</v>
      </c>
      <c r="BC314" s="32">
        <v>373</v>
      </c>
      <c r="BD314" s="31">
        <v>295</v>
      </c>
      <c r="BE314" s="115">
        <v>352</v>
      </c>
      <c r="BF314" s="111">
        <v>372</v>
      </c>
      <c r="BG314" s="32">
        <v>267</v>
      </c>
      <c r="BH314" s="31">
        <v>306</v>
      </c>
      <c r="BI314" s="32">
        <v>345</v>
      </c>
      <c r="BJ314" s="111">
        <v>18</v>
      </c>
      <c r="BK314" s="33">
        <v>260</v>
      </c>
      <c r="BL314" s="115">
        <v>365</v>
      </c>
      <c r="BM314" s="111">
        <v>423</v>
      </c>
      <c r="BN314" s="35">
        <v>224</v>
      </c>
      <c r="BO314" s="32">
        <v>10</v>
      </c>
      <c r="BP314" s="31">
        <v>275</v>
      </c>
      <c r="BQ314" s="32">
        <v>372</v>
      </c>
      <c r="BR314" s="31">
        <v>346</v>
      </c>
      <c r="BS314" s="32">
        <v>309</v>
      </c>
      <c r="BT314" s="31">
        <v>258</v>
      </c>
      <c r="BU314" s="33">
        <v>19</v>
      </c>
      <c r="BV314" s="115">
        <v>361</v>
      </c>
      <c r="BW314" s="111">
        <v>394</v>
      </c>
      <c r="BX314" s="32">
        <v>264</v>
      </c>
      <c r="BY314" s="31">
        <v>379</v>
      </c>
      <c r="BZ314" s="32">
        <v>258</v>
      </c>
      <c r="CA314" s="111">
        <v>259</v>
      </c>
      <c r="CB314" s="32">
        <v>380</v>
      </c>
      <c r="CC314" s="33">
        <v>386</v>
      </c>
      <c r="CD314" s="34">
        <v>458</v>
      </c>
      <c r="CE314" s="111">
        <v>216</v>
      </c>
      <c r="CF314" s="42">
        <v>336</v>
      </c>
      <c r="CG314" s="31">
        <v>138</v>
      </c>
      <c r="CH314" s="35">
        <v>153</v>
      </c>
      <c r="CI314" s="35">
        <v>249</v>
      </c>
      <c r="CJ314" s="35">
        <v>254</v>
      </c>
      <c r="CK314" s="32">
        <v>253</v>
      </c>
    </row>
    <row r="315" spans="1:89" ht="13" x14ac:dyDescent="0.25">
      <c r="A315" s="27">
        <v>5502</v>
      </c>
      <c r="B315" s="28" t="s">
        <v>338</v>
      </c>
      <c r="C315" s="29">
        <v>868</v>
      </c>
      <c r="D315" s="30">
        <v>688</v>
      </c>
      <c r="E315" s="20">
        <f t="shared" si="4"/>
        <v>0.79262672811059909</v>
      </c>
      <c r="F315" s="31">
        <v>0</v>
      </c>
      <c r="G315" s="111">
        <v>0</v>
      </c>
      <c r="H315" s="111">
        <v>0</v>
      </c>
      <c r="I315" s="111">
        <v>1</v>
      </c>
      <c r="J315" s="111">
        <v>1</v>
      </c>
      <c r="K315" s="111">
        <v>0</v>
      </c>
      <c r="L315" s="111">
        <v>0</v>
      </c>
      <c r="M315" s="111">
        <v>362</v>
      </c>
      <c r="N315" s="111">
        <v>0</v>
      </c>
      <c r="O315" s="111">
        <v>0</v>
      </c>
      <c r="P315" s="35">
        <v>3</v>
      </c>
      <c r="Q315" s="35">
        <v>0</v>
      </c>
      <c r="R315" s="35">
        <v>313</v>
      </c>
      <c r="S315" s="32">
        <v>0</v>
      </c>
      <c r="T315" s="31">
        <v>326</v>
      </c>
      <c r="U315" s="32">
        <v>344</v>
      </c>
      <c r="V315" s="31">
        <v>356</v>
      </c>
      <c r="W315" s="32">
        <v>313</v>
      </c>
      <c r="X315" s="31">
        <v>332</v>
      </c>
      <c r="Y315" s="32">
        <v>325</v>
      </c>
      <c r="Z315" s="111">
        <v>364</v>
      </c>
      <c r="AA315" s="35">
        <v>0</v>
      </c>
      <c r="AB315" s="35">
        <v>6</v>
      </c>
      <c r="AC315" s="35">
        <v>309</v>
      </c>
      <c r="AD315" s="35">
        <v>0</v>
      </c>
      <c r="AE315" s="33">
        <v>0</v>
      </c>
      <c r="AF315" s="115">
        <v>0</v>
      </c>
      <c r="AG315" s="111">
        <v>453</v>
      </c>
      <c r="AH315" s="32">
        <v>217</v>
      </c>
      <c r="AI315" s="31"/>
      <c r="AJ315" s="33"/>
      <c r="AK315" s="31">
        <v>327</v>
      </c>
      <c r="AL315" s="32">
        <v>333</v>
      </c>
      <c r="AM315" s="31"/>
      <c r="AN315" s="115"/>
      <c r="AO315" s="111"/>
      <c r="AP315" s="32"/>
      <c r="AQ315" s="31"/>
      <c r="AR315" s="115"/>
      <c r="AS315" s="111">
        <v>347</v>
      </c>
      <c r="AT315" s="32">
        <v>310</v>
      </c>
      <c r="AU315" s="31"/>
      <c r="AV315" s="111"/>
      <c r="AW315" s="111"/>
      <c r="AX315" s="31"/>
      <c r="AY315" s="32"/>
      <c r="AZ315" s="31"/>
      <c r="BA315" s="115"/>
      <c r="BB315" s="31">
        <v>344</v>
      </c>
      <c r="BC315" s="32">
        <v>310</v>
      </c>
      <c r="BD315" s="31">
        <v>349</v>
      </c>
      <c r="BE315" s="115">
        <v>315</v>
      </c>
      <c r="BF315" s="111">
        <v>320</v>
      </c>
      <c r="BG315" s="32">
        <v>329</v>
      </c>
      <c r="BH315" s="31">
        <v>358</v>
      </c>
      <c r="BI315" s="32">
        <v>297</v>
      </c>
      <c r="BJ315" s="111">
        <v>28</v>
      </c>
      <c r="BK315" s="33">
        <v>319</v>
      </c>
      <c r="BL315" s="115">
        <v>316</v>
      </c>
      <c r="BM315" s="111">
        <v>385</v>
      </c>
      <c r="BN315" s="35">
        <v>263</v>
      </c>
      <c r="BO315" s="32">
        <v>16</v>
      </c>
      <c r="BP315" s="31">
        <v>338</v>
      </c>
      <c r="BQ315" s="32">
        <v>319</v>
      </c>
      <c r="BR315" s="31">
        <v>284</v>
      </c>
      <c r="BS315" s="32">
        <v>376</v>
      </c>
      <c r="BT315" s="31">
        <v>318</v>
      </c>
      <c r="BU315" s="33">
        <v>15</v>
      </c>
      <c r="BV315" s="115">
        <v>309</v>
      </c>
      <c r="BW315" s="111">
        <v>356</v>
      </c>
      <c r="BX315" s="32">
        <v>310</v>
      </c>
      <c r="BY315" s="31">
        <v>333</v>
      </c>
      <c r="BZ315" s="32">
        <v>311</v>
      </c>
      <c r="CA315" s="111">
        <v>323</v>
      </c>
      <c r="CB315" s="32">
        <v>334</v>
      </c>
      <c r="CC315" s="33">
        <v>424</v>
      </c>
      <c r="CD315" s="34">
        <v>435</v>
      </c>
      <c r="CE315" s="111">
        <v>245</v>
      </c>
      <c r="CF315" s="42">
        <v>310</v>
      </c>
      <c r="CG315" s="31">
        <v>147</v>
      </c>
      <c r="CH315" s="35">
        <v>167</v>
      </c>
      <c r="CI315" s="35">
        <v>228</v>
      </c>
      <c r="CJ315" s="35">
        <v>240</v>
      </c>
      <c r="CK315" s="32">
        <v>293</v>
      </c>
    </row>
    <row r="316" spans="1:89" ht="13" x14ac:dyDescent="0.25">
      <c r="A316" s="27">
        <v>5503</v>
      </c>
      <c r="B316" s="28" t="s">
        <v>339</v>
      </c>
      <c r="C316" s="29">
        <v>654</v>
      </c>
      <c r="D316" s="30">
        <v>563</v>
      </c>
      <c r="E316" s="20">
        <f t="shared" si="4"/>
        <v>0.86085626911314983</v>
      </c>
      <c r="F316" s="31">
        <v>0</v>
      </c>
      <c r="G316" s="111">
        <v>0</v>
      </c>
      <c r="H316" s="111">
        <v>0</v>
      </c>
      <c r="I316" s="111">
        <v>0</v>
      </c>
      <c r="J316" s="111">
        <v>2</v>
      </c>
      <c r="K316" s="111">
        <v>0</v>
      </c>
      <c r="L316" s="111">
        <v>0</v>
      </c>
      <c r="M316" s="111">
        <v>345</v>
      </c>
      <c r="N316" s="111">
        <v>0</v>
      </c>
      <c r="O316" s="111">
        <v>0</v>
      </c>
      <c r="P316" s="35">
        <v>3</v>
      </c>
      <c r="Q316" s="35">
        <v>1</v>
      </c>
      <c r="R316" s="35">
        <v>198</v>
      </c>
      <c r="S316" s="32">
        <v>0</v>
      </c>
      <c r="T316" s="31">
        <v>318</v>
      </c>
      <c r="U316" s="32">
        <v>231</v>
      </c>
      <c r="V316" s="31">
        <v>234</v>
      </c>
      <c r="W316" s="32">
        <v>317</v>
      </c>
      <c r="X316" s="31">
        <v>319</v>
      </c>
      <c r="Y316" s="32">
        <v>216</v>
      </c>
      <c r="Z316" s="111">
        <v>345</v>
      </c>
      <c r="AA316" s="35">
        <v>0</v>
      </c>
      <c r="AB316" s="35">
        <v>15</v>
      </c>
      <c r="AC316" s="35">
        <v>190</v>
      </c>
      <c r="AD316" s="35">
        <v>0</v>
      </c>
      <c r="AE316" s="33">
        <v>0</v>
      </c>
      <c r="AF316" s="115">
        <v>0</v>
      </c>
      <c r="AG316" s="111">
        <v>344</v>
      </c>
      <c r="AH316" s="32">
        <v>200</v>
      </c>
      <c r="AI316" s="31"/>
      <c r="AJ316" s="33"/>
      <c r="AK316" s="31">
        <v>220</v>
      </c>
      <c r="AL316" s="32">
        <v>317</v>
      </c>
      <c r="AM316" s="31"/>
      <c r="AN316" s="115"/>
      <c r="AO316" s="111"/>
      <c r="AP316" s="32"/>
      <c r="AQ316" s="31"/>
      <c r="AR316" s="115"/>
      <c r="AS316" s="111">
        <v>325</v>
      </c>
      <c r="AT316" s="32">
        <v>206</v>
      </c>
      <c r="AU316" s="31"/>
      <c r="AV316" s="111"/>
      <c r="AW316" s="111"/>
      <c r="AX316" s="31"/>
      <c r="AY316" s="32"/>
      <c r="AZ316" s="31"/>
      <c r="BA316" s="115"/>
      <c r="BB316" s="31">
        <v>222</v>
      </c>
      <c r="BC316" s="32">
        <v>309</v>
      </c>
      <c r="BD316" s="31">
        <v>227</v>
      </c>
      <c r="BE316" s="115">
        <v>306</v>
      </c>
      <c r="BF316" s="111">
        <v>313</v>
      </c>
      <c r="BG316" s="32">
        <v>210</v>
      </c>
      <c r="BH316" s="31">
        <v>247</v>
      </c>
      <c r="BI316" s="32">
        <v>288</v>
      </c>
      <c r="BJ316" s="111">
        <v>14</v>
      </c>
      <c r="BK316" s="33">
        <v>211</v>
      </c>
      <c r="BL316" s="115">
        <v>305</v>
      </c>
      <c r="BM316" s="111">
        <v>327</v>
      </c>
      <c r="BN316" s="35">
        <v>201</v>
      </c>
      <c r="BO316" s="32">
        <v>12</v>
      </c>
      <c r="BP316" s="31">
        <v>220</v>
      </c>
      <c r="BQ316" s="32">
        <v>316</v>
      </c>
      <c r="BR316" s="31">
        <v>266</v>
      </c>
      <c r="BS316" s="32">
        <v>269</v>
      </c>
      <c r="BT316" s="31">
        <v>203</v>
      </c>
      <c r="BU316" s="33">
        <v>16</v>
      </c>
      <c r="BV316" s="115">
        <v>307</v>
      </c>
      <c r="BW316" s="111">
        <v>332</v>
      </c>
      <c r="BX316" s="32">
        <v>205</v>
      </c>
      <c r="BY316" s="31">
        <v>314</v>
      </c>
      <c r="BZ316" s="32">
        <v>205</v>
      </c>
      <c r="CA316" s="111">
        <v>211</v>
      </c>
      <c r="CB316" s="32">
        <v>317</v>
      </c>
      <c r="CC316" s="33">
        <v>290</v>
      </c>
      <c r="CD316" s="34">
        <v>394</v>
      </c>
      <c r="CE316" s="111">
        <v>179</v>
      </c>
      <c r="CF316" s="42">
        <v>258</v>
      </c>
      <c r="CG316" s="31">
        <v>148</v>
      </c>
      <c r="CH316" s="35">
        <v>89</v>
      </c>
      <c r="CI316" s="35">
        <v>194</v>
      </c>
      <c r="CJ316" s="35">
        <v>214</v>
      </c>
      <c r="CK316" s="32">
        <v>212</v>
      </c>
    </row>
    <row r="317" spans="1:89" ht="13" x14ac:dyDescent="0.25">
      <c r="A317" s="27">
        <v>5504</v>
      </c>
      <c r="B317" s="28" t="s">
        <v>340</v>
      </c>
      <c r="C317" s="29">
        <v>892</v>
      </c>
      <c r="D317" s="30">
        <v>745</v>
      </c>
      <c r="E317" s="20">
        <f t="shared" si="4"/>
        <v>0.83520179372197312</v>
      </c>
      <c r="F317" s="31">
        <v>0</v>
      </c>
      <c r="G317" s="111">
        <v>0</v>
      </c>
      <c r="H317" s="111">
        <v>0</v>
      </c>
      <c r="I317" s="111">
        <v>0</v>
      </c>
      <c r="J317" s="111">
        <v>0</v>
      </c>
      <c r="K317" s="111">
        <v>0</v>
      </c>
      <c r="L317" s="111">
        <v>0</v>
      </c>
      <c r="M317" s="111">
        <v>466</v>
      </c>
      <c r="N317" s="111">
        <v>0</v>
      </c>
      <c r="O317" s="111">
        <v>0</v>
      </c>
      <c r="P317" s="35">
        <v>4</v>
      </c>
      <c r="Q317" s="35">
        <v>0</v>
      </c>
      <c r="R317" s="35">
        <v>263</v>
      </c>
      <c r="S317" s="32">
        <v>0</v>
      </c>
      <c r="T317" s="31">
        <v>443</v>
      </c>
      <c r="U317" s="32">
        <v>275</v>
      </c>
      <c r="V317" s="31">
        <v>297</v>
      </c>
      <c r="W317" s="32">
        <v>430</v>
      </c>
      <c r="X317" s="31">
        <v>448</v>
      </c>
      <c r="Y317" s="32">
        <v>262</v>
      </c>
      <c r="Z317" s="111">
        <v>475</v>
      </c>
      <c r="AA317" s="35">
        <v>0</v>
      </c>
      <c r="AB317" s="35">
        <v>8</v>
      </c>
      <c r="AC317" s="35">
        <v>251</v>
      </c>
      <c r="AD317" s="35">
        <v>0</v>
      </c>
      <c r="AE317" s="33">
        <v>0</v>
      </c>
      <c r="AF317" s="115">
        <v>0</v>
      </c>
      <c r="AG317" s="111">
        <v>481</v>
      </c>
      <c r="AH317" s="32">
        <v>242</v>
      </c>
      <c r="AI317" s="31"/>
      <c r="AJ317" s="33"/>
      <c r="AK317" s="31">
        <v>276</v>
      </c>
      <c r="AL317" s="32">
        <v>433</v>
      </c>
      <c r="AM317" s="31"/>
      <c r="AN317" s="115"/>
      <c r="AO317" s="111"/>
      <c r="AP317" s="32"/>
      <c r="AQ317" s="31"/>
      <c r="AR317" s="115"/>
      <c r="AS317" s="111">
        <v>450</v>
      </c>
      <c r="AT317" s="32">
        <v>257</v>
      </c>
      <c r="AU317" s="31"/>
      <c r="AV317" s="111"/>
      <c r="AW317" s="111"/>
      <c r="AX317" s="31"/>
      <c r="AY317" s="32"/>
      <c r="AZ317" s="31"/>
      <c r="BA317" s="115"/>
      <c r="BB317" s="31">
        <v>278</v>
      </c>
      <c r="BC317" s="32">
        <v>418</v>
      </c>
      <c r="BD317" s="31">
        <v>277</v>
      </c>
      <c r="BE317" s="115">
        <v>425</v>
      </c>
      <c r="BF317" s="111">
        <v>430</v>
      </c>
      <c r="BG317" s="32">
        <v>263</v>
      </c>
      <c r="BH317" s="31">
        <v>306</v>
      </c>
      <c r="BI317" s="32">
        <v>394</v>
      </c>
      <c r="BJ317" s="111">
        <v>26</v>
      </c>
      <c r="BK317" s="33">
        <v>251</v>
      </c>
      <c r="BL317" s="115">
        <v>423</v>
      </c>
      <c r="BM317" s="111">
        <v>437</v>
      </c>
      <c r="BN317" s="35">
        <v>249</v>
      </c>
      <c r="BO317" s="32">
        <v>18</v>
      </c>
      <c r="BP317" s="31">
        <v>270</v>
      </c>
      <c r="BQ317" s="32">
        <v>428</v>
      </c>
      <c r="BR317" s="31">
        <v>411</v>
      </c>
      <c r="BS317" s="32">
        <v>296</v>
      </c>
      <c r="BT317" s="31">
        <v>241</v>
      </c>
      <c r="BU317" s="33">
        <v>14</v>
      </c>
      <c r="BV317" s="115">
        <v>444</v>
      </c>
      <c r="BW317" s="111">
        <v>450</v>
      </c>
      <c r="BX317" s="32">
        <v>257</v>
      </c>
      <c r="BY317" s="31">
        <v>436</v>
      </c>
      <c r="BZ317" s="32">
        <v>252</v>
      </c>
      <c r="CA317" s="111">
        <v>256</v>
      </c>
      <c r="CB317" s="32">
        <v>439</v>
      </c>
      <c r="CC317" s="33">
        <v>414</v>
      </c>
      <c r="CD317" s="34">
        <v>543</v>
      </c>
      <c r="CE317" s="111">
        <v>247</v>
      </c>
      <c r="CF317" s="42">
        <v>353</v>
      </c>
      <c r="CG317" s="31">
        <v>176</v>
      </c>
      <c r="CH317" s="35">
        <v>130</v>
      </c>
      <c r="CI317" s="35">
        <v>289</v>
      </c>
      <c r="CJ317" s="35">
        <v>325</v>
      </c>
      <c r="CK317" s="32">
        <v>263</v>
      </c>
    </row>
    <row r="318" spans="1:89" ht="13" x14ac:dyDescent="0.25">
      <c r="A318" s="27">
        <v>5601</v>
      </c>
      <c r="B318" s="28" t="s">
        <v>341</v>
      </c>
      <c r="C318" s="29">
        <v>1069</v>
      </c>
      <c r="D318" s="30">
        <v>883</v>
      </c>
      <c r="E318" s="20">
        <f t="shared" si="4"/>
        <v>0.82600561272217021</v>
      </c>
      <c r="F318" s="31">
        <v>0</v>
      </c>
      <c r="G318" s="111">
        <v>0</v>
      </c>
      <c r="H318" s="111">
        <v>0</v>
      </c>
      <c r="I318" s="111">
        <v>0</v>
      </c>
      <c r="J318" s="111">
        <v>3</v>
      </c>
      <c r="K318" s="111">
        <v>0</v>
      </c>
      <c r="L318" s="111">
        <v>0</v>
      </c>
      <c r="M318" s="111">
        <v>411</v>
      </c>
      <c r="N318" s="111">
        <v>0</v>
      </c>
      <c r="O318" s="111">
        <v>0</v>
      </c>
      <c r="P318" s="35">
        <v>3</v>
      </c>
      <c r="Q318" s="35">
        <v>1</v>
      </c>
      <c r="R318" s="35">
        <v>452</v>
      </c>
      <c r="S318" s="32">
        <v>1</v>
      </c>
      <c r="T318" s="31">
        <v>372</v>
      </c>
      <c r="U318" s="32">
        <v>466</v>
      </c>
      <c r="V318" s="31">
        <v>480</v>
      </c>
      <c r="W318" s="32">
        <v>365</v>
      </c>
      <c r="X318" s="31">
        <v>376</v>
      </c>
      <c r="Y318" s="32">
        <v>452</v>
      </c>
      <c r="Z318" s="111">
        <v>423</v>
      </c>
      <c r="AA318" s="35">
        <v>0</v>
      </c>
      <c r="AB318" s="35">
        <v>24</v>
      </c>
      <c r="AC318" s="35">
        <v>420</v>
      </c>
      <c r="AD318" s="35">
        <v>0</v>
      </c>
      <c r="AE318" s="33">
        <v>0</v>
      </c>
      <c r="AF318" s="115">
        <v>0</v>
      </c>
      <c r="AG318" s="111">
        <v>407</v>
      </c>
      <c r="AH318" s="32">
        <v>436</v>
      </c>
      <c r="AI318" s="31"/>
      <c r="AJ318" s="33"/>
      <c r="AK318" s="31">
        <v>436</v>
      </c>
      <c r="AL318" s="32">
        <v>376</v>
      </c>
      <c r="AM318" s="31"/>
      <c r="AN318" s="115"/>
      <c r="AO318" s="111"/>
      <c r="AP318" s="32"/>
      <c r="AQ318" s="31"/>
      <c r="AR318" s="115"/>
      <c r="AS318" s="111">
        <v>411</v>
      </c>
      <c r="AT318" s="32">
        <v>422</v>
      </c>
      <c r="AU318" s="31"/>
      <c r="AV318" s="111"/>
      <c r="AW318" s="111"/>
      <c r="AX318" s="31"/>
      <c r="AY318" s="32"/>
      <c r="AZ318" s="31"/>
      <c r="BA318" s="115"/>
      <c r="BB318" s="31">
        <v>455</v>
      </c>
      <c r="BC318" s="32">
        <v>356</v>
      </c>
      <c r="BD318" s="31">
        <v>439</v>
      </c>
      <c r="BE318" s="115">
        <v>369</v>
      </c>
      <c r="BF318" s="111">
        <v>367</v>
      </c>
      <c r="BG318" s="32">
        <v>433</v>
      </c>
      <c r="BH318" s="31">
        <v>471</v>
      </c>
      <c r="BI318" s="32">
        <v>337</v>
      </c>
      <c r="BJ318" s="111">
        <v>37</v>
      </c>
      <c r="BK318" s="33">
        <v>418</v>
      </c>
      <c r="BL318" s="115">
        <v>357</v>
      </c>
      <c r="BM318" s="111">
        <v>373</v>
      </c>
      <c r="BN318" s="35">
        <v>418</v>
      </c>
      <c r="BO318" s="32">
        <v>19</v>
      </c>
      <c r="BP318" s="31">
        <v>462</v>
      </c>
      <c r="BQ318" s="32">
        <v>344</v>
      </c>
      <c r="BR318" s="31">
        <v>329</v>
      </c>
      <c r="BS318" s="32">
        <v>488</v>
      </c>
      <c r="BT318" s="31">
        <v>433</v>
      </c>
      <c r="BU318" s="33">
        <v>28</v>
      </c>
      <c r="BV318" s="115">
        <v>341</v>
      </c>
      <c r="BW318" s="111">
        <v>373</v>
      </c>
      <c r="BX318" s="32">
        <v>447</v>
      </c>
      <c r="BY318" s="31">
        <v>369</v>
      </c>
      <c r="BZ318" s="32">
        <v>423</v>
      </c>
      <c r="CA318" s="111">
        <v>441</v>
      </c>
      <c r="CB318" s="32">
        <v>363</v>
      </c>
      <c r="CC318" s="33">
        <v>579</v>
      </c>
      <c r="CD318" s="34">
        <v>560</v>
      </c>
      <c r="CE318" s="111">
        <v>395</v>
      </c>
      <c r="CF318" s="42">
        <v>281</v>
      </c>
      <c r="CG318" s="31">
        <v>206</v>
      </c>
      <c r="CH318" s="35">
        <v>258</v>
      </c>
      <c r="CI318" s="35">
        <v>208</v>
      </c>
      <c r="CJ318" s="35">
        <v>238</v>
      </c>
      <c r="CK318" s="32">
        <v>396</v>
      </c>
    </row>
    <row r="319" spans="1:89" ht="13" x14ac:dyDescent="0.25">
      <c r="A319" s="27">
        <v>5602</v>
      </c>
      <c r="B319" s="28" t="s">
        <v>342</v>
      </c>
      <c r="C319" s="29">
        <v>1016</v>
      </c>
      <c r="D319" s="30">
        <v>832</v>
      </c>
      <c r="E319" s="20">
        <f t="shared" si="4"/>
        <v>0.81889763779527558</v>
      </c>
      <c r="F319" s="31">
        <v>0</v>
      </c>
      <c r="G319" s="111">
        <v>0</v>
      </c>
      <c r="H319" s="111">
        <v>0</v>
      </c>
      <c r="I319" s="111">
        <v>0</v>
      </c>
      <c r="J319" s="111">
        <v>3</v>
      </c>
      <c r="K319" s="111">
        <v>0</v>
      </c>
      <c r="L319" s="111">
        <v>0</v>
      </c>
      <c r="M319" s="111">
        <v>361</v>
      </c>
      <c r="N319" s="111">
        <v>0</v>
      </c>
      <c r="O319" s="111">
        <v>0</v>
      </c>
      <c r="P319" s="35">
        <v>11</v>
      </c>
      <c r="Q319" s="35">
        <v>3</v>
      </c>
      <c r="R319" s="35">
        <v>438</v>
      </c>
      <c r="S319" s="32">
        <v>0</v>
      </c>
      <c r="T319" s="31">
        <v>332</v>
      </c>
      <c r="U319" s="32">
        <v>465</v>
      </c>
      <c r="V319" s="31">
        <v>495</v>
      </c>
      <c r="W319" s="32">
        <v>306</v>
      </c>
      <c r="X319" s="31">
        <v>339</v>
      </c>
      <c r="Y319" s="32">
        <v>450</v>
      </c>
      <c r="Z319" s="111">
        <v>377</v>
      </c>
      <c r="AA319" s="35">
        <v>0</v>
      </c>
      <c r="AB319" s="35">
        <v>19</v>
      </c>
      <c r="AC319" s="35">
        <v>419</v>
      </c>
      <c r="AD319" s="35">
        <v>0</v>
      </c>
      <c r="AE319" s="33">
        <v>0</v>
      </c>
      <c r="AF319" s="115">
        <v>0</v>
      </c>
      <c r="AG319" s="111">
        <v>378</v>
      </c>
      <c r="AH319" s="32">
        <v>421</v>
      </c>
      <c r="AI319" s="31"/>
      <c r="AJ319" s="33"/>
      <c r="AK319" s="31">
        <v>451</v>
      </c>
      <c r="AL319" s="32">
        <v>324</v>
      </c>
      <c r="AM319" s="31"/>
      <c r="AN319" s="115"/>
      <c r="AO319" s="111"/>
      <c r="AP319" s="32"/>
      <c r="AQ319" s="31"/>
      <c r="AR319" s="115"/>
      <c r="AS319" s="111">
        <v>333</v>
      </c>
      <c r="AT319" s="32">
        <v>444</v>
      </c>
      <c r="AU319" s="31"/>
      <c r="AV319" s="111"/>
      <c r="AW319" s="111"/>
      <c r="AX319" s="31"/>
      <c r="AY319" s="32"/>
      <c r="AZ319" s="31"/>
      <c r="BA319" s="115"/>
      <c r="BB319" s="31">
        <v>466</v>
      </c>
      <c r="BC319" s="32">
        <v>300</v>
      </c>
      <c r="BD319" s="31">
        <v>449</v>
      </c>
      <c r="BE319" s="115">
        <v>313</v>
      </c>
      <c r="BF319" s="111">
        <v>311</v>
      </c>
      <c r="BG319" s="32">
        <v>448</v>
      </c>
      <c r="BH319" s="31">
        <v>483</v>
      </c>
      <c r="BI319" s="32">
        <v>285</v>
      </c>
      <c r="BJ319" s="111">
        <v>15</v>
      </c>
      <c r="BK319" s="33">
        <v>431</v>
      </c>
      <c r="BL319" s="115">
        <v>326</v>
      </c>
      <c r="BM319" s="111">
        <v>329</v>
      </c>
      <c r="BN319" s="35">
        <v>428</v>
      </c>
      <c r="BO319" s="32">
        <v>18</v>
      </c>
      <c r="BP319" s="31">
        <v>483</v>
      </c>
      <c r="BQ319" s="32">
        <v>296</v>
      </c>
      <c r="BR319" s="31">
        <v>284</v>
      </c>
      <c r="BS319" s="32">
        <v>498</v>
      </c>
      <c r="BT319" s="31">
        <v>450</v>
      </c>
      <c r="BU319" s="33">
        <v>20</v>
      </c>
      <c r="BV319" s="115">
        <v>296</v>
      </c>
      <c r="BW319" s="111">
        <v>333</v>
      </c>
      <c r="BX319" s="32">
        <v>453</v>
      </c>
      <c r="BY319" s="31">
        <v>317</v>
      </c>
      <c r="BZ319" s="32">
        <v>440</v>
      </c>
      <c r="CA319" s="111">
        <v>443</v>
      </c>
      <c r="CB319" s="32">
        <v>321</v>
      </c>
      <c r="CC319" s="33">
        <v>566</v>
      </c>
      <c r="CD319" s="34">
        <v>530</v>
      </c>
      <c r="CE319" s="111">
        <v>369</v>
      </c>
      <c r="CF319" s="42">
        <v>260</v>
      </c>
      <c r="CG319" s="31">
        <v>195</v>
      </c>
      <c r="CH319" s="35">
        <v>235</v>
      </c>
      <c r="CI319" s="35">
        <v>185</v>
      </c>
      <c r="CJ319" s="35">
        <v>214</v>
      </c>
      <c r="CK319" s="32">
        <v>394</v>
      </c>
    </row>
    <row r="320" spans="1:89" ht="13" x14ac:dyDescent="0.25">
      <c r="A320" s="27">
        <v>5603</v>
      </c>
      <c r="B320" s="28" t="s">
        <v>343</v>
      </c>
      <c r="C320" s="29">
        <v>1414</v>
      </c>
      <c r="D320" s="30">
        <v>1168</v>
      </c>
      <c r="E320" s="20">
        <f t="shared" si="4"/>
        <v>0.82602545968882601</v>
      </c>
      <c r="F320" s="31">
        <v>0</v>
      </c>
      <c r="G320" s="111">
        <v>0</v>
      </c>
      <c r="H320" s="111">
        <v>0</v>
      </c>
      <c r="I320" s="111">
        <v>1</v>
      </c>
      <c r="J320" s="111">
        <v>2</v>
      </c>
      <c r="K320" s="111">
        <v>0</v>
      </c>
      <c r="L320" s="111">
        <v>0</v>
      </c>
      <c r="M320" s="111">
        <v>606</v>
      </c>
      <c r="N320" s="111">
        <v>0</v>
      </c>
      <c r="O320" s="111">
        <v>0</v>
      </c>
      <c r="P320" s="35">
        <v>8</v>
      </c>
      <c r="Q320" s="35">
        <v>2</v>
      </c>
      <c r="R320" s="35">
        <v>522</v>
      </c>
      <c r="S320" s="32">
        <v>0</v>
      </c>
      <c r="T320" s="31">
        <v>555</v>
      </c>
      <c r="U320" s="32">
        <v>565</v>
      </c>
      <c r="V320" s="31">
        <v>579</v>
      </c>
      <c r="W320" s="32">
        <v>546</v>
      </c>
      <c r="X320" s="31">
        <v>562</v>
      </c>
      <c r="Y320" s="32">
        <v>540</v>
      </c>
      <c r="Z320" s="111">
        <v>623</v>
      </c>
      <c r="AA320" s="35">
        <v>0</v>
      </c>
      <c r="AB320" s="35">
        <v>27</v>
      </c>
      <c r="AC320" s="35">
        <v>500</v>
      </c>
      <c r="AD320" s="35">
        <v>0</v>
      </c>
      <c r="AE320" s="33">
        <v>0</v>
      </c>
      <c r="AF320" s="115">
        <v>0</v>
      </c>
      <c r="AG320" s="111">
        <v>602</v>
      </c>
      <c r="AH320" s="32">
        <v>519</v>
      </c>
      <c r="AI320" s="31"/>
      <c r="AJ320" s="33"/>
      <c r="AK320" s="31">
        <v>538</v>
      </c>
      <c r="AL320" s="32">
        <v>561</v>
      </c>
      <c r="AM320" s="31"/>
      <c r="AN320" s="115"/>
      <c r="AO320" s="111"/>
      <c r="AP320" s="32"/>
      <c r="AQ320" s="31"/>
      <c r="AR320" s="115"/>
      <c r="AS320" s="111">
        <v>608</v>
      </c>
      <c r="AT320" s="32">
        <v>501</v>
      </c>
      <c r="AU320" s="31"/>
      <c r="AV320" s="111"/>
      <c r="AW320" s="111"/>
      <c r="AX320" s="31"/>
      <c r="AY320" s="32"/>
      <c r="AZ320" s="31"/>
      <c r="BA320" s="115"/>
      <c r="BB320" s="31">
        <v>558</v>
      </c>
      <c r="BC320" s="32">
        <v>528</v>
      </c>
      <c r="BD320" s="31">
        <v>540</v>
      </c>
      <c r="BE320" s="115">
        <v>540</v>
      </c>
      <c r="BF320" s="111">
        <v>533</v>
      </c>
      <c r="BG320" s="32">
        <v>535</v>
      </c>
      <c r="BH320" s="31">
        <v>580</v>
      </c>
      <c r="BI320" s="32">
        <v>506</v>
      </c>
      <c r="BJ320" s="111">
        <v>59</v>
      </c>
      <c r="BK320" s="33">
        <v>516</v>
      </c>
      <c r="BL320" s="115">
        <v>508</v>
      </c>
      <c r="BM320" s="111">
        <v>548</v>
      </c>
      <c r="BN320" s="35">
        <v>491</v>
      </c>
      <c r="BO320" s="32">
        <v>47</v>
      </c>
      <c r="BP320" s="31">
        <v>561</v>
      </c>
      <c r="BQ320" s="32">
        <v>522</v>
      </c>
      <c r="BR320" s="31">
        <v>477</v>
      </c>
      <c r="BS320" s="32">
        <v>629</v>
      </c>
      <c r="BT320" s="31">
        <v>513</v>
      </c>
      <c r="BU320" s="33">
        <v>41</v>
      </c>
      <c r="BV320" s="115">
        <v>515</v>
      </c>
      <c r="BW320" s="111">
        <v>552</v>
      </c>
      <c r="BX320" s="32">
        <v>554</v>
      </c>
      <c r="BY320" s="31">
        <v>534</v>
      </c>
      <c r="BZ320" s="32">
        <v>528</v>
      </c>
      <c r="CA320" s="111">
        <v>537</v>
      </c>
      <c r="CB320" s="32">
        <v>545</v>
      </c>
      <c r="CC320" s="33">
        <v>730</v>
      </c>
      <c r="CD320" s="34">
        <v>770</v>
      </c>
      <c r="CE320" s="111">
        <v>479</v>
      </c>
      <c r="CF320" s="42">
        <v>403</v>
      </c>
      <c r="CG320" s="31">
        <v>257</v>
      </c>
      <c r="CH320" s="35">
        <v>314</v>
      </c>
      <c r="CI320" s="35">
        <v>311</v>
      </c>
      <c r="CJ320" s="35">
        <v>374</v>
      </c>
      <c r="CK320" s="32">
        <v>468</v>
      </c>
    </row>
    <row r="321" spans="1:89" ht="13" x14ac:dyDescent="0.25">
      <c r="A321" s="27">
        <v>5604</v>
      </c>
      <c r="B321" s="28" t="s">
        <v>344</v>
      </c>
      <c r="C321" s="29">
        <v>1393</v>
      </c>
      <c r="D321" s="30">
        <v>1206</v>
      </c>
      <c r="E321" s="20">
        <f t="shared" si="4"/>
        <v>0.86575735821966981</v>
      </c>
      <c r="F321" s="31">
        <v>0</v>
      </c>
      <c r="G321" s="111">
        <v>0</v>
      </c>
      <c r="H321" s="111">
        <v>0</v>
      </c>
      <c r="I321" s="111">
        <v>0</v>
      </c>
      <c r="J321" s="111">
        <v>0</v>
      </c>
      <c r="K321" s="111">
        <v>0</v>
      </c>
      <c r="L321" s="111">
        <v>0</v>
      </c>
      <c r="M321" s="111">
        <v>505</v>
      </c>
      <c r="N321" s="111">
        <v>0</v>
      </c>
      <c r="O321" s="111">
        <v>0</v>
      </c>
      <c r="P321" s="35">
        <v>7</v>
      </c>
      <c r="Q321" s="35">
        <v>2</v>
      </c>
      <c r="R321" s="35">
        <v>665</v>
      </c>
      <c r="S321" s="32">
        <v>0</v>
      </c>
      <c r="T321" s="31">
        <v>449</v>
      </c>
      <c r="U321" s="32">
        <v>715</v>
      </c>
      <c r="V321" s="31">
        <v>739</v>
      </c>
      <c r="W321" s="32">
        <v>431</v>
      </c>
      <c r="X321" s="31">
        <v>451</v>
      </c>
      <c r="Y321" s="32">
        <v>700</v>
      </c>
      <c r="Z321" s="111">
        <v>517</v>
      </c>
      <c r="AA321" s="35">
        <v>0</v>
      </c>
      <c r="AB321" s="35">
        <v>29</v>
      </c>
      <c r="AC321" s="35">
        <v>642</v>
      </c>
      <c r="AD321" s="35">
        <v>0</v>
      </c>
      <c r="AE321" s="33">
        <v>0</v>
      </c>
      <c r="AF321" s="115">
        <v>0</v>
      </c>
      <c r="AG321" s="111">
        <v>496</v>
      </c>
      <c r="AH321" s="32">
        <v>660</v>
      </c>
      <c r="AI321" s="31"/>
      <c r="AJ321" s="33"/>
      <c r="AK321" s="31">
        <v>693</v>
      </c>
      <c r="AL321" s="32">
        <v>446</v>
      </c>
      <c r="AM321" s="31"/>
      <c r="AN321" s="115"/>
      <c r="AO321" s="111"/>
      <c r="AP321" s="32"/>
      <c r="AQ321" s="31"/>
      <c r="AR321" s="115"/>
      <c r="AS321" s="111">
        <v>501</v>
      </c>
      <c r="AT321" s="32">
        <v>646</v>
      </c>
      <c r="AU321" s="31"/>
      <c r="AV321" s="111"/>
      <c r="AW321" s="111"/>
      <c r="AX321" s="31"/>
      <c r="AY321" s="32"/>
      <c r="AZ321" s="31"/>
      <c r="BA321" s="115"/>
      <c r="BB321" s="31">
        <v>702</v>
      </c>
      <c r="BC321" s="32">
        <v>414</v>
      </c>
      <c r="BD321" s="31">
        <v>691</v>
      </c>
      <c r="BE321" s="115">
        <v>425</v>
      </c>
      <c r="BF321" s="111">
        <v>419</v>
      </c>
      <c r="BG321" s="32">
        <v>688</v>
      </c>
      <c r="BH321" s="31">
        <v>727</v>
      </c>
      <c r="BI321" s="32">
        <v>396</v>
      </c>
      <c r="BJ321" s="111">
        <v>51</v>
      </c>
      <c r="BK321" s="33">
        <v>666</v>
      </c>
      <c r="BL321" s="115">
        <v>414</v>
      </c>
      <c r="BM321" s="111">
        <v>443</v>
      </c>
      <c r="BN321" s="35">
        <v>648</v>
      </c>
      <c r="BO321" s="32">
        <v>37</v>
      </c>
      <c r="BP321" s="31">
        <v>713</v>
      </c>
      <c r="BQ321" s="32">
        <v>407</v>
      </c>
      <c r="BR321" s="31">
        <v>386</v>
      </c>
      <c r="BS321" s="32">
        <v>757</v>
      </c>
      <c r="BT321" s="31">
        <v>657</v>
      </c>
      <c r="BU321" s="33">
        <v>44</v>
      </c>
      <c r="BV321" s="115">
        <v>403</v>
      </c>
      <c r="BW321" s="111">
        <v>481</v>
      </c>
      <c r="BX321" s="32">
        <v>671</v>
      </c>
      <c r="BY321" s="31">
        <v>415</v>
      </c>
      <c r="BZ321" s="32">
        <v>683</v>
      </c>
      <c r="CA321" s="111">
        <v>692</v>
      </c>
      <c r="CB321" s="32">
        <v>424</v>
      </c>
      <c r="CC321" s="33">
        <v>822</v>
      </c>
      <c r="CD321" s="34">
        <v>735</v>
      </c>
      <c r="CE321" s="111">
        <v>580</v>
      </c>
      <c r="CF321" s="42">
        <v>355</v>
      </c>
      <c r="CG321" s="31">
        <v>236</v>
      </c>
      <c r="CH321" s="35">
        <v>389</v>
      </c>
      <c r="CI321" s="35">
        <v>274</v>
      </c>
      <c r="CJ321" s="35">
        <v>348</v>
      </c>
      <c r="CK321" s="32">
        <v>570</v>
      </c>
    </row>
    <row r="322" spans="1:89" ht="13" x14ac:dyDescent="0.25">
      <c r="A322" s="27">
        <v>5605</v>
      </c>
      <c r="B322" s="28" t="s">
        <v>345</v>
      </c>
      <c r="C322" s="29">
        <v>1283</v>
      </c>
      <c r="D322" s="30">
        <v>1044</v>
      </c>
      <c r="E322" s="20">
        <f t="shared" si="4"/>
        <v>0.81371784879189402</v>
      </c>
      <c r="F322" s="31">
        <v>0</v>
      </c>
      <c r="G322" s="111">
        <v>0</v>
      </c>
      <c r="H322" s="111">
        <v>0</v>
      </c>
      <c r="I322" s="111">
        <v>1</v>
      </c>
      <c r="J322" s="111">
        <v>1</v>
      </c>
      <c r="K322" s="111">
        <v>0</v>
      </c>
      <c r="L322" s="111">
        <v>0</v>
      </c>
      <c r="M322" s="111">
        <v>417</v>
      </c>
      <c r="N322" s="111">
        <v>0</v>
      </c>
      <c r="O322" s="111">
        <v>0</v>
      </c>
      <c r="P322" s="35">
        <v>6</v>
      </c>
      <c r="Q322" s="35">
        <v>2</v>
      </c>
      <c r="R322" s="35">
        <v>602</v>
      </c>
      <c r="S322" s="32">
        <v>0</v>
      </c>
      <c r="T322" s="31">
        <v>381</v>
      </c>
      <c r="U322" s="32">
        <v>627</v>
      </c>
      <c r="V322" s="31">
        <v>653</v>
      </c>
      <c r="W322" s="32">
        <v>364</v>
      </c>
      <c r="X322" s="31">
        <v>383</v>
      </c>
      <c r="Y322" s="32">
        <v>616</v>
      </c>
      <c r="Z322" s="111">
        <v>430</v>
      </c>
      <c r="AA322" s="35">
        <v>0</v>
      </c>
      <c r="AB322" s="35">
        <v>21</v>
      </c>
      <c r="AC322" s="35">
        <v>580</v>
      </c>
      <c r="AD322" s="35">
        <v>0</v>
      </c>
      <c r="AE322" s="33">
        <v>0</v>
      </c>
      <c r="AF322" s="115">
        <v>0</v>
      </c>
      <c r="AG322" s="111">
        <v>413</v>
      </c>
      <c r="AH322" s="32">
        <v>599</v>
      </c>
      <c r="AI322" s="31"/>
      <c r="AJ322" s="33"/>
      <c r="AK322" s="31">
        <v>618</v>
      </c>
      <c r="AL322" s="32">
        <v>374</v>
      </c>
      <c r="AM322" s="31"/>
      <c r="AN322" s="115"/>
      <c r="AO322" s="111"/>
      <c r="AP322" s="32"/>
      <c r="AQ322" s="31"/>
      <c r="AR322" s="115"/>
      <c r="AS322" s="111">
        <v>407</v>
      </c>
      <c r="AT322" s="32">
        <v>593</v>
      </c>
      <c r="AU322" s="31"/>
      <c r="AV322" s="111"/>
      <c r="AW322" s="111"/>
      <c r="AX322" s="31"/>
      <c r="AY322" s="32"/>
      <c r="AZ322" s="31"/>
      <c r="BA322" s="115"/>
      <c r="BB322" s="31">
        <v>624</v>
      </c>
      <c r="BC322" s="32">
        <v>355</v>
      </c>
      <c r="BD322" s="31">
        <v>607</v>
      </c>
      <c r="BE322" s="115">
        <v>365</v>
      </c>
      <c r="BF322" s="111">
        <v>345</v>
      </c>
      <c r="BG322" s="32">
        <v>626</v>
      </c>
      <c r="BH322" s="31">
        <v>664</v>
      </c>
      <c r="BI322" s="32">
        <v>327</v>
      </c>
      <c r="BJ322" s="111">
        <v>32</v>
      </c>
      <c r="BK322" s="33">
        <v>589</v>
      </c>
      <c r="BL322" s="115">
        <v>362</v>
      </c>
      <c r="BM322" s="111">
        <v>375</v>
      </c>
      <c r="BN322" s="35">
        <v>580</v>
      </c>
      <c r="BO322" s="32">
        <v>29</v>
      </c>
      <c r="BP322" s="31">
        <v>625</v>
      </c>
      <c r="BQ322" s="32">
        <v>355</v>
      </c>
      <c r="BR322" s="31">
        <v>335</v>
      </c>
      <c r="BS322" s="32">
        <v>658</v>
      </c>
      <c r="BT322" s="31">
        <v>571</v>
      </c>
      <c r="BU322" s="33">
        <v>40</v>
      </c>
      <c r="BV322" s="115">
        <v>365</v>
      </c>
      <c r="BW322" s="111">
        <v>387</v>
      </c>
      <c r="BX322" s="32">
        <v>613</v>
      </c>
      <c r="BY322" s="31">
        <v>364</v>
      </c>
      <c r="BZ322" s="32">
        <v>606</v>
      </c>
      <c r="CA322" s="111">
        <v>604</v>
      </c>
      <c r="CB322" s="32">
        <v>371</v>
      </c>
      <c r="CC322" s="33">
        <v>718</v>
      </c>
      <c r="CD322" s="34">
        <v>645</v>
      </c>
      <c r="CE322" s="111">
        <v>542</v>
      </c>
      <c r="CF322" s="42">
        <v>300</v>
      </c>
      <c r="CG322" s="31">
        <v>249</v>
      </c>
      <c r="CH322" s="35">
        <v>334</v>
      </c>
      <c r="CI322" s="35">
        <v>209</v>
      </c>
      <c r="CJ322" s="35">
        <v>250</v>
      </c>
      <c r="CK322" s="32">
        <v>546</v>
      </c>
    </row>
    <row r="323" spans="1:89" ht="13" x14ac:dyDescent="0.25">
      <c r="A323" s="27">
        <v>5606</v>
      </c>
      <c r="B323" s="28" t="s">
        <v>346</v>
      </c>
      <c r="C323" s="29">
        <v>1251</v>
      </c>
      <c r="D323" s="30">
        <v>1047</v>
      </c>
      <c r="E323" s="20">
        <f t="shared" si="4"/>
        <v>0.83693045563549162</v>
      </c>
      <c r="F323" s="31">
        <v>0</v>
      </c>
      <c r="G323" s="111">
        <v>0</v>
      </c>
      <c r="H323" s="111">
        <v>0</v>
      </c>
      <c r="I323" s="111">
        <v>0</v>
      </c>
      <c r="J323" s="111">
        <v>4</v>
      </c>
      <c r="K323" s="111">
        <v>0</v>
      </c>
      <c r="L323" s="111">
        <v>0</v>
      </c>
      <c r="M323" s="111">
        <v>509</v>
      </c>
      <c r="N323" s="111">
        <v>0</v>
      </c>
      <c r="O323" s="111">
        <v>0</v>
      </c>
      <c r="P323" s="35">
        <v>5</v>
      </c>
      <c r="Q323" s="35">
        <v>2</v>
      </c>
      <c r="R323" s="35">
        <v>496</v>
      </c>
      <c r="S323" s="32">
        <v>0</v>
      </c>
      <c r="T323" s="31">
        <v>471</v>
      </c>
      <c r="U323" s="32">
        <v>540</v>
      </c>
      <c r="V323" s="31">
        <v>569</v>
      </c>
      <c r="W323" s="32">
        <v>451</v>
      </c>
      <c r="X323" s="31">
        <v>474</v>
      </c>
      <c r="Y323" s="32">
        <v>527</v>
      </c>
      <c r="Z323" s="111">
        <v>527</v>
      </c>
      <c r="AA323" s="35">
        <v>0</v>
      </c>
      <c r="AB323" s="35">
        <v>20</v>
      </c>
      <c r="AC323" s="35">
        <v>487</v>
      </c>
      <c r="AD323" s="35">
        <v>0</v>
      </c>
      <c r="AE323" s="33">
        <v>0</v>
      </c>
      <c r="AF323" s="115">
        <v>0</v>
      </c>
      <c r="AG323" s="111">
        <v>516</v>
      </c>
      <c r="AH323" s="32">
        <v>490</v>
      </c>
      <c r="AI323" s="31"/>
      <c r="AJ323" s="33"/>
      <c r="AK323" s="31">
        <v>524</v>
      </c>
      <c r="AL323" s="32">
        <v>468</v>
      </c>
      <c r="AM323" s="31"/>
      <c r="AN323" s="115"/>
      <c r="AO323" s="111"/>
      <c r="AP323" s="32"/>
      <c r="AQ323" s="31"/>
      <c r="AR323" s="115"/>
      <c r="AS323" s="111">
        <v>474</v>
      </c>
      <c r="AT323" s="32">
        <v>521</v>
      </c>
      <c r="AU323" s="31"/>
      <c r="AV323" s="111"/>
      <c r="AW323" s="111"/>
      <c r="AX323" s="31"/>
      <c r="AY323" s="32"/>
      <c r="AZ323" s="31"/>
      <c r="BA323" s="115"/>
      <c r="BB323" s="31">
        <v>540</v>
      </c>
      <c r="BC323" s="32">
        <v>440</v>
      </c>
      <c r="BD323" s="31">
        <v>522</v>
      </c>
      <c r="BE323" s="115">
        <v>449</v>
      </c>
      <c r="BF323" s="111">
        <v>451</v>
      </c>
      <c r="BG323" s="32">
        <v>514</v>
      </c>
      <c r="BH323" s="31">
        <v>583</v>
      </c>
      <c r="BI323" s="32">
        <v>400</v>
      </c>
      <c r="BJ323" s="111">
        <v>54</v>
      </c>
      <c r="BK323" s="33">
        <v>498</v>
      </c>
      <c r="BL323" s="115">
        <v>430</v>
      </c>
      <c r="BM323" s="111">
        <v>453</v>
      </c>
      <c r="BN323" s="35">
        <v>494</v>
      </c>
      <c r="BO323" s="32">
        <v>36</v>
      </c>
      <c r="BP323" s="31">
        <v>556</v>
      </c>
      <c r="BQ323" s="32">
        <v>422</v>
      </c>
      <c r="BR323" s="31">
        <v>405</v>
      </c>
      <c r="BS323" s="32">
        <v>589</v>
      </c>
      <c r="BT323" s="31">
        <v>492</v>
      </c>
      <c r="BU323" s="33">
        <v>44</v>
      </c>
      <c r="BV323" s="115">
        <v>430</v>
      </c>
      <c r="BW323" s="111">
        <v>481</v>
      </c>
      <c r="BX323" s="32">
        <v>526</v>
      </c>
      <c r="BY323" s="31">
        <v>441</v>
      </c>
      <c r="BZ323" s="32">
        <v>514</v>
      </c>
      <c r="CA323" s="111">
        <v>534</v>
      </c>
      <c r="CB323" s="32">
        <v>436</v>
      </c>
      <c r="CC323" s="33">
        <v>688</v>
      </c>
      <c r="CD323" s="34">
        <v>687</v>
      </c>
      <c r="CE323" s="111">
        <v>485</v>
      </c>
      <c r="CF323" s="42">
        <v>353</v>
      </c>
      <c r="CG323" s="31">
        <v>259</v>
      </c>
      <c r="CH323" s="35">
        <v>297</v>
      </c>
      <c r="CI323" s="35">
        <v>274</v>
      </c>
      <c r="CJ323" s="35">
        <v>327</v>
      </c>
      <c r="CK323" s="32">
        <v>473</v>
      </c>
    </row>
    <row r="324" spans="1:89" ht="13" x14ac:dyDescent="0.25">
      <c r="A324" s="27">
        <v>5607</v>
      </c>
      <c r="B324" s="28" t="s">
        <v>347</v>
      </c>
      <c r="C324" s="29">
        <v>1377</v>
      </c>
      <c r="D324" s="30">
        <v>1092</v>
      </c>
      <c r="E324" s="20">
        <f t="shared" ref="E324:E387" si="5">SUM(D324/C324)</f>
        <v>0.79302832244008714</v>
      </c>
      <c r="F324" s="31">
        <v>0</v>
      </c>
      <c r="G324" s="111">
        <v>0</v>
      </c>
      <c r="H324" s="111">
        <v>0</v>
      </c>
      <c r="I324" s="111">
        <v>1</v>
      </c>
      <c r="J324" s="111">
        <v>4</v>
      </c>
      <c r="K324" s="111">
        <v>0</v>
      </c>
      <c r="L324" s="111">
        <v>0</v>
      </c>
      <c r="M324" s="111">
        <v>479</v>
      </c>
      <c r="N324" s="111">
        <v>0</v>
      </c>
      <c r="O324" s="111">
        <v>0</v>
      </c>
      <c r="P324" s="35">
        <v>6</v>
      </c>
      <c r="Q324" s="35">
        <v>0</v>
      </c>
      <c r="R324" s="35">
        <v>582</v>
      </c>
      <c r="S324" s="32">
        <v>0</v>
      </c>
      <c r="T324" s="31">
        <v>443</v>
      </c>
      <c r="U324" s="32">
        <v>598</v>
      </c>
      <c r="V324" s="31">
        <v>628</v>
      </c>
      <c r="W324" s="32">
        <v>425</v>
      </c>
      <c r="X324" s="31">
        <v>465</v>
      </c>
      <c r="Y324" s="32">
        <v>556</v>
      </c>
      <c r="Z324" s="111">
        <v>490</v>
      </c>
      <c r="AA324" s="35">
        <v>0</v>
      </c>
      <c r="AB324" s="35">
        <v>48</v>
      </c>
      <c r="AC324" s="35">
        <v>526</v>
      </c>
      <c r="AD324" s="35">
        <v>0</v>
      </c>
      <c r="AE324" s="33">
        <v>0</v>
      </c>
      <c r="AF324" s="115">
        <v>0</v>
      </c>
      <c r="AG324" s="111">
        <v>486</v>
      </c>
      <c r="AH324" s="32">
        <v>539</v>
      </c>
      <c r="AI324" s="31"/>
      <c r="AJ324" s="33"/>
      <c r="AK324" s="31">
        <v>576</v>
      </c>
      <c r="AL324" s="32">
        <v>435</v>
      </c>
      <c r="AM324" s="31"/>
      <c r="AN324" s="115"/>
      <c r="AO324" s="111"/>
      <c r="AP324" s="32"/>
      <c r="AQ324" s="31"/>
      <c r="AR324" s="115"/>
      <c r="AS324" s="111">
        <v>475</v>
      </c>
      <c r="AT324" s="32">
        <v>551</v>
      </c>
      <c r="AU324" s="31"/>
      <c r="AV324" s="111"/>
      <c r="AW324" s="111"/>
      <c r="AX324" s="31"/>
      <c r="AY324" s="32"/>
      <c r="AZ324" s="31"/>
      <c r="BA324" s="115"/>
      <c r="BB324" s="31">
        <v>585</v>
      </c>
      <c r="BC324" s="32">
        <v>412</v>
      </c>
      <c r="BD324" s="31">
        <v>568</v>
      </c>
      <c r="BE324" s="115">
        <v>427</v>
      </c>
      <c r="BF324" s="111">
        <v>420</v>
      </c>
      <c r="BG324" s="32">
        <v>566</v>
      </c>
      <c r="BH324" s="31">
        <v>602</v>
      </c>
      <c r="BI324" s="32">
        <v>397</v>
      </c>
      <c r="BJ324" s="111">
        <v>78</v>
      </c>
      <c r="BK324" s="33">
        <v>513</v>
      </c>
      <c r="BL324" s="115">
        <v>412</v>
      </c>
      <c r="BM324" s="111">
        <v>433</v>
      </c>
      <c r="BN324" s="35">
        <v>520</v>
      </c>
      <c r="BO324" s="32">
        <v>53</v>
      </c>
      <c r="BP324" s="31">
        <v>587</v>
      </c>
      <c r="BQ324" s="32">
        <v>414</v>
      </c>
      <c r="BR324" s="31">
        <v>376</v>
      </c>
      <c r="BS324" s="32">
        <v>639</v>
      </c>
      <c r="BT324" s="31">
        <v>537</v>
      </c>
      <c r="BU324" s="33">
        <v>67</v>
      </c>
      <c r="BV324" s="115">
        <v>392</v>
      </c>
      <c r="BW324" s="111">
        <v>445</v>
      </c>
      <c r="BX324" s="32">
        <v>574</v>
      </c>
      <c r="BY324" s="31">
        <v>422</v>
      </c>
      <c r="BZ324" s="32">
        <v>563</v>
      </c>
      <c r="CA324" s="111">
        <v>570</v>
      </c>
      <c r="CB324" s="32">
        <v>425</v>
      </c>
      <c r="CC324" s="33">
        <v>748</v>
      </c>
      <c r="CD324" s="34">
        <v>685</v>
      </c>
      <c r="CE324" s="111">
        <v>519</v>
      </c>
      <c r="CF324" s="42">
        <v>335</v>
      </c>
      <c r="CG324" s="31">
        <v>246</v>
      </c>
      <c r="CH324" s="35">
        <v>320</v>
      </c>
      <c r="CI324" s="35">
        <v>230</v>
      </c>
      <c r="CJ324" s="35">
        <v>288</v>
      </c>
      <c r="CK324" s="32">
        <v>488</v>
      </c>
    </row>
    <row r="325" spans="1:89" ht="13" x14ac:dyDescent="0.25">
      <c r="A325" s="27">
        <v>5608</v>
      </c>
      <c r="B325" s="28" t="s">
        <v>348</v>
      </c>
      <c r="C325" s="29">
        <v>1295</v>
      </c>
      <c r="D325" s="30">
        <v>1059</v>
      </c>
      <c r="E325" s="20">
        <f t="shared" si="5"/>
        <v>0.81776061776061781</v>
      </c>
      <c r="F325" s="31">
        <v>0</v>
      </c>
      <c r="G325" s="111">
        <v>0</v>
      </c>
      <c r="H325" s="111">
        <v>0</v>
      </c>
      <c r="I325" s="111">
        <v>0</v>
      </c>
      <c r="J325" s="111">
        <v>2</v>
      </c>
      <c r="K325" s="111">
        <v>0</v>
      </c>
      <c r="L325" s="111">
        <v>0</v>
      </c>
      <c r="M325" s="111">
        <v>479</v>
      </c>
      <c r="N325" s="111">
        <v>0</v>
      </c>
      <c r="O325" s="111">
        <v>0</v>
      </c>
      <c r="P325" s="35">
        <v>8</v>
      </c>
      <c r="Q325" s="35">
        <v>0</v>
      </c>
      <c r="R325" s="35">
        <v>554</v>
      </c>
      <c r="S325" s="32">
        <v>0</v>
      </c>
      <c r="T325" s="31">
        <v>440</v>
      </c>
      <c r="U325" s="32">
        <v>575</v>
      </c>
      <c r="V325" s="31">
        <v>588</v>
      </c>
      <c r="W325" s="32">
        <v>430</v>
      </c>
      <c r="X325" s="31">
        <v>441</v>
      </c>
      <c r="Y325" s="32">
        <v>547</v>
      </c>
      <c r="Z325" s="111">
        <v>488</v>
      </c>
      <c r="AA325" s="35">
        <v>0</v>
      </c>
      <c r="AB325" s="35">
        <v>38</v>
      </c>
      <c r="AC325" s="35">
        <v>513</v>
      </c>
      <c r="AD325" s="35">
        <v>0</v>
      </c>
      <c r="AE325" s="33">
        <v>0</v>
      </c>
      <c r="AF325" s="115">
        <v>0</v>
      </c>
      <c r="AG325" s="111">
        <v>500</v>
      </c>
      <c r="AH325" s="32">
        <v>521</v>
      </c>
      <c r="AI325" s="31"/>
      <c r="AJ325" s="33"/>
      <c r="AK325" s="31">
        <v>536</v>
      </c>
      <c r="AL325" s="32">
        <v>445</v>
      </c>
      <c r="AM325" s="31"/>
      <c r="AN325" s="115"/>
      <c r="AO325" s="111"/>
      <c r="AP325" s="32"/>
      <c r="AQ325" s="31"/>
      <c r="AR325" s="115"/>
      <c r="AS325" s="111">
        <v>465</v>
      </c>
      <c r="AT325" s="32">
        <v>531</v>
      </c>
      <c r="AU325" s="31"/>
      <c r="AV325" s="111"/>
      <c r="AW325" s="111"/>
      <c r="AX325" s="31"/>
      <c r="AY325" s="32"/>
      <c r="AZ325" s="31"/>
      <c r="BA325" s="115"/>
      <c r="BB325" s="31">
        <v>547</v>
      </c>
      <c r="BC325" s="32">
        <v>428</v>
      </c>
      <c r="BD325" s="31">
        <v>540</v>
      </c>
      <c r="BE325" s="115">
        <v>431</v>
      </c>
      <c r="BF325" s="111">
        <v>438</v>
      </c>
      <c r="BG325" s="32">
        <v>531</v>
      </c>
      <c r="BH325" s="31">
        <v>590</v>
      </c>
      <c r="BI325" s="32">
        <v>390</v>
      </c>
      <c r="BJ325" s="111">
        <v>53</v>
      </c>
      <c r="BK325" s="33">
        <v>511</v>
      </c>
      <c r="BL325" s="115">
        <v>427</v>
      </c>
      <c r="BM325" s="111">
        <v>428</v>
      </c>
      <c r="BN325" s="35">
        <v>512</v>
      </c>
      <c r="BO325" s="32">
        <v>41</v>
      </c>
      <c r="BP325" s="31">
        <v>571</v>
      </c>
      <c r="BQ325" s="32">
        <v>406</v>
      </c>
      <c r="BR325" s="31">
        <v>376</v>
      </c>
      <c r="BS325" s="32">
        <v>606</v>
      </c>
      <c r="BT325" s="31">
        <v>505</v>
      </c>
      <c r="BU325" s="33">
        <v>54</v>
      </c>
      <c r="BV325" s="115">
        <v>410</v>
      </c>
      <c r="BW325" s="111">
        <v>469</v>
      </c>
      <c r="BX325" s="32">
        <v>524</v>
      </c>
      <c r="BY325" s="31">
        <v>429</v>
      </c>
      <c r="BZ325" s="32">
        <v>530</v>
      </c>
      <c r="CA325" s="111">
        <v>542</v>
      </c>
      <c r="CB325" s="32">
        <v>427</v>
      </c>
      <c r="CC325" s="33">
        <v>697</v>
      </c>
      <c r="CD325" s="34">
        <v>679</v>
      </c>
      <c r="CE325" s="111">
        <v>503</v>
      </c>
      <c r="CF325" s="42">
        <v>323</v>
      </c>
      <c r="CG325" s="31">
        <v>227</v>
      </c>
      <c r="CH325" s="35">
        <v>295</v>
      </c>
      <c r="CI325" s="35">
        <v>256</v>
      </c>
      <c r="CJ325" s="35">
        <v>321</v>
      </c>
      <c r="CK325" s="32">
        <v>477</v>
      </c>
    </row>
    <row r="326" spans="1:89" ht="13" x14ac:dyDescent="0.25">
      <c r="A326" s="27">
        <v>5609</v>
      </c>
      <c r="B326" s="28" t="s">
        <v>349</v>
      </c>
      <c r="C326" s="29">
        <v>1387</v>
      </c>
      <c r="D326" s="30">
        <v>1179</v>
      </c>
      <c r="E326" s="20">
        <f t="shared" si="5"/>
        <v>0.85003604902667629</v>
      </c>
      <c r="F326" s="31">
        <v>0</v>
      </c>
      <c r="G326" s="111">
        <v>0</v>
      </c>
      <c r="H326" s="111">
        <v>0</v>
      </c>
      <c r="I326" s="111">
        <v>0</v>
      </c>
      <c r="J326" s="111">
        <v>0</v>
      </c>
      <c r="K326" s="111">
        <v>0</v>
      </c>
      <c r="L326" s="111">
        <v>0</v>
      </c>
      <c r="M326" s="111">
        <v>611</v>
      </c>
      <c r="N326" s="111">
        <v>0</v>
      </c>
      <c r="O326" s="111">
        <v>0</v>
      </c>
      <c r="P326" s="35">
        <v>6</v>
      </c>
      <c r="Q326" s="35">
        <v>2</v>
      </c>
      <c r="R326" s="35">
        <v>535</v>
      </c>
      <c r="S326" s="32">
        <v>0</v>
      </c>
      <c r="T326" s="31">
        <v>539</v>
      </c>
      <c r="U326" s="32">
        <v>602</v>
      </c>
      <c r="V326" s="31">
        <v>621</v>
      </c>
      <c r="W326" s="32">
        <v>521</v>
      </c>
      <c r="X326" s="31">
        <v>552</v>
      </c>
      <c r="Y326" s="32">
        <v>574</v>
      </c>
      <c r="Z326" s="111">
        <v>600</v>
      </c>
      <c r="AA326" s="35">
        <v>0</v>
      </c>
      <c r="AB326" s="35">
        <v>20</v>
      </c>
      <c r="AC326" s="35">
        <v>539</v>
      </c>
      <c r="AD326" s="35">
        <v>0</v>
      </c>
      <c r="AE326" s="33">
        <v>0</v>
      </c>
      <c r="AF326" s="115">
        <v>0</v>
      </c>
      <c r="AG326" s="111">
        <v>604</v>
      </c>
      <c r="AH326" s="32">
        <v>542</v>
      </c>
      <c r="AI326" s="31"/>
      <c r="AJ326" s="33"/>
      <c r="AK326" s="31">
        <v>567</v>
      </c>
      <c r="AL326" s="32">
        <v>548</v>
      </c>
      <c r="AM326" s="31"/>
      <c r="AN326" s="115"/>
      <c r="AO326" s="111"/>
      <c r="AP326" s="32"/>
      <c r="AQ326" s="31"/>
      <c r="AR326" s="115"/>
      <c r="AS326" s="111">
        <v>585</v>
      </c>
      <c r="AT326" s="32">
        <v>545</v>
      </c>
      <c r="AU326" s="31"/>
      <c r="AV326" s="111"/>
      <c r="AW326" s="111"/>
      <c r="AX326" s="31"/>
      <c r="AY326" s="32"/>
      <c r="AZ326" s="31"/>
      <c r="BA326" s="115"/>
      <c r="BB326" s="31">
        <v>590</v>
      </c>
      <c r="BC326" s="32">
        <v>508</v>
      </c>
      <c r="BD326" s="31">
        <v>558</v>
      </c>
      <c r="BE326" s="115">
        <v>541</v>
      </c>
      <c r="BF326" s="111">
        <v>516</v>
      </c>
      <c r="BG326" s="32">
        <v>570</v>
      </c>
      <c r="BH326" s="31">
        <v>634</v>
      </c>
      <c r="BI326" s="32">
        <v>473</v>
      </c>
      <c r="BJ326" s="111">
        <v>56</v>
      </c>
      <c r="BK326" s="33">
        <v>550</v>
      </c>
      <c r="BL326" s="115">
        <v>496</v>
      </c>
      <c r="BM326" s="111">
        <v>560</v>
      </c>
      <c r="BN326" s="35">
        <v>523</v>
      </c>
      <c r="BO326" s="32">
        <v>31</v>
      </c>
      <c r="BP326" s="31">
        <v>597</v>
      </c>
      <c r="BQ326" s="32">
        <v>508</v>
      </c>
      <c r="BR326" s="31">
        <v>468</v>
      </c>
      <c r="BS326" s="32">
        <v>657</v>
      </c>
      <c r="BT326" s="31">
        <v>545</v>
      </c>
      <c r="BU326" s="33">
        <v>37</v>
      </c>
      <c r="BV326" s="115">
        <v>505</v>
      </c>
      <c r="BW326" s="111">
        <v>564</v>
      </c>
      <c r="BX326" s="32">
        <v>570</v>
      </c>
      <c r="BY326" s="31">
        <v>514</v>
      </c>
      <c r="BZ326" s="32">
        <v>560</v>
      </c>
      <c r="CA326" s="111">
        <v>555</v>
      </c>
      <c r="CB326" s="32">
        <v>549</v>
      </c>
      <c r="CC326" s="33">
        <v>798</v>
      </c>
      <c r="CD326" s="34">
        <v>801</v>
      </c>
      <c r="CE326" s="111">
        <v>508</v>
      </c>
      <c r="CF326" s="42">
        <v>424</v>
      </c>
      <c r="CG326" s="31">
        <v>298</v>
      </c>
      <c r="CH326" s="35">
        <v>344</v>
      </c>
      <c r="CI326" s="35">
        <v>309</v>
      </c>
      <c r="CJ326" s="35">
        <v>381</v>
      </c>
      <c r="CK326" s="32">
        <v>501</v>
      </c>
    </row>
    <row r="327" spans="1:89" ht="13" x14ac:dyDescent="0.25">
      <c r="A327" s="27">
        <v>5610</v>
      </c>
      <c r="B327" s="28" t="s">
        <v>350</v>
      </c>
      <c r="C327" s="29">
        <v>974</v>
      </c>
      <c r="D327" s="30">
        <v>822</v>
      </c>
      <c r="E327" s="20">
        <f t="shared" si="5"/>
        <v>0.84394250513347024</v>
      </c>
      <c r="F327" s="31">
        <v>0</v>
      </c>
      <c r="G327" s="111">
        <v>0</v>
      </c>
      <c r="H327" s="111">
        <v>0</v>
      </c>
      <c r="I327" s="111">
        <v>0</v>
      </c>
      <c r="J327" s="111">
        <v>0</v>
      </c>
      <c r="K327" s="111">
        <v>0</v>
      </c>
      <c r="L327" s="111">
        <v>0</v>
      </c>
      <c r="M327" s="111">
        <v>351</v>
      </c>
      <c r="N327" s="111">
        <v>0</v>
      </c>
      <c r="O327" s="111">
        <v>0</v>
      </c>
      <c r="P327" s="35">
        <v>12</v>
      </c>
      <c r="Q327" s="35">
        <v>0</v>
      </c>
      <c r="R327" s="35">
        <v>440</v>
      </c>
      <c r="S327" s="32">
        <v>0</v>
      </c>
      <c r="T327" s="31">
        <v>301</v>
      </c>
      <c r="U327" s="32">
        <v>479</v>
      </c>
      <c r="V327" s="31">
        <v>505</v>
      </c>
      <c r="W327" s="32">
        <v>282</v>
      </c>
      <c r="X327" s="31">
        <v>304</v>
      </c>
      <c r="Y327" s="32">
        <v>463</v>
      </c>
      <c r="Z327" s="111">
        <v>351</v>
      </c>
      <c r="AA327" s="35">
        <v>0</v>
      </c>
      <c r="AB327" s="35">
        <v>24</v>
      </c>
      <c r="AC327" s="35">
        <v>419</v>
      </c>
      <c r="AD327" s="35">
        <v>0</v>
      </c>
      <c r="AE327" s="33">
        <v>0</v>
      </c>
      <c r="AF327" s="115">
        <v>1</v>
      </c>
      <c r="AG327" s="111">
        <v>353</v>
      </c>
      <c r="AH327" s="32">
        <v>426</v>
      </c>
      <c r="AI327" s="31"/>
      <c r="AJ327" s="33"/>
      <c r="AK327" s="31">
        <v>458</v>
      </c>
      <c r="AL327" s="32">
        <v>302</v>
      </c>
      <c r="AM327" s="31"/>
      <c r="AN327" s="115"/>
      <c r="AO327" s="111"/>
      <c r="AP327" s="32"/>
      <c r="AQ327" s="31"/>
      <c r="AR327" s="115"/>
      <c r="AS327" s="111">
        <v>332</v>
      </c>
      <c r="AT327" s="32">
        <v>435</v>
      </c>
      <c r="AU327" s="31"/>
      <c r="AV327" s="111"/>
      <c r="AW327" s="111"/>
      <c r="AX327" s="31"/>
      <c r="AY327" s="32"/>
      <c r="AZ327" s="31"/>
      <c r="BA327" s="115"/>
      <c r="BB327" s="31">
        <v>465</v>
      </c>
      <c r="BC327" s="32">
        <v>285</v>
      </c>
      <c r="BD327" s="31">
        <v>453</v>
      </c>
      <c r="BE327" s="115">
        <v>295</v>
      </c>
      <c r="BF327" s="111">
        <v>285</v>
      </c>
      <c r="BG327" s="32">
        <v>458</v>
      </c>
      <c r="BH327" s="31">
        <v>481</v>
      </c>
      <c r="BI327" s="32">
        <v>274</v>
      </c>
      <c r="BJ327" s="111">
        <v>38</v>
      </c>
      <c r="BK327" s="33">
        <v>433</v>
      </c>
      <c r="BL327" s="115">
        <v>289</v>
      </c>
      <c r="BM327" s="111">
        <v>318</v>
      </c>
      <c r="BN327" s="35">
        <v>412</v>
      </c>
      <c r="BO327" s="32">
        <v>26</v>
      </c>
      <c r="BP327" s="31">
        <v>475</v>
      </c>
      <c r="BQ327" s="32">
        <v>284</v>
      </c>
      <c r="BR327" s="31">
        <v>262</v>
      </c>
      <c r="BS327" s="32">
        <v>501</v>
      </c>
      <c r="BT327" s="31">
        <v>423</v>
      </c>
      <c r="BU327" s="33">
        <v>39</v>
      </c>
      <c r="BV327" s="115">
        <v>287</v>
      </c>
      <c r="BW327" s="111">
        <v>306</v>
      </c>
      <c r="BX327" s="32">
        <v>462</v>
      </c>
      <c r="BY327" s="31">
        <v>303</v>
      </c>
      <c r="BZ327" s="32">
        <v>440</v>
      </c>
      <c r="CA327" s="111">
        <v>448</v>
      </c>
      <c r="CB327" s="32">
        <v>295</v>
      </c>
      <c r="CC327" s="33">
        <v>549</v>
      </c>
      <c r="CD327" s="34">
        <v>478</v>
      </c>
      <c r="CE327" s="111">
        <v>414</v>
      </c>
      <c r="CF327" s="42">
        <v>232</v>
      </c>
      <c r="CG327" s="31">
        <v>167</v>
      </c>
      <c r="CH327" s="35">
        <v>267</v>
      </c>
      <c r="CI327" s="35">
        <v>195</v>
      </c>
      <c r="CJ327" s="35">
        <v>200</v>
      </c>
      <c r="CK327" s="32">
        <v>420</v>
      </c>
    </row>
    <row r="328" spans="1:89" ht="13" x14ac:dyDescent="0.25">
      <c r="A328" s="27">
        <v>5611</v>
      </c>
      <c r="B328" s="28" t="s">
        <v>351</v>
      </c>
      <c r="C328" s="29">
        <v>1539</v>
      </c>
      <c r="D328" s="30">
        <v>1169</v>
      </c>
      <c r="E328" s="20">
        <f t="shared" si="5"/>
        <v>0.75958414554905784</v>
      </c>
      <c r="F328" s="31">
        <v>0</v>
      </c>
      <c r="G328" s="111">
        <v>0</v>
      </c>
      <c r="H328" s="111">
        <v>0</v>
      </c>
      <c r="I328" s="111">
        <v>0</v>
      </c>
      <c r="J328" s="111">
        <v>1</v>
      </c>
      <c r="K328" s="111">
        <v>0</v>
      </c>
      <c r="L328" s="111">
        <v>0</v>
      </c>
      <c r="M328" s="111">
        <v>575</v>
      </c>
      <c r="N328" s="111">
        <v>0</v>
      </c>
      <c r="O328" s="111">
        <v>0</v>
      </c>
      <c r="P328" s="35">
        <v>10</v>
      </c>
      <c r="Q328" s="35">
        <v>1</v>
      </c>
      <c r="R328" s="35">
        <v>558</v>
      </c>
      <c r="S328" s="32">
        <v>0</v>
      </c>
      <c r="T328" s="31">
        <v>527</v>
      </c>
      <c r="U328" s="32">
        <v>599</v>
      </c>
      <c r="V328" s="31">
        <v>617</v>
      </c>
      <c r="W328" s="32">
        <v>513</v>
      </c>
      <c r="X328" s="31">
        <v>542</v>
      </c>
      <c r="Y328" s="32">
        <v>570</v>
      </c>
      <c r="Z328" s="111">
        <v>587</v>
      </c>
      <c r="AA328" s="35">
        <v>0</v>
      </c>
      <c r="AB328" s="35">
        <v>40</v>
      </c>
      <c r="AC328" s="35">
        <v>513</v>
      </c>
      <c r="AD328" s="35">
        <v>0</v>
      </c>
      <c r="AE328" s="33">
        <v>0</v>
      </c>
      <c r="AF328" s="115">
        <v>0</v>
      </c>
      <c r="AG328" s="111">
        <v>586</v>
      </c>
      <c r="AH328" s="32">
        <v>543</v>
      </c>
      <c r="AI328" s="31"/>
      <c r="AJ328" s="33"/>
      <c r="AK328" s="31">
        <v>560</v>
      </c>
      <c r="AL328" s="32">
        <v>536</v>
      </c>
      <c r="AM328" s="31"/>
      <c r="AN328" s="115"/>
      <c r="AO328" s="111"/>
      <c r="AP328" s="32"/>
      <c r="AQ328" s="31"/>
      <c r="AR328" s="115"/>
      <c r="AS328" s="111">
        <v>574</v>
      </c>
      <c r="AT328" s="32">
        <v>538</v>
      </c>
      <c r="AU328" s="31"/>
      <c r="AV328" s="111"/>
      <c r="AW328" s="111"/>
      <c r="AX328" s="31"/>
      <c r="AY328" s="32"/>
      <c r="AZ328" s="31"/>
      <c r="BA328" s="115"/>
      <c r="BB328" s="31">
        <v>588</v>
      </c>
      <c r="BC328" s="32">
        <v>494</v>
      </c>
      <c r="BD328" s="31">
        <v>561</v>
      </c>
      <c r="BE328" s="115">
        <v>520</v>
      </c>
      <c r="BF328" s="111">
        <v>497</v>
      </c>
      <c r="BG328" s="32">
        <v>572</v>
      </c>
      <c r="BH328" s="31">
        <v>616</v>
      </c>
      <c r="BI328" s="32">
        <v>476</v>
      </c>
      <c r="BJ328" s="111">
        <v>53</v>
      </c>
      <c r="BK328" s="33">
        <v>538</v>
      </c>
      <c r="BL328" s="115">
        <v>506</v>
      </c>
      <c r="BM328" s="111">
        <v>537</v>
      </c>
      <c r="BN328" s="35">
        <v>532</v>
      </c>
      <c r="BO328" s="32">
        <v>29</v>
      </c>
      <c r="BP328" s="31">
        <v>594</v>
      </c>
      <c r="BQ328" s="32">
        <v>496</v>
      </c>
      <c r="BR328" s="31">
        <v>466</v>
      </c>
      <c r="BS328" s="32">
        <v>642</v>
      </c>
      <c r="BT328" s="31">
        <v>534</v>
      </c>
      <c r="BU328" s="33">
        <v>59</v>
      </c>
      <c r="BV328" s="115">
        <v>485</v>
      </c>
      <c r="BW328" s="111">
        <v>555</v>
      </c>
      <c r="BX328" s="32">
        <v>561</v>
      </c>
      <c r="BY328" s="31">
        <v>511</v>
      </c>
      <c r="BZ328" s="32">
        <v>546</v>
      </c>
      <c r="CA328" s="111">
        <v>563</v>
      </c>
      <c r="CB328" s="32">
        <v>514</v>
      </c>
      <c r="CC328" s="33">
        <v>779</v>
      </c>
      <c r="CD328" s="34">
        <v>792</v>
      </c>
      <c r="CE328" s="111">
        <v>508</v>
      </c>
      <c r="CF328" s="42">
        <v>382</v>
      </c>
      <c r="CG328" s="31">
        <v>312</v>
      </c>
      <c r="CH328" s="35">
        <v>270</v>
      </c>
      <c r="CI328" s="35">
        <v>268</v>
      </c>
      <c r="CJ328" s="35">
        <v>331</v>
      </c>
      <c r="CK328" s="32">
        <v>493</v>
      </c>
    </row>
    <row r="329" spans="1:89" ht="13" x14ac:dyDescent="0.25">
      <c r="A329" s="27">
        <v>5612</v>
      </c>
      <c r="B329" s="28" t="s">
        <v>352</v>
      </c>
      <c r="C329" s="29">
        <v>1512</v>
      </c>
      <c r="D329" s="30">
        <v>1213</v>
      </c>
      <c r="E329" s="20">
        <f t="shared" si="5"/>
        <v>0.80224867724867721</v>
      </c>
      <c r="F329" s="31">
        <v>0</v>
      </c>
      <c r="G329" s="111">
        <v>0</v>
      </c>
      <c r="H329" s="111">
        <v>0</v>
      </c>
      <c r="I329" s="111">
        <v>1</v>
      </c>
      <c r="J329" s="111">
        <v>1</v>
      </c>
      <c r="K329" s="111">
        <v>0</v>
      </c>
      <c r="L329" s="111">
        <v>0</v>
      </c>
      <c r="M329" s="111">
        <v>564</v>
      </c>
      <c r="N329" s="111">
        <v>0</v>
      </c>
      <c r="O329" s="111">
        <v>0</v>
      </c>
      <c r="P329" s="35">
        <v>7</v>
      </c>
      <c r="Q329" s="35">
        <v>7</v>
      </c>
      <c r="R329" s="35">
        <v>614</v>
      </c>
      <c r="S329" s="32">
        <v>0</v>
      </c>
      <c r="T329" s="31">
        <v>525</v>
      </c>
      <c r="U329" s="32">
        <v>643</v>
      </c>
      <c r="V329" s="31">
        <v>675</v>
      </c>
      <c r="W329" s="32">
        <v>514</v>
      </c>
      <c r="X329" s="31">
        <v>542</v>
      </c>
      <c r="Y329" s="32">
        <v>613</v>
      </c>
      <c r="Z329" s="111">
        <v>592</v>
      </c>
      <c r="AA329" s="35">
        <v>0</v>
      </c>
      <c r="AB329" s="35">
        <v>39</v>
      </c>
      <c r="AC329" s="35">
        <v>565</v>
      </c>
      <c r="AD329" s="35">
        <v>0</v>
      </c>
      <c r="AE329" s="33">
        <v>0</v>
      </c>
      <c r="AF329" s="115">
        <v>0</v>
      </c>
      <c r="AG329" s="111">
        <v>590</v>
      </c>
      <c r="AH329" s="32">
        <v>589</v>
      </c>
      <c r="AI329" s="31"/>
      <c r="AJ329" s="33"/>
      <c r="AK329" s="31">
        <v>611</v>
      </c>
      <c r="AL329" s="32">
        <v>540</v>
      </c>
      <c r="AM329" s="31"/>
      <c r="AN329" s="115"/>
      <c r="AO329" s="111"/>
      <c r="AP329" s="32"/>
      <c r="AQ329" s="31"/>
      <c r="AR329" s="115"/>
      <c r="AS329" s="111">
        <v>562</v>
      </c>
      <c r="AT329" s="32">
        <v>592</v>
      </c>
      <c r="AU329" s="31"/>
      <c r="AV329" s="111"/>
      <c r="AW329" s="111"/>
      <c r="AX329" s="31"/>
      <c r="AY329" s="32"/>
      <c r="AZ329" s="31"/>
      <c r="BA329" s="115"/>
      <c r="BB329" s="31">
        <v>621</v>
      </c>
      <c r="BC329" s="32">
        <v>511</v>
      </c>
      <c r="BD329" s="31">
        <v>619</v>
      </c>
      <c r="BE329" s="115">
        <v>515</v>
      </c>
      <c r="BF329" s="111">
        <v>518</v>
      </c>
      <c r="BG329" s="32">
        <v>601</v>
      </c>
      <c r="BH329" s="31">
        <v>664</v>
      </c>
      <c r="BI329" s="32">
        <v>481</v>
      </c>
      <c r="BJ329" s="111">
        <v>60</v>
      </c>
      <c r="BK329" s="33">
        <v>570</v>
      </c>
      <c r="BL329" s="115">
        <v>511</v>
      </c>
      <c r="BM329" s="111">
        <v>535</v>
      </c>
      <c r="BN329" s="35">
        <v>569</v>
      </c>
      <c r="BO329" s="32">
        <v>47</v>
      </c>
      <c r="BP329" s="31">
        <v>624</v>
      </c>
      <c r="BQ329" s="32">
        <v>518</v>
      </c>
      <c r="BR329" s="31">
        <v>481</v>
      </c>
      <c r="BS329" s="32">
        <v>671</v>
      </c>
      <c r="BT329" s="31">
        <v>579</v>
      </c>
      <c r="BU329" s="33">
        <v>54</v>
      </c>
      <c r="BV329" s="115">
        <v>486</v>
      </c>
      <c r="BW329" s="111">
        <v>537</v>
      </c>
      <c r="BX329" s="32">
        <v>627</v>
      </c>
      <c r="BY329" s="31">
        <v>534</v>
      </c>
      <c r="BZ329" s="32">
        <v>581</v>
      </c>
      <c r="CA329" s="111">
        <v>598</v>
      </c>
      <c r="CB329" s="32">
        <v>526</v>
      </c>
      <c r="CC329" s="33">
        <v>801</v>
      </c>
      <c r="CD329" s="34">
        <v>813</v>
      </c>
      <c r="CE329" s="111">
        <v>564</v>
      </c>
      <c r="CF329" s="42">
        <v>366</v>
      </c>
      <c r="CG329" s="31">
        <v>270</v>
      </c>
      <c r="CH329" s="35">
        <v>344</v>
      </c>
      <c r="CI329" s="35">
        <v>299</v>
      </c>
      <c r="CJ329" s="35">
        <v>356</v>
      </c>
      <c r="CK329" s="32">
        <v>524</v>
      </c>
    </row>
    <row r="330" spans="1:89" ht="13" x14ac:dyDescent="0.25">
      <c r="A330" s="27">
        <v>5613</v>
      </c>
      <c r="B330" s="28" t="s">
        <v>353</v>
      </c>
      <c r="C330" s="29">
        <v>766</v>
      </c>
      <c r="D330" s="30">
        <v>626</v>
      </c>
      <c r="E330" s="20">
        <f t="shared" si="5"/>
        <v>0.81723237597911225</v>
      </c>
      <c r="F330" s="31">
        <v>0</v>
      </c>
      <c r="G330" s="111">
        <v>0</v>
      </c>
      <c r="H330" s="111">
        <v>0</v>
      </c>
      <c r="I330" s="111">
        <v>0</v>
      </c>
      <c r="J330" s="111">
        <v>0</v>
      </c>
      <c r="K330" s="111">
        <v>0</v>
      </c>
      <c r="L330" s="111">
        <v>0</v>
      </c>
      <c r="M330" s="111">
        <v>270</v>
      </c>
      <c r="N330" s="111">
        <v>0</v>
      </c>
      <c r="O330" s="111">
        <v>0</v>
      </c>
      <c r="P330" s="35">
        <v>4</v>
      </c>
      <c r="Q330" s="35">
        <v>3</v>
      </c>
      <c r="R330" s="35">
        <v>339</v>
      </c>
      <c r="S330" s="32">
        <v>0</v>
      </c>
      <c r="T330" s="31">
        <v>245</v>
      </c>
      <c r="U330" s="32">
        <v>360</v>
      </c>
      <c r="V330" s="31">
        <v>359</v>
      </c>
      <c r="W330" s="32">
        <v>248</v>
      </c>
      <c r="X330" s="31">
        <v>259</v>
      </c>
      <c r="Y330" s="32">
        <v>329</v>
      </c>
      <c r="Z330" s="111">
        <v>281</v>
      </c>
      <c r="AA330" s="35">
        <v>0</v>
      </c>
      <c r="AB330" s="35">
        <v>25</v>
      </c>
      <c r="AC330" s="35">
        <v>305</v>
      </c>
      <c r="AD330" s="35">
        <v>0</v>
      </c>
      <c r="AE330" s="33">
        <v>0</v>
      </c>
      <c r="AF330" s="115">
        <v>0</v>
      </c>
      <c r="AG330" s="111">
        <v>292</v>
      </c>
      <c r="AH330" s="32">
        <v>311</v>
      </c>
      <c r="AI330" s="31"/>
      <c r="AJ330" s="33"/>
      <c r="AK330" s="31">
        <v>332</v>
      </c>
      <c r="AL330" s="32">
        <v>257</v>
      </c>
      <c r="AM330" s="31"/>
      <c r="AN330" s="115"/>
      <c r="AO330" s="111"/>
      <c r="AP330" s="32"/>
      <c r="AQ330" s="31"/>
      <c r="AR330" s="115"/>
      <c r="AS330" s="111">
        <v>274</v>
      </c>
      <c r="AT330" s="32">
        <v>322</v>
      </c>
      <c r="AU330" s="31"/>
      <c r="AV330" s="111"/>
      <c r="AW330" s="111"/>
      <c r="AX330" s="31"/>
      <c r="AY330" s="32"/>
      <c r="AZ330" s="31"/>
      <c r="BA330" s="115"/>
      <c r="BB330" s="31">
        <v>336</v>
      </c>
      <c r="BC330" s="32">
        <v>246</v>
      </c>
      <c r="BD330" s="31">
        <v>329</v>
      </c>
      <c r="BE330" s="115">
        <v>248</v>
      </c>
      <c r="BF330" s="111">
        <v>239</v>
      </c>
      <c r="BG330" s="32">
        <v>337</v>
      </c>
      <c r="BH330" s="31">
        <v>356</v>
      </c>
      <c r="BI330" s="32">
        <v>228</v>
      </c>
      <c r="BJ330" s="111">
        <v>30</v>
      </c>
      <c r="BK330" s="33">
        <v>322</v>
      </c>
      <c r="BL330" s="115">
        <v>240</v>
      </c>
      <c r="BM330" s="111">
        <v>262</v>
      </c>
      <c r="BN330" s="35">
        <v>307</v>
      </c>
      <c r="BO330" s="32">
        <v>21</v>
      </c>
      <c r="BP330" s="31">
        <v>353</v>
      </c>
      <c r="BQ330" s="32">
        <v>238</v>
      </c>
      <c r="BR330" s="31">
        <v>217</v>
      </c>
      <c r="BS330" s="32">
        <v>381</v>
      </c>
      <c r="BT330" s="31">
        <v>331</v>
      </c>
      <c r="BU330" s="33">
        <v>22</v>
      </c>
      <c r="BV330" s="115">
        <v>229</v>
      </c>
      <c r="BW330" s="111">
        <v>269</v>
      </c>
      <c r="BX330" s="32">
        <v>342</v>
      </c>
      <c r="BY330" s="31">
        <v>251</v>
      </c>
      <c r="BZ330" s="32">
        <v>331</v>
      </c>
      <c r="CA330" s="111">
        <v>328</v>
      </c>
      <c r="CB330" s="32">
        <v>256</v>
      </c>
      <c r="CC330" s="33">
        <v>431</v>
      </c>
      <c r="CD330" s="34">
        <v>407</v>
      </c>
      <c r="CE330" s="111">
        <v>278</v>
      </c>
      <c r="CF330" s="42">
        <v>212</v>
      </c>
      <c r="CG330" s="31">
        <v>123</v>
      </c>
      <c r="CH330" s="35">
        <v>187</v>
      </c>
      <c r="CI330" s="35">
        <v>156</v>
      </c>
      <c r="CJ330" s="35">
        <v>181</v>
      </c>
      <c r="CK330" s="32">
        <v>283</v>
      </c>
    </row>
    <row r="331" spans="1:89" ht="13" x14ac:dyDescent="0.25">
      <c r="A331" s="27">
        <v>5614</v>
      </c>
      <c r="B331" s="28" t="s">
        <v>354</v>
      </c>
      <c r="C331" s="29">
        <v>1253</v>
      </c>
      <c r="D331" s="30">
        <v>1026</v>
      </c>
      <c r="E331" s="20">
        <f t="shared" si="5"/>
        <v>0.81883479648842772</v>
      </c>
      <c r="F331" s="31">
        <v>0</v>
      </c>
      <c r="G331" s="111">
        <v>0</v>
      </c>
      <c r="H331" s="111">
        <v>0</v>
      </c>
      <c r="I331" s="111">
        <v>1</v>
      </c>
      <c r="J331" s="111">
        <v>3</v>
      </c>
      <c r="K331" s="111">
        <v>0</v>
      </c>
      <c r="L331" s="111">
        <v>0</v>
      </c>
      <c r="M331" s="111">
        <v>528</v>
      </c>
      <c r="N331" s="111">
        <v>0</v>
      </c>
      <c r="O331" s="111">
        <v>0</v>
      </c>
      <c r="P331" s="35">
        <v>7</v>
      </c>
      <c r="Q331" s="35">
        <v>2</v>
      </c>
      <c r="R331" s="35">
        <v>464</v>
      </c>
      <c r="S331" s="32">
        <v>0</v>
      </c>
      <c r="T331" s="31">
        <v>505</v>
      </c>
      <c r="U331" s="32">
        <v>486</v>
      </c>
      <c r="V331" s="31">
        <v>507</v>
      </c>
      <c r="W331" s="32">
        <v>488</v>
      </c>
      <c r="X331" s="31">
        <v>504</v>
      </c>
      <c r="Y331" s="32">
        <v>470</v>
      </c>
      <c r="Z331" s="111">
        <v>545</v>
      </c>
      <c r="AA331" s="35">
        <v>0</v>
      </c>
      <c r="AB331" s="35">
        <v>34</v>
      </c>
      <c r="AC331" s="35">
        <v>427</v>
      </c>
      <c r="AD331" s="35">
        <v>0</v>
      </c>
      <c r="AE331" s="33">
        <v>0</v>
      </c>
      <c r="AF331" s="115">
        <v>0</v>
      </c>
      <c r="AG331" s="111">
        <v>544</v>
      </c>
      <c r="AH331" s="32">
        <v>444</v>
      </c>
      <c r="AI331" s="31"/>
      <c r="AJ331" s="33"/>
      <c r="AK331" s="31">
        <v>467</v>
      </c>
      <c r="AL331" s="32">
        <v>504</v>
      </c>
      <c r="AM331" s="31"/>
      <c r="AN331" s="115"/>
      <c r="AO331" s="111"/>
      <c r="AP331" s="32"/>
      <c r="AQ331" s="31"/>
      <c r="AR331" s="115"/>
      <c r="AS331" s="111">
        <v>533</v>
      </c>
      <c r="AT331" s="32">
        <v>453</v>
      </c>
      <c r="AU331" s="31"/>
      <c r="AV331" s="111"/>
      <c r="AW331" s="111"/>
      <c r="AX331" s="31"/>
      <c r="AY331" s="32"/>
      <c r="AZ331" s="31"/>
      <c r="BA331" s="115"/>
      <c r="BB331" s="31">
        <v>477</v>
      </c>
      <c r="BC331" s="32">
        <v>485</v>
      </c>
      <c r="BD331" s="31">
        <v>466</v>
      </c>
      <c r="BE331" s="115">
        <v>494</v>
      </c>
      <c r="BF331" s="111">
        <v>489</v>
      </c>
      <c r="BG331" s="32">
        <v>459</v>
      </c>
      <c r="BH331" s="31">
        <v>507</v>
      </c>
      <c r="BI331" s="32">
        <v>455</v>
      </c>
      <c r="BJ331" s="111">
        <v>50</v>
      </c>
      <c r="BK331" s="33">
        <v>443</v>
      </c>
      <c r="BL331" s="115">
        <v>483</v>
      </c>
      <c r="BM331" s="111">
        <v>481</v>
      </c>
      <c r="BN331" s="35">
        <v>449</v>
      </c>
      <c r="BO331" s="32">
        <v>43</v>
      </c>
      <c r="BP331" s="31">
        <v>498</v>
      </c>
      <c r="BQ331" s="32">
        <v>469</v>
      </c>
      <c r="BR331" s="31">
        <v>459</v>
      </c>
      <c r="BS331" s="32">
        <v>511</v>
      </c>
      <c r="BT331" s="31">
        <v>439</v>
      </c>
      <c r="BU331" s="33">
        <v>50</v>
      </c>
      <c r="BV331" s="115">
        <v>466</v>
      </c>
      <c r="BW331" s="111">
        <v>508</v>
      </c>
      <c r="BX331" s="32">
        <v>476</v>
      </c>
      <c r="BY331" s="31">
        <v>502</v>
      </c>
      <c r="BZ331" s="32">
        <v>451</v>
      </c>
      <c r="CA331" s="111">
        <v>466</v>
      </c>
      <c r="CB331" s="32">
        <v>497</v>
      </c>
      <c r="CC331" s="33">
        <v>665</v>
      </c>
      <c r="CD331" s="34">
        <v>712</v>
      </c>
      <c r="CE331" s="111">
        <v>462</v>
      </c>
      <c r="CF331" s="42">
        <v>366</v>
      </c>
      <c r="CG331" s="31">
        <v>225</v>
      </c>
      <c r="CH331" s="35">
        <v>253</v>
      </c>
      <c r="CI331" s="35">
        <v>258</v>
      </c>
      <c r="CJ331" s="35">
        <v>349</v>
      </c>
      <c r="CK331" s="32">
        <v>447</v>
      </c>
    </row>
    <row r="332" spans="1:89" ht="13" x14ac:dyDescent="0.25">
      <c r="A332" s="27">
        <v>5615</v>
      </c>
      <c r="B332" s="28" t="s">
        <v>355</v>
      </c>
      <c r="C332" s="29">
        <v>1386</v>
      </c>
      <c r="D332" s="30">
        <v>1080</v>
      </c>
      <c r="E332" s="20">
        <f t="shared" si="5"/>
        <v>0.77922077922077926</v>
      </c>
      <c r="F332" s="31">
        <v>0</v>
      </c>
      <c r="G332" s="111">
        <v>0</v>
      </c>
      <c r="H332" s="111">
        <v>0</v>
      </c>
      <c r="I332" s="111">
        <v>0</v>
      </c>
      <c r="J332" s="111">
        <v>5</v>
      </c>
      <c r="K332" s="111">
        <v>0</v>
      </c>
      <c r="L332" s="111">
        <v>0</v>
      </c>
      <c r="M332" s="111">
        <v>492</v>
      </c>
      <c r="N332" s="111">
        <v>0</v>
      </c>
      <c r="O332" s="111">
        <v>0</v>
      </c>
      <c r="P332" s="35">
        <v>8</v>
      </c>
      <c r="Q332" s="35">
        <v>3</v>
      </c>
      <c r="R332" s="35">
        <v>558</v>
      </c>
      <c r="S332" s="32">
        <v>0</v>
      </c>
      <c r="T332" s="37">
        <v>471</v>
      </c>
      <c r="U332" s="38">
        <v>553</v>
      </c>
      <c r="V332" s="37">
        <v>589</v>
      </c>
      <c r="W332" s="32">
        <v>443</v>
      </c>
      <c r="X332" s="31">
        <v>472</v>
      </c>
      <c r="Y332" s="32">
        <v>539</v>
      </c>
      <c r="Z332" s="111">
        <v>520</v>
      </c>
      <c r="AA332" s="35">
        <v>0</v>
      </c>
      <c r="AB332" s="35">
        <v>30</v>
      </c>
      <c r="AC332" s="35">
        <v>500</v>
      </c>
      <c r="AD332" s="35">
        <v>0</v>
      </c>
      <c r="AE332" s="33">
        <v>0</v>
      </c>
      <c r="AF332" s="116">
        <v>0</v>
      </c>
      <c r="AG332" s="120">
        <v>525</v>
      </c>
      <c r="AH332" s="38">
        <v>510</v>
      </c>
      <c r="AI332" s="37"/>
      <c r="AJ332" s="36"/>
      <c r="AK332" s="37">
        <v>537</v>
      </c>
      <c r="AL332" s="38">
        <v>478</v>
      </c>
      <c r="AM332" s="37"/>
      <c r="AN332" s="116"/>
      <c r="AO332" s="120"/>
      <c r="AP332" s="38"/>
      <c r="AQ332" s="37"/>
      <c r="AR332" s="116"/>
      <c r="AS332" s="120">
        <v>485</v>
      </c>
      <c r="AT332" s="38">
        <v>520</v>
      </c>
      <c r="AU332" s="37"/>
      <c r="AV332" s="120"/>
      <c r="AW332" s="120"/>
      <c r="AX332" s="37"/>
      <c r="AY332" s="38"/>
      <c r="AZ332" s="37"/>
      <c r="BA332" s="116"/>
      <c r="BB332" s="31">
        <v>562</v>
      </c>
      <c r="BC332" s="32">
        <v>442</v>
      </c>
      <c r="BD332" s="31">
        <v>529</v>
      </c>
      <c r="BE332" s="116">
        <v>466</v>
      </c>
      <c r="BF332" s="120">
        <v>439</v>
      </c>
      <c r="BG332" s="38">
        <v>548</v>
      </c>
      <c r="BH332" s="37">
        <v>561</v>
      </c>
      <c r="BI332" s="38">
        <v>434</v>
      </c>
      <c r="BJ332" s="111">
        <v>62</v>
      </c>
      <c r="BK332" s="33">
        <v>494</v>
      </c>
      <c r="BL332" s="115">
        <v>441</v>
      </c>
      <c r="BM332" s="111">
        <v>454</v>
      </c>
      <c r="BN332" s="35">
        <v>488</v>
      </c>
      <c r="BO332" s="32">
        <v>53</v>
      </c>
      <c r="BP332" s="31">
        <v>564</v>
      </c>
      <c r="BQ332" s="32">
        <v>433</v>
      </c>
      <c r="BR332" s="31">
        <v>421</v>
      </c>
      <c r="BS332" s="32">
        <v>594</v>
      </c>
      <c r="BT332" s="31">
        <v>504</v>
      </c>
      <c r="BU332" s="33">
        <v>61</v>
      </c>
      <c r="BV332" s="115">
        <v>425</v>
      </c>
      <c r="BW332" s="111">
        <v>469</v>
      </c>
      <c r="BX332" s="32">
        <v>551</v>
      </c>
      <c r="BY332" s="31">
        <v>462</v>
      </c>
      <c r="BZ332" s="32">
        <v>515</v>
      </c>
      <c r="CA332" s="111">
        <v>539</v>
      </c>
      <c r="CB332" s="32">
        <v>454</v>
      </c>
      <c r="CC332" s="33">
        <v>709</v>
      </c>
      <c r="CD332" s="34">
        <v>735</v>
      </c>
      <c r="CE332" s="120">
        <v>473</v>
      </c>
      <c r="CF332" s="42">
        <v>371</v>
      </c>
      <c r="CG332" s="31">
        <v>255</v>
      </c>
      <c r="CH332" s="35">
        <v>244</v>
      </c>
      <c r="CI332" s="35">
        <v>257</v>
      </c>
      <c r="CJ332" s="35">
        <v>304</v>
      </c>
      <c r="CK332" s="32">
        <v>506</v>
      </c>
    </row>
    <row r="333" spans="1:89" ht="13" x14ac:dyDescent="0.25">
      <c r="A333" s="27">
        <v>5616</v>
      </c>
      <c r="B333" s="28" t="s">
        <v>356</v>
      </c>
      <c r="C333" s="29">
        <v>561</v>
      </c>
      <c r="D333" s="30">
        <v>473</v>
      </c>
      <c r="E333" s="20">
        <f t="shared" si="5"/>
        <v>0.84313725490196079</v>
      </c>
      <c r="F333" s="31">
        <v>0</v>
      </c>
      <c r="G333" s="111">
        <v>0</v>
      </c>
      <c r="H333" s="111">
        <v>0</v>
      </c>
      <c r="I333" s="111">
        <v>0</v>
      </c>
      <c r="J333" s="111">
        <v>2</v>
      </c>
      <c r="K333" s="111">
        <v>0</v>
      </c>
      <c r="L333" s="111">
        <v>0</v>
      </c>
      <c r="M333" s="111">
        <v>224</v>
      </c>
      <c r="N333" s="111">
        <v>0</v>
      </c>
      <c r="O333" s="111">
        <v>0</v>
      </c>
      <c r="P333" s="35">
        <v>5</v>
      </c>
      <c r="Q333" s="35">
        <v>1</v>
      </c>
      <c r="R333" s="35">
        <v>229</v>
      </c>
      <c r="S333" s="32">
        <v>0</v>
      </c>
      <c r="T333" s="37">
        <v>198</v>
      </c>
      <c r="U333" s="38">
        <v>255</v>
      </c>
      <c r="V333" s="37">
        <v>266</v>
      </c>
      <c r="W333" s="32">
        <v>190</v>
      </c>
      <c r="X333" s="31">
        <v>204</v>
      </c>
      <c r="Y333" s="32">
        <v>241</v>
      </c>
      <c r="Z333" s="111">
        <v>223</v>
      </c>
      <c r="AA333" s="35">
        <v>0</v>
      </c>
      <c r="AB333" s="35">
        <v>13</v>
      </c>
      <c r="AC333" s="35">
        <v>225</v>
      </c>
      <c r="AD333" s="35">
        <v>0</v>
      </c>
      <c r="AE333" s="33">
        <v>0</v>
      </c>
      <c r="AF333" s="116">
        <v>0</v>
      </c>
      <c r="AG333" s="120">
        <v>222</v>
      </c>
      <c r="AH333" s="38">
        <v>232</v>
      </c>
      <c r="AI333" s="37"/>
      <c r="AJ333" s="36"/>
      <c r="AK333" s="37">
        <v>234</v>
      </c>
      <c r="AL333" s="38">
        <v>202</v>
      </c>
      <c r="AM333" s="37"/>
      <c r="AN333" s="116"/>
      <c r="AO333" s="120"/>
      <c r="AP333" s="38"/>
      <c r="AQ333" s="37"/>
      <c r="AR333" s="116"/>
      <c r="AS333" s="120">
        <v>209</v>
      </c>
      <c r="AT333" s="38">
        <v>232</v>
      </c>
      <c r="AU333" s="37"/>
      <c r="AV333" s="120"/>
      <c r="AW333" s="120"/>
      <c r="AX333" s="37"/>
      <c r="AY333" s="38"/>
      <c r="AZ333" s="37"/>
      <c r="BA333" s="116"/>
      <c r="BB333" s="31">
        <v>253</v>
      </c>
      <c r="BC333" s="32">
        <v>177</v>
      </c>
      <c r="BD333" s="31">
        <v>235</v>
      </c>
      <c r="BE333" s="116">
        <v>195</v>
      </c>
      <c r="BF333" s="120">
        <v>187</v>
      </c>
      <c r="BG333" s="38">
        <v>236</v>
      </c>
      <c r="BH333" s="37">
        <v>266</v>
      </c>
      <c r="BI333" s="38">
        <v>169</v>
      </c>
      <c r="BJ333" s="111">
        <v>25</v>
      </c>
      <c r="BK333" s="33">
        <v>236</v>
      </c>
      <c r="BL333" s="115">
        <v>184</v>
      </c>
      <c r="BM333" s="111">
        <v>195</v>
      </c>
      <c r="BN333" s="35">
        <v>231</v>
      </c>
      <c r="BO333" s="32">
        <v>15</v>
      </c>
      <c r="BP333" s="31">
        <v>259</v>
      </c>
      <c r="BQ333" s="32">
        <v>183</v>
      </c>
      <c r="BR333" s="31">
        <v>162</v>
      </c>
      <c r="BS333" s="32">
        <v>286</v>
      </c>
      <c r="BT333" s="31">
        <v>231</v>
      </c>
      <c r="BU333" s="33">
        <v>20</v>
      </c>
      <c r="BV333" s="115">
        <v>180</v>
      </c>
      <c r="BW333" s="111">
        <v>202</v>
      </c>
      <c r="BX333" s="32">
        <v>243</v>
      </c>
      <c r="BY333" s="31">
        <v>193</v>
      </c>
      <c r="BZ333" s="32">
        <v>230</v>
      </c>
      <c r="CA333" s="111">
        <v>247</v>
      </c>
      <c r="CB333" s="32">
        <v>185</v>
      </c>
      <c r="CC333" s="33">
        <v>334</v>
      </c>
      <c r="CD333" s="34">
        <v>304</v>
      </c>
      <c r="CE333" s="120">
        <v>213</v>
      </c>
      <c r="CF333" s="42">
        <v>151</v>
      </c>
      <c r="CG333" s="31">
        <v>125</v>
      </c>
      <c r="CH333" s="35">
        <v>140</v>
      </c>
      <c r="CI333" s="35">
        <v>113</v>
      </c>
      <c r="CJ333" s="35">
        <v>125</v>
      </c>
      <c r="CK333" s="32">
        <v>215</v>
      </c>
    </row>
    <row r="334" spans="1:89" ht="13" x14ac:dyDescent="0.25">
      <c r="A334" s="27">
        <v>5617</v>
      </c>
      <c r="B334" s="28" t="s">
        <v>357</v>
      </c>
      <c r="C334" s="29">
        <v>1328</v>
      </c>
      <c r="D334" s="30">
        <v>1113</v>
      </c>
      <c r="E334" s="20">
        <f t="shared" si="5"/>
        <v>0.8381024096385542</v>
      </c>
      <c r="F334" s="31">
        <v>0</v>
      </c>
      <c r="G334" s="111">
        <v>0</v>
      </c>
      <c r="H334" s="111">
        <v>0</v>
      </c>
      <c r="I334" s="111">
        <v>0</v>
      </c>
      <c r="J334" s="111">
        <v>2</v>
      </c>
      <c r="K334" s="111">
        <v>0</v>
      </c>
      <c r="L334" s="111">
        <v>0</v>
      </c>
      <c r="M334" s="111">
        <v>507</v>
      </c>
      <c r="N334" s="111">
        <v>0</v>
      </c>
      <c r="O334" s="111">
        <v>0</v>
      </c>
      <c r="P334" s="35">
        <v>7</v>
      </c>
      <c r="Q334" s="35">
        <v>2</v>
      </c>
      <c r="R334" s="35">
        <v>579</v>
      </c>
      <c r="S334" s="32">
        <v>0</v>
      </c>
      <c r="T334" s="37">
        <v>460</v>
      </c>
      <c r="U334" s="38">
        <v>616</v>
      </c>
      <c r="V334" s="37">
        <v>619</v>
      </c>
      <c r="W334" s="32">
        <v>460</v>
      </c>
      <c r="X334" s="31">
        <v>479</v>
      </c>
      <c r="Y334" s="32">
        <v>576</v>
      </c>
      <c r="Z334" s="111">
        <v>508</v>
      </c>
      <c r="AA334" s="35">
        <v>0</v>
      </c>
      <c r="AB334" s="35">
        <v>45</v>
      </c>
      <c r="AC334" s="35">
        <v>532</v>
      </c>
      <c r="AD334" s="35">
        <v>0</v>
      </c>
      <c r="AE334" s="33">
        <v>0</v>
      </c>
      <c r="AF334" s="116">
        <v>0</v>
      </c>
      <c r="AG334" s="120">
        <v>531</v>
      </c>
      <c r="AH334" s="38">
        <v>543</v>
      </c>
      <c r="AI334" s="37"/>
      <c r="AJ334" s="36"/>
      <c r="AK334" s="37">
        <v>579</v>
      </c>
      <c r="AL334" s="38">
        <v>458</v>
      </c>
      <c r="AM334" s="37"/>
      <c r="AN334" s="116"/>
      <c r="AO334" s="120"/>
      <c r="AP334" s="38"/>
      <c r="AQ334" s="37"/>
      <c r="AR334" s="116"/>
      <c r="AS334" s="120">
        <v>510</v>
      </c>
      <c r="AT334" s="38">
        <v>546</v>
      </c>
      <c r="AU334" s="37"/>
      <c r="AV334" s="120"/>
      <c r="AW334" s="120"/>
      <c r="AX334" s="37"/>
      <c r="AY334" s="38"/>
      <c r="AZ334" s="37"/>
      <c r="BA334" s="116"/>
      <c r="BB334" s="31">
        <v>597</v>
      </c>
      <c r="BC334" s="32">
        <v>436</v>
      </c>
      <c r="BD334" s="31">
        <v>577</v>
      </c>
      <c r="BE334" s="116">
        <v>458</v>
      </c>
      <c r="BF334" s="120">
        <v>437</v>
      </c>
      <c r="BG334" s="38">
        <v>587</v>
      </c>
      <c r="BH334" s="37">
        <v>616</v>
      </c>
      <c r="BI334" s="38">
        <v>419</v>
      </c>
      <c r="BJ334" s="111">
        <v>40</v>
      </c>
      <c r="BK334" s="33">
        <v>558</v>
      </c>
      <c r="BL334" s="115">
        <v>444</v>
      </c>
      <c r="BM334" s="111">
        <v>466</v>
      </c>
      <c r="BN334" s="35">
        <v>531</v>
      </c>
      <c r="BO334" s="32">
        <v>41</v>
      </c>
      <c r="BP334" s="31">
        <v>602</v>
      </c>
      <c r="BQ334" s="32">
        <v>436</v>
      </c>
      <c r="BR334" s="31">
        <v>404</v>
      </c>
      <c r="BS334" s="32">
        <v>642</v>
      </c>
      <c r="BT334" s="31">
        <v>546</v>
      </c>
      <c r="BU334" s="33">
        <v>42</v>
      </c>
      <c r="BV334" s="115">
        <v>440</v>
      </c>
      <c r="BW334" s="111">
        <v>478</v>
      </c>
      <c r="BX334" s="32">
        <v>571</v>
      </c>
      <c r="BY334" s="31">
        <v>453</v>
      </c>
      <c r="BZ334" s="32">
        <v>565</v>
      </c>
      <c r="CA334" s="111">
        <v>576</v>
      </c>
      <c r="CB334" s="32">
        <v>458</v>
      </c>
      <c r="CC334" s="33">
        <v>739</v>
      </c>
      <c r="CD334" s="34">
        <v>717</v>
      </c>
      <c r="CE334" s="120">
        <v>485</v>
      </c>
      <c r="CF334" s="42">
        <v>377</v>
      </c>
      <c r="CG334" s="31">
        <v>266</v>
      </c>
      <c r="CH334" s="35">
        <v>319</v>
      </c>
      <c r="CI334" s="35">
        <v>273</v>
      </c>
      <c r="CJ334" s="35">
        <v>315</v>
      </c>
      <c r="CK334" s="32">
        <v>489</v>
      </c>
    </row>
    <row r="335" spans="1:89" ht="13" x14ac:dyDescent="0.25">
      <c r="A335" s="27">
        <v>5618</v>
      </c>
      <c r="B335" s="28" t="s">
        <v>358</v>
      </c>
      <c r="C335" s="29">
        <v>1192</v>
      </c>
      <c r="D335" s="30">
        <v>988</v>
      </c>
      <c r="E335" s="20">
        <f t="shared" si="5"/>
        <v>0.82885906040268453</v>
      </c>
      <c r="F335" s="31">
        <v>0</v>
      </c>
      <c r="G335" s="111">
        <v>0</v>
      </c>
      <c r="H335" s="111">
        <v>0</v>
      </c>
      <c r="I335" s="111">
        <v>0</v>
      </c>
      <c r="J335" s="111">
        <v>2</v>
      </c>
      <c r="K335" s="111">
        <v>0</v>
      </c>
      <c r="L335" s="111">
        <v>0</v>
      </c>
      <c r="M335" s="111">
        <v>488</v>
      </c>
      <c r="N335" s="111">
        <v>0</v>
      </c>
      <c r="O335" s="111">
        <v>0</v>
      </c>
      <c r="P335" s="35">
        <v>5</v>
      </c>
      <c r="Q335" s="35">
        <v>2</v>
      </c>
      <c r="R335" s="35">
        <v>477</v>
      </c>
      <c r="S335" s="32">
        <v>0</v>
      </c>
      <c r="T335" s="37">
        <v>424</v>
      </c>
      <c r="U335" s="38">
        <v>523</v>
      </c>
      <c r="V335" s="37">
        <v>541</v>
      </c>
      <c r="W335" s="32">
        <v>414</v>
      </c>
      <c r="X335" s="31">
        <v>420</v>
      </c>
      <c r="Y335" s="32">
        <v>503</v>
      </c>
      <c r="Z335" s="111">
        <v>489</v>
      </c>
      <c r="AA335" s="35">
        <v>0</v>
      </c>
      <c r="AB335" s="35">
        <v>17</v>
      </c>
      <c r="AC335" s="35">
        <v>470</v>
      </c>
      <c r="AD335" s="35">
        <v>0</v>
      </c>
      <c r="AE335" s="33">
        <v>0</v>
      </c>
      <c r="AF335" s="116">
        <v>0</v>
      </c>
      <c r="AG335" s="120">
        <v>476</v>
      </c>
      <c r="AH335" s="38">
        <v>479</v>
      </c>
      <c r="AI335" s="37"/>
      <c r="AJ335" s="36"/>
      <c r="AK335" s="37">
        <v>508</v>
      </c>
      <c r="AL335" s="38">
        <v>422</v>
      </c>
      <c r="AM335" s="37"/>
      <c r="AN335" s="116"/>
      <c r="AO335" s="120"/>
      <c r="AP335" s="38"/>
      <c r="AQ335" s="37"/>
      <c r="AR335" s="116"/>
      <c r="AS335" s="120">
        <v>470</v>
      </c>
      <c r="AT335" s="38">
        <v>463</v>
      </c>
      <c r="AU335" s="37"/>
      <c r="AV335" s="120"/>
      <c r="AW335" s="120"/>
      <c r="AX335" s="37"/>
      <c r="AY335" s="38"/>
      <c r="AZ335" s="37"/>
      <c r="BA335" s="116"/>
      <c r="BB335" s="31">
        <v>512</v>
      </c>
      <c r="BC335" s="32">
        <v>388</v>
      </c>
      <c r="BD335" s="31">
        <v>476</v>
      </c>
      <c r="BE335" s="116">
        <v>420</v>
      </c>
      <c r="BF335" s="120">
        <v>394</v>
      </c>
      <c r="BG335" s="38">
        <v>498</v>
      </c>
      <c r="BH335" s="37">
        <v>530</v>
      </c>
      <c r="BI335" s="38">
        <v>378</v>
      </c>
      <c r="BJ335" s="111">
        <v>29</v>
      </c>
      <c r="BK335" s="33">
        <v>464</v>
      </c>
      <c r="BL335" s="115">
        <v>412</v>
      </c>
      <c r="BM335" s="111">
        <v>426</v>
      </c>
      <c r="BN335" s="35">
        <v>460</v>
      </c>
      <c r="BO335" s="32">
        <v>23</v>
      </c>
      <c r="BP335" s="31">
        <v>515</v>
      </c>
      <c r="BQ335" s="32">
        <v>400</v>
      </c>
      <c r="BR335" s="31">
        <v>348</v>
      </c>
      <c r="BS335" s="32">
        <v>574</v>
      </c>
      <c r="BT335" s="31">
        <v>473</v>
      </c>
      <c r="BU335" s="33">
        <v>23</v>
      </c>
      <c r="BV335" s="115">
        <v>402</v>
      </c>
      <c r="BW335" s="111">
        <v>435</v>
      </c>
      <c r="BX335" s="32">
        <v>485</v>
      </c>
      <c r="BY335" s="31">
        <v>409</v>
      </c>
      <c r="BZ335" s="32">
        <v>474</v>
      </c>
      <c r="CA335" s="111">
        <v>499</v>
      </c>
      <c r="CB335" s="32">
        <v>403</v>
      </c>
      <c r="CC335" s="33">
        <v>656</v>
      </c>
      <c r="CD335" s="34">
        <v>608</v>
      </c>
      <c r="CE335" s="120">
        <v>455</v>
      </c>
      <c r="CF335" s="42">
        <v>284</v>
      </c>
      <c r="CG335" s="31">
        <v>239</v>
      </c>
      <c r="CH335" s="35">
        <v>256</v>
      </c>
      <c r="CI335" s="35">
        <v>226</v>
      </c>
      <c r="CJ335" s="35">
        <v>288</v>
      </c>
      <c r="CK335" s="32">
        <v>459</v>
      </c>
    </row>
    <row r="336" spans="1:89" ht="13" x14ac:dyDescent="0.25">
      <c r="A336" s="27">
        <v>5619</v>
      </c>
      <c r="B336" s="28" t="s">
        <v>359</v>
      </c>
      <c r="C336" s="29">
        <v>943</v>
      </c>
      <c r="D336" s="30">
        <v>793</v>
      </c>
      <c r="E336" s="20">
        <f t="shared" si="5"/>
        <v>0.84093319194061511</v>
      </c>
      <c r="F336" s="31">
        <v>0</v>
      </c>
      <c r="G336" s="111">
        <v>0</v>
      </c>
      <c r="H336" s="111">
        <v>0</v>
      </c>
      <c r="I336" s="111">
        <v>0</v>
      </c>
      <c r="J336" s="111">
        <v>0</v>
      </c>
      <c r="K336" s="111">
        <v>0</v>
      </c>
      <c r="L336" s="111">
        <v>0</v>
      </c>
      <c r="M336" s="111">
        <v>394</v>
      </c>
      <c r="N336" s="111">
        <v>0</v>
      </c>
      <c r="O336" s="111">
        <v>0</v>
      </c>
      <c r="P336" s="35">
        <v>5</v>
      </c>
      <c r="Q336" s="35">
        <v>1</v>
      </c>
      <c r="R336" s="35">
        <v>379</v>
      </c>
      <c r="S336" s="32">
        <v>0</v>
      </c>
      <c r="T336" s="37">
        <v>364</v>
      </c>
      <c r="U336" s="38">
        <v>402</v>
      </c>
      <c r="V336" s="37">
        <v>409</v>
      </c>
      <c r="W336" s="32">
        <v>357</v>
      </c>
      <c r="X336" s="31">
        <v>367</v>
      </c>
      <c r="Y336" s="32">
        <v>386</v>
      </c>
      <c r="Z336" s="111">
        <v>397</v>
      </c>
      <c r="AA336" s="35">
        <v>0</v>
      </c>
      <c r="AB336" s="35">
        <v>25</v>
      </c>
      <c r="AC336" s="35">
        <v>362</v>
      </c>
      <c r="AD336" s="35">
        <v>0</v>
      </c>
      <c r="AE336" s="33">
        <v>0</v>
      </c>
      <c r="AF336" s="116">
        <v>0</v>
      </c>
      <c r="AG336" s="120">
        <v>400</v>
      </c>
      <c r="AH336" s="38">
        <v>372</v>
      </c>
      <c r="AI336" s="37"/>
      <c r="AJ336" s="36"/>
      <c r="AK336" s="37">
        <v>383</v>
      </c>
      <c r="AL336" s="38">
        <v>372</v>
      </c>
      <c r="AM336" s="37"/>
      <c r="AN336" s="116"/>
      <c r="AO336" s="120"/>
      <c r="AP336" s="38"/>
      <c r="AQ336" s="37"/>
      <c r="AR336" s="116"/>
      <c r="AS336" s="120">
        <v>376</v>
      </c>
      <c r="AT336" s="38">
        <v>382</v>
      </c>
      <c r="AU336" s="37"/>
      <c r="AV336" s="120"/>
      <c r="AW336" s="120"/>
      <c r="AX336" s="37"/>
      <c r="AY336" s="38"/>
      <c r="AZ336" s="37"/>
      <c r="BA336" s="116"/>
      <c r="BB336" s="31">
        <v>395</v>
      </c>
      <c r="BC336" s="32">
        <v>345</v>
      </c>
      <c r="BD336" s="31">
        <v>389</v>
      </c>
      <c r="BE336" s="116">
        <v>343</v>
      </c>
      <c r="BF336" s="120">
        <v>341</v>
      </c>
      <c r="BG336" s="38">
        <v>393</v>
      </c>
      <c r="BH336" s="37">
        <v>407</v>
      </c>
      <c r="BI336" s="38">
        <v>337</v>
      </c>
      <c r="BJ336" s="111">
        <v>37</v>
      </c>
      <c r="BK336" s="33">
        <v>381</v>
      </c>
      <c r="BL336" s="115">
        <v>329</v>
      </c>
      <c r="BM336" s="111">
        <v>351</v>
      </c>
      <c r="BN336" s="35">
        <v>378</v>
      </c>
      <c r="BO336" s="32">
        <v>20</v>
      </c>
      <c r="BP336" s="31">
        <v>409</v>
      </c>
      <c r="BQ336" s="32">
        <v>335</v>
      </c>
      <c r="BR336" s="31">
        <v>323</v>
      </c>
      <c r="BS336" s="32">
        <v>423</v>
      </c>
      <c r="BT336" s="31">
        <v>379</v>
      </c>
      <c r="BU336" s="33">
        <v>28</v>
      </c>
      <c r="BV336" s="115">
        <v>335</v>
      </c>
      <c r="BW336" s="111">
        <v>363</v>
      </c>
      <c r="BX336" s="32">
        <v>395</v>
      </c>
      <c r="BY336" s="31">
        <v>345</v>
      </c>
      <c r="BZ336" s="32">
        <v>387</v>
      </c>
      <c r="CA336" s="111">
        <v>396</v>
      </c>
      <c r="CB336" s="32">
        <v>348</v>
      </c>
      <c r="CC336" s="33">
        <v>527</v>
      </c>
      <c r="CD336" s="34">
        <v>506</v>
      </c>
      <c r="CE336" s="120">
        <v>349</v>
      </c>
      <c r="CF336" s="42">
        <v>271</v>
      </c>
      <c r="CG336" s="31">
        <v>168</v>
      </c>
      <c r="CH336" s="35">
        <v>256</v>
      </c>
      <c r="CI336" s="35">
        <v>210</v>
      </c>
      <c r="CJ336" s="35">
        <v>247</v>
      </c>
      <c r="CK336" s="32">
        <v>325</v>
      </c>
    </row>
    <row r="337" spans="1:89" ht="13" x14ac:dyDescent="0.25">
      <c r="A337" s="27">
        <v>5620</v>
      </c>
      <c r="B337" s="28" t="s">
        <v>360</v>
      </c>
      <c r="C337" s="29">
        <v>778</v>
      </c>
      <c r="D337" s="30">
        <v>674</v>
      </c>
      <c r="E337" s="20">
        <f t="shared" si="5"/>
        <v>0.86632390745501286</v>
      </c>
      <c r="F337" s="31">
        <v>0</v>
      </c>
      <c r="G337" s="111">
        <v>0</v>
      </c>
      <c r="H337" s="111">
        <v>0</v>
      </c>
      <c r="I337" s="111">
        <v>0</v>
      </c>
      <c r="J337" s="111">
        <v>1</v>
      </c>
      <c r="K337" s="111">
        <v>0</v>
      </c>
      <c r="L337" s="111">
        <v>0</v>
      </c>
      <c r="M337" s="111">
        <v>338</v>
      </c>
      <c r="N337" s="111">
        <v>0</v>
      </c>
      <c r="O337" s="111">
        <v>0</v>
      </c>
      <c r="P337" s="35">
        <v>5</v>
      </c>
      <c r="Q337" s="35">
        <v>1</v>
      </c>
      <c r="R337" s="35">
        <v>324</v>
      </c>
      <c r="S337" s="32">
        <v>0</v>
      </c>
      <c r="T337" s="37">
        <v>297</v>
      </c>
      <c r="U337" s="38">
        <v>340</v>
      </c>
      <c r="V337" s="37">
        <v>354</v>
      </c>
      <c r="W337" s="32">
        <v>293</v>
      </c>
      <c r="X337" s="31">
        <v>304</v>
      </c>
      <c r="Y337" s="32">
        <v>332</v>
      </c>
      <c r="Z337" s="111">
        <v>342</v>
      </c>
      <c r="AA337" s="35">
        <v>0</v>
      </c>
      <c r="AB337" s="35">
        <v>24</v>
      </c>
      <c r="AC337" s="35">
        <v>294</v>
      </c>
      <c r="AD337" s="35">
        <v>0</v>
      </c>
      <c r="AE337" s="33">
        <v>0</v>
      </c>
      <c r="AF337" s="116">
        <v>0</v>
      </c>
      <c r="AG337" s="120">
        <v>334</v>
      </c>
      <c r="AH337" s="38">
        <v>306</v>
      </c>
      <c r="AI337" s="37"/>
      <c r="AJ337" s="36"/>
      <c r="AK337" s="37">
        <v>329</v>
      </c>
      <c r="AL337" s="38">
        <v>303</v>
      </c>
      <c r="AM337" s="37"/>
      <c r="AN337" s="116"/>
      <c r="AO337" s="120"/>
      <c r="AP337" s="38"/>
      <c r="AQ337" s="37"/>
      <c r="AR337" s="116"/>
      <c r="AS337" s="120">
        <v>336</v>
      </c>
      <c r="AT337" s="38">
        <v>307</v>
      </c>
      <c r="AU337" s="37"/>
      <c r="AV337" s="120"/>
      <c r="AW337" s="120"/>
      <c r="AX337" s="37"/>
      <c r="AY337" s="38"/>
      <c r="AZ337" s="37"/>
      <c r="BA337" s="116"/>
      <c r="BB337" s="31">
        <v>333</v>
      </c>
      <c r="BC337" s="32">
        <v>283</v>
      </c>
      <c r="BD337" s="31">
        <v>321</v>
      </c>
      <c r="BE337" s="116">
        <v>296</v>
      </c>
      <c r="BF337" s="120">
        <v>287</v>
      </c>
      <c r="BG337" s="38">
        <v>331</v>
      </c>
      <c r="BH337" s="37">
        <v>364</v>
      </c>
      <c r="BI337" s="38">
        <v>262</v>
      </c>
      <c r="BJ337" s="111">
        <v>21</v>
      </c>
      <c r="BK337" s="33">
        <v>319</v>
      </c>
      <c r="BL337" s="115">
        <v>286</v>
      </c>
      <c r="BM337" s="111">
        <v>292</v>
      </c>
      <c r="BN337" s="35">
        <v>313</v>
      </c>
      <c r="BO337" s="32">
        <v>18</v>
      </c>
      <c r="BP337" s="31">
        <v>349</v>
      </c>
      <c r="BQ337" s="32">
        <v>281</v>
      </c>
      <c r="BR337" s="31">
        <v>265</v>
      </c>
      <c r="BS337" s="32">
        <v>366</v>
      </c>
      <c r="BT337" s="31">
        <v>316</v>
      </c>
      <c r="BU337" s="33">
        <v>30</v>
      </c>
      <c r="BV337" s="115">
        <v>272</v>
      </c>
      <c r="BW337" s="111">
        <v>297</v>
      </c>
      <c r="BX337" s="32">
        <v>348</v>
      </c>
      <c r="BY337" s="31">
        <v>289</v>
      </c>
      <c r="BZ337" s="32">
        <v>322</v>
      </c>
      <c r="CA337" s="111">
        <v>322</v>
      </c>
      <c r="CB337" s="32">
        <v>298</v>
      </c>
      <c r="CC337" s="33">
        <v>464</v>
      </c>
      <c r="CD337" s="34">
        <v>447</v>
      </c>
      <c r="CE337" s="120">
        <v>306</v>
      </c>
      <c r="CF337" s="42">
        <v>234</v>
      </c>
      <c r="CG337" s="31">
        <v>144</v>
      </c>
      <c r="CH337" s="35">
        <v>185</v>
      </c>
      <c r="CI337" s="35">
        <v>199</v>
      </c>
      <c r="CJ337" s="35">
        <v>229</v>
      </c>
      <c r="CK337" s="32">
        <v>307</v>
      </c>
    </row>
    <row r="338" spans="1:89" ht="13" x14ac:dyDescent="0.25">
      <c r="A338" s="27">
        <v>5621</v>
      </c>
      <c r="B338" s="28" t="s">
        <v>361</v>
      </c>
      <c r="C338" s="29">
        <v>1119</v>
      </c>
      <c r="D338" s="30">
        <v>921</v>
      </c>
      <c r="E338" s="20">
        <f t="shared" si="5"/>
        <v>0.82305630026809651</v>
      </c>
      <c r="F338" s="31">
        <v>0</v>
      </c>
      <c r="G338" s="111">
        <v>0</v>
      </c>
      <c r="H338" s="111">
        <v>0</v>
      </c>
      <c r="I338" s="111">
        <v>0</v>
      </c>
      <c r="J338" s="111">
        <v>3</v>
      </c>
      <c r="K338" s="111">
        <v>0</v>
      </c>
      <c r="L338" s="111">
        <v>0</v>
      </c>
      <c r="M338" s="111">
        <v>457</v>
      </c>
      <c r="N338" s="111">
        <v>0</v>
      </c>
      <c r="O338" s="111">
        <v>0</v>
      </c>
      <c r="P338" s="35">
        <v>2</v>
      </c>
      <c r="Q338" s="35">
        <v>5</v>
      </c>
      <c r="R338" s="35">
        <v>436</v>
      </c>
      <c r="S338" s="32">
        <v>0</v>
      </c>
      <c r="T338" s="37">
        <v>402</v>
      </c>
      <c r="U338" s="38">
        <v>464</v>
      </c>
      <c r="V338" s="37">
        <v>490</v>
      </c>
      <c r="W338" s="32">
        <v>384</v>
      </c>
      <c r="X338" s="31">
        <v>409</v>
      </c>
      <c r="Y338" s="32">
        <v>444</v>
      </c>
      <c r="Z338" s="111">
        <v>448</v>
      </c>
      <c r="AA338" s="35">
        <v>0</v>
      </c>
      <c r="AB338" s="35">
        <v>25</v>
      </c>
      <c r="AC338" s="35">
        <v>422</v>
      </c>
      <c r="AD338" s="35">
        <v>0</v>
      </c>
      <c r="AE338" s="33">
        <v>0</v>
      </c>
      <c r="AF338" s="116">
        <v>0</v>
      </c>
      <c r="AG338" s="120">
        <v>446</v>
      </c>
      <c r="AH338" s="38">
        <v>438</v>
      </c>
      <c r="AI338" s="37"/>
      <c r="AJ338" s="36"/>
      <c r="AK338" s="37">
        <v>448</v>
      </c>
      <c r="AL338" s="38">
        <v>405</v>
      </c>
      <c r="AM338" s="37"/>
      <c r="AN338" s="116"/>
      <c r="AO338" s="120"/>
      <c r="AP338" s="38"/>
      <c r="AQ338" s="37"/>
      <c r="AR338" s="116"/>
      <c r="AS338" s="120">
        <v>441</v>
      </c>
      <c r="AT338" s="38">
        <v>416</v>
      </c>
      <c r="AU338" s="37"/>
      <c r="AV338" s="120"/>
      <c r="AW338" s="120"/>
      <c r="AX338" s="37"/>
      <c r="AY338" s="38"/>
      <c r="AZ338" s="37"/>
      <c r="BA338" s="116"/>
      <c r="BB338" s="31">
        <v>457</v>
      </c>
      <c r="BC338" s="32">
        <v>381</v>
      </c>
      <c r="BD338" s="31">
        <v>444</v>
      </c>
      <c r="BE338" s="116">
        <v>392</v>
      </c>
      <c r="BF338" s="120">
        <v>384</v>
      </c>
      <c r="BG338" s="38">
        <v>445</v>
      </c>
      <c r="BH338" s="37">
        <v>479</v>
      </c>
      <c r="BI338" s="38">
        <v>362</v>
      </c>
      <c r="BJ338" s="111">
        <v>33</v>
      </c>
      <c r="BK338" s="33">
        <v>412</v>
      </c>
      <c r="BL338" s="115">
        <v>390</v>
      </c>
      <c r="BM338" s="111">
        <v>395</v>
      </c>
      <c r="BN338" s="35">
        <v>425</v>
      </c>
      <c r="BO338" s="32">
        <v>22</v>
      </c>
      <c r="BP338" s="31">
        <v>460</v>
      </c>
      <c r="BQ338" s="32">
        <v>379</v>
      </c>
      <c r="BR338" s="31">
        <v>351</v>
      </c>
      <c r="BS338" s="32">
        <v>500</v>
      </c>
      <c r="BT338" s="31">
        <v>429</v>
      </c>
      <c r="BU338" s="33">
        <v>26</v>
      </c>
      <c r="BV338" s="115">
        <v>381</v>
      </c>
      <c r="BW338" s="111">
        <v>390</v>
      </c>
      <c r="BX338" s="32">
        <v>468</v>
      </c>
      <c r="BY338" s="31">
        <v>387</v>
      </c>
      <c r="BZ338" s="32">
        <v>436</v>
      </c>
      <c r="CA338" s="111">
        <v>438</v>
      </c>
      <c r="CB338" s="32">
        <v>391</v>
      </c>
      <c r="CC338" s="33">
        <v>594</v>
      </c>
      <c r="CD338" s="34">
        <v>591</v>
      </c>
      <c r="CE338" s="120">
        <v>405</v>
      </c>
      <c r="CF338" s="42">
        <v>288</v>
      </c>
      <c r="CG338" s="31">
        <v>232</v>
      </c>
      <c r="CH338" s="35">
        <v>259</v>
      </c>
      <c r="CI338" s="35">
        <v>216</v>
      </c>
      <c r="CJ338" s="35">
        <v>277</v>
      </c>
      <c r="CK338" s="32">
        <v>394</v>
      </c>
    </row>
    <row r="339" spans="1:89" ht="13" x14ac:dyDescent="0.25">
      <c r="A339" s="27">
        <v>5622</v>
      </c>
      <c r="B339" s="28" t="s">
        <v>362</v>
      </c>
      <c r="C339" s="29">
        <v>654</v>
      </c>
      <c r="D339" s="30">
        <v>521</v>
      </c>
      <c r="E339" s="20">
        <f t="shared" si="5"/>
        <v>0.79663608562691135</v>
      </c>
      <c r="F339" s="31">
        <v>0</v>
      </c>
      <c r="G339" s="111">
        <v>0</v>
      </c>
      <c r="H339" s="111">
        <v>0</v>
      </c>
      <c r="I339" s="111">
        <v>0</v>
      </c>
      <c r="J339" s="111">
        <v>0</v>
      </c>
      <c r="K339" s="111">
        <v>0</v>
      </c>
      <c r="L339" s="111">
        <v>0</v>
      </c>
      <c r="M339" s="111">
        <v>242</v>
      </c>
      <c r="N339" s="111">
        <v>0</v>
      </c>
      <c r="O339" s="111">
        <v>0</v>
      </c>
      <c r="P339" s="35">
        <v>7</v>
      </c>
      <c r="Q339" s="35">
        <v>1</v>
      </c>
      <c r="R339" s="35">
        <v>261</v>
      </c>
      <c r="S339" s="32">
        <v>0</v>
      </c>
      <c r="T339" s="37">
        <v>243</v>
      </c>
      <c r="U339" s="38">
        <v>256</v>
      </c>
      <c r="V339" s="37">
        <v>276</v>
      </c>
      <c r="W339" s="32">
        <v>226</v>
      </c>
      <c r="X339" s="31">
        <v>243</v>
      </c>
      <c r="Y339" s="32">
        <v>252</v>
      </c>
      <c r="Z339" s="111">
        <v>264</v>
      </c>
      <c r="AA339" s="35">
        <v>0</v>
      </c>
      <c r="AB339" s="35">
        <v>23</v>
      </c>
      <c r="AC339" s="35">
        <v>229</v>
      </c>
      <c r="AD339" s="35">
        <v>0</v>
      </c>
      <c r="AE339" s="33">
        <v>0</v>
      </c>
      <c r="AF339" s="116">
        <v>0</v>
      </c>
      <c r="AG339" s="120">
        <v>256</v>
      </c>
      <c r="AH339" s="38">
        <v>248</v>
      </c>
      <c r="AI339" s="37"/>
      <c r="AJ339" s="36"/>
      <c r="AK339" s="37">
        <v>252</v>
      </c>
      <c r="AL339" s="38">
        <v>237</v>
      </c>
      <c r="AM339" s="37"/>
      <c r="AN339" s="116"/>
      <c r="AO339" s="120"/>
      <c r="AP339" s="38"/>
      <c r="AQ339" s="37"/>
      <c r="AR339" s="116"/>
      <c r="AS339" s="120">
        <v>249</v>
      </c>
      <c r="AT339" s="38">
        <v>248</v>
      </c>
      <c r="AU339" s="37"/>
      <c r="AV339" s="120"/>
      <c r="AW339" s="120"/>
      <c r="AX339" s="37"/>
      <c r="AY339" s="38"/>
      <c r="AZ339" s="37"/>
      <c r="BA339" s="116"/>
      <c r="BB339" s="31">
        <v>261</v>
      </c>
      <c r="BC339" s="32">
        <v>220</v>
      </c>
      <c r="BD339" s="31">
        <v>247</v>
      </c>
      <c r="BE339" s="116">
        <v>235</v>
      </c>
      <c r="BF339" s="120">
        <v>235</v>
      </c>
      <c r="BG339" s="38">
        <v>243</v>
      </c>
      <c r="BH339" s="37">
        <v>270</v>
      </c>
      <c r="BI339" s="38">
        <v>216</v>
      </c>
      <c r="BJ339" s="111">
        <v>28</v>
      </c>
      <c r="BK339" s="33">
        <v>224</v>
      </c>
      <c r="BL339" s="115">
        <v>235</v>
      </c>
      <c r="BM339" s="111">
        <v>240</v>
      </c>
      <c r="BN339" s="35">
        <v>231</v>
      </c>
      <c r="BO339" s="32">
        <v>20</v>
      </c>
      <c r="BP339" s="31">
        <v>261</v>
      </c>
      <c r="BQ339" s="32">
        <v>224</v>
      </c>
      <c r="BR339" s="31">
        <v>208</v>
      </c>
      <c r="BS339" s="32">
        <v>285</v>
      </c>
      <c r="BT339" s="31">
        <v>230</v>
      </c>
      <c r="BU339" s="33">
        <v>30</v>
      </c>
      <c r="BV339" s="115">
        <v>226</v>
      </c>
      <c r="BW339" s="111">
        <v>238</v>
      </c>
      <c r="BX339" s="32">
        <v>263</v>
      </c>
      <c r="BY339" s="31">
        <v>237</v>
      </c>
      <c r="BZ339" s="32">
        <v>243</v>
      </c>
      <c r="CA339" s="111">
        <v>250</v>
      </c>
      <c r="CB339" s="32">
        <v>237</v>
      </c>
      <c r="CC339" s="33">
        <v>351</v>
      </c>
      <c r="CD339" s="34">
        <v>359</v>
      </c>
      <c r="CE339" s="120">
        <v>214</v>
      </c>
      <c r="CF339" s="42">
        <v>191</v>
      </c>
      <c r="CG339" s="31">
        <v>107</v>
      </c>
      <c r="CH339" s="35">
        <v>129</v>
      </c>
      <c r="CI339" s="35">
        <v>147</v>
      </c>
      <c r="CJ339" s="35">
        <v>167</v>
      </c>
      <c r="CK339" s="32">
        <v>219</v>
      </c>
    </row>
    <row r="340" spans="1:89" ht="13" x14ac:dyDescent="0.25">
      <c r="A340" s="27">
        <v>5623</v>
      </c>
      <c r="B340" s="28" t="s">
        <v>363</v>
      </c>
      <c r="C340" s="29">
        <v>883</v>
      </c>
      <c r="D340" s="30">
        <v>712</v>
      </c>
      <c r="E340" s="20">
        <f t="shared" si="5"/>
        <v>0.80634201585503962</v>
      </c>
      <c r="F340" s="31">
        <v>0</v>
      </c>
      <c r="G340" s="111">
        <v>0</v>
      </c>
      <c r="H340" s="111">
        <v>0</v>
      </c>
      <c r="I340" s="111">
        <v>0</v>
      </c>
      <c r="J340" s="111">
        <v>2</v>
      </c>
      <c r="K340" s="111">
        <v>0</v>
      </c>
      <c r="L340" s="111">
        <v>0</v>
      </c>
      <c r="M340" s="111">
        <v>383</v>
      </c>
      <c r="N340" s="111">
        <v>0</v>
      </c>
      <c r="O340" s="111">
        <v>0</v>
      </c>
      <c r="P340" s="35">
        <v>4</v>
      </c>
      <c r="Q340" s="35">
        <v>1</v>
      </c>
      <c r="R340" s="35">
        <v>306</v>
      </c>
      <c r="S340" s="32">
        <v>0</v>
      </c>
      <c r="T340" s="37">
        <v>322</v>
      </c>
      <c r="U340" s="38">
        <v>374</v>
      </c>
      <c r="V340" s="37">
        <v>371</v>
      </c>
      <c r="W340" s="32">
        <v>317</v>
      </c>
      <c r="X340" s="31">
        <v>333</v>
      </c>
      <c r="Y340" s="32">
        <v>348</v>
      </c>
      <c r="Z340" s="111">
        <v>377</v>
      </c>
      <c r="AA340" s="35">
        <v>0</v>
      </c>
      <c r="AB340" s="35">
        <v>22</v>
      </c>
      <c r="AC340" s="35">
        <v>301</v>
      </c>
      <c r="AD340" s="35">
        <v>0</v>
      </c>
      <c r="AE340" s="33">
        <v>0</v>
      </c>
      <c r="AF340" s="116">
        <v>0</v>
      </c>
      <c r="AG340" s="120">
        <v>376</v>
      </c>
      <c r="AH340" s="38">
        <v>316</v>
      </c>
      <c r="AI340" s="37"/>
      <c r="AJ340" s="36"/>
      <c r="AK340" s="37">
        <v>339</v>
      </c>
      <c r="AL340" s="38">
        <v>333</v>
      </c>
      <c r="AM340" s="37"/>
      <c r="AN340" s="116"/>
      <c r="AO340" s="120"/>
      <c r="AP340" s="38"/>
      <c r="AQ340" s="37"/>
      <c r="AR340" s="116"/>
      <c r="AS340" s="120">
        <v>364</v>
      </c>
      <c r="AT340" s="38">
        <v>320</v>
      </c>
      <c r="AU340" s="37"/>
      <c r="AV340" s="120"/>
      <c r="AW340" s="120"/>
      <c r="AX340" s="37"/>
      <c r="AY340" s="38"/>
      <c r="AZ340" s="37"/>
      <c r="BA340" s="116"/>
      <c r="BB340" s="31">
        <v>356</v>
      </c>
      <c r="BC340" s="32">
        <v>307</v>
      </c>
      <c r="BD340" s="31">
        <v>347</v>
      </c>
      <c r="BE340" s="116">
        <v>313</v>
      </c>
      <c r="BF340" s="120">
        <v>317</v>
      </c>
      <c r="BG340" s="38">
        <v>341</v>
      </c>
      <c r="BH340" s="37">
        <v>364</v>
      </c>
      <c r="BI340" s="38">
        <v>305</v>
      </c>
      <c r="BJ340" s="111">
        <v>31</v>
      </c>
      <c r="BK340" s="33">
        <v>323</v>
      </c>
      <c r="BL340" s="115">
        <v>308</v>
      </c>
      <c r="BM340" s="111">
        <v>330</v>
      </c>
      <c r="BN340" s="35">
        <v>317</v>
      </c>
      <c r="BO340" s="32">
        <v>23</v>
      </c>
      <c r="BP340" s="31">
        <v>359</v>
      </c>
      <c r="BQ340" s="32">
        <v>317</v>
      </c>
      <c r="BR340" s="31">
        <v>279</v>
      </c>
      <c r="BS340" s="32">
        <v>394</v>
      </c>
      <c r="BT340" s="31">
        <v>321</v>
      </c>
      <c r="BU340" s="33">
        <v>26</v>
      </c>
      <c r="BV340" s="115">
        <v>313</v>
      </c>
      <c r="BW340" s="111">
        <v>333</v>
      </c>
      <c r="BX340" s="32">
        <v>345</v>
      </c>
      <c r="BY340" s="31">
        <v>326</v>
      </c>
      <c r="BZ340" s="32">
        <v>328</v>
      </c>
      <c r="CA340" s="111">
        <v>342</v>
      </c>
      <c r="CB340" s="32">
        <v>324</v>
      </c>
      <c r="CC340" s="33">
        <v>479</v>
      </c>
      <c r="CD340" s="34">
        <v>482</v>
      </c>
      <c r="CE340" s="120">
        <v>308</v>
      </c>
      <c r="CF340" s="42">
        <v>247</v>
      </c>
      <c r="CG340" s="31">
        <v>182</v>
      </c>
      <c r="CH340" s="35">
        <v>187</v>
      </c>
      <c r="CI340" s="35">
        <v>208</v>
      </c>
      <c r="CJ340" s="35">
        <v>219</v>
      </c>
      <c r="CK340" s="32">
        <v>305</v>
      </c>
    </row>
    <row r="341" spans="1:89" ht="13" x14ac:dyDescent="0.25">
      <c r="A341" s="27">
        <v>5624</v>
      </c>
      <c r="B341" s="28" t="s">
        <v>364</v>
      </c>
      <c r="C341" s="29">
        <v>729</v>
      </c>
      <c r="D341" s="30">
        <v>596</v>
      </c>
      <c r="E341" s="20">
        <f t="shared" si="5"/>
        <v>0.8175582990397805</v>
      </c>
      <c r="F341" s="31">
        <v>0</v>
      </c>
      <c r="G341" s="111">
        <v>0</v>
      </c>
      <c r="H341" s="111">
        <v>0</v>
      </c>
      <c r="I341" s="111">
        <v>0</v>
      </c>
      <c r="J341" s="111">
        <v>0</v>
      </c>
      <c r="K341" s="111">
        <v>0</v>
      </c>
      <c r="L341" s="111">
        <v>0</v>
      </c>
      <c r="M341" s="111">
        <v>283</v>
      </c>
      <c r="N341" s="111">
        <v>0</v>
      </c>
      <c r="O341" s="111">
        <v>0</v>
      </c>
      <c r="P341" s="35">
        <v>3</v>
      </c>
      <c r="Q341" s="35">
        <v>0</v>
      </c>
      <c r="R341" s="35">
        <v>298</v>
      </c>
      <c r="S341" s="32">
        <v>0</v>
      </c>
      <c r="T341" s="37">
        <v>275</v>
      </c>
      <c r="U341" s="38">
        <v>299</v>
      </c>
      <c r="V341" s="37">
        <v>319</v>
      </c>
      <c r="W341" s="32">
        <v>255</v>
      </c>
      <c r="X341" s="31">
        <v>269</v>
      </c>
      <c r="Y341" s="32">
        <v>290</v>
      </c>
      <c r="Z341" s="111">
        <v>289</v>
      </c>
      <c r="AA341" s="35">
        <v>0</v>
      </c>
      <c r="AB341" s="35">
        <v>26</v>
      </c>
      <c r="AC341" s="35">
        <v>262</v>
      </c>
      <c r="AD341" s="35">
        <v>0</v>
      </c>
      <c r="AE341" s="33">
        <v>0</v>
      </c>
      <c r="AF341" s="116">
        <v>0</v>
      </c>
      <c r="AG341" s="120">
        <v>292</v>
      </c>
      <c r="AH341" s="38">
        <v>282</v>
      </c>
      <c r="AI341" s="37"/>
      <c r="AJ341" s="36"/>
      <c r="AK341" s="37">
        <v>291</v>
      </c>
      <c r="AL341" s="38">
        <v>269</v>
      </c>
      <c r="AM341" s="37"/>
      <c r="AN341" s="116"/>
      <c r="AO341" s="120"/>
      <c r="AP341" s="38"/>
      <c r="AQ341" s="37"/>
      <c r="AR341" s="116"/>
      <c r="AS341" s="120">
        <v>273</v>
      </c>
      <c r="AT341" s="38">
        <v>290</v>
      </c>
      <c r="AU341" s="37"/>
      <c r="AV341" s="120"/>
      <c r="AW341" s="120"/>
      <c r="AX341" s="37"/>
      <c r="AY341" s="38"/>
      <c r="AZ341" s="37"/>
      <c r="BA341" s="116"/>
      <c r="BB341" s="31">
        <v>304</v>
      </c>
      <c r="BC341" s="32">
        <v>249</v>
      </c>
      <c r="BD341" s="31">
        <v>285</v>
      </c>
      <c r="BE341" s="116">
        <v>261</v>
      </c>
      <c r="BF341" s="120">
        <v>256</v>
      </c>
      <c r="BG341" s="38">
        <v>288</v>
      </c>
      <c r="BH341" s="37">
        <v>320</v>
      </c>
      <c r="BI341" s="38">
        <v>235</v>
      </c>
      <c r="BJ341" s="111">
        <v>35</v>
      </c>
      <c r="BK341" s="33">
        <v>275</v>
      </c>
      <c r="BL341" s="115">
        <v>246</v>
      </c>
      <c r="BM341" s="111">
        <v>264</v>
      </c>
      <c r="BN341" s="35">
        <v>264</v>
      </c>
      <c r="BO341" s="32">
        <v>27</v>
      </c>
      <c r="BP341" s="31">
        <v>307</v>
      </c>
      <c r="BQ341" s="32">
        <v>251</v>
      </c>
      <c r="BR341" s="31">
        <v>236</v>
      </c>
      <c r="BS341" s="32">
        <v>325</v>
      </c>
      <c r="BT341" s="31">
        <v>275</v>
      </c>
      <c r="BU341" s="33">
        <v>33</v>
      </c>
      <c r="BV341" s="115">
        <v>240</v>
      </c>
      <c r="BW341" s="111">
        <v>269</v>
      </c>
      <c r="BX341" s="32">
        <v>301</v>
      </c>
      <c r="BY341" s="31">
        <v>271</v>
      </c>
      <c r="BZ341" s="32">
        <v>273</v>
      </c>
      <c r="CA341" s="111">
        <v>290</v>
      </c>
      <c r="CB341" s="32">
        <v>260</v>
      </c>
      <c r="CC341" s="33">
        <v>417</v>
      </c>
      <c r="CD341" s="34">
        <v>396</v>
      </c>
      <c r="CE341" s="120">
        <v>301</v>
      </c>
      <c r="CF341" s="42">
        <v>177</v>
      </c>
      <c r="CG341" s="31">
        <v>113</v>
      </c>
      <c r="CH341" s="35">
        <v>185</v>
      </c>
      <c r="CI341" s="35">
        <v>146</v>
      </c>
      <c r="CJ341" s="35">
        <v>174</v>
      </c>
      <c r="CK341" s="32">
        <v>274</v>
      </c>
    </row>
    <row r="342" spans="1:89" ht="13" x14ac:dyDescent="0.25">
      <c r="A342" s="27">
        <v>5625</v>
      </c>
      <c r="B342" s="28" t="s">
        <v>365</v>
      </c>
      <c r="C342" s="29">
        <v>681</v>
      </c>
      <c r="D342" s="30">
        <v>528</v>
      </c>
      <c r="E342" s="20">
        <f t="shared" si="5"/>
        <v>0.77533039647577096</v>
      </c>
      <c r="F342" s="31">
        <v>0</v>
      </c>
      <c r="G342" s="111">
        <v>0</v>
      </c>
      <c r="H342" s="111">
        <v>0</v>
      </c>
      <c r="I342" s="111">
        <v>0</v>
      </c>
      <c r="J342" s="111">
        <v>1</v>
      </c>
      <c r="K342" s="111">
        <v>0</v>
      </c>
      <c r="L342" s="111">
        <v>0</v>
      </c>
      <c r="M342" s="111">
        <v>186</v>
      </c>
      <c r="N342" s="111">
        <v>0</v>
      </c>
      <c r="O342" s="111">
        <v>0</v>
      </c>
      <c r="P342" s="35">
        <v>5</v>
      </c>
      <c r="Q342" s="35">
        <v>0</v>
      </c>
      <c r="R342" s="35">
        <v>329</v>
      </c>
      <c r="S342" s="32">
        <v>0</v>
      </c>
      <c r="T342" s="37">
        <v>179</v>
      </c>
      <c r="U342" s="38">
        <v>336</v>
      </c>
      <c r="V342" s="37">
        <v>340</v>
      </c>
      <c r="W342" s="32">
        <v>174</v>
      </c>
      <c r="X342" s="31">
        <v>181</v>
      </c>
      <c r="Y342" s="32">
        <v>329</v>
      </c>
      <c r="Z342" s="111">
        <v>195</v>
      </c>
      <c r="AA342" s="35">
        <v>0</v>
      </c>
      <c r="AB342" s="35">
        <v>20</v>
      </c>
      <c r="AC342" s="35">
        <v>307</v>
      </c>
      <c r="AD342" s="35">
        <v>0</v>
      </c>
      <c r="AE342" s="33">
        <v>0</v>
      </c>
      <c r="AF342" s="116">
        <v>0</v>
      </c>
      <c r="AG342" s="120">
        <v>199</v>
      </c>
      <c r="AH342" s="38">
        <v>317</v>
      </c>
      <c r="AI342" s="37"/>
      <c r="AJ342" s="36"/>
      <c r="AK342" s="37">
        <v>338</v>
      </c>
      <c r="AL342" s="38">
        <v>175</v>
      </c>
      <c r="AM342" s="37"/>
      <c r="AN342" s="116"/>
      <c r="AO342" s="120"/>
      <c r="AP342" s="38"/>
      <c r="AQ342" s="37"/>
      <c r="AR342" s="116"/>
      <c r="AS342" s="120">
        <v>179</v>
      </c>
      <c r="AT342" s="38">
        <v>330</v>
      </c>
      <c r="AU342" s="37"/>
      <c r="AV342" s="120"/>
      <c r="AW342" s="120"/>
      <c r="AX342" s="37"/>
      <c r="AY342" s="38"/>
      <c r="AZ342" s="37"/>
      <c r="BA342" s="116"/>
      <c r="BB342" s="31">
        <v>338</v>
      </c>
      <c r="BC342" s="32">
        <v>168</v>
      </c>
      <c r="BD342" s="31">
        <v>330</v>
      </c>
      <c r="BE342" s="116">
        <v>176</v>
      </c>
      <c r="BF342" s="120">
        <v>172</v>
      </c>
      <c r="BG342" s="38">
        <v>334</v>
      </c>
      <c r="BH342" s="37">
        <v>345</v>
      </c>
      <c r="BI342" s="38">
        <v>162</v>
      </c>
      <c r="BJ342" s="111">
        <v>23</v>
      </c>
      <c r="BK342" s="33">
        <v>321</v>
      </c>
      <c r="BL342" s="115">
        <v>167</v>
      </c>
      <c r="BM342" s="111">
        <v>180</v>
      </c>
      <c r="BN342" s="35">
        <v>310</v>
      </c>
      <c r="BO342" s="32">
        <v>19</v>
      </c>
      <c r="BP342" s="31">
        <v>344</v>
      </c>
      <c r="BQ342" s="32">
        <v>162</v>
      </c>
      <c r="BR342" s="31">
        <v>165</v>
      </c>
      <c r="BS342" s="32">
        <v>343</v>
      </c>
      <c r="BT342" s="31">
        <v>327</v>
      </c>
      <c r="BU342" s="33">
        <v>20</v>
      </c>
      <c r="BV342" s="115">
        <v>158</v>
      </c>
      <c r="BW342" s="111">
        <v>187</v>
      </c>
      <c r="BX342" s="32">
        <v>324</v>
      </c>
      <c r="BY342" s="31">
        <v>172</v>
      </c>
      <c r="BZ342" s="32">
        <v>331</v>
      </c>
      <c r="CA342" s="111">
        <v>331</v>
      </c>
      <c r="CB342" s="32">
        <v>174</v>
      </c>
      <c r="CC342" s="33">
        <v>392</v>
      </c>
      <c r="CD342" s="34">
        <v>329</v>
      </c>
      <c r="CE342" s="120">
        <v>270</v>
      </c>
      <c r="CF342" s="42">
        <v>163</v>
      </c>
      <c r="CG342" s="31">
        <v>100</v>
      </c>
      <c r="CH342" s="35">
        <v>161</v>
      </c>
      <c r="CI342" s="35">
        <v>114</v>
      </c>
      <c r="CJ342" s="35">
        <v>132</v>
      </c>
      <c r="CK342" s="32">
        <v>283</v>
      </c>
    </row>
    <row r="343" spans="1:89" ht="13" x14ac:dyDescent="0.25">
      <c r="A343" s="27">
        <v>5626</v>
      </c>
      <c r="B343" s="28" t="s">
        <v>366</v>
      </c>
      <c r="C343" s="29">
        <v>1107</v>
      </c>
      <c r="D343" s="30">
        <v>914</v>
      </c>
      <c r="E343" s="20">
        <f t="shared" si="5"/>
        <v>0.82565492321589884</v>
      </c>
      <c r="F343" s="31">
        <v>0</v>
      </c>
      <c r="G343" s="111">
        <v>0</v>
      </c>
      <c r="H343" s="111">
        <v>0</v>
      </c>
      <c r="I343" s="111">
        <v>0</v>
      </c>
      <c r="J343" s="111">
        <v>1</v>
      </c>
      <c r="K343" s="111">
        <v>0</v>
      </c>
      <c r="L343" s="111">
        <v>0</v>
      </c>
      <c r="M343" s="111">
        <v>442</v>
      </c>
      <c r="N343" s="111">
        <v>0</v>
      </c>
      <c r="O343" s="111">
        <v>0</v>
      </c>
      <c r="P343" s="35">
        <v>2</v>
      </c>
      <c r="Q343" s="35">
        <v>0</v>
      </c>
      <c r="R343" s="35">
        <v>457</v>
      </c>
      <c r="S343" s="32">
        <v>0</v>
      </c>
      <c r="T343" s="37">
        <v>396</v>
      </c>
      <c r="U343" s="38">
        <v>494</v>
      </c>
      <c r="V343" s="37">
        <v>513</v>
      </c>
      <c r="W343" s="32">
        <v>379</v>
      </c>
      <c r="X343" s="31">
        <v>402</v>
      </c>
      <c r="Y343" s="32">
        <v>478</v>
      </c>
      <c r="Z343" s="111">
        <v>440</v>
      </c>
      <c r="AA343" s="35">
        <v>0</v>
      </c>
      <c r="AB343" s="35">
        <v>19</v>
      </c>
      <c r="AC343" s="35">
        <v>445</v>
      </c>
      <c r="AD343" s="35">
        <v>0</v>
      </c>
      <c r="AE343" s="33">
        <v>0</v>
      </c>
      <c r="AF343" s="116">
        <v>0</v>
      </c>
      <c r="AG343" s="120">
        <v>433</v>
      </c>
      <c r="AH343" s="38">
        <v>456</v>
      </c>
      <c r="AI343" s="37"/>
      <c r="AJ343" s="36"/>
      <c r="AK343" s="37">
        <v>473</v>
      </c>
      <c r="AL343" s="38">
        <v>405</v>
      </c>
      <c r="AM343" s="37"/>
      <c r="AN343" s="116"/>
      <c r="AO343" s="120"/>
      <c r="AP343" s="38"/>
      <c r="AQ343" s="37"/>
      <c r="AR343" s="116"/>
      <c r="AS343" s="120">
        <v>420</v>
      </c>
      <c r="AT343" s="38">
        <v>462</v>
      </c>
      <c r="AU343" s="37"/>
      <c r="AV343" s="120"/>
      <c r="AW343" s="120"/>
      <c r="AX343" s="37"/>
      <c r="AY343" s="38"/>
      <c r="AZ343" s="37"/>
      <c r="BA343" s="116"/>
      <c r="BB343" s="31">
        <v>505</v>
      </c>
      <c r="BC343" s="32">
        <v>354</v>
      </c>
      <c r="BD343" s="31">
        <v>485</v>
      </c>
      <c r="BE343" s="116">
        <v>376</v>
      </c>
      <c r="BF343" s="120">
        <v>360</v>
      </c>
      <c r="BG343" s="38">
        <v>492</v>
      </c>
      <c r="BH343" s="37">
        <v>515</v>
      </c>
      <c r="BI343" s="38">
        <v>349</v>
      </c>
      <c r="BJ343" s="111">
        <v>30</v>
      </c>
      <c r="BK343" s="33">
        <v>475</v>
      </c>
      <c r="BL343" s="115">
        <v>352</v>
      </c>
      <c r="BM343" s="111">
        <v>376</v>
      </c>
      <c r="BN343" s="35">
        <v>456</v>
      </c>
      <c r="BO343" s="32">
        <v>25</v>
      </c>
      <c r="BP343" s="31">
        <v>516</v>
      </c>
      <c r="BQ343" s="32">
        <v>345</v>
      </c>
      <c r="BR343" s="31">
        <v>335</v>
      </c>
      <c r="BS343" s="32">
        <v>536</v>
      </c>
      <c r="BT343" s="31">
        <v>472</v>
      </c>
      <c r="BU343" s="33">
        <v>33</v>
      </c>
      <c r="BV343" s="115">
        <v>353</v>
      </c>
      <c r="BW343" s="111">
        <v>387</v>
      </c>
      <c r="BX343" s="32">
        <v>487</v>
      </c>
      <c r="BY343" s="31">
        <v>366</v>
      </c>
      <c r="BZ343" s="32">
        <v>479</v>
      </c>
      <c r="CA343" s="111">
        <v>494</v>
      </c>
      <c r="CB343" s="32">
        <v>359</v>
      </c>
      <c r="CC343" s="33">
        <v>634</v>
      </c>
      <c r="CD343" s="34">
        <v>584</v>
      </c>
      <c r="CE343" s="120">
        <v>417</v>
      </c>
      <c r="CF343" s="42">
        <v>311</v>
      </c>
      <c r="CG343" s="31">
        <v>227</v>
      </c>
      <c r="CH343" s="35">
        <v>265</v>
      </c>
      <c r="CI343" s="35">
        <v>225</v>
      </c>
      <c r="CJ343" s="35">
        <v>280</v>
      </c>
      <c r="CK343" s="32">
        <v>393</v>
      </c>
    </row>
    <row r="344" spans="1:89" ht="13" x14ac:dyDescent="0.25">
      <c r="A344" s="27">
        <v>5627</v>
      </c>
      <c r="B344" s="28" t="s">
        <v>367</v>
      </c>
      <c r="C344" s="29">
        <v>1179</v>
      </c>
      <c r="D344" s="30">
        <v>980</v>
      </c>
      <c r="E344" s="20">
        <f t="shared" si="5"/>
        <v>0.83121289228159456</v>
      </c>
      <c r="F344" s="31">
        <v>0</v>
      </c>
      <c r="G344" s="111">
        <v>0</v>
      </c>
      <c r="H344" s="111">
        <v>0</v>
      </c>
      <c r="I344" s="111">
        <v>1</v>
      </c>
      <c r="J344" s="111">
        <v>5</v>
      </c>
      <c r="K344" s="111">
        <v>0</v>
      </c>
      <c r="L344" s="111">
        <v>0</v>
      </c>
      <c r="M344" s="111">
        <v>503</v>
      </c>
      <c r="N344" s="111">
        <v>0</v>
      </c>
      <c r="O344" s="111">
        <v>0</v>
      </c>
      <c r="P344" s="35">
        <v>5</v>
      </c>
      <c r="Q344" s="35">
        <v>0</v>
      </c>
      <c r="R344" s="35">
        <v>449</v>
      </c>
      <c r="S344" s="32">
        <v>0</v>
      </c>
      <c r="T344" s="37">
        <v>461</v>
      </c>
      <c r="U344" s="38">
        <v>486</v>
      </c>
      <c r="V344" s="37">
        <v>490</v>
      </c>
      <c r="W344" s="32">
        <v>462</v>
      </c>
      <c r="X344" s="31">
        <v>477</v>
      </c>
      <c r="Y344" s="32">
        <v>456</v>
      </c>
      <c r="Z344" s="111">
        <v>526</v>
      </c>
      <c r="AA344" s="35">
        <v>0</v>
      </c>
      <c r="AB344" s="35">
        <v>29</v>
      </c>
      <c r="AC344" s="35">
        <v>412</v>
      </c>
      <c r="AD344" s="35">
        <v>0</v>
      </c>
      <c r="AE344" s="33">
        <v>0</v>
      </c>
      <c r="AF344" s="116">
        <v>0</v>
      </c>
      <c r="AG344" s="120">
        <v>521</v>
      </c>
      <c r="AH344" s="38">
        <v>428</v>
      </c>
      <c r="AI344" s="37"/>
      <c r="AJ344" s="36"/>
      <c r="AK344" s="37">
        <v>454</v>
      </c>
      <c r="AL344" s="38">
        <v>476</v>
      </c>
      <c r="AM344" s="37"/>
      <c r="AN344" s="116"/>
      <c r="AO344" s="120"/>
      <c r="AP344" s="38"/>
      <c r="AQ344" s="37"/>
      <c r="AR344" s="116"/>
      <c r="AS344" s="120">
        <v>496</v>
      </c>
      <c r="AT344" s="38">
        <v>438</v>
      </c>
      <c r="AU344" s="37"/>
      <c r="AV344" s="120"/>
      <c r="AW344" s="120"/>
      <c r="AX344" s="37"/>
      <c r="AY344" s="38"/>
      <c r="AZ344" s="37"/>
      <c r="BA344" s="116"/>
      <c r="BB344" s="31">
        <v>470</v>
      </c>
      <c r="BC344" s="32">
        <v>449</v>
      </c>
      <c r="BD344" s="31">
        <v>457</v>
      </c>
      <c r="BE344" s="116">
        <v>462</v>
      </c>
      <c r="BF344" s="120">
        <v>456</v>
      </c>
      <c r="BG344" s="38">
        <v>459</v>
      </c>
      <c r="BH344" s="37">
        <v>494</v>
      </c>
      <c r="BI344" s="38">
        <v>434</v>
      </c>
      <c r="BJ344" s="111">
        <v>39</v>
      </c>
      <c r="BK344" s="33">
        <v>436</v>
      </c>
      <c r="BL344" s="115">
        <v>453</v>
      </c>
      <c r="BM344" s="111">
        <v>471</v>
      </c>
      <c r="BN344" s="35">
        <v>432</v>
      </c>
      <c r="BO344" s="32">
        <v>31</v>
      </c>
      <c r="BP344" s="31">
        <v>491</v>
      </c>
      <c r="BQ344" s="32">
        <v>440</v>
      </c>
      <c r="BR344" s="31">
        <v>412</v>
      </c>
      <c r="BS344" s="32">
        <v>521</v>
      </c>
      <c r="BT344" s="31">
        <v>442</v>
      </c>
      <c r="BU344" s="33">
        <v>27</v>
      </c>
      <c r="BV344" s="115">
        <v>447</v>
      </c>
      <c r="BW344" s="111">
        <v>474</v>
      </c>
      <c r="BX344" s="32">
        <v>469</v>
      </c>
      <c r="BY344" s="31">
        <v>466</v>
      </c>
      <c r="BZ344" s="32">
        <v>440</v>
      </c>
      <c r="CA344" s="111">
        <v>457</v>
      </c>
      <c r="CB344" s="32">
        <v>463</v>
      </c>
      <c r="CC344" s="33">
        <v>633</v>
      </c>
      <c r="CD344" s="34">
        <v>687</v>
      </c>
      <c r="CE344" s="120">
        <v>426</v>
      </c>
      <c r="CF344" s="42">
        <v>367</v>
      </c>
      <c r="CG344" s="31">
        <v>201</v>
      </c>
      <c r="CH344" s="35">
        <v>304</v>
      </c>
      <c r="CI344" s="35">
        <v>294</v>
      </c>
      <c r="CJ344" s="35">
        <v>316</v>
      </c>
      <c r="CK344" s="32">
        <v>432</v>
      </c>
    </row>
    <row r="345" spans="1:89" ht="13" x14ac:dyDescent="0.25">
      <c r="A345" s="27">
        <v>5628</v>
      </c>
      <c r="B345" s="28" t="s">
        <v>368</v>
      </c>
      <c r="C345" s="29">
        <v>948</v>
      </c>
      <c r="D345" s="30">
        <v>770</v>
      </c>
      <c r="E345" s="20">
        <f t="shared" si="5"/>
        <v>0.81223628691983119</v>
      </c>
      <c r="F345" s="31">
        <v>0</v>
      </c>
      <c r="G345" s="111">
        <v>0</v>
      </c>
      <c r="H345" s="111">
        <v>0</v>
      </c>
      <c r="I345" s="111">
        <v>0</v>
      </c>
      <c r="J345" s="111">
        <v>1</v>
      </c>
      <c r="K345" s="111">
        <v>0</v>
      </c>
      <c r="L345" s="111">
        <v>0</v>
      </c>
      <c r="M345" s="111">
        <v>365</v>
      </c>
      <c r="N345" s="111">
        <v>0</v>
      </c>
      <c r="O345" s="111">
        <v>0</v>
      </c>
      <c r="P345" s="35">
        <v>2</v>
      </c>
      <c r="Q345" s="35">
        <v>1</v>
      </c>
      <c r="R345" s="35">
        <v>383</v>
      </c>
      <c r="S345" s="32">
        <v>0</v>
      </c>
      <c r="T345" s="37">
        <v>346</v>
      </c>
      <c r="U345" s="38">
        <v>391</v>
      </c>
      <c r="V345" s="37">
        <v>411</v>
      </c>
      <c r="W345" s="32">
        <v>329</v>
      </c>
      <c r="X345" s="31">
        <v>347</v>
      </c>
      <c r="Y345" s="32">
        <v>380</v>
      </c>
      <c r="Z345" s="111">
        <v>387</v>
      </c>
      <c r="AA345" s="35">
        <v>0</v>
      </c>
      <c r="AB345" s="35">
        <v>34</v>
      </c>
      <c r="AC345" s="35">
        <v>331</v>
      </c>
      <c r="AD345" s="35">
        <v>0</v>
      </c>
      <c r="AE345" s="33">
        <v>0</v>
      </c>
      <c r="AF345" s="116">
        <v>0</v>
      </c>
      <c r="AG345" s="120">
        <v>370</v>
      </c>
      <c r="AH345" s="38">
        <v>368</v>
      </c>
      <c r="AI345" s="37"/>
      <c r="AJ345" s="36"/>
      <c r="AK345" s="37">
        <v>379</v>
      </c>
      <c r="AL345" s="38">
        <v>343</v>
      </c>
      <c r="AM345" s="37"/>
      <c r="AN345" s="116"/>
      <c r="AO345" s="120"/>
      <c r="AP345" s="38"/>
      <c r="AQ345" s="37"/>
      <c r="AR345" s="116"/>
      <c r="AS345" s="120">
        <v>364</v>
      </c>
      <c r="AT345" s="38">
        <v>367</v>
      </c>
      <c r="AU345" s="37"/>
      <c r="AV345" s="120"/>
      <c r="AW345" s="120"/>
      <c r="AX345" s="37"/>
      <c r="AY345" s="38"/>
      <c r="AZ345" s="37"/>
      <c r="BA345" s="116"/>
      <c r="BB345" s="31">
        <v>389</v>
      </c>
      <c r="BC345" s="32">
        <v>321</v>
      </c>
      <c r="BD345" s="31">
        <v>372</v>
      </c>
      <c r="BE345" s="116">
        <v>339</v>
      </c>
      <c r="BF345" s="120">
        <v>327</v>
      </c>
      <c r="BG345" s="38">
        <v>379</v>
      </c>
      <c r="BH345" s="37">
        <v>398</v>
      </c>
      <c r="BI345" s="38">
        <v>309</v>
      </c>
      <c r="BJ345" s="111">
        <v>41</v>
      </c>
      <c r="BK345" s="33">
        <v>344</v>
      </c>
      <c r="BL345" s="115">
        <v>329</v>
      </c>
      <c r="BM345" s="111">
        <v>344</v>
      </c>
      <c r="BN345" s="35">
        <v>341</v>
      </c>
      <c r="BO345" s="32">
        <v>29</v>
      </c>
      <c r="BP345" s="31">
        <v>387</v>
      </c>
      <c r="BQ345" s="32">
        <v>322</v>
      </c>
      <c r="BR345" s="31">
        <v>306</v>
      </c>
      <c r="BS345" s="32">
        <v>408</v>
      </c>
      <c r="BT345" s="31">
        <v>357</v>
      </c>
      <c r="BU345" s="33">
        <v>43</v>
      </c>
      <c r="BV345" s="115">
        <v>307</v>
      </c>
      <c r="BW345" s="111">
        <v>336</v>
      </c>
      <c r="BX345" s="32">
        <v>390</v>
      </c>
      <c r="BY345" s="31">
        <v>335</v>
      </c>
      <c r="BZ345" s="32">
        <v>366</v>
      </c>
      <c r="CA345" s="111">
        <v>368</v>
      </c>
      <c r="CB345" s="32">
        <v>341</v>
      </c>
      <c r="CC345" s="33">
        <v>503</v>
      </c>
      <c r="CD345" s="34">
        <v>507</v>
      </c>
      <c r="CE345" s="120">
        <v>369</v>
      </c>
      <c r="CF345" s="42">
        <v>257</v>
      </c>
      <c r="CG345" s="31">
        <v>153</v>
      </c>
      <c r="CH345" s="35">
        <v>225</v>
      </c>
      <c r="CI345" s="35">
        <v>217</v>
      </c>
      <c r="CJ345" s="35">
        <v>248</v>
      </c>
      <c r="CK345" s="32">
        <v>345</v>
      </c>
    </row>
    <row r="346" spans="1:89" ht="13" x14ac:dyDescent="0.25">
      <c r="A346" s="27">
        <v>5629</v>
      </c>
      <c r="B346" s="28" t="s">
        <v>369</v>
      </c>
      <c r="C346" s="29">
        <v>685</v>
      </c>
      <c r="D346" s="30">
        <v>579</v>
      </c>
      <c r="E346" s="20">
        <f t="shared" si="5"/>
        <v>0.84525547445255478</v>
      </c>
      <c r="F346" s="31">
        <v>0</v>
      </c>
      <c r="G346" s="111">
        <v>0</v>
      </c>
      <c r="H346" s="111">
        <v>0</v>
      </c>
      <c r="I346" s="111">
        <v>0</v>
      </c>
      <c r="J346" s="111">
        <v>1</v>
      </c>
      <c r="K346" s="111">
        <v>0</v>
      </c>
      <c r="L346" s="111">
        <v>0</v>
      </c>
      <c r="M346" s="111">
        <v>284</v>
      </c>
      <c r="N346" s="111">
        <v>0</v>
      </c>
      <c r="O346" s="111">
        <v>0</v>
      </c>
      <c r="P346" s="35">
        <v>7</v>
      </c>
      <c r="Q346" s="35">
        <v>0</v>
      </c>
      <c r="R346" s="35">
        <v>280</v>
      </c>
      <c r="S346" s="32">
        <v>0</v>
      </c>
      <c r="T346" s="37">
        <v>255</v>
      </c>
      <c r="U346" s="38">
        <v>298</v>
      </c>
      <c r="V346" s="37">
        <v>312</v>
      </c>
      <c r="W346" s="32">
        <v>249</v>
      </c>
      <c r="X346" s="31">
        <v>257</v>
      </c>
      <c r="Y346" s="32">
        <v>292</v>
      </c>
      <c r="Z346" s="111">
        <v>287</v>
      </c>
      <c r="AA346" s="35">
        <v>0</v>
      </c>
      <c r="AB346" s="35">
        <v>12</v>
      </c>
      <c r="AC346" s="35">
        <v>273</v>
      </c>
      <c r="AD346" s="35">
        <v>0</v>
      </c>
      <c r="AE346" s="33">
        <v>0</v>
      </c>
      <c r="AF346" s="116">
        <v>0</v>
      </c>
      <c r="AG346" s="120">
        <v>286</v>
      </c>
      <c r="AH346" s="38">
        <v>271</v>
      </c>
      <c r="AI346" s="37"/>
      <c r="AJ346" s="36"/>
      <c r="AK346" s="37">
        <v>285</v>
      </c>
      <c r="AL346" s="38">
        <v>261</v>
      </c>
      <c r="AM346" s="37"/>
      <c r="AN346" s="116"/>
      <c r="AO346" s="120"/>
      <c r="AP346" s="38"/>
      <c r="AQ346" s="37"/>
      <c r="AR346" s="116"/>
      <c r="AS346" s="120">
        <v>285</v>
      </c>
      <c r="AT346" s="38">
        <v>271</v>
      </c>
      <c r="AU346" s="37"/>
      <c r="AV346" s="120"/>
      <c r="AW346" s="120"/>
      <c r="AX346" s="37"/>
      <c r="AY346" s="38"/>
      <c r="AZ346" s="37"/>
      <c r="BA346" s="116"/>
      <c r="BB346" s="31">
        <v>296</v>
      </c>
      <c r="BC346" s="32">
        <v>241</v>
      </c>
      <c r="BD346" s="31">
        <v>285</v>
      </c>
      <c r="BE346" s="116">
        <v>251</v>
      </c>
      <c r="BF346" s="120">
        <v>243</v>
      </c>
      <c r="BG346" s="38">
        <v>289</v>
      </c>
      <c r="BH346" s="37">
        <v>312</v>
      </c>
      <c r="BI346" s="38">
        <v>227</v>
      </c>
      <c r="BJ346" s="111">
        <v>18</v>
      </c>
      <c r="BK346" s="33">
        <v>282</v>
      </c>
      <c r="BL346" s="115">
        <v>243</v>
      </c>
      <c r="BM346" s="111">
        <v>258</v>
      </c>
      <c r="BN346" s="35">
        <v>273</v>
      </c>
      <c r="BO346" s="32">
        <v>12</v>
      </c>
      <c r="BP346" s="31">
        <v>298</v>
      </c>
      <c r="BQ346" s="32">
        <v>245</v>
      </c>
      <c r="BR346" s="31">
        <v>225</v>
      </c>
      <c r="BS346" s="32">
        <v>327</v>
      </c>
      <c r="BT346" s="31">
        <v>274</v>
      </c>
      <c r="BU346" s="33">
        <v>21</v>
      </c>
      <c r="BV346" s="115">
        <v>240</v>
      </c>
      <c r="BW346" s="111">
        <v>264</v>
      </c>
      <c r="BX346" s="32">
        <v>285</v>
      </c>
      <c r="BY346" s="31">
        <v>252</v>
      </c>
      <c r="BZ346" s="32">
        <v>278</v>
      </c>
      <c r="CA346" s="111">
        <v>278</v>
      </c>
      <c r="CB346" s="32">
        <v>260</v>
      </c>
      <c r="CC346" s="33">
        <v>383</v>
      </c>
      <c r="CD346" s="34">
        <v>372</v>
      </c>
      <c r="CE346" s="120">
        <v>258</v>
      </c>
      <c r="CF346" s="42">
        <v>199</v>
      </c>
      <c r="CG346" s="31">
        <v>123</v>
      </c>
      <c r="CH346" s="35">
        <v>172</v>
      </c>
      <c r="CI346" s="35">
        <v>159</v>
      </c>
      <c r="CJ346" s="35">
        <v>184</v>
      </c>
      <c r="CK346" s="32">
        <v>264</v>
      </c>
    </row>
    <row r="347" spans="1:89" ht="13" x14ac:dyDescent="0.25">
      <c r="A347" s="27">
        <v>5630</v>
      </c>
      <c r="B347" s="28" t="s">
        <v>370</v>
      </c>
      <c r="C347" s="29">
        <v>1229</v>
      </c>
      <c r="D347" s="30">
        <v>1014</v>
      </c>
      <c r="E347" s="20">
        <f t="shared" si="5"/>
        <v>0.82506102522375913</v>
      </c>
      <c r="F347" s="31">
        <v>0</v>
      </c>
      <c r="G347" s="111">
        <v>0</v>
      </c>
      <c r="H347" s="111">
        <v>0</v>
      </c>
      <c r="I347" s="111">
        <v>0</v>
      </c>
      <c r="J347" s="111">
        <v>1</v>
      </c>
      <c r="K347" s="111">
        <v>0</v>
      </c>
      <c r="L347" s="111">
        <v>0</v>
      </c>
      <c r="M347" s="111">
        <v>482</v>
      </c>
      <c r="N347" s="111">
        <v>0</v>
      </c>
      <c r="O347" s="111">
        <v>0</v>
      </c>
      <c r="P347" s="35">
        <v>11</v>
      </c>
      <c r="Q347" s="35">
        <v>3</v>
      </c>
      <c r="R347" s="35">
        <v>502</v>
      </c>
      <c r="S347" s="32">
        <v>0</v>
      </c>
      <c r="T347" s="37">
        <v>436</v>
      </c>
      <c r="U347" s="38">
        <v>524</v>
      </c>
      <c r="V347" s="37">
        <v>543</v>
      </c>
      <c r="W347" s="32">
        <v>422</v>
      </c>
      <c r="X347" s="31">
        <v>438</v>
      </c>
      <c r="Y347" s="32">
        <v>504</v>
      </c>
      <c r="Z347" s="111">
        <v>494</v>
      </c>
      <c r="AA347" s="35">
        <v>0</v>
      </c>
      <c r="AB347" s="35">
        <v>36</v>
      </c>
      <c r="AC347" s="35">
        <v>462</v>
      </c>
      <c r="AD347" s="35">
        <v>0</v>
      </c>
      <c r="AE347" s="33">
        <v>0</v>
      </c>
      <c r="AF347" s="116">
        <v>0</v>
      </c>
      <c r="AG347" s="120">
        <v>485</v>
      </c>
      <c r="AH347" s="38">
        <v>478</v>
      </c>
      <c r="AI347" s="37"/>
      <c r="AJ347" s="36"/>
      <c r="AK347" s="37">
        <v>504</v>
      </c>
      <c r="AL347" s="38">
        <v>443</v>
      </c>
      <c r="AM347" s="37"/>
      <c r="AN347" s="116"/>
      <c r="AO347" s="120"/>
      <c r="AP347" s="38"/>
      <c r="AQ347" s="37"/>
      <c r="AR347" s="116"/>
      <c r="AS347" s="120">
        <v>460</v>
      </c>
      <c r="AT347" s="38">
        <v>491</v>
      </c>
      <c r="AU347" s="37"/>
      <c r="AV347" s="120"/>
      <c r="AW347" s="120"/>
      <c r="AX347" s="37"/>
      <c r="AY347" s="38"/>
      <c r="AZ347" s="37"/>
      <c r="BA347" s="116"/>
      <c r="BB347" s="31">
        <v>517</v>
      </c>
      <c r="BC347" s="32">
        <v>418</v>
      </c>
      <c r="BD347" s="31">
        <v>488</v>
      </c>
      <c r="BE347" s="116">
        <v>450</v>
      </c>
      <c r="BF347" s="120">
        <v>435</v>
      </c>
      <c r="BG347" s="38">
        <v>498</v>
      </c>
      <c r="BH347" s="37">
        <v>531</v>
      </c>
      <c r="BI347" s="38">
        <v>407</v>
      </c>
      <c r="BJ347" s="111">
        <v>45</v>
      </c>
      <c r="BK347" s="33">
        <v>466</v>
      </c>
      <c r="BL347" s="115">
        <v>432</v>
      </c>
      <c r="BM347" s="111">
        <v>440</v>
      </c>
      <c r="BN347" s="35">
        <v>464</v>
      </c>
      <c r="BO347" s="32">
        <v>34</v>
      </c>
      <c r="BP347" s="31">
        <v>525</v>
      </c>
      <c r="BQ347" s="32">
        <v>414</v>
      </c>
      <c r="BR347" s="31">
        <v>393</v>
      </c>
      <c r="BS347" s="32">
        <v>555</v>
      </c>
      <c r="BT347" s="31">
        <v>473</v>
      </c>
      <c r="BU347" s="33">
        <v>36</v>
      </c>
      <c r="BV347" s="115">
        <v>422</v>
      </c>
      <c r="BW347" s="111">
        <v>462</v>
      </c>
      <c r="BX347" s="32">
        <v>488</v>
      </c>
      <c r="BY347" s="31">
        <v>441</v>
      </c>
      <c r="BZ347" s="32">
        <v>480</v>
      </c>
      <c r="CA347" s="111">
        <v>499</v>
      </c>
      <c r="CB347" s="32">
        <v>432</v>
      </c>
      <c r="CC347" s="33">
        <v>649</v>
      </c>
      <c r="CD347" s="34">
        <v>669</v>
      </c>
      <c r="CE347" s="120">
        <v>466</v>
      </c>
      <c r="CF347" s="42">
        <v>317</v>
      </c>
      <c r="CG347" s="31">
        <v>256</v>
      </c>
      <c r="CH347" s="35">
        <v>251</v>
      </c>
      <c r="CI347" s="35">
        <v>245</v>
      </c>
      <c r="CJ347" s="35">
        <v>271</v>
      </c>
      <c r="CK347" s="32">
        <v>461</v>
      </c>
    </row>
    <row r="348" spans="1:89" ht="13" x14ac:dyDescent="0.25">
      <c r="A348" s="27">
        <v>5631</v>
      </c>
      <c r="B348" s="28" t="s">
        <v>371</v>
      </c>
      <c r="C348" s="29">
        <v>814</v>
      </c>
      <c r="D348" s="30">
        <v>629</v>
      </c>
      <c r="E348" s="20">
        <f t="shared" si="5"/>
        <v>0.77272727272727271</v>
      </c>
      <c r="F348" s="31">
        <v>0</v>
      </c>
      <c r="G348" s="111">
        <v>0</v>
      </c>
      <c r="H348" s="111">
        <v>0</v>
      </c>
      <c r="I348" s="111">
        <v>0</v>
      </c>
      <c r="J348" s="111">
        <v>2</v>
      </c>
      <c r="K348" s="111">
        <v>0</v>
      </c>
      <c r="L348" s="111">
        <v>0</v>
      </c>
      <c r="M348" s="111">
        <v>307</v>
      </c>
      <c r="N348" s="111">
        <v>0</v>
      </c>
      <c r="O348" s="111">
        <v>0</v>
      </c>
      <c r="P348" s="35">
        <v>4</v>
      </c>
      <c r="Q348" s="35">
        <v>0</v>
      </c>
      <c r="R348" s="35">
        <v>308</v>
      </c>
      <c r="S348" s="32">
        <v>0</v>
      </c>
      <c r="T348" s="37">
        <v>287</v>
      </c>
      <c r="U348" s="38">
        <v>322</v>
      </c>
      <c r="V348" s="37">
        <v>330</v>
      </c>
      <c r="W348" s="32">
        <v>282</v>
      </c>
      <c r="X348" s="31">
        <v>295</v>
      </c>
      <c r="Y348" s="32">
        <v>304</v>
      </c>
      <c r="Z348" s="111">
        <v>315</v>
      </c>
      <c r="AA348" s="35">
        <v>0</v>
      </c>
      <c r="AB348" s="35">
        <v>8</v>
      </c>
      <c r="AC348" s="35">
        <v>293</v>
      </c>
      <c r="AD348" s="35">
        <v>0</v>
      </c>
      <c r="AE348" s="33">
        <v>0</v>
      </c>
      <c r="AF348" s="116">
        <v>0</v>
      </c>
      <c r="AG348" s="120">
        <v>311</v>
      </c>
      <c r="AH348" s="38">
        <v>298</v>
      </c>
      <c r="AI348" s="37"/>
      <c r="AJ348" s="36"/>
      <c r="AK348" s="37">
        <v>308</v>
      </c>
      <c r="AL348" s="38">
        <v>289</v>
      </c>
      <c r="AM348" s="37"/>
      <c r="AN348" s="116"/>
      <c r="AO348" s="120"/>
      <c r="AP348" s="38"/>
      <c r="AQ348" s="37"/>
      <c r="AR348" s="116"/>
      <c r="AS348" s="120">
        <v>317</v>
      </c>
      <c r="AT348" s="38">
        <v>291</v>
      </c>
      <c r="AU348" s="37"/>
      <c r="AV348" s="120"/>
      <c r="AW348" s="120"/>
      <c r="AX348" s="37"/>
      <c r="AY348" s="38"/>
      <c r="AZ348" s="37"/>
      <c r="BA348" s="116"/>
      <c r="BB348" s="31">
        <v>305</v>
      </c>
      <c r="BC348" s="32">
        <v>287</v>
      </c>
      <c r="BD348" s="31">
        <v>304</v>
      </c>
      <c r="BE348" s="116">
        <v>286</v>
      </c>
      <c r="BF348" s="120">
        <v>277</v>
      </c>
      <c r="BG348" s="38">
        <v>303</v>
      </c>
      <c r="BH348" s="37">
        <v>329</v>
      </c>
      <c r="BI348" s="38">
        <v>266</v>
      </c>
      <c r="BJ348" s="111">
        <v>25</v>
      </c>
      <c r="BK348" s="33">
        <v>293</v>
      </c>
      <c r="BL348" s="115">
        <v>270</v>
      </c>
      <c r="BM348" s="111">
        <v>284</v>
      </c>
      <c r="BN348" s="35">
        <v>292</v>
      </c>
      <c r="BO348" s="32">
        <v>17</v>
      </c>
      <c r="BP348" s="31">
        <v>310</v>
      </c>
      <c r="BQ348" s="32">
        <v>278</v>
      </c>
      <c r="BR348" s="31">
        <v>256</v>
      </c>
      <c r="BS348" s="32">
        <v>338</v>
      </c>
      <c r="BT348" s="31">
        <v>297</v>
      </c>
      <c r="BU348" s="33">
        <v>20</v>
      </c>
      <c r="BV348" s="115">
        <v>270</v>
      </c>
      <c r="BW348" s="111">
        <v>284</v>
      </c>
      <c r="BX348" s="32">
        <v>311</v>
      </c>
      <c r="BY348" s="31">
        <v>287</v>
      </c>
      <c r="BZ348" s="32">
        <v>294</v>
      </c>
      <c r="CA348" s="111">
        <v>298</v>
      </c>
      <c r="CB348" s="32">
        <v>291</v>
      </c>
      <c r="CC348" s="33">
        <v>423</v>
      </c>
      <c r="CD348" s="34">
        <v>408</v>
      </c>
      <c r="CE348" s="120">
        <v>284</v>
      </c>
      <c r="CF348" s="42">
        <v>210</v>
      </c>
      <c r="CG348" s="31">
        <v>128</v>
      </c>
      <c r="CH348" s="35">
        <v>192</v>
      </c>
      <c r="CI348" s="35">
        <v>157</v>
      </c>
      <c r="CJ348" s="35">
        <v>194</v>
      </c>
      <c r="CK348" s="32">
        <v>266</v>
      </c>
    </row>
    <row r="349" spans="1:89" ht="13" x14ac:dyDescent="0.25">
      <c r="A349" s="27">
        <v>5632</v>
      </c>
      <c r="B349" s="28" t="s">
        <v>372</v>
      </c>
      <c r="C349" s="29">
        <v>1287</v>
      </c>
      <c r="D349" s="30">
        <v>1012</v>
      </c>
      <c r="E349" s="20">
        <f t="shared" si="5"/>
        <v>0.78632478632478631</v>
      </c>
      <c r="F349" s="31">
        <v>0</v>
      </c>
      <c r="G349" s="111">
        <v>0</v>
      </c>
      <c r="H349" s="111">
        <v>0</v>
      </c>
      <c r="I349" s="111">
        <v>0</v>
      </c>
      <c r="J349" s="111">
        <v>0</v>
      </c>
      <c r="K349" s="111">
        <v>0</v>
      </c>
      <c r="L349" s="111">
        <v>0</v>
      </c>
      <c r="M349" s="111">
        <v>503</v>
      </c>
      <c r="N349" s="111">
        <v>0</v>
      </c>
      <c r="O349" s="111">
        <v>0</v>
      </c>
      <c r="P349" s="35">
        <v>6</v>
      </c>
      <c r="Q349" s="35">
        <v>3</v>
      </c>
      <c r="R349" s="35">
        <v>486</v>
      </c>
      <c r="S349" s="32">
        <v>0</v>
      </c>
      <c r="T349" s="37">
        <v>470</v>
      </c>
      <c r="U349" s="38">
        <v>507</v>
      </c>
      <c r="V349" s="37">
        <v>533</v>
      </c>
      <c r="W349" s="32">
        <v>453</v>
      </c>
      <c r="X349" s="31">
        <v>483</v>
      </c>
      <c r="Y349" s="32">
        <v>478</v>
      </c>
      <c r="Z349" s="111">
        <v>520</v>
      </c>
      <c r="AA349" s="35">
        <v>0</v>
      </c>
      <c r="AB349" s="35">
        <v>24</v>
      </c>
      <c r="AC349" s="35">
        <v>449</v>
      </c>
      <c r="AD349" s="35">
        <v>0</v>
      </c>
      <c r="AE349" s="33">
        <v>0</v>
      </c>
      <c r="AF349" s="116">
        <v>0</v>
      </c>
      <c r="AG349" s="120">
        <v>516</v>
      </c>
      <c r="AH349" s="38">
        <v>463</v>
      </c>
      <c r="AI349" s="37"/>
      <c r="AJ349" s="36"/>
      <c r="AK349" s="37">
        <v>493</v>
      </c>
      <c r="AL349" s="38">
        <v>464</v>
      </c>
      <c r="AM349" s="37"/>
      <c r="AN349" s="116"/>
      <c r="AO349" s="120"/>
      <c r="AP349" s="38"/>
      <c r="AQ349" s="37"/>
      <c r="AR349" s="116"/>
      <c r="AS349" s="120">
        <v>492</v>
      </c>
      <c r="AT349" s="38">
        <v>466</v>
      </c>
      <c r="AU349" s="37"/>
      <c r="AV349" s="120"/>
      <c r="AW349" s="120"/>
      <c r="AX349" s="37"/>
      <c r="AY349" s="38"/>
      <c r="AZ349" s="37"/>
      <c r="BA349" s="116"/>
      <c r="BB349" s="31">
        <v>499</v>
      </c>
      <c r="BC349" s="32">
        <v>444</v>
      </c>
      <c r="BD349" s="31">
        <v>486</v>
      </c>
      <c r="BE349" s="116">
        <v>461</v>
      </c>
      <c r="BF349" s="120">
        <v>453</v>
      </c>
      <c r="BG349" s="38">
        <v>491</v>
      </c>
      <c r="BH349" s="37">
        <v>527</v>
      </c>
      <c r="BI349" s="38">
        <v>423</v>
      </c>
      <c r="BJ349" s="111">
        <v>32</v>
      </c>
      <c r="BK349" s="33">
        <v>482</v>
      </c>
      <c r="BL349" s="115">
        <v>445</v>
      </c>
      <c r="BM349" s="111">
        <v>459</v>
      </c>
      <c r="BN349" s="35">
        <v>470</v>
      </c>
      <c r="BO349" s="32">
        <v>17</v>
      </c>
      <c r="BP349" s="31">
        <v>513</v>
      </c>
      <c r="BQ349" s="32">
        <v>443</v>
      </c>
      <c r="BR349" s="31">
        <v>400</v>
      </c>
      <c r="BS349" s="32">
        <v>556</v>
      </c>
      <c r="BT349" s="31">
        <v>474</v>
      </c>
      <c r="BU349" s="33">
        <v>23</v>
      </c>
      <c r="BV349" s="115">
        <v>439</v>
      </c>
      <c r="BW349" s="111">
        <v>453</v>
      </c>
      <c r="BX349" s="32">
        <v>512</v>
      </c>
      <c r="BY349" s="31">
        <v>464</v>
      </c>
      <c r="BZ349" s="32">
        <v>473</v>
      </c>
      <c r="CA349" s="111">
        <v>489</v>
      </c>
      <c r="CB349" s="32">
        <v>455</v>
      </c>
      <c r="CC349" s="33">
        <v>668</v>
      </c>
      <c r="CD349" s="34">
        <v>700</v>
      </c>
      <c r="CE349" s="120">
        <v>473</v>
      </c>
      <c r="CF349" s="42">
        <v>332</v>
      </c>
      <c r="CG349" s="31">
        <v>207</v>
      </c>
      <c r="CH349" s="35">
        <v>282</v>
      </c>
      <c r="CI349" s="35">
        <v>259</v>
      </c>
      <c r="CJ349" s="35">
        <v>333</v>
      </c>
      <c r="CK349" s="32">
        <v>427</v>
      </c>
    </row>
    <row r="350" spans="1:89" ht="13" x14ac:dyDescent="0.25">
      <c r="A350" s="27">
        <v>5801</v>
      </c>
      <c r="B350" s="28" t="s">
        <v>373</v>
      </c>
      <c r="C350" s="29">
        <v>525</v>
      </c>
      <c r="D350" s="30">
        <v>299</v>
      </c>
      <c r="E350" s="20">
        <f t="shared" si="5"/>
        <v>0.56952380952380954</v>
      </c>
      <c r="F350" s="31">
        <v>0</v>
      </c>
      <c r="G350" s="111">
        <v>0</v>
      </c>
      <c r="H350" s="111">
        <v>0</v>
      </c>
      <c r="I350" s="111">
        <v>0</v>
      </c>
      <c r="J350" s="111">
        <v>1</v>
      </c>
      <c r="K350" s="111">
        <v>0</v>
      </c>
      <c r="L350" s="111">
        <v>0</v>
      </c>
      <c r="M350" s="111">
        <v>135</v>
      </c>
      <c r="N350" s="111">
        <v>0</v>
      </c>
      <c r="O350" s="111">
        <v>0</v>
      </c>
      <c r="P350" s="35">
        <v>1</v>
      </c>
      <c r="Q350" s="35">
        <v>0</v>
      </c>
      <c r="R350" s="35">
        <v>158</v>
      </c>
      <c r="S350" s="32">
        <v>0</v>
      </c>
      <c r="T350" s="37">
        <v>134</v>
      </c>
      <c r="U350" s="38">
        <v>152</v>
      </c>
      <c r="V350" s="37">
        <v>157</v>
      </c>
      <c r="W350" s="32">
        <v>134</v>
      </c>
      <c r="X350" s="31">
        <v>140</v>
      </c>
      <c r="Y350" s="32">
        <v>144</v>
      </c>
      <c r="Z350" s="111">
        <v>137</v>
      </c>
      <c r="AA350" s="35">
        <v>0</v>
      </c>
      <c r="AB350" s="35">
        <v>16</v>
      </c>
      <c r="AC350" s="35">
        <v>139</v>
      </c>
      <c r="AD350" s="35">
        <v>0</v>
      </c>
      <c r="AE350" s="33">
        <v>0</v>
      </c>
      <c r="AF350" s="116">
        <v>0</v>
      </c>
      <c r="AG350" s="120">
        <v>145</v>
      </c>
      <c r="AH350" s="38">
        <v>137</v>
      </c>
      <c r="AI350" s="37"/>
      <c r="AJ350" s="36"/>
      <c r="AK350" s="37"/>
      <c r="AL350" s="38"/>
      <c r="AM350" s="37"/>
      <c r="AN350" s="116"/>
      <c r="AO350" s="120">
        <v>142</v>
      </c>
      <c r="AP350" s="38">
        <v>137</v>
      </c>
      <c r="AQ350" s="37"/>
      <c r="AR350" s="116"/>
      <c r="AS350" s="120"/>
      <c r="AT350" s="38"/>
      <c r="AU350" s="37"/>
      <c r="AV350" s="120"/>
      <c r="AW350" s="120"/>
      <c r="AX350" s="37"/>
      <c r="AY350" s="38"/>
      <c r="AZ350" s="37"/>
      <c r="BA350" s="116"/>
      <c r="BB350" s="31">
        <v>147</v>
      </c>
      <c r="BC350" s="32">
        <v>133</v>
      </c>
      <c r="BD350" s="31">
        <v>147</v>
      </c>
      <c r="BE350" s="116">
        <v>131</v>
      </c>
      <c r="BF350" s="120">
        <v>136</v>
      </c>
      <c r="BG350" s="38">
        <v>139</v>
      </c>
      <c r="BH350" s="37">
        <v>150</v>
      </c>
      <c r="BI350" s="38">
        <v>129</v>
      </c>
      <c r="BJ350" s="111">
        <v>25</v>
      </c>
      <c r="BK350" s="33">
        <v>123</v>
      </c>
      <c r="BL350" s="115">
        <v>137</v>
      </c>
      <c r="BM350" s="111">
        <v>132</v>
      </c>
      <c r="BN350" s="35">
        <v>136</v>
      </c>
      <c r="BO350" s="32">
        <v>12</v>
      </c>
      <c r="BP350" s="31">
        <v>138</v>
      </c>
      <c r="BQ350" s="32">
        <v>143</v>
      </c>
      <c r="BR350" s="31">
        <v>137</v>
      </c>
      <c r="BS350" s="32">
        <v>145</v>
      </c>
      <c r="BT350" s="31">
        <v>134</v>
      </c>
      <c r="BU350" s="33">
        <v>22</v>
      </c>
      <c r="BV350" s="115">
        <v>125</v>
      </c>
      <c r="BW350" s="111">
        <v>141</v>
      </c>
      <c r="BX350" s="32">
        <v>145</v>
      </c>
      <c r="BY350" s="31">
        <v>133</v>
      </c>
      <c r="BZ350" s="32">
        <v>142</v>
      </c>
      <c r="CA350" s="111">
        <v>137</v>
      </c>
      <c r="CB350" s="32">
        <v>143</v>
      </c>
      <c r="CC350" s="33">
        <v>199</v>
      </c>
      <c r="CD350" s="34">
        <v>219</v>
      </c>
      <c r="CE350" s="120">
        <v>137</v>
      </c>
      <c r="CF350" s="42">
        <v>110</v>
      </c>
      <c r="CG350" s="31">
        <v>83</v>
      </c>
      <c r="CH350" s="35">
        <v>51</v>
      </c>
      <c r="CI350" s="35">
        <v>61</v>
      </c>
      <c r="CJ350" s="35">
        <v>73</v>
      </c>
      <c r="CK350" s="32">
        <v>123</v>
      </c>
    </row>
    <row r="351" spans="1:89" ht="13" x14ac:dyDescent="0.25">
      <c r="A351" s="27">
        <v>5901</v>
      </c>
      <c r="B351" s="28" t="s">
        <v>374</v>
      </c>
      <c r="C351" s="29">
        <v>1178</v>
      </c>
      <c r="D351" s="30">
        <v>1001</v>
      </c>
      <c r="E351" s="20">
        <f t="shared" si="5"/>
        <v>0.84974533106960948</v>
      </c>
      <c r="F351" s="31">
        <v>0</v>
      </c>
      <c r="G351" s="111">
        <v>0</v>
      </c>
      <c r="H351" s="111">
        <v>0</v>
      </c>
      <c r="I351" s="111">
        <v>0</v>
      </c>
      <c r="J351" s="111">
        <v>1</v>
      </c>
      <c r="K351" s="111">
        <v>0</v>
      </c>
      <c r="L351" s="111">
        <v>0</v>
      </c>
      <c r="M351" s="111">
        <v>251</v>
      </c>
      <c r="N351" s="111">
        <v>0</v>
      </c>
      <c r="O351" s="111">
        <v>0</v>
      </c>
      <c r="P351" s="35">
        <v>1</v>
      </c>
      <c r="Q351" s="35">
        <v>1</v>
      </c>
      <c r="R351" s="35">
        <v>738</v>
      </c>
      <c r="S351" s="32">
        <v>0</v>
      </c>
      <c r="T351" s="37">
        <v>224</v>
      </c>
      <c r="U351" s="38">
        <v>748</v>
      </c>
      <c r="V351" s="37">
        <v>765</v>
      </c>
      <c r="W351" s="32">
        <v>212</v>
      </c>
      <c r="X351" s="31">
        <v>225</v>
      </c>
      <c r="Y351" s="32">
        <v>744</v>
      </c>
      <c r="Z351" s="111">
        <v>255</v>
      </c>
      <c r="AA351" s="35">
        <v>0</v>
      </c>
      <c r="AB351" s="35">
        <v>20</v>
      </c>
      <c r="AC351" s="35">
        <v>714</v>
      </c>
      <c r="AD351" s="35">
        <v>0</v>
      </c>
      <c r="AE351" s="33">
        <v>0</v>
      </c>
      <c r="AF351" s="116">
        <v>0</v>
      </c>
      <c r="AG351" s="120"/>
      <c r="AH351" s="38"/>
      <c r="AI351" s="37">
        <v>739</v>
      </c>
      <c r="AJ351" s="36">
        <v>220</v>
      </c>
      <c r="AK351" s="37">
        <v>748</v>
      </c>
      <c r="AL351" s="38">
        <v>213</v>
      </c>
      <c r="AM351" s="37"/>
      <c r="AN351" s="116"/>
      <c r="AO351" s="120"/>
      <c r="AP351" s="38"/>
      <c r="AQ351" s="37"/>
      <c r="AR351" s="116"/>
      <c r="AS351" s="120"/>
      <c r="AT351" s="38"/>
      <c r="AU351" s="37"/>
      <c r="AV351" s="120"/>
      <c r="AW351" s="120"/>
      <c r="AX351" s="37">
        <v>744</v>
      </c>
      <c r="AY351" s="38">
        <v>212</v>
      </c>
      <c r="AZ351" s="37"/>
      <c r="BA351" s="116"/>
      <c r="BB351" s="31">
        <v>739</v>
      </c>
      <c r="BC351" s="32">
        <v>211</v>
      </c>
      <c r="BD351" s="31">
        <v>723</v>
      </c>
      <c r="BE351" s="116">
        <v>219</v>
      </c>
      <c r="BF351" s="120">
        <v>217</v>
      </c>
      <c r="BG351" s="38">
        <v>721</v>
      </c>
      <c r="BH351" s="37">
        <v>759</v>
      </c>
      <c r="BI351" s="38">
        <v>191</v>
      </c>
      <c r="BJ351" s="111">
        <v>31</v>
      </c>
      <c r="BK351" s="33">
        <v>701</v>
      </c>
      <c r="BL351" s="115">
        <v>220</v>
      </c>
      <c r="BM351" s="111">
        <v>239</v>
      </c>
      <c r="BN351" s="35">
        <v>697</v>
      </c>
      <c r="BO351" s="32">
        <v>18</v>
      </c>
      <c r="BP351" s="31">
        <v>736</v>
      </c>
      <c r="BQ351" s="32">
        <v>221</v>
      </c>
      <c r="BR351" s="31">
        <v>195</v>
      </c>
      <c r="BS351" s="32">
        <v>771</v>
      </c>
      <c r="BT351" s="31">
        <v>706</v>
      </c>
      <c r="BU351" s="33">
        <v>28</v>
      </c>
      <c r="BV351" s="115">
        <v>209</v>
      </c>
      <c r="BW351" s="111">
        <v>239</v>
      </c>
      <c r="BX351" s="32">
        <v>729</v>
      </c>
      <c r="BY351" s="31">
        <v>217</v>
      </c>
      <c r="BZ351" s="32">
        <v>716</v>
      </c>
      <c r="CA351" s="111">
        <v>719</v>
      </c>
      <c r="CB351" s="32">
        <v>228</v>
      </c>
      <c r="CC351" s="33">
        <v>776</v>
      </c>
      <c r="CD351" s="34">
        <v>511</v>
      </c>
      <c r="CE351" s="120">
        <v>576</v>
      </c>
      <c r="CF351" s="38">
        <v>216</v>
      </c>
      <c r="CG351" s="31">
        <v>187</v>
      </c>
      <c r="CH351" s="35">
        <v>411</v>
      </c>
      <c r="CI351" s="35">
        <v>120</v>
      </c>
      <c r="CJ351" s="35">
        <v>152</v>
      </c>
      <c r="CK351" s="32">
        <v>664</v>
      </c>
    </row>
    <row r="352" spans="1:89" ht="13" x14ac:dyDescent="0.25">
      <c r="A352" s="27">
        <v>5902</v>
      </c>
      <c r="B352" s="28" t="s">
        <v>375</v>
      </c>
      <c r="C352" s="29">
        <v>1086</v>
      </c>
      <c r="D352" s="30">
        <v>747</v>
      </c>
      <c r="E352" s="20">
        <f t="shared" si="5"/>
        <v>0.68784530386740328</v>
      </c>
      <c r="F352" s="31">
        <v>0</v>
      </c>
      <c r="G352" s="111">
        <v>0</v>
      </c>
      <c r="H352" s="111">
        <v>0</v>
      </c>
      <c r="I352" s="111">
        <v>0</v>
      </c>
      <c r="J352" s="111">
        <v>0</v>
      </c>
      <c r="K352" s="111">
        <v>0</v>
      </c>
      <c r="L352" s="111">
        <v>0</v>
      </c>
      <c r="M352" s="111">
        <v>375</v>
      </c>
      <c r="N352" s="111">
        <v>0</v>
      </c>
      <c r="O352" s="111">
        <v>0</v>
      </c>
      <c r="P352" s="35">
        <v>3</v>
      </c>
      <c r="Q352" s="35">
        <v>2</v>
      </c>
      <c r="R352" s="35">
        <v>362</v>
      </c>
      <c r="S352" s="32">
        <v>0</v>
      </c>
      <c r="T352" s="37">
        <v>359</v>
      </c>
      <c r="U352" s="38">
        <v>358</v>
      </c>
      <c r="V352" s="37">
        <v>371</v>
      </c>
      <c r="W352" s="32">
        <v>353</v>
      </c>
      <c r="X352" s="31">
        <v>357</v>
      </c>
      <c r="Y352" s="32">
        <v>345</v>
      </c>
      <c r="Z352" s="111">
        <v>391</v>
      </c>
      <c r="AA352" s="35">
        <v>0</v>
      </c>
      <c r="AB352" s="35">
        <v>27</v>
      </c>
      <c r="AC352" s="35">
        <v>316</v>
      </c>
      <c r="AD352" s="35">
        <v>0</v>
      </c>
      <c r="AE352" s="33">
        <v>0</v>
      </c>
      <c r="AF352" s="116">
        <v>0</v>
      </c>
      <c r="AG352" s="120"/>
      <c r="AH352" s="38"/>
      <c r="AI352" s="37">
        <v>346</v>
      </c>
      <c r="AJ352" s="36">
        <v>362</v>
      </c>
      <c r="AK352" s="37">
        <v>361</v>
      </c>
      <c r="AL352" s="38">
        <v>354</v>
      </c>
      <c r="AM352" s="37"/>
      <c r="AN352" s="116"/>
      <c r="AO352" s="120"/>
      <c r="AP352" s="38"/>
      <c r="AQ352" s="37"/>
      <c r="AR352" s="116"/>
      <c r="AS352" s="120"/>
      <c r="AT352" s="38"/>
      <c r="AU352" s="37"/>
      <c r="AV352" s="120"/>
      <c r="AW352" s="120"/>
      <c r="AX352" s="37">
        <v>356</v>
      </c>
      <c r="AY352" s="38">
        <v>353</v>
      </c>
      <c r="AZ352" s="37"/>
      <c r="BA352" s="116"/>
      <c r="BB352" s="31">
        <v>356</v>
      </c>
      <c r="BC352" s="32">
        <v>344</v>
      </c>
      <c r="BD352" s="31">
        <v>340</v>
      </c>
      <c r="BE352" s="116">
        <v>354</v>
      </c>
      <c r="BF352" s="120">
        <v>358</v>
      </c>
      <c r="BG352" s="38">
        <v>330</v>
      </c>
      <c r="BH352" s="37">
        <v>354</v>
      </c>
      <c r="BI352" s="38">
        <v>348</v>
      </c>
      <c r="BJ352" s="111">
        <v>29</v>
      </c>
      <c r="BK352" s="33">
        <v>321</v>
      </c>
      <c r="BL352" s="115">
        <v>361</v>
      </c>
      <c r="BM352" s="111">
        <v>359</v>
      </c>
      <c r="BN352" s="35">
        <v>325</v>
      </c>
      <c r="BO352" s="32">
        <v>23</v>
      </c>
      <c r="BP352" s="31">
        <v>343</v>
      </c>
      <c r="BQ352" s="32">
        <v>356</v>
      </c>
      <c r="BR352" s="31">
        <v>330</v>
      </c>
      <c r="BS352" s="32">
        <v>379</v>
      </c>
      <c r="BT352" s="31">
        <v>338</v>
      </c>
      <c r="BU352" s="33">
        <v>31</v>
      </c>
      <c r="BV352" s="115">
        <v>335</v>
      </c>
      <c r="BW352" s="111">
        <v>366</v>
      </c>
      <c r="BX352" s="32">
        <v>356</v>
      </c>
      <c r="BY352" s="31">
        <v>352</v>
      </c>
      <c r="BZ352" s="32">
        <v>340</v>
      </c>
      <c r="CA352" s="111">
        <v>344</v>
      </c>
      <c r="CB352" s="32">
        <v>355</v>
      </c>
      <c r="CC352" s="33">
        <v>465</v>
      </c>
      <c r="CD352" s="34">
        <v>535</v>
      </c>
      <c r="CE352" s="120">
        <v>333</v>
      </c>
      <c r="CF352" s="38">
        <v>261</v>
      </c>
      <c r="CG352" s="31">
        <v>161</v>
      </c>
      <c r="CH352" s="35">
        <v>158</v>
      </c>
      <c r="CI352" s="35">
        <v>174</v>
      </c>
      <c r="CJ352" s="35">
        <v>208</v>
      </c>
      <c r="CK352" s="32">
        <v>341</v>
      </c>
    </row>
    <row r="353" spans="1:89" ht="13" x14ac:dyDescent="0.25">
      <c r="A353" s="27">
        <v>5903</v>
      </c>
      <c r="B353" s="28" t="s">
        <v>376</v>
      </c>
      <c r="C353" s="29">
        <v>1228</v>
      </c>
      <c r="D353" s="30">
        <v>791</v>
      </c>
      <c r="E353" s="20">
        <f t="shared" si="5"/>
        <v>0.64413680781758953</v>
      </c>
      <c r="F353" s="31">
        <v>0</v>
      </c>
      <c r="G353" s="111">
        <v>0</v>
      </c>
      <c r="H353" s="111">
        <v>0</v>
      </c>
      <c r="I353" s="111">
        <v>0</v>
      </c>
      <c r="J353" s="111">
        <v>1</v>
      </c>
      <c r="K353" s="111">
        <v>0</v>
      </c>
      <c r="L353" s="111">
        <v>0</v>
      </c>
      <c r="M353" s="111">
        <v>369</v>
      </c>
      <c r="N353" s="111">
        <v>0</v>
      </c>
      <c r="O353" s="111">
        <v>0</v>
      </c>
      <c r="P353" s="35">
        <v>7</v>
      </c>
      <c r="Q353" s="35">
        <v>1</v>
      </c>
      <c r="R353" s="35">
        <v>402</v>
      </c>
      <c r="S353" s="32">
        <v>0</v>
      </c>
      <c r="T353" s="37">
        <v>366</v>
      </c>
      <c r="U353" s="38">
        <v>386</v>
      </c>
      <c r="V353" s="37">
        <v>403</v>
      </c>
      <c r="W353" s="32">
        <v>357</v>
      </c>
      <c r="X353" s="31">
        <v>369</v>
      </c>
      <c r="Y353" s="32">
        <v>370</v>
      </c>
      <c r="Z353" s="111">
        <v>400</v>
      </c>
      <c r="AA353" s="35">
        <v>0</v>
      </c>
      <c r="AB353" s="35">
        <v>25</v>
      </c>
      <c r="AC353" s="35">
        <v>343</v>
      </c>
      <c r="AD353" s="35">
        <v>0</v>
      </c>
      <c r="AE353" s="33">
        <v>0</v>
      </c>
      <c r="AF353" s="116">
        <v>0</v>
      </c>
      <c r="AG353" s="120"/>
      <c r="AH353" s="38"/>
      <c r="AI353" s="37">
        <v>382</v>
      </c>
      <c r="AJ353" s="36">
        <v>363</v>
      </c>
      <c r="AK353" s="37">
        <v>396</v>
      </c>
      <c r="AL353" s="38">
        <v>365</v>
      </c>
      <c r="AM353" s="37"/>
      <c r="AN353" s="116"/>
      <c r="AO353" s="120"/>
      <c r="AP353" s="38"/>
      <c r="AQ353" s="37"/>
      <c r="AR353" s="116"/>
      <c r="AS353" s="120"/>
      <c r="AT353" s="38"/>
      <c r="AU353" s="37"/>
      <c r="AV353" s="120"/>
      <c r="AW353" s="120"/>
      <c r="AX353" s="37">
        <v>392</v>
      </c>
      <c r="AY353" s="38">
        <v>354</v>
      </c>
      <c r="AZ353" s="37"/>
      <c r="BA353" s="116"/>
      <c r="BB353" s="31">
        <v>388</v>
      </c>
      <c r="BC353" s="32">
        <v>351</v>
      </c>
      <c r="BD353" s="31">
        <v>379</v>
      </c>
      <c r="BE353" s="116">
        <v>359</v>
      </c>
      <c r="BF353" s="120">
        <v>363</v>
      </c>
      <c r="BG353" s="38">
        <v>368</v>
      </c>
      <c r="BH353" s="37">
        <v>398</v>
      </c>
      <c r="BI353" s="38">
        <v>340</v>
      </c>
      <c r="BJ353" s="111">
        <v>22</v>
      </c>
      <c r="BK353" s="33">
        <v>334</v>
      </c>
      <c r="BL353" s="115">
        <v>391</v>
      </c>
      <c r="BM353" s="111">
        <v>369</v>
      </c>
      <c r="BN353" s="35">
        <v>343</v>
      </c>
      <c r="BO353" s="32">
        <v>23</v>
      </c>
      <c r="BP353" s="31">
        <v>376</v>
      </c>
      <c r="BQ353" s="32">
        <v>354</v>
      </c>
      <c r="BR353" s="31">
        <v>330</v>
      </c>
      <c r="BS353" s="32">
        <v>416</v>
      </c>
      <c r="BT353" s="31">
        <v>359</v>
      </c>
      <c r="BU353" s="33">
        <v>27</v>
      </c>
      <c r="BV353" s="115">
        <v>353</v>
      </c>
      <c r="BW353" s="111">
        <v>373</v>
      </c>
      <c r="BX353" s="32">
        <v>387</v>
      </c>
      <c r="BY353" s="31">
        <v>366</v>
      </c>
      <c r="BZ353" s="32">
        <v>363</v>
      </c>
      <c r="CA353" s="111">
        <v>360</v>
      </c>
      <c r="CB353" s="32">
        <v>372</v>
      </c>
      <c r="CC353" s="33">
        <v>494</v>
      </c>
      <c r="CD353" s="34">
        <v>572</v>
      </c>
      <c r="CE353" s="120">
        <v>327</v>
      </c>
      <c r="CF353" s="38">
        <v>295</v>
      </c>
      <c r="CG353" s="31">
        <v>205</v>
      </c>
      <c r="CH353" s="35">
        <v>145</v>
      </c>
      <c r="CI353" s="35">
        <v>191</v>
      </c>
      <c r="CJ353" s="35">
        <v>202</v>
      </c>
      <c r="CK353" s="32">
        <v>375</v>
      </c>
    </row>
    <row r="354" spans="1:89" ht="13" x14ac:dyDescent="0.25">
      <c r="A354" s="27">
        <v>5904</v>
      </c>
      <c r="B354" s="28" t="s">
        <v>377</v>
      </c>
      <c r="C354" s="29">
        <v>1093</v>
      </c>
      <c r="D354" s="30">
        <v>643</v>
      </c>
      <c r="E354" s="20">
        <f t="shared" si="5"/>
        <v>0.58828911253430927</v>
      </c>
      <c r="F354" s="31">
        <v>0</v>
      </c>
      <c r="G354" s="111">
        <v>0</v>
      </c>
      <c r="H354" s="111">
        <v>0</v>
      </c>
      <c r="I354" s="111">
        <v>0</v>
      </c>
      <c r="J354" s="111">
        <v>0</v>
      </c>
      <c r="K354" s="111">
        <v>0</v>
      </c>
      <c r="L354" s="111">
        <v>0</v>
      </c>
      <c r="M354" s="111">
        <v>356</v>
      </c>
      <c r="N354" s="111">
        <v>0</v>
      </c>
      <c r="O354" s="111">
        <v>0</v>
      </c>
      <c r="P354" s="35">
        <v>5</v>
      </c>
      <c r="Q354" s="35">
        <v>1</v>
      </c>
      <c r="R354" s="35">
        <v>274</v>
      </c>
      <c r="S354" s="32">
        <v>0</v>
      </c>
      <c r="T354" s="37">
        <v>354</v>
      </c>
      <c r="U354" s="38">
        <v>271</v>
      </c>
      <c r="V354" s="37">
        <v>296</v>
      </c>
      <c r="W354" s="32">
        <v>334</v>
      </c>
      <c r="X354" s="31">
        <v>354</v>
      </c>
      <c r="Y354" s="32">
        <v>269</v>
      </c>
      <c r="Z354" s="111">
        <v>357</v>
      </c>
      <c r="AA354" s="35">
        <v>0</v>
      </c>
      <c r="AB354" s="35">
        <v>35</v>
      </c>
      <c r="AC354" s="35">
        <v>243</v>
      </c>
      <c r="AD354" s="35">
        <v>0</v>
      </c>
      <c r="AE354" s="33">
        <v>0</v>
      </c>
      <c r="AF354" s="116">
        <v>0</v>
      </c>
      <c r="AG354" s="120"/>
      <c r="AH354" s="38"/>
      <c r="AI354" s="37">
        <v>257</v>
      </c>
      <c r="AJ354" s="36">
        <v>356</v>
      </c>
      <c r="AK354" s="37">
        <v>268</v>
      </c>
      <c r="AL354" s="38">
        <v>354</v>
      </c>
      <c r="AM354" s="37"/>
      <c r="AN354" s="116"/>
      <c r="AO354" s="120"/>
      <c r="AP354" s="38"/>
      <c r="AQ354" s="37"/>
      <c r="AR354" s="116"/>
      <c r="AS354" s="120"/>
      <c r="AT354" s="38"/>
      <c r="AU354" s="37"/>
      <c r="AV354" s="120"/>
      <c r="AW354" s="120"/>
      <c r="AX354" s="37">
        <v>269</v>
      </c>
      <c r="AY354" s="38">
        <v>346</v>
      </c>
      <c r="AZ354" s="37"/>
      <c r="BA354" s="116"/>
      <c r="BB354" s="31">
        <v>272</v>
      </c>
      <c r="BC354" s="32">
        <v>336</v>
      </c>
      <c r="BD354" s="31">
        <v>259</v>
      </c>
      <c r="BE354" s="116">
        <v>349</v>
      </c>
      <c r="BF354" s="120">
        <v>351</v>
      </c>
      <c r="BG354" s="38">
        <v>255</v>
      </c>
      <c r="BH354" s="37">
        <v>273</v>
      </c>
      <c r="BI354" s="38">
        <v>340</v>
      </c>
      <c r="BJ354" s="111">
        <v>13</v>
      </c>
      <c r="BK354" s="33">
        <v>241</v>
      </c>
      <c r="BL354" s="115">
        <v>362</v>
      </c>
      <c r="BM354" s="111">
        <v>352</v>
      </c>
      <c r="BN354" s="35">
        <v>247</v>
      </c>
      <c r="BO354" s="32">
        <v>15</v>
      </c>
      <c r="BP354" s="31">
        <v>262</v>
      </c>
      <c r="BQ354" s="32">
        <v>346</v>
      </c>
      <c r="BR354" s="31">
        <v>330</v>
      </c>
      <c r="BS354" s="32">
        <v>286</v>
      </c>
      <c r="BT354" s="31">
        <v>247</v>
      </c>
      <c r="BU354" s="33">
        <v>24</v>
      </c>
      <c r="BV354" s="115">
        <v>339</v>
      </c>
      <c r="BW354" s="111">
        <v>349</v>
      </c>
      <c r="BX354" s="32">
        <v>270</v>
      </c>
      <c r="BY354" s="31">
        <v>358</v>
      </c>
      <c r="BZ354" s="32">
        <v>247</v>
      </c>
      <c r="CA354" s="111">
        <v>249</v>
      </c>
      <c r="CB354" s="32">
        <v>360</v>
      </c>
      <c r="CC354" s="33">
        <v>387</v>
      </c>
      <c r="CD354" s="34">
        <v>493</v>
      </c>
      <c r="CE354" s="120">
        <v>285</v>
      </c>
      <c r="CF354" s="38">
        <v>242</v>
      </c>
      <c r="CG354" s="31">
        <v>148</v>
      </c>
      <c r="CH354" s="35">
        <v>119</v>
      </c>
      <c r="CI354" s="35">
        <v>181</v>
      </c>
      <c r="CJ354" s="35">
        <v>208</v>
      </c>
      <c r="CK354" s="32">
        <v>226</v>
      </c>
    </row>
    <row r="355" spans="1:89" ht="13" x14ac:dyDescent="0.25">
      <c r="A355" s="27">
        <v>5905</v>
      </c>
      <c r="B355" s="28" t="s">
        <v>378</v>
      </c>
      <c r="C355" s="29">
        <v>1336</v>
      </c>
      <c r="D355" s="30">
        <v>1111</v>
      </c>
      <c r="E355" s="20">
        <f t="shared" si="5"/>
        <v>0.83158682634730541</v>
      </c>
      <c r="F355" s="31">
        <v>0</v>
      </c>
      <c r="G355" s="111">
        <v>0</v>
      </c>
      <c r="H355" s="111">
        <v>0</v>
      </c>
      <c r="I355" s="111">
        <v>0</v>
      </c>
      <c r="J355" s="111">
        <v>2</v>
      </c>
      <c r="K355" s="111">
        <v>0</v>
      </c>
      <c r="L355" s="111">
        <v>0</v>
      </c>
      <c r="M355" s="111">
        <v>358</v>
      </c>
      <c r="N355" s="111">
        <v>0</v>
      </c>
      <c r="O355" s="111">
        <v>0</v>
      </c>
      <c r="P355" s="35">
        <v>8</v>
      </c>
      <c r="Q355" s="35">
        <v>4</v>
      </c>
      <c r="R355" s="35">
        <v>725</v>
      </c>
      <c r="S355" s="32">
        <v>0</v>
      </c>
      <c r="T355" s="37">
        <v>313</v>
      </c>
      <c r="U355" s="38">
        <v>751</v>
      </c>
      <c r="V355" s="37">
        <v>763</v>
      </c>
      <c r="W355" s="32">
        <v>310</v>
      </c>
      <c r="X355" s="31">
        <v>311</v>
      </c>
      <c r="Y355" s="32">
        <v>738</v>
      </c>
      <c r="Z355" s="111">
        <v>368</v>
      </c>
      <c r="AA355" s="35">
        <v>0</v>
      </c>
      <c r="AB355" s="35">
        <v>31</v>
      </c>
      <c r="AC355" s="35">
        <v>686</v>
      </c>
      <c r="AD355" s="35">
        <v>0</v>
      </c>
      <c r="AE355" s="33">
        <v>0</v>
      </c>
      <c r="AF355" s="116">
        <v>0</v>
      </c>
      <c r="AG355" s="120"/>
      <c r="AH355" s="38"/>
      <c r="AI355" s="37">
        <v>718</v>
      </c>
      <c r="AJ355" s="36">
        <v>317</v>
      </c>
      <c r="AK355" s="37">
        <v>744</v>
      </c>
      <c r="AL355" s="38">
        <v>304</v>
      </c>
      <c r="AM355" s="37"/>
      <c r="AN355" s="116"/>
      <c r="AO355" s="120"/>
      <c r="AP355" s="38"/>
      <c r="AQ355" s="37"/>
      <c r="AR355" s="116"/>
      <c r="AS355" s="120"/>
      <c r="AT355" s="38"/>
      <c r="AU355" s="37"/>
      <c r="AV355" s="120"/>
      <c r="AW355" s="120"/>
      <c r="AX355" s="37">
        <v>741</v>
      </c>
      <c r="AY355" s="38">
        <v>303</v>
      </c>
      <c r="AZ355" s="37"/>
      <c r="BA355" s="116"/>
      <c r="BB355" s="31">
        <v>717</v>
      </c>
      <c r="BC355" s="32">
        <v>310</v>
      </c>
      <c r="BD355" s="31">
        <v>712</v>
      </c>
      <c r="BE355" s="116">
        <v>310</v>
      </c>
      <c r="BF355" s="120">
        <v>317</v>
      </c>
      <c r="BG355" s="38">
        <v>705</v>
      </c>
      <c r="BH355" s="37">
        <v>750</v>
      </c>
      <c r="BI355" s="38">
        <v>282</v>
      </c>
      <c r="BJ355" s="111">
        <v>33</v>
      </c>
      <c r="BK355" s="33">
        <v>677</v>
      </c>
      <c r="BL355" s="115">
        <v>332</v>
      </c>
      <c r="BM355" s="111">
        <v>349</v>
      </c>
      <c r="BN355" s="35">
        <v>666</v>
      </c>
      <c r="BO355" s="32">
        <v>22</v>
      </c>
      <c r="BP355" s="31">
        <v>725</v>
      </c>
      <c r="BQ355" s="32">
        <v>303</v>
      </c>
      <c r="BR355" s="31">
        <v>273</v>
      </c>
      <c r="BS355" s="32">
        <v>773</v>
      </c>
      <c r="BT355" s="31">
        <v>691</v>
      </c>
      <c r="BU355" s="33">
        <v>34</v>
      </c>
      <c r="BV355" s="115">
        <v>296</v>
      </c>
      <c r="BW355" s="111">
        <v>331</v>
      </c>
      <c r="BX355" s="32">
        <v>726</v>
      </c>
      <c r="BY355" s="31">
        <v>323</v>
      </c>
      <c r="BZ355" s="32">
        <v>692</v>
      </c>
      <c r="CA355" s="111">
        <v>705</v>
      </c>
      <c r="CB355" s="32">
        <v>320</v>
      </c>
      <c r="CC355" s="33">
        <v>799</v>
      </c>
      <c r="CD355" s="34">
        <v>683</v>
      </c>
      <c r="CE355" s="120">
        <v>554</v>
      </c>
      <c r="CF355" s="38">
        <v>287</v>
      </c>
      <c r="CG355" s="31">
        <v>268</v>
      </c>
      <c r="CH355" s="35">
        <v>346</v>
      </c>
      <c r="CI355" s="35">
        <v>179</v>
      </c>
      <c r="CJ355" s="35">
        <v>194</v>
      </c>
      <c r="CK355" s="32">
        <v>651</v>
      </c>
    </row>
    <row r="356" spans="1:89" ht="13" x14ac:dyDescent="0.25">
      <c r="A356" s="27">
        <v>5906</v>
      </c>
      <c r="B356" s="28" t="s">
        <v>379</v>
      </c>
      <c r="C356" s="29">
        <v>1368</v>
      </c>
      <c r="D356" s="30">
        <v>1085</v>
      </c>
      <c r="E356" s="20">
        <f t="shared" si="5"/>
        <v>0.79312865497076024</v>
      </c>
      <c r="F356" s="31">
        <v>0</v>
      </c>
      <c r="G356" s="111">
        <v>0</v>
      </c>
      <c r="H356" s="111">
        <v>0</v>
      </c>
      <c r="I356" s="111">
        <v>1</v>
      </c>
      <c r="J356" s="111">
        <v>3</v>
      </c>
      <c r="K356" s="111">
        <v>0</v>
      </c>
      <c r="L356" s="111">
        <v>0</v>
      </c>
      <c r="M356" s="111">
        <v>299</v>
      </c>
      <c r="N356" s="111">
        <v>0</v>
      </c>
      <c r="O356" s="111">
        <v>0</v>
      </c>
      <c r="P356" s="35">
        <v>5</v>
      </c>
      <c r="Q356" s="35">
        <v>3</v>
      </c>
      <c r="R356" s="35">
        <v>760</v>
      </c>
      <c r="S356" s="32">
        <v>0</v>
      </c>
      <c r="T356" s="37">
        <v>263</v>
      </c>
      <c r="U356" s="38">
        <v>792</v>
      </c>
      <c r="V356" s="37">
        <v>794</v>
      </c>
      <c r="W356" s="32">
        <v>266</v>
      </c>
      <c r="X356" s="31">
        <v>281</v>
      </c>
      <c r="Y356" s="32">
        <v>764</v>
      </c>
      <c r="Z356" s="111">
        <v>316</v>
      </c>
      <c r="AA356" s="35">
        <v>0</v>
      </c>
      <c r="AB356" s="35">
        <v>32</v>
      </c>
      <c r="AC356" s="35">
        <v>718</v>
      </c>
      <c r="AD356" s="35">
        <v>0</v>
      </c>
      <c r="AE356" s="33">
        <v>0</v>
      </c>
      <c r="AF356" s="116">
        <v>0</v>
      </c>
      <c r="AG356" s="120"/>
      <c r="AH356" s="38"/>
      <c r="AI356" s="37">
        <v>770</v>
      </c>
      <c r="AJ356" s="36">
        <v>273</v>
      </c>
      <c r="AK356" s="37">
        <v>784</v>
      </c>
      <c r="AL356" s="38">
        <v>264</v>
      </c>
      <c r="AM356" s="37"/>
      <c r="AN356" s="116"/>
      <c r="AO356" s="120"/>
      <c r="AP356" s="38"/>
      <c r="AQ356" s="37"/>
      <c r="AR356" s="116"/>
      <c r="AS356" s="120"/>
      <c r="AT356" s="38"/>
      <c r="AU356" s="37"/>
      <c r="AV356" s="120"/>
      <c r="AW356" s="120"/>
      <c r="AX356" s="37">
        <v>787</v>
      </c>
      <c r="AY356" s="38">
        <v>251</v>
      </c>
      <c r="AZ356" s="37"/>
      <c r="BA356" s="116"/>
      <c r="BB356" s="31">
        <v>780</v>
      </c>
      <c r="BC356" s="32">
        <v>254</v>
      </c>
      <c r="BD356" s="31">
        <v>763</v>
      </c>
      <c r="BE356" s="116">
        <v>261</v>
      </c>
      <c r="BF356" s="120">
        <v>265</v>
      </c>
      <c r="BG356" s="38">
        <v>752</v>
      </c>
      <c r="BH356" s="37">
        <v>807</v>
      </c>
      <c r="BI356" s="38">
        <v>230</v>
      </c>
      <c r="BJ356" s="111">
        <v>44</v>
      </c>
      <c r="BK356" s="33">
        <v>728</v>
      </c>
      <c r="BL356" s="115">
        <v>279</v>
      </c>
      <c r="BM356" s="111">
        <v>314</v>
      </c>
      <c r="BN356" s="35">
        <v>699</v>
      </c>
      <c r="BO356" s="32">
        <v>29</v>
      </c>
      <c r="BP356" s="31">
        <v>777</v>
      </c>
      <c r="BQ356" s="32">
        <v>255</v>
      </c>
      <c r="BR356" s="31">
        <v>225</v>
      </c>
      <c r="BS356" s="32">
        <v>819</v>
      </c>
      <c r="BT356" s="31">
        <v>735</v>
      </c>
      <c r="BU356" s="33">
        <v>44</v>
      </c>
      <c r="BV356" s="115">
        <v>246</v>
      </c>
      <c r="BW356" s="111">
        <v>281</v>
      </c>
      <c r="BX356" s="32">
        <v>775</v>
      </c>
      <c r="BY356" s="31">
        <v>276</v>
      </c>
      <c r="BZ356" s="32">
        <v>742</v>
      </c>
      <c r="CA356" s="111">
        <v>754</v>
      </c>
      <c r="CB356" s="32">
        <v>277</v>
      </c>
      <c r="CC356" s="33">
        <v>834</v>
      </c>
      <c r="CD356" s="34">
        <v>660</v>
      </c>
      <c r="CE356" s="120">
        <v>629</v>
      </c>
      <c r="CF356" s="38">
        <v>259</v>
      </c>
      <c r="CG356" s="31">
        <v>215</v>
      </c>
      <c r="CH356" s="35">
        <v>443</v>
      </c>
      <c r="CI356" s="35">
        <v>133</v>
      </c>
      <c r="CJ356" s="35">
        <v>166</v>
      </c>
      <c r="CK356" s="32">
        <v>709</v>
      </c>
    </row>
    <row r="357" spans="1:89" ht="13" x14ac:dyDescent="0.25">
      <c r="A357" s="27">
        <v>5907</v>
      </c>
      <c r="B357" s="28" t="s">
        <v>380</v>
      </c>
      <c r="C357" s="29">
        <v>1199</v>
      </c>
      <c r="D357" s="30">
        <v>971</v>
      </c>
      <c r="E357" s="20">
        <f t="shared" si="5"/>
        <v>0.80984153461217678</v>
      </c>
      <c r="F357" s="31">
        <v>0</v>
      </c>
      <c r="G357" s="111">
        <v>0</v>
      </c>
      <c r="H357" s="111">
        <v>0</v>
      </c>
      <c r="I357" s="111">
        <v>0</v>
      </c>
      <c r="J357" s="111">
        <v>4</v>
      </c>
      <c r="K357" s="111">
        <v>0</v>
      </c>
      <c r="L357" s="111">
        <v>0</v>
      </c>
      <c r="M357" s="111">
        <v>297</v>
      </c>
      <c r="N357" s="111">
        <v>0</v>
      </c>
      <c r="O357" s="111">
        <v>0</v>
      </c>
      <c r="P357" s="35">
        <v>5</v>
      </c>
      <c r="Q357" s="35">
        <v>3</v>
      </c>
      <c r="R357" s="35">
        <v>643</v>
      </c>
      <c r="S357" s="32">
        <v>0</v>
      </c>
      <c r="T357" s="37">
        <v>260</v>
      </c>
      <c r="U357" s="38">
        <v>661</v>
      </c>
      <c r="V357" s="37">
        <v>688</v>
      </c>
      <c r="W357" s="32">
        <v>242</v>
      </c>
      <c r="X357" s="31">
        <v>265</v>
      </c>
      <c r="Y357" s="32">
        <v>638</v>
      </c>
      <c r="Z357" s="111">
        <v>307</v>
      </c>
      <c r="AA357" s="35">
        <v>0</v>
      </c>
      <c r="AB357" s="35">
        <v>31</v>
      </c>
      <c r="AC357" s="35">
        <v>609</v>
      </c>
      <c r="AD357" s="35">
        <v>0</v>
      </c>
      <c r="AE357" s="33">
        <v>0</v>
      </c>
      <c r="AF357" s="116">
        <v>0</v>
      </c>
      <c r="AG357" s="120"/>
      <c r="AH357" s="38"/>
      <c r="AI357" s="37">
        <v>640</v>
      </c>
      <c r="AJ357" s="36">
        <v>263</v>
      </c>
      <c r="AK357" s="37">
        <v>666</v>
      </c>
      <c r="AL357" s="38">
        <v>256</v>
      </c>
      <c r="AM357" s="37"/>
      <c r="AN357" s="116"/>
      <c r="AO357" s="120"/>
      <c r="AP357" s="38"/>
      <c r="AQ357" s="37"/>
      <c r="AR357" s="116"/>
      <c r="AS357" s="120"/>
      <c r="AT357" s="38"/>
      <c r="AU357" s="37"/>
      <c r="AV357" s="120"/>
      <c r="AW357" s="120"/>
      <c r="AX357" s="37">
        <v>659</v>
      </c>
      <c r="AY357" s="38">
        <v>257</v>
      </c>
      <c r="AZ357" s="37"/>
      <c r="BA357" s="116"/>
      <c r="BB357" s="31">
        <v>656</v>
      </c>
      <c r="BC357" s="32">
        <v>242</v>
      </c>
      <c r="BD357" s="31">
        <v>643</v>
      </c>
      <c r="BE357" s="116">
        <v>257</v>
      </c>
      <c r="BF357" s="120">
        <v>253</v>
      </c>
      <c r="BG357" s="38">
        <v>648</v>
      </c>
      <c r="BH357" s="37">
        <v>684</v>
      </c>
      <c r="BI357" s="38">
        <v>227</v>
      </c>
      <c r="BJ357" s="111">
        <v>45</v>
      </c>
      <c r="BK357" s="33">
        <v>597</v>
      </c>
      <c r="BL357" s="115">
        <v>270</v>
      </c>
      <c r="BM357" s="111">
        <v>289</v>
      </c>
      <c r="BN357" s="35">
        <v>598</v>
      </c>
      <c r="BO357" s="32">
        <v>28</v>
      </c>
      <c r="BP357" s="31">
        <v>657</v>
      </c>
      <c r="BQ357" s="32">
        <v>251</v>
      </c>
      <c r="BR357" s="31">
        <v>220</v>
      </c>
      <c r="BS357" s="32">
        <v>695</v>
      </c>
      <c r="BT357" s="31">
        <v>621</v>
      </c>
      <c r="BU357" s="33">
        <v>35</v>
      </c>
      <c r="BV357" s="115">
        <v>242</v>
      </c>
      <c r="BW357" s="111">
        <v>274</v>
      </c>
      <c r="BX357" s="32">
        <v>647</v>
      </c>
      <c r="BY357" s="31">
        <v>268</v>
      </c>
      <c r="BZ357" s="32">
        <v>619</v>
      </c>
      <c r="CA357" s="111">
        <v>628</v>
      </c>
      <c r="CB357" s="32">
        <v>266</v>
      </c>
      <c r="CC357" s="33">
        <v>732</v>
      </c>
      <c r="CD357" s="34">
        <v>574</v>
      </c>
      <c r="CE357" s="120">
        <v>513</v>
      </c>
      <c r="CF357" s="38">
        <v>231</v>
      </c>
      <c r="CG357" s="31">
        <v>208</v>
      </c>
      <c r="CH357" s="35">
        <v>330</v>
      </c>
      <c r="CI357" s="35">
        <v>125</v>
      </c>
      <c r="CJ357" s="35">
        <v>151</v>
      </c>
      <c r="CK357" s="32">
        <v>608</v>
      </c>
    </row>
    <row r="358" spans="1:89" ht="13" x14ac:dyDescent="0.25">
      <c r="A358" s="27">
        <v>5908</v>
      </c>
      <c r="B358" s="28" t="s">
        <v>381</v>
      </c>
      <c r="C358" s="29">
        <v>1487</v>
      </c>
      <c r="D358" s="30">
        <v>1181</v>
      </c>
      <c r="E358" s="20">
        <f t="shared" si="5"/>
        <v>0.79421654337592473</v>
      </c>
      <c r="F358" s="31">
        <v>0</v>
      </c>
      <c r="G358" s="111">
        <v>0</v>
      </c>
      <c r="H358" s="111">
        <v>0</v>
      </c>
      <c r="I358" s="111">
        <v>0</v>
      </c>
      <c r="J358" s="111">
        <v>3</v>
      </c>
      <c r="K358" s="111">
        <v>0</v>
      </c>
      <c r="L358" s="111">
        <v>0</v>
      </c>
      <c r="M358" s="111">
        <v>549</v>
      </c>
      <c r="N358" s="111">
        <v>0</v>
      </c>
      <c r="O358" s="111">
        <v>0</v>
      </c>
      <c r="P358" s="35">
        <v>3</v>
      </c>
      <c r="Q358" s="35">
        <v>2</v>
      </c>
      <c r="R358" s="35">
        <v>614</v>
      </c>
      <c r="S358" s="32">
        <v>0</v>
      </c>
      <c r="T358" s="37">
        <v>519</v>
      </c>
      <c r="U358" s="38">
        <v>623</v>
      </c>
      <c r="V358" s="37">
        <v>657</v>
      </c>
      <c r="W358" s="32">
        <v>496</v>
      </c>
      <c r="X358" s="31">
        <v>531</v>
      </c>
      <c r="Y358" s="32">
        <v>594</v>
      </c>
      <c r="Z358" s="111">
        <v>553</v>
      </c>
      <c r="AA358" s="35">
        <v>0</v>
      </c>
      <c r="AB358" s="35">
        <v>38</v>
      </c>
      <c r="AC358" s="35">
        <v>568</v>
      </c>
      <c r="AD358" s="35">
        <v>0</v>
      </c>
      <c r="AE358" s="33">
        <v>0</v>
      </c>
      <c r="AF358" s="116">
        <v>0</v>
      </c>
      <c r="AG358" s="120"/>
      <c r="AH358" s="38"/>
      <c r="AI358" s="37">
        <v>605</v>
      </c>
      <c r="AJ358" s="36">
        <v>513</v>
      </c>
      <c r="AK358" s="37">
        <v>621</v>
      </c>
      <c r="AL358" s="38">
        <v>505</v>
      </c>
      <c r="AM358" s="37"/>
      <c r="AN358" s="116"/>
      <c r="AO358" s="120"/>
      <c r="AP358" s="38"/>
      <c r="AQ358" s="37"/>
      <c r="AR358" s="116"/>
      <c r="AS358" s="120"/>
      <c r="AT358" s="38"/>
      <c r="AU358" s="37"/>
      <c r="AV358" s="120"/>
      <c r="AW358" s="120"/>
      <c r="AX358" s="37">
        <v>622</v>
      </c>
      <c r="AY358" s="38">
        <v>503</v>
      </c>
      <c r="AZ358" s="37"/>
      <c r="BA358" s="116"/>
      <c r="BB358" s="31">
        <v>604</v>
      </c>
      <c r="BC358" s="32">
        <v>499</v>
      </c>
      <c r="BD358" s="31">
        <v>591</v>
      </c>
      <c r="BE358" s="116">
        <v>503</v>
      </c>
      <c r="BF358" s="120">
        <v>491</v>
      </c>
      <c r="BG358" s="38">
        <v>598</v>
      </c>
      <c r="BH358" s="37">
        <v>626</v>
      </c>
      <c r="BI358" s="38">
        <v>476</v>
      </c>
      <c r="BJ358" s="111">
        <v>31</v>
      </c>
      <c r="BK358" s="33">
        <v>576</v>
      </c>
      <c r="BL358" s="115">
        <v>507</v>
      </c>
      <c r="BM358" s="111">
        <v>521</v>
      </c>
      <c r="BN358" s="35">
        <v>570</v>
      </c>
      <c r="BO358" s="32">
        <v>25</v>
      </c>
      <c r="BP358" s="31">
        <v>602</v>
      </c>
      <c r="BQ358" s="32">
        <v>503</v>
      </c>
      <c r="BR358" s="31">
        <v>473</v>
      </c>
      <c r="BS358" s="32">
        <v>657</v>
      </c>
      <c r="BT358" s="31">
        <v>568</v>
      </c>
      <c r="BU358" s="33">
        <v>49</v>
      </c>
      <c r="BV358" s="115">
        <v>475</v>
      </c>
      <c r="BW358" s="111">
        <v>509</v>
      </c>
      <c r="BX358" s="32">
        <v>627</v>
      </c>
      <c r="BY358" s="31">
        <v>515</v>
      </c>
      <c r="BZ358" s="32">
        <v>567</v>
      </c>
      <c r="CA358" s="111">
        <v>628</v>
      </c>
      <c r="CB358" s="32">
        <v>489</v>
      </c>
      <c r="CC358" s="33">
        <v>777</v>
      </c>
      <c r="CD358" s="34">
        <v>808</v>
      </c>
      <c r="CE358" s="120">
        <v>521</v>
      </c>
      <c r="CF358" s="38">
        <v>405</v>
      </c>
      <c r="CG358" s="31">
        <v>248</v>
      </c>
      <c r="CH358" s="35">
        <v>312</v>
      </c>
      <c r="CI358" s="35">
        <v>268</v>
      </c>
      <c r="CJ358" s="35">
        <v>313</v>
      </c>
      <c r="CK358" s="32">
        <v>570</v>
      </c>
    </row>
    <row r="359" spans="1:89" ht="13" x14ac:dyDescent="0.25">
      <c r="A359" s="27">
        <v>5909</v>
      </c>
      <c r="B359" s="28" t="s">
        <v>382</v>
      </c>
      <c r="C359" s="29">
        <v>824</v>
      </c>
      <c r="D359" s="30">
        <v>690</v>
      </c>
      <c r="E359" s="20">
        <f t="shared" si="5"/>
        <v>0.83737864077669899</v>
      </c>
      <c r="F359" s="31">
        <v>0</v>
      </c>
      <c r="G359" s="111">
        <v>0</v>
      </c>
      <c r="H359" s="111">
        <v>0</v>
      </c>
      <c r="I359" s="111">
        <v>0</v>
      </c>
      <c r="J359" s="111">
        <v>2</v>
      </c>
      <c r="K359" s="111">
        <v>0</v>
      </c>
      <c r="L359" s="111">
        <v>0</v>
      </c>
      <c r="M359" s="111">
        <v>175</v>
      </c>
      <c r="N359" s="111">
        <v>0</v>
      </c>
      <c r="O359" s="111">
        <v>0</v>
      </c>
      <c r="P359" s="35">
        <v>2</v>
      </c>
      <c r="Q359" s="35">
        <v>0</v>
      </c>
      <c r="R359" s="35">
        <v>499</v>
      </c>
      <c r="S359" s="32">
        <v>0</v>
      </c>
      <c r="T359" s="37">
        <v>157</v>
      </c>
      <c r="U359" s="38">
        <v>505</v>
      </c>
      <c r="V359" s="37">
        <v>522</v>
      </c>
      <c r="W359" s="32">
        <v>142</v>
      </c>
      <c r="X359" s="31">
        <v>152</v>
      </c>
      <c r="Y359" s="32">
        <v>501</v>
      </c>
      <c r="Z359" s="111">
        <v>191</v>
      </c>
      <c r="AA359" s="35">
        <v>0</v>
      </c>
      <c r="AB359" s="35">
        <v>22</v>
      </c>
      <c r="AC359" s="35">
        <v>465</v>
      </c>
      <c r="AD359" s="35">
        <v>0</v>
      </c>
      <c r="AE359" s="33">
        <v>0</v>
      </c>
      <c r="AF359" s="116">
        <v>0</v>
      </c>
      <c r="AG359" s="120"/>
      <c r="AH359" s="38"/>
      <c r="AI359" s="37">
        <v>507</v>
      </c>
      <c r="AJ359" s="36">
        <v>150</v>
      </c>
      <c r="AK359" s="37">
        <v>510</v>
      </c>
      <c r="AL359" s="38">
        <v>147</v>
      </c>
      <c r="AM359" s="37"/>
      <c r="AN359" s="116"/>
      <c r="AO359" s="120"/>
      <c r="AP359" s="38"/>
      <c r="AQ359" s="37"/>
      <c r="AR359" s="116"/>
      <c r="AS359" s="120"/>
      <c r="AT359" s="38"/>
      <c r="AU359" s="37"/>
      <c r="AV359" s="120"/>
      <c r="AW359" s="120"/>
      <c r="AX359" s="37">
        <v>506</v>
      </c>
      <c r="AY359" s="38">
        <v>151</v>
      </c>
      <c r="AZ359" s="37"/>
      <c r="BA359" s="116"/>
      <c r="BB359" s="31">
        <v>507</v>
      </c>
      <c r="BC359" s="32">
        <v>136</v>
      </c>
      <c r="BD359" s="31">
        <v>492</v>
      </c>
      <c r="BE359" s="116">
        <v>144</v>
      </c>
      <c r="BF359" s="120">
        <v>148</v>
      </c>
      <c r="BG359" s="38">
        <v>488</v>
      </c>
      <c r="BH359" s="37">
        <v>517</v>
      </c>
      <c r="BI359" s="38">
        <v>134</v>
      </c>
      <c r="BJ359" s="111">
        <v>33</v>
      </c>
      <c r="BK359" s="33">
        <v>456</v>
      </c>
      <c r="BL359" s="115">
        <v>164</v>
      </c>
      <c r="BM359" s="111">
        <v>165</v>
      </c>
      <c r="BN359" s="35">
        <v>467</v>
      </c>
      <c r="BO359" s="32">
        <v>19</v>
      </c>
      <c r="BP359" s="31">
        <v>502</v>
      </c>
      <c r="BQ359" s="32">
        <v>148</v>
      </c>
      <c r="BR359" s="31">
        <v>130</v>
      </c>
      <c r="BS359" s="32">
        <v>528</v>
      </c>
      <c r="BT359" s="31">
        <v>475</v>
      </c>
      <c r="BU359" s="33">
        <v>28</v>
      </c>
      <c r="BV359" s="115">
        <v>136</v>
      </c>
      <c r="BW359" s="111">
        <v>168</v>
      </c>
      <c r="BX359" s="32">
        <v>492</v>
      </c>
      <c r="BY359" s="31">
        <v>157</v>
      </c>
      <c r="BZ359" s="32">
        <v>482</v>
      </c>
      <c r="CA359" s="111">
        <v>490</v>
      </c>
      <c r="CB359" s="32">
        <v>155</v>
      </c>
      <c r="CC359" s="33">
        <v>523</v>
      </c>
      <c r="CD359" s="34">
        <v>406</v>
      </c>
      <c r="CE359" s="120">
        <v>367</v>
      </c>
      <c r="CF359" s="38">
        <v>161</v>
      </c>
      <c r="CG359" s="31">
        <v>142</v>
      </c>
      <c r="CH359" s="35">
        <v>238</v>
      </c>
      <c r="CI359" s="35">
        <v>86</v>
      </c>
      <c r="CJ359" s="35">
        <v>105</v>
      </c>
      <c r="CK359" s="32">
        <v>417</v>
      </c>
    </row>
    <row r="360" spans="1:89" ht="13" x14ac:dyDescent="0.25">
      <c r="A360" s="27">
        <v>5910</v>
      </c>
      <c r="B360" s="28" t="s">
        <v>383</v>
      </c>
      <c r="C360" s="29">
        <v>1370</v>
      </c>
      <c r="D360" s="30">
        <v>898</v>
      </c>
      <c r="E360" s="20">
        <f t="shared" si="5"/>
        <v>0.65547445255474457</v>
      </c>
      <c r="F360" s="31">
        <v>0</v>
      </c>
      <c r="G360" s="111">
        <v>0</v>
      </c>
      <c r="H360" s="111">
        <v>0</v>
      </c>
      <c r="I360" s="111">
        <v>0</v>
      </c>
      <c r="J360" s="111">
        <v>0</v>
      </c>
      <c r="K360" s="111">
        <v>0</v>
      </c>
      <c r="L360" s="111">
        <v>0</v>
      </c>
      <c r="M360" s="111">
        <v>405</v>
      </c>
      <c r="N360" s="111">
        <v>0</v>
      </c>
      <c r="O360" s="111">
        <v>0</v>
      </c>
      <c r="P360" s="35">
        <v>6</v>
      </c>
      <c r="Q360" s="35">
        <v>2</v>
      </c>
      <c r="R360" s="35">
        <v>471</v>
      </c>
      <c r="S360" s="32">
        <v>0</v>
      </c>
      <c r="T360" s="37">
        <v>391</v>
      </c>
      <c r="U360" s="38">
        <v>461</v>
      </c>
      <c r="V360" s="37">
        <v>488</v>
      </c>
      <c r="W360" s="32">
        <v>368</v>
      </c>
      <c r="X360" s="31">
        <v>402</v>
      </c>
      <c r="Y360" s="32">
        <v>442</v>
      </c>
      <c r="Z360" s="111">
        <v>426</v>
      </c>
      <c r="AA360" s="35">
        <v>0</v>
      </c>
      <c r="AB360" s="35">
        <v>41</v>
      </c>
      <c r="AC360" s="35">
        <v>406</v>
      </c>
      <c r="AD360" s="35">
        <v>0</v>
      </c>
      <c r="AE360" s="33">
        <v>0</v>
      </c>
      <c r="AF360" s="116">
        <v>0</v>
      </c>
      <c r="AG360" s="120"/>
      <c r="AH360" s="38"/>
      <c r="AI360" s="37">
        <v>447</v>
      </c>
      <c r="AJ360" s="36">
        <v>407</v>
      </c>
      <c r="AK360" s="37">
        <v>466</v>
      </c>
      <c r="AL360" s="38">
        <v>397</v>
      </c>
      <c r="AM360" s="37"/>
      <c r="AN360" s="116"/>
      <c r="AO360" s="120"/>
      <c r="AP360" s="38"/>
      <c r="AQ360" s="37"/>
      <c r="AR360" s="116"/>
      <c r="AS360" s="120"/>
      <c r="AT360" s="38"/>
      <c r="AU360" s="37"/>
      <c r="AV360" s="120"/>
      <c r="AW360" s="120"/>
      <c r="AX360" s="37">
        <v>466</v>
      </c>
      <c r="AY360" s="38">
        <v>385</v>
      </c>
      <c r="AZ360" s="37"/>
      <c r="BA360" s="116"/>
      <c r="BB360" s="31">
        <v>448</v>
      </c>
      <c r="BC360" s="32">
        <v>404</v>
      </c>
      <c r="BD360" s="31">
        <v>438</v>
      </c>
      <c r="BE360" s="116">
        <v>403</v>
      </c>
      <c r="BF360" s="120">
        <v>395</v>
      </c>
      <c r="BG360" s="38">
        <v>440</v>
      </c>
      <c r="BH360" s="37">
        <v>473</v>
      </c>
      <c r="BI360" s="38">
        <v>372</v>
      </c>
      <c r="BJ360" s="111">
        <v>42</v>
      </c>
      <c r="BK360" s="33">
        <v>407</v>
      </c>
      <c r="BL360" s="115">
        <v>400</v>
      </c>
      <c r="BM360" s="111">
        <v>401</v>
      </c>
      <c r="BN360" s="35">
        <v>408</v>
      </c>
      <c r="BO360" s="32">
        <v>34</v>
      </c>
      <c r="BP360" s="31">
        <v>452</v>
      </c>
      <c r="BQ360" s="32">
        <v>394</v>
      </c>
      <c r="BR360" s="31">
        <v>368</v>
      </c>
      <c r="BS360" s="32">
        <v>494</v>
      </c>
      <c r="BT360" s="31">
        <v>425</v>
      </c>
      <c r="BU360" s="33">
        <v>37</v>
      </c>
      <c r="BV360" s="115">
        <v>378</v>
      </c>
      <c r="BW360" s="111">
        <v>403</v>
      </c>
      <c r="BX360" s="32">
        <v>456</v>
      </c>
      <c r="BY360" s="31">
        <v>392</v>
      </c>
      <c r="BZ360" s="32">
        <v>441</v>
      </c>
      <c r="CA360" s="111">
        <v>434</v>
      </c>
      <c r="CB360" s="32">
        <v>408</v>
      </c>
      <c r="CC360" s="33">
        <v>576</v>
      </c>
      <c r="CD360" s="34">
        <v>657</v>
      </c>
      <c r="CE360" s="120">
        <v>372</v>
      </c>
      <c r="CF360" s="38">
        <v>354</v>
      </c>
      <c r="CG360" s="31">
        <v>206</v>
      </c>
      <c r="CH360" s="35">
        <v>165</v>
      </c>
      <c r="CI360" s="35">
        <v>222</v>
      </c>
      <c r="CJ360" s="35">
        <v>253</v>
      </c>
      <c r="CK360" s="32">
        <v>438</v>
      </c>
    </row>
    <row r="361" spans="1:89" ht="13" x14ac:dyDescent="0.25">
      <c r="A361" s="27">
        <v>5911</v>
      </c>
      <c r="B361" s="28" t="s">
        <v>384</v>
      </c>
      <c r="C361" s="29">
        <v>856</v>
      </c>
      <c r="D361" s="30">
        <v>674</v>
      </c>
      <c r="E361" s="20">
        <f t="shared" si="5"/>
        <v>0.78738317757009346</v>
      </c>
      <c r="F361" s="31">
        <v>0</v>
      </c>
      <c r="G361" s="111">
        <v>0</v>
      </c>
      <c r="H361" s="111">
        <v>0</v>
      </c>
      <c r="I361" s="111">
        <v>0</v>
      </c>
      <c r="J361" s="111">
        <v>2</v>
      </c>
      <c r="K361" s="111">
        <v>0</v>
      </c>
      <c r="L361" s="111">
        <v>0</v>
      </c>
      <c r="M361" s="111">
        <v>296</v>
      </c>
      <c r="N361" s="111">
        <v>0</v>
      </c>
      <c r="O361" s="111">
        <v>0</v>
      </c>
      <c r="P361" s="35">
        <v>2</v>
      </c>
      <c r="Q361" s="35">
        <v>1</v>
      </c>
      <c r="R361" s="35">
        <v>363</v>
      </c>
      <c r="S361" s="32">
        <v>0</v>
      </c>
      <c r="T361" s="37">
        <v>283</v>
      </c>
      <c r="U361" s="38">
        <v>365</v>
      </c>
      <c r="V361" s="37">
        <v>382</v>
      </c>
      <c r="W361" s="32">
        <v>273</v>
      </c>
      <c r="X361" s="31">
        <v>283</v>
      </c>
      <c r="Y361" s="32">
        <v>354</v>
      </c>
      <c r="Z361" s="111">
        <v>304</v>
      </c>
      <c r="AA361" s="35">
        <v>0</v>
      </c>
      <c r="AB361" s="35">
        <v>26</v>
      </c>
      <c r="AC361" s="35">
        <v>326</v>
      </c>
      <c r="AD361" s="35">
        <v>0</v>
      </c>
      <c r="AE361" s="33">
        <v>0</v>
      </c>
      <c r="AF361" s="116">
        <v>0</v>
      </c>
      <c r="AG361" s="120"/>
      <c r="AH361" s="38"/>
      <c r="AI361" s="37">
        <v>357</v>
      </c>
      <c r="AJ361" s="36">
        <v>277</v>
      </c>
      <c r="AK361" s="37">
        <v>367</v>
      </c>
      <c r="AL361" s="38">
        <v>270</v>
      </c>
      <c r="AM361" s="37"/>
      <c r="AN361" s="116"/>
      <c r="AO361" s="120"/>
      <c r="AP361" s="38"/>
      <c r="AQ361" s="37"/>
      <c r="AR361" s="116"/>
      <c r="AS361" s="120"/>
      <c r="AT361" s="38"/>
      <c r="AU361" s="37"/>
      <c r="AV361" s="120"/>
      <c r="AW361" s="120"/>
      <c r="AX361" s="37">
        <v>377</v>
      </c>
      <c r="AY361" s="38">
        <v>265</v>
      </c>
      <c r="AZ361" s="37"/>
      <c r="BA361" s="116"/>
      <c r="BB361" s="31">
        <v>373</v>
      </c>
      <c r="BC361" s="32">
        <v>261</v>
      </c>
      <c r="BD361" s="31">
        <v>353</v>
      </c>
      <c r="BE361" s="116">
        <v>280</v>
      </c>
      <c r="BF361" s="120">
        <v>275</v>
      </c>
      <c r="BG361" s="38">
        <v>354</v>
      </c>
      <c r="BH361" s="37">
        <v>385</v>
      </c>
      <c r="BI361" s="38">
        <v>252</v>
      </c>
      <c r="BJ361" s="111">
        <v>25</v>
      </c>
      <c r="BK361" s="33">
        <v>339</v>
      </c>
      <c r="BL361" s="115">
        <v>276</v>
      </c>
      <c r="BM361" s="111">
        <v>291</v>
      </c>
      <c r="BN361" s="35">
        <v>333</v>
      </c>
      <c r="BO361" s="32">
        <v>21</v>
      </c>
      <c r="BP361" s="31">
        <v>363</v>
      </c>
      <c r="BQ361" s="32">
        <v>271</v>
      </c>
      <c r="BR361" s="31">
        <v>245</v>
      </c>
      <c r="BS361" s="32">
        <v>399</v>
      </c>
      <c r="BT361" s="31">
        <v>342</v>
      </c>
      <c r="BU361" s="33">
        <v>33</v>
      </c>
      <c r="BV361" s="115">
        <v>251</v>
      </c>
      <c r="BW361" s="111">
        <v>269</v>
      </c>
      <c r="BX361" s="32">
        <v>370</v>
      </c>
      <c r="BY361" s="31">
        <v>280</v>
      </c>
      <c r="BZ361" s="32">
        <v>348</v>
      </c>
      <c r="CA361" s="111">
        <v>343</v>
      </c>
      <c r="CB361" s="32">
        <v>287</v>
      </c>
      <c r="CC361" s="33">
        <v>449</v>
      </c>
      <c r="CD361" s="34">
        <v>469</v>
      </c>
      <c r="CE361" s="120">
        <v>334</v>
      </c>
      <c r="CF361" s="38">
        <v>200</v>
      </c>
      <c r="CG361" s="31">
        <v>162</v>
      </c>
      <c r="CH361" s="35">
        <v>166</v>
      </c>
      <c r="CI361" s="35">
        <v>121</v>
      </c>
      <c r="CJ361" s="35">
        <v>159</v>
      </c>
      <c r="CK361" s="32">
        <v>343</v>
      </c>
    </row>
    <row r="362" spans="1:89" ht="13" x14ac:dyDescent="0.25">
      <c r="A362" s="27">
        <v>5912</v>
      </c>
      <c r="B362" s="28" t="s">
        <v>385</v>
      </c>
      <c r="C362" s="29">
        <v>1187</v>
      </c>
      <c r="D362" s="30">
        <v>1009</v>
      </c>
      <c r="E362" s="20">
        <f t="shared" si="5"/>
        <v>0.85004212299915749</v>
      </c>
      <c r="F362" s="31">
        <v>0</v>
      </c>
      <c r="G362" s="111">
        <v>0</v>
      </c>
      <c r="H362" s="111">
        <v>0</v>
      </c>
      <c r="I362" s="111">
        <v>0</v>
      </c>
      <c r="J362" s="111">
        <v>2</v>
      </c>
      <c r="K362" s="111">
        <v>0</v>
      </c>
      <c r="L362" s="111">
        <v>0</v>
      </c>
      <c r="M362" s="111">
        <v>263</v>
      </c>
      <c r="N362" s="111">
        <v>0</v>
      </c>
      <c r="O362" s="111">
        <v>0</v>
      </c>
      <c r="P362" s="35">
        <v>10</v>
      </c>
      <c r="Q362" s="35">
        <v>5</v>
      </c>
      <c r="R362" s="35">
        <v>719</v>
      </c>
      <c r="S362" s="32">
        <v>0</v>
      </c>
      <c r="T362" s="37">
        <v>237</v>
      </c>
      <c r="U362" s="38">
        <v>734</v>
      </c>
      <c r="V362" s="37">
        <v>754</v>
      </c>
      <c r="W362" s="32">
        <v>226</v>
      </c>
      <c r="X362" s="31">
        <v>240</v>
      </c>
      <c r="Y362" s="32">
        <v>718</v>
      </c>
      <c r="Z362" s="111">
        <v>283</v>
      </c>
      <c r="AA362" s="35">
        <v>0</v>
      </c>
      <c r="AB362" s="35">
        <v>27</v>
      </c>
      <c r="AC362" s="35">
        <v>686</v>
      </c>
      <c r="AD362" s="35">
        <v>0</v>
      </c>
      <c r="AE362" s="33">
        <v>0</v>
      </c>
      <c r="AF362" s="116">
        <v>0</v>
      </c>
      <c r="AG362" s="120"/>
      <c r="AH362" s="38"/>
      <c r="AI362" s="37">
        <v>714</v>
      </c>
      <c r="AJ362" s="36">
        <v>244</v>
      </c>
      <c r="AK362" s="37">
        <v>749</v>
      </c>
      <c r="AL362" s="38">
        <v>219</v>
      </c>
      <c r="AM362" s="37"/>
      <c r="AN362" s="116"/>
      <c r="AO362" s="120"/>
      <c r="AP362" s="38"/>
      <c r="AQ362" s="37"/>
      <c r="AR362" s="116"/>
      <c r="AS362" s="120"/>
      <c r="AT362" s="38"/>
      <c r="AU362" s="37"/>
      <c r="AV362" s="120"/>
      <c r="AW362" s="120"/>
      <c r="AX362" s="37">
        <v>748</v>
      </c>
      <c r="AY362" s="38">
        <v>218</v>
      </c>
      <c r="AZ362" s="37"/>
      <c r="BA362" s="116"/>
      <c r="BB362" s="31">
        <v>716</v>
      </c>
      <c r="BC362" s="32">
        <v>228</v>
      </c>
      <c r="BD362" s="31">
        <v>711</v>
      </c>
      <c r="BE362" s="116">
        <v>233</v>
      </c>
      <c r="BF362" s="120">
        <v>230</v>
      </c>
      <c r="BG362" s="38">
        <v>703</v>
      </c>
      <c r="BH362" s="37">
        <v>750</v>
      </c>
      <c r="BI362" s="38">
        <v>207</v>
      </c>
      <c r="BJ362" s="111">
        <v>33</v>
      </c>
      <c r="BK362" s="33">
        <v>688</v>
      </c>
      <c r="BL362" s="115">
        <v>245</v>
      </c>
      <c r="BM362" s="111">
        <v>261</v>
      </c>
      <c r="BN362" s="35">
        <v>677</v>
      </c>
      <c r="BO362" s="32">
        <v>18</v>
      </c>
      <c r="BP362" s="31">
        <v>729</v>
      </c>
      <c r="BQ362" s="32">
        <v>226</v>
      </c>
      <c r="BR362" s="31">
        <v>204</v>
      </c>
      <c r="BS362" s="32">
        <v>769</v>
      </c>
      <c r="BT362" s="31">
        <v>700</v>
      </c>
      <c r="BU362" s="33">
        <v>26</v>
      </c>
      <c r="BV362" s="115">
        <v>221</v>
      </c>
      <c r="BW362" s="111">
        <v>257</v>
      </c>
      <c r="BX362" s="32">
        <v>718</v>
      </c>
      <c r="BY362" s="31">
        <v>236</v>
      </c>
      <c r="BZ362" s="32">
        <v>704</v>
      </c>
      <c r="CA362" s="111">
        <v>701</v>
      </c>
      <c r="CB362" s="32">
        <v>250</v>
      </c>
      <c r="CC362" s="33">
        <v>779</v>
      </c>
      <c r="CD362" s="34">
        <v>570</v>
      </c>
      <c r="CE362" s="120">
        <v>580</v>
      </c>
      <c r="CF362" s="38">
        <v>244</v>
      </c>
      <c r="CG362" s="31">
        <v>221</v>
      </c>
      <c r="CH362" s="35">
        <v>382</v>
      </c>
      <c r="CI362" s="35">
        <v>126</v>
      </c>
      <c r="CJ362" s="35">
        <v>150</v>
      </c>
      <c r="CK362" s="32">
        <v>686</v>
      </c>
    </row>
    <row r="363" spans="1:89" ht="13" x14ac:dyDescent="0.25">
      <c r="A363" s="27">
        <v>5913</v>
      </c>
      <c r="B363" s="28" t="s">
        <v>386</v>
      </c>
      <c r="C363" s="29">
        <v>1051</v>
      </c>
      <c r="D363" s="30">
        <v>668</v>
      </c>
      <c r="E363" s="20">
        <f t="shared" si="5"/>
        <v>0.63558515699333973</v>
      </c>
      <c r="F363" s="31">
        <v>0</v>
      </c>
      <c r="G363" s="111">
        <v>0</v>
      </c>
      <c r="H363" s="111">
        <v>0</v>
      </c>
      <c r="I363" s="111">
        <v>1</v>
      </c>
      <c r="J363" s="111">
        <v>1</v>
      </c>
      <c r="K363" s="111">
        <v>0</v>
      </c>
      <c r="L363" s="111">
        <v>0</v>
      </c>
      <c r="M363" s="111">
        <v>319</v>
      </c>
      <c r="N363" s="111">
        <v>0</v>
      </c>
      <c r="O363" s="111">
        <v>0</v>
      </c>
      <c r="P363" s="35">
        <v>4</v>
      </c>
      <c r="Q363" s="35">
        <v>2</v>
      </c>
      <c r="R363" s="35">
        <v>334</v>
      </c>
      <c r="S363" s="32">
        <v>0</v>
      </c>
      <c r="T363" s="37">
        <v>323</v>
      </c>
      <c r="U363" s="38">
        <v>317</v>
      </c>
      <c r="V363" s="37">
        <v>343</v>
      </c>
      <c r="W363" s="32">
        <v>301</v>
      </c>
      <c r="X363" s="31">
        <v>320</v>
      </c>
      <c r="Y363" s="32">
        <v>314</v>
      </c>
      <c r="Z363" s="111">
        <v>325</v>
      </c>
      <c r="AA363" s="35">
        <v>0</v>
      </c>
      <c r="AB363" s="35">
        <v>33</v>
      </c>
      <c r="AC363" s="35">
        <v>294</v>
      </c>
      <c r="AD363" s="35">
        <v>0</v>
      </c>
      <c r="AE363" s="33">
        <v>0</v>
      </c>
      <c r="AF363" s="116">
        <v>0</v>
      </c>
      <c r="AG363" s="120"/>
      <c r="AH363" s="38"/>
      <c r="AI363" s="37">
        <v>305</v>
      </c>
      <c r="AJ363" s="36">
        <v>317</v>
      </c>
      <c r="AK363" s="37">
        <v>326</v>
      </c>
      <c r="AL363" s="38">
        <v>310</v>
      </c>
      <c r="AM363" s="37"/>
      <c r="AN363" s="116"/>
      <c r="AO363" s="120"/>
      <c r="AP363" s="38"/>
      <c r="AQ363" s="37"/>
      <c r="AR363" s="116"/>
      <c r="AS363" s="120"/>
      <c r="AT363" s="38"/>
      <c r="AU363" s="37"/>
      <c r="AV363" s="120"/>
      <c r="AW363" s="120"/>
      <c r="AX363" s="37">
        <v>324</v>
      </c>
      <c r="AY363" s="38">
        <v>309</v>
      </c>
      <c r="AZ363" s="37"/>
      <c r="BA363" s="116"/>
      <c r="BB363" s="31">
        <v>315</v>
      </c>
      <c r="BC363" s="32">
        <v>313</v>
      </c>
      <c r="BD363" s="31">
        <v>306</v>
      </c>
      <c r="BE363" s="116">
        <v>312</v>
      </c>
      <c r="BF363" s="120">
        <v>311</v>
      </c>
      <c r="BG363" s="38">
        <v>308</v>
      </c>
      <c r="BH363" s="37">
        <v>332</v>
      </c>
      <c r="BI363" s="38">
        <v>298</v>
      </c>
      <c r="BJ363" s="111">
        <v>39</v>
      </c>
      <c r="BK363" s="33">
        <v>280</v>
      </c>
      <c r="BL363" s="115">
        <v>317</v>
      </c>
      <c r="BM363" s="111">
        <v>319</v>
      </c>
      <c r="BN363" s="35">
        <v>286</v>
      </c>
      <c r="BO363" s="32">
        <v>23</v>
      </c>
      <c r="BP363" s="31">
        <v>309</v>
      </c>
      <c r="BQ363" s="32">
        <v>315</v>
      </c>
      <c r="BR363" s="31">
        <v>287</v>
      </c>
      <c r="BS363" s="32">
        <v>343</v>
      </c>
      <c r="BT363" s="31">
        <v>287</v>
      </c>
      <c r="BU363" s="33">
        <v>42</v>
      </c>
      <c r="BV363" s="115">
        <v>292</v>
      </c>
      <c r="BW363" s="111">
        <v>324</v>
      </c>
      <c r="BX363" s="32">
        <v>314</v>
      </c>
      <c r="BY363" s="31">
        <v>314</v>
      </c>
      <c r="BZ363" s="32">
        <v>299</v>
      </c>
      <c r="CA363" s="111">
        <v>300</v>
      </c>
      <c r="CB363" s="32">
        <v>320</v>
      </c>
      <c r="CC363" s="33">
        <v>411</v>
      </c>
      <c r="CD363" s="34">
        <v>474</v>
      </c>
      <c r="CE363" s="120">
        <v>264</v>
      </c>
      <c r="CF363" s="38">
        <v>241</v>
      </c>
      <c r="CG363" s="31">
        <v>158</v>
      </c>
      <c r="CH363" s="35">
        <v>112</v>
      </c>
      <c r="CI363" s="35">
        <v>163</v>
      </c>
      <c r="CJ363" s="35">
        <v>183</v>
      </c>
      <c r="CK363" s="32">
        <v>309</v>
      </c>
    </row>
    <row r="364" spans="1:89" ht="13" x14ac:dyDescent="0.25">
      <c r="A364" s="27">
        <v>5914</v>
      </c>
      <c r="B364" s="28" t="s">
        <v>387</v>
      </c>
      <c r="C364" s="29">
        <v>1388</v>
      </c>
      <c r="D364" s="30">
        <v>1066</v>
      </c>
      <c r="E364" s="20">
        <f t="shared" si="5"/>
        <v>0.76801152737752165</v>
      </c>
      <c r="F364" s="31">
        <v>0</v>
      </c>
      <c r="G364" s="111">
        <v>0</v>
      </c>
      <c r="H364" s="111">
        <v>0</v>
      </c>
      <c r="I364" s="111">
        <v>0</v>
      </c>
      <c r="J364" s="111">
        <v>0</v>
      </c>
      <c r="K364" s="111">
        <v>0</v>
      </c>
      <c r="L364" s="111">
        <v>0</v>
      </c>
      <c r="M364" s="111">
        <v>374</v>
      </c>
      <c r="N364" s="111">
        <v>0</v>
      </c>
      <c r="O364" s="111">
        <v>0</v>
      </c>
      <c r="P364" s="35">
        <v>5</v>
      </c>
      <c r="Q364" s="35">
        <v>1</v>
      </c>
      <c r="R364" s="35">
        <v>666</v>
      </c>
      <c r="S364" s="32">
        <v>0</v>
      </c>
      <c r="T364" s="37">
        <v>344</v>
      </c>
      <c r="U364" s="38">
        <v>680</v>
      </c>
      <c r="V364" s="37">
        <v>709</v>
      </c>
      <c r="W364" s="32">
        <v>322</v>
      </c>
      <c r="X364" s="31">
        <v>357</v>
      </c>
      <c r="Y364" s="32">
        <v>642</v>
      </c>
      <c r="Z364" s="111">
        <v>391</v>
      </c>
      <c r="AA364" s="35">
        <v>0</v>
      </c>
      <c r="AB364" s="35">
        <v>36</v>
      </c>
      <c r="AC364" s="35">
        <v>609</v>
      </c>
      <c r="AD364" s="35">
        <v>0</v>
      </c>
      <c r="AE364" s="33">
        <v>0</v>
      </c>
      <c r="AF364" s="116">
        <v>0</v>
      </c>
      <c r="AG364" s="120"/>
      <c r="AH364" s="38"/>
      <c r="AI364" s="37">
        <v>660</v>
      </c>
      <c r="AJ364" s="36">
        <v>344</v>
      </c>
      <c r="AK364" s="37">
        <v>685</v>
      </c>
      <c r="AL364" s="38">
        <v>329</v>
      </c>
      <c r="AM364" s="37"/>
      <c r="AN364" s="116"/>
      <c r="AO364" s="120"/>
      <c r="AP364" s="38"/>
      <c r="AQ364" s="37"/>
      <c r="AR364" s="116"/>
      <c r="AS364" s="120"/>
      <c r="AT364" s="38"/>
      <c r="AU364" s="37"/>
      <c r="AV364" s="120"/>
      <c r="AW364" s="120"/>
      <c r="AX364" s="37">
        <v>674</v>
      </c>
      <c r="AY364" s="38">
        <v>331</v>
      </c>
      <c r="AZ364" s="37"/>
      <c r="BA364" s="116"/>
      <c r="BB364" s="31">
        <v>664</v>
      </c>
      <c r="BC364" s="32">
        <v>331</v>
      </c>
      <c r="BD364" s="31">
        <v>650</v>
      </c>
      <c r="BE364" s="116">
        <v>340</v>
      </c>
      <c r="BF364" s="120">
        <v>330</v>
      </c>
      <c r="BG364" s="38">
        <v>648</v>
      </c>
      <c r="BH364" s="37">
        <v>688</v>
      </c>
      <c r="BI364" s="38">
        <v>311</v>
      </c>
      <c r="BJ364" s="111">
        <v>24</v>
      </c>
      <c r="BK364" s="33">
        <v>619</v>
      </c>
      <c r="BL364" s="115">
        <v>356</v>
      </c>
      <c r="BM364" s="111">
        <v>370</v>
      </c>
      <c r="BN364" s="35">
        <v>612</v>
      </c>
      <c r="BO364" s="32">
        <v>22</v>
      </c>
      <c r="BP364" s="31">
        <v>663</v>
      </c>
      <c r="BQ364" s="32">
        <v>329</v>
      </c>
      <c r="BR364" s="31">
        <v>307</v>
      </c>
      <c r="BS364" s="32">
        <v>707</v>
      </c>
      <c r="BT364" s="31">
        <v>629</v>
      </c>
      <c r="BU364" s="33">
        <v>38</v>
      </c>
      <c r="BV364" s="115">
        <v>325</v>
      </c>
      <c r="BW364" s="111">
        <v>366</v>
      </c>
      <c r="BX364" s="32">
        <v>666</v>
      </c>
      <c r="BY364" s="31">
        <v>341</v>
      </c>
      <c r="BZ364" s="32">
        <v>643</v>
      </c>
      <c r="CA364" s="111">
        <v>637</v>
      </c>
      <c r="CB364" s="32">
        <v>358</v>
      </c>
      <c r="CC364" s="33">
        <v>769</v>
      </c>
      <c r="CD364" s="34">
        <v>684</v>
      </c>
      <c r="CE364" s="120">
        <v>473</v>
      </c>
      <c r="CF364" s="38">
        <v>334</v>
      </c>
      <c r="CG364" s="31">
        <v>237</v>
      </c>
      <c r="CH364" s="35">
        <v>294</v>
      </c>
      <c r="CI364" s="35">
        <v>175</v>
      </c>
      <c r="CJ364" s="35">
        <v>198</v>
      </c>
      <c r="CK364" s="32">
        <v>582</v>
      </c>
    </row>
    <row r="365" spans="1:89" ht="13" x14ac:dyDescent="0.25">
      <c r="A365" s="27">
        <v>5915</v>
      </c>
      <c r="B365" s="28" t="s">
        <v>388</v>
      </c>
      <c r="C365" s="29">
        <v>566</v>
      </c>
      <c r="D365" s="30">
        <v>417</v>
      </c>
      <c r="E365" s="20">
        <f t="shared" si="5"/>
        <v>0.73674911660777387</v>
      </c>
      <c r="F365" s="31">
        <v>0</v>
      </c>
      <c r="G365" s="111">
        <v>0</v>
      </c>
      <c r="H365" s="111">
        <v>0</v>
      </c>
      <c r="I365" s="111">
        <v>0</v>
      </c>
      <c r="J365" s="111">
        <v>1</v>
      </c>
      <c r="K365" s="111">
        <v>0</v>
      </c>
      <c r="L365" s="111">
        <v>0</v>
      </c>
      <c r="M365" s="111">
        <v>144</v>
      </c>
      <c r="N365" s="111">
        <v>0</v>
      </c>
      <c r="O365" s="111">
        <v>0</v>
      </c>
      <c r="P365" s="35">
        <v>2</v>
      </c>
      <c r="Q365" s="35">
        <v>3</v>
      </c>
      <c r="R365" s="35">
        <v>261</v>
      </c>
      <c r="S365" s="32">
        <v>1</v>
      </c>
      <c r="T365" s="37">
        <v>137</v>
      </c>
      <c r="U365" s="38">
        <v>257</v>
      </c>
      <c r="V365" s="37">
        <v>274</v>
      </c>
      <c r="W365" s="32">
        <v>128</v>
      </c>
      <c r="X365" s="31">
        <v>139</v>
      </c>
      <c r="Y365" s="32">
        <v>246</v>
      </c>
      <c r="Z365" s="111">
        <v>145</v>
      </c>
      <c r="AA365" s="35">
        <v>0</v>
      </c>
      <c r="AB365" s="35">
        <v>18</v>
      </c>
      <c r="AC365" s="35">
        <v>241</v>
      </c>
      <c r="AD365" s="35">
        <v>0</v>
      </c>
      <c r="AE365" s="33">
        <v>0</v>
      </c>
      <c r="AF365" s="116">
        <v>0</v>
      </c>
      <c r="AG365" s="120"/>
      <c r="AH365" s="38"/>
      <c r="AI365" s="37">
        <v>256</v>
      </c>
      <c r="AJ365" s="36">
        <v>128</v>
      </c>
      <c r="AK365" s="37">
        <v>258</v>
      </c>
      <c r="AL365" s="38">
        <v>135</v>
      </c>
      <c r="AM365" s="37"/>
      <c r="AN365" s="116"/>
      <c r="AO365" s="120"/>
      <c r="AP365" s="38"/>
      <c r="AQ365" s="37"/>
      <c r="AR365" s="116"/>
      <c r="AS365" s="120"/>
      <c r="AT365" s="38"/>
      <c r="AU365" s="37"/>
      <c r="AV365" s="120"/>
      <c r="AW365" s="120"/>
      <c r="AX365" s="37">
        <v>256</v>
      </c>
      <c r="AY365" s="38">
        <v>133</v>
      </c>
      <c r="AZ365" s="37"/>
      <c r="BA365" s="116"/>
      <c r="BB365" s="31">
        <v>251</v>
      </c>
      <c r="BC365" s="32">
        <v>130</v>
      </c>
      <c r="BD365" s="31">
        <v>249</v>
      </c>
      <c r="BE365" s="116">
        <v>132</v>
      </c>
      <c r="BF365" s="120">
        <v>132</v>
      </c>
      <c r="BG365" s="38">
        <v>249</v>
      </c>
      <c r="BH365" s="37">
        <v>266</v>
      </c>
      <c r="BI365" s="38">
        <v>122</v>
      </c>
      <c r="BJ365" s="111">
        <v>10</v>
      </c>
      <c r="BK365" s="33">
        <v>232</v>
      </c>
      <c r="BL365" s="115">
        <v>144</v>
      </c>
      <c r="BM365" s="111">
        <v>144</v>
      </c>
      <c r="BN365" s="35">
        <v>238</v>
      </c>
      <c r="BO365" s="32">
        <v>8</v>
      </c>
      <c r="BP365" s="31">
        <v>254</v>
      </c>
      <c r="BQ365" s="32">
        <v>129</v>
      </c>
      <c r="BR365" s="31">
        <v>127</v>
      </c>
      <c r="BS365" s="32">
        <v>261</v>
      </c>
      <c r="BT365" s="31">
        <v>237</v>
      </c>
      <c r="BU365" s="33">
        <v>15</v>
      </c>
      <c r="BV365" s="115">
        <v>129</v>
      </c>
      <c r="BW365" s="111">
        <v>140</v>
      </c>
      <c r="BX365" s="32">
        <v>255</v>
      </c>
      <c r="BY365" s="31">
        <v>136</v>
      </c>
      <c r="BZ365" s="32">
        <v>243</v>
      </c>
      <c r="CA365" s="111">
        <v>249</v>
      </c>
      <c r="CB365" s="32">
        <v>136</v>
      </c>
      <c r="CC365" s="33">
        <v>297</v>
      </c>
      <c r="CD365" s="34">
        <v>262</v>
      </c>
      <c r="CE365" s="120">
        <v>198</v>
      </c>
      <c r="CF365" s="38">
        <v>129</v>
      </c>
      <c r="CG365" s="31">
        <v>87</v>
      </c>
      <c r="CH365" s="35">
        <v>120</v>
      </c>
      <c r="CI365" s="35">
        <v>63</v>
      </c>
      <c r="CJ365" s="35">
        <v>92</v>
      </c>
      <c r="CK365" s="32">
        <v>241</v>
      </c>
    </row>
    <row r="366" spans="1:89" ht="13" x14ac:dyDescent="0.25">
      <c r="A366" s="27">
        <v>5916</v>
      </c>
      <c r="B366" s="28" t="s">
        <v>389</v>
      </c>
      <c r="C366" s="29">
        <v>539</v>
      </c>
      <c r="D366" s="30">
        <v>385</v>
      </c>
      <c r="E366" s="20">
        <f t="shared" si="5"/>
        <v>0.7142857142857143</v>
      </c>
      <c r="F366" s="31">
        <v>0</v>
      </c>
      <c r="G366" s="111">
        <v>0</v>
      </c>
      <c r="H366" s="111">
        <v>0</v>
      </c>
      <c r="I366" s="111">
        <v>0</v>
      </c>
      <c r="J366" s="111">
        <v>1</v>
      </c>
      <c r="K366" s="111">
        <v>0</v>
      </c>
      <c r="L366" s="111">
        <v>0</v>
      </c>
      <c r="M366" s="111">
        <v>228</v>
      </c>
      <c r="N366" s="111">
        <v>0</v>
      </c>
      <c r="O366" s="111">
        <v>0</v>
      </c>
      <c r="P366" s="35">
        <v>3</v>
      </c>
      <c r="Q366" s="35">
        <v>0</v>
      </c>
      <c r="R366" s="35">
        <v>147</v>
      </c>
      <c r="S366" s="32">
        <v>0</v>
      </c>
      <c r="T366" s="37">
        <v>228</v>
      </c>
      <c r="U366" s="38">
        <v>146</v>
      </c>
      <c r="V366" s="37">
        <v>153</v>
      </c>
      <c r="W366" s="32">
        <v>221</v>
      </c>
      <c r="X366" s="31">
        <v>228</v>
      </c>
      <c r="Y366" s="32">
        <v>137</v>
      </c>
      <c r="Z366" s="111">
        <v>224</v>
      </c>
      <c r="AA366" s="35">
        <v>0</v>
      </c>
      <c r="AB366" s="35">
        <v>19</v>
      </c>
      <c r="AC366" s="35">
        <v>130</v>
      </c>
      <c r="AD366" s="35">
        <v>0</v>
      </c>
      <c r="AE366" s="33">
        <v>0</v>
      </c>
      <c r="AF366" s="116">
        <v>0</v>
      </c>
      <c r="AG366" s="120"/>
      <c r="AH366" s="38"/>
      <c r="AI366" s="37">
        <v>139</v>
      </c>
      <c r="AJ366" s="36">
        <v>226</v>
      </c>
      <c r="AK366" s="37">
        <v>140</v>
      </c>
      <c r="AL366" s="38">
        <v>225</v>
      </c>
      <c r="AM366" s="37"/>
      <c r="AN366" s="116"/>
      <c r="AO366" s="120"/>
      <c r="AP366" s="38"/>
      <c r="AQ366" s="37"/>
      <c r="AR366" s="116"/>
      <c r="AS366" s="120"/>
      <c r="AT366" s="38"/>
      <c r="AU366" s="37"/>
      <c r="AV366" s="120"/>
      <c r="AW366" s="120"/>
      <c r="AX366" s="37">
        <v>141</v>
      </c>
      <c r="AY366" s="38">
        <v>222</v>
      </c>
      <c r="AZ366" s="37"/>
      <c r="BA366" s="116"/>
      <c r="BB366" s="31">
        <v>141</v>
      </c>
      <c r="BC366" s="32">
        <v>221</v>
      </c>
      <c r="BD366" s="31">
        <v>136</v>
      </c>
      <c r="BE366" s="116">
        <v>225</v>
      </c>
      <c r="BF366" s="120">
        <v>216</v>
      </c>
      <c r="BG366" s="38">
        <v>142</v>
      </c>
      <c r="BH366" s="37">
        <v>142</v>
      </c>
      <c r="BI366" s="38">
        <v>219</v>
      </c>
      <c r="BJ366" s="111">
        <v>19</v>
      </c>
      <c r="BK366" s="33">
        <v>130</v>
      </c>
      <c r="BL366" s="115">
        <v>224</v>
      </c>
      <c r="BM366" s="111">
        <v>219</v>
      </c>
      <c r="BN366" s="35">
        <v>128</v>
      </c>
      <c r="BO366" s="32">
        <v>20</v>
      </c>
      <c r="BP366" s="31">
        <v>141</v>
      </c>
      <c r="BQ366" s="32">
        <v>220</v>
      </c>
      <c r="BR366" s="31">
        <v>213</v>
      </c>
      <c r="BS366" s="32">
        <v>153</v>
      </c>
      <c r="BT366" s="31">
        <v>133</v>
      </c>
      <c r="BU366" s="33">
        <v>23</v>
      </c>
      <c r="BV366" s="115">
        <v>211</v>
      </c>
      <c r="BW366" s="111">
        <v>218</v>
      </c>
      <c r="BX366" s="32">
        <v>153</v>
      </c>
      <c r="BY366" s="31">
        <v>217</v>
      </c>
      <c r="BZ366" s="32">
        <v>135</v>
      </c>
      <c r="CA366" s="111">
        <v>138</v>
      </c>
      <c r="CB366" s="32">
        <v>224</v>
      </c>
      <c r="CC366" s="33">
        <v>221</v>
      </c>
      <c r="CD366" s="34">
        <v>305</v>
      </c>
      <c r="CE366" s="120">
        <v>158</v>
      </c>
      <c r="CF366" s="38">
        <v>162</v>
      </c>
      <c r="CG366" s="31">
        <v>89</v>
      </c>
      <c r="CH366" s="35">
        <v>70</v>
      </c>
      <c r="CI366" s="35">
        <v>126</v>
      </c>
      <c r="CJ366" s="35">
        <v>124</v>
      </c>
      <c r="CK366" s="32">
        <v>152</v>
      </c>
    </row>
    <row r="367" spans="1:89" ht="13" x14ac:dyDescent="0.25">
      <c r="A367" s="27">
        <v>5917</v>
      </c>
      <c r="B367" s="28" t="s">
        <v>390</v>
      </c>
      <c r="C367" s="29">
        <v>1202</v>
      </c>
      <c r="D367" s="30">
        <v>1007</v>
      </c>
      <c r="E367" s="20">
        <f t="shared" si="5"/>
        <v>0.83777038269550752</v>
      </c>
      <c r="F367" s="31">
        <v>0</v>
      </c>
      <c r="G367" s="111">
        <v>0</v>
      </c>
      <c r="H367" s="111">
        <v>0</v>
      </c>
      <c r="I367" s="111">
        <v>0</v>
      </c>
      <c r="J367" s="111">
        <v>1</v>
      </c>
      <c r="K367" s="111">
        <v>0</v>
      </c>
      <c r="L367" s="111">
        <v>0</v>
      </c>
      <c r="M367" s="111">
        <v>295</v>
      </c>
      <c r="N367" s="111">
        <v>0</v>
      </c>
      <c r="O367" s="111">
        <v>0</v>
      </c>
      <c r="P367" s="35">
        <v>5</v>
      </c>
      <c r="Q367" s="35">
        <v>1</v>
      </c>
      <c r="R367" s="35">
        <v>688</v>
      </c>
      <c r="S367" s="32">
        <v>0</v>
      </c>
      <c r="T367" s="37">
        <v>256</v>
      </c>
      <c r="U367" s="38">
        <v>710</v>
      </c>
      <c r="V367" s="37">
        <v>731</v>
      </c>
      <c r="W367" s="32">
        <v>245</v>
      </c>
      <c r="X367" s="31">
        <v>262</v>
      </c>
      <c r="Y367" s="32">
        <v>692</v>
      </c>
      <c r="Z367" s="111">
        <v>309</v>
      </c>
      <c r="AA367" s="35">
        <v>0</v>
      </c>
      <c r="AB367" s="35">
        <v>22</v>
      </c>
      <c r="AC367" s="35">
        <v>657</v>
      </c>
      <c r="AD367" s="35">
        <v>0</v>
      </c>
      <c r="AE367" s="33">
        <v>0</v>
      </c>
      <c r="AF367" s="116">
        <v>0</v>
      </c>
      <c r="AG367" s="120"/>
      <c r="AH367" s="38"/>
      <c r="AI367" s="37">
        <v>698</v>
      </c>
      <c r="AJ367" s="36">
        <v>251</v>
      </c>
      <c r="AK367" s="37">
        <v>709</v>
      </c>
      <c r="AL367" s="38">
        <v>247</v>
      </c>
      <c r="AM367" s="37"/>
      <c r="AN367" s="116"/>
      <c r="AO367" s="120"/>
      <c r="AP367" s="38"/>
      <c r="AQ367" s="37"/>
      <c r="AR367" s="116"/>
      <c r="AS367" s="120"/>
      <c r="AT367" s="38"/>
      <c r="AU367" s="37"/>
      <c r="AV367" s="120"/>
      <c r="AW367" s="120"/>
      <c r="AX367" s="37">
        <v>702</v>
      </c>
      <c r="AY367" s="38">
        <v>247</v>
      </c>
      <c r="AZ367" s="37"/>
      <c r="BA367" s="116"/>
      <c r="BB367" s="31">
        <v>691</v>
      </c>
      <c r="BC367" s="32">
        <v>241</v>
      </c>
      <c r="BD367" s="31">
        <v>687</v>
      </c>
      <c r="BE367" s="116">
        <v>243</v>
      </c>
      <c r="BF367" s="120">
        <v>245</v>
      </c>
      <c r="BG367" s="38">
        <v>675</v>
      </c>
      <c r="BH367" s="37">
        <v>721</v>
      </c>
      <c r="BI367" s="38">
        <v>228</v>
      </c>
      <c r="BJ367" s="111">
        <v>22</v>
      </c>
      <c r="BK367" s="33">
        <v>659</v>
      </c>
      <c r="BL367" s="115">
        <v>265</v>
      </c>
      <c r="BM367" s="111">
        <v>282</v>
      </c>
      <c r="BN367" s="35">
        <v>638</v>
      </c>
      <c r="BO367" s="32">
        <v>23</v>
      </c>
      <c r="BP367" s="31">
        <v>697</v>
      </c>
      <c r="BQ367" s="32">
        <v>245</v>
      </c>
      <c r="BR367" s="31">
        <v>222</v>
      </c>
      <c r="BS367" s="32">
        <v>735</v>
      </c>
      <c r="BT367" s="31">
        <v>656</v>
      </c>
      <c r="BU367" s="33">
        <v>36</v>
      </c>
      <c r="BV367" s="115">
        <v>238</v>
      </c>
      <c r="BW367" s="111">
        <v>265</v>
      </c>
      <c r="BX367" s="32">
        <v>705</v>
      </c>
      <c r="BY367" s="31">
        <v>264</v>
      </c>
      <c r="BZ367" s="32">
        <v>660</v>
      </c>
      <c r="CA367" s="111">
        <v>682</v>
      </c>
      <c r="CB367" s="32">
        <v>253</v>
      </c>
      <c r="CC367" s="33">
        <v>764</v>
      </c>
      <c r="CD367" s="34">
        <v>601</v>
      </c>
      <c r="CE367" s="120">
        <v>514</v>
      </c>
      <c r="CF367" s="38">
        <v>247</v>
      </c>
      <c r="CG367" s="31">
        <v>254</v>
      </c>
      <c r="CH367" s="35">
        <v>340</v>
      </c>
      <c r="CI367" s="35">
        <v>123</v>
      </c>
      <c r="CJ367" s="35">
        <v>150</v>
      </c>
      <c r="CK367" s="32">
        <v>644</v>
      </c>
    </row>
    <row r="368" spans="1:89" ht="13" x14ac:dyDescent="0.25">
      <c r="A368" s="27">
        <v>5918</v>
      </c>
      <c r="B368" s="28" t="s">
        <v>391</v>
      </c>
      <c r="C368" s="29">
        <v>1232</v>
      </c>
      <c r="D368" s="30">
        <v>802</v>
      </c>
      <c r="E368" s="20">
        <f t="shared" si="5"/>
        <v>0.65097402597402598</v>
      </c>
      <c r="F368" s="31">
        <v>0</v>
      </c>
      <c r="G368" s="111">
        <v>0</v>
      </c>
      <c r="H368" s="111">
        <v>0</v>
      </c>
      <c r="I368" s="111">
        <v>0</v>
      </c>
      <c r="J368" s="111">
        <v>0</v>
      </c>
      <c r="K368" s="111">
        <v>0</v>
      </c>
      <c r="L368" s="111">
        <v>0</v>
      </c>
      <c r="M368" s="111">
        <v>397</v>
      </c>
      <c r="N368" s="111">
        <v>0</v>
      </c>
      <c r="O368" s="111">
        <v>0</v>
      </c>
      <c r="P368" s="35">
        <v>5</v>
      </c>
      <c r="Q368" s="35">
        <v>1</v>
      </c>
      <c r="R368" s="35">
        <v>390</v>
      </c>
      <c r="S368" s="32">
        <v>0</v>
      </c>
      <c r="T368" s="37">
        <v>371</v>
      </c>
      <c r="U368" s="38">
        <v>390</v>
      </c>
      <c r="V368" s="37">
        <v>400</v>
      </c>
      <c r="W368" s="32">
        <v>367</v>
      </c>
      <c r="X368" s="31">
        <v>377</v>
      </c>
      <c r="Y368" s="32">
        <v>370</v>
      </c>
      <c r="Z368" s="111">
        <v>409</v>
      </c>
      <c r="AA368" s="35">
        <v>0</v>
      </c>
      <c r="AB368" s="35">
        <v>20</v>
      </c>
      <c r="AC368" s="35">
        <v>351</v>
      </c>
      <c r="AD368" s="35">
        <v>0</v>
      </c>
      <c r="AE368" s="33">
        <v>0</v>
      </c>
      <c r="AF368" s="116">
        <v>0</v>
      </c>
      <c r="AG368" s="120"/>
      <c r="AH368" s="38"/>
      <c r="AI368" s="37">
        <v>367</v>
      </c>
      <c r="AJ368" s="36">
        <v>383</v>
      </c>
      <c r="AK368" s="37">
        <v>387</v>
      </c>
      <c r="AL368" s="38">
        <v>374</v>
      </c>
      <c r="AM368" s="37"/>
      <c r="AN368" s="116"/>
      <c r="AO368" s="120"/>
      <c r="AP368" s="38"/>
      <c r="AQ368" s="37"/>
      <c r="AR368" s="116"/>
      <c r="AS368" s="120"/>
      <c r="AT368" s="38"/>
      <c r="AU368" s="37"/>
      <c r="AV368" s="120"/>
      <c r="AW368" s="120"/>
      <c r="AX368" s="37">
        <v>382</v>
      </c>
      <c r="AY368" s="38">
        <v>368</v>
      </c>
      <c r="AZ368" s="37"/>
      <c r="BA368" s="116"/>
      <c r="BB368" s="31">
        <v>376</v>
      </c>
      <c r="BC368" s="32">
        <v>369</v>
      </c>
      <c r="BD368" s="31">
        <v>366</v>
      </c>
      <c r="BE368" s="116">
        <v>380</v>
      </c>
      <c r="BF368" s="120">
        <v>367</v>
      </c>
      <c r="BG368" s="38">
        <v>369</v>
      </c>
      <c r="BH368" s="37">
        <v>385</v>
      </c>
      <c r="BI368" s="38">
        <v>364</v>
      </c>
      <c r="BJ368" s="111">
        <v>30</v>
      </c>
      <c r="BK368" s="33">
        <v>347</v>
      </c>
      <c r="BL368" s="115">
        <v>384</v>
      </c>
      <c r="BM368" s="111">
        <v>383</v>
      </c>
      <c r="BN368" s="35">
        <v>348</v>
      </c>
      <c r="BO368" s="32">
        <v>19</v>
      </c>
      <c r="BP368" s="31">
        <v>378</v>
      </c>
      <c r="BQ368" s="32">
        <v>371</v>
      </c>
      <c r="BR368" s="31">
        <v>347</v>
      </c>
      <c r="BS368" s="32">
        <v>404</v>
      </c>
      <c r="BT368" s="31">
        <v>357</v>
      </c>
      <c r="BU368" s="33">
        <v>27</v>
      </c>
      <c r="BV368" s="115">
        <v>356</v>
      </c>
      <c r="BW368" s="111">
        <v>390</v>
      </c>
      <c r="BX368" s="32">
        <v>377</v>
      </c>
      <c r="BY368" s="31">
        <v>376</v>
      </c>
      <c r="BZ368" s="32">
        <v>362</v>
      </c>
      <c r="CA368" s="111">
        <v>369</v>
      </c>
      <c r="CB368" s="32">
        <v>380</v>
      </c>
      <c r="CC368" s="33">
        <v>492</v>
      </c>
      <c r="CD368" s="34">
        <v>572</v>
      </c>
      <c r="CE368" s="120">
        <v>358</v>
      </c>
      <c r="CF368" s="38">
        <v>271</v>
      </c>
      <c r="CG368" s="31">
        <v>203</v>
      </c>
      <c r="CH368" s="35">
        <v>187</v>
      </c>
      <c r="CI368" s="35">
        <v>163</v>
      </c>
      <c r="CJ368" s="35">
        <v>208</v>
      </c>
      <c r="CK368" s="32">
        <v>383</v>
      </c>
    </row>
    <row r="369" spans="1:89" ht="13" x14ac:dyDescent="0.25">
      <c r="A369" s="27">
        <v>5919</v>
      </c>
      <c r="B369" s="28" t="s">
        <v>392</v>
      </c>
      <c r="C369" s="29">
        <v>1185</v>
      </c>
      <c r="D369" s="30">
        <v>905</v>
      </c>
      <c r="E369" s="20">
        <f t="shared" si="5"/>
        <v>0.76371308016877637</v>
      </c>
      <c r="F369" s="31">
        <v>0</v>
      </c>
      <c r="G369" s="111">
        <v>0</v>
      </c>
      <c r="H369" s="111">
        <v>0</v>
      </c>
      <c r="I369" s="111">
        <v>0</v>
      </c>
      <c r="J369" s="111">
        <v>3</v>
      </c>
      <c r="K369" s="111">
        <v>0</v>
      </c>
      <c r="L369" s="111">
        <v>0</v>
      </c>
      <c r="M369" s="111">
        <v>288</v>
      </c>
      <c r="N369" s="111">
        <v>0</v>
      </c>
      <c r="O369" s="111">
        <v>0</v>
      </c>
      <c r="P369" s="35">
        <v>9</v>
      </c>
      <c r="Q369" s="35">
        <v>0</v>
      </c>
      <c r="R369" s="35">
        <v>589</v>
      </c>
      <c r="S369" s="32">
        <v>0</v>
      </c>
      <c r="T369" s="37">
        <v>273</v>
      </c>
      <c r="U369" s="38">
        <v>595</v>
      </c>
      <c r="V369" s="37">
        <v>600</v>
      </c>
      <c r="W369" s="32">
        <v>275</v>
      </c>
      <c r="X369" s="31">
        <v>282</v>
      </c>
      <c r="Y369" s="32">
        <v>570</v>
      </c>
      <c r="Z369" s="111">
        <v>298</v>
      </c>
      <c r="AA369" s="35">
        <v>0</v>
      </c>
      <c r="AB369" s="35">
        <v>25</v>
      </c>
      <c r="AC369" s="35">
        <v>557</v>
      </c>
      <c r="AD369" s="35">
        <v>0</v>
      </c>
      <c r="AE369" s="33">
        <v>0</v>
      </c>
      <c r="AF369" s="116">
        <v>0</v>
      </c>
      <c r="AG369" s="120"/>
      <c r="AH369" s="38"/>
      <c r="AI369" s="37">
        <v>579</v>
      </c>
      <c r="AJ369" s="36">
        <v>275</v>
      </c>
      <c r="AK369" s="37">
        <v>592</v>
      </c>
      <c r="AL369" s="38">
        <v>266</v>
      </c>
      <c r="AM369" s="37"/>
      <c r="AN369" s="116"/>
      <c r="AO369" s="120"/>
      <c r="AP369" s="38"/>
      <c r="AQ369" s="37"/>
      <c r="AR369" s="116"/>
      <c r="AS369" s="120"/>
      <c r="AT369" s="38"/>
      <c r="AU369" s="37"/>
      <c r="AV369" s="120"/>
      <c r="AW369" s="120"/>
      <c r="AX369" s="37">
        <v>587</v>
      </c>
      <c r="AY369" s="38">
        <v>266</v>
      </c>
      <c r="AZ369" s="37"/>
      <c r="BA369" s="116"/>
      <c r="BB369" s="31">
        <v>584</v>
      </c>
      <c r="BC369" s="32">
        <v>264</v>
      </c>
      <c r="BD369" s="31">
        <v>572</v>
      </c>
      <c r="BE369" s="116">
        <v>267</v>
      </c>
      <c r="BF369" s="120">
        <v>280</v>
      </c>
      <c r="BG369" s="38">
        <v>554</v>
      </c>
      <c r="BH369" s="37">
        <v>601</v>
      </c>
      <c r="BI369" s="38">
        <v>249</v>
      </c>
      <c r="BJ369" s="111">
        <v>36</v>
      </c>
      <c r="BK369" s="33">
        <v>542</v>
      </c>
      <c r="BL369" s="115">
        <v>270</v>
      </c>
      <c r="BM369" s="111">
        <v>289</v>
      </c>
      <c r="BN369" s="35">
        <v>536</v>
      </c>
      <c r="BO369" s="32">
        <v>26</v>
      </c>
      <c r="BP369" s="31">
        <v>573</v>
      </c>
      <c r="BQ369" s="32">
        <v>270</v>
      </c>
      <c r="BR369" s="31">
        <v>242</v>
      </c>
      <c r="BS369" s="32">
        <v>620</v>
      </c>
      <c r="BT369" s="31">
        <v>547</v>
      </c>
      <c r="BU369" s="33">
        <v>40</v>
      </c>
      <c r="BV369" s="115">
        <v>253</v>
      </c>
      <c r="BW369" s="111">
        <v>276</v>
      </c>
      <c r="BX369" s="32">
        <v>585</v>
      </c>
      <c r="BY369" s="31">
        <v>269</v>
      </c>
      <c r="BZ369" s="32">
        <v>557</v>
      </c>
      <c r="CA369" s="111">
        <v>568</v>
      </c>
      <c r="CB369" s="32">
        <v>276</v>
      </c>
      <c r="CC369" s="33">
        <v>668</v>
      </c>
      <c r="CD369" s="34">
        <v>546</v>
      </c>
      <c r="CE369" s="120">
        <v>495</v>
      </c>
      <c r="CF369" s="38">
        <v>233</v>
      </c>
      <c r="CG369" s="31">
        <v>177</v>
      </c>
      <c r="CH369" s="35">
        <v>336</v>
      </c>
      <c r="CI369" s="35">
        <v>130</v>
      </c>
      <c r="CJ369" s="35">
        <v>161</v>
      </c>
      <c r="CK369" s="32">
        <v>526</v>
      </c>
    </row>
    <row r="370" spans="1:89" ht="13" x14ac:dyDescent="0.25">
      <c r="A370" s="27">
        <v>5920</v>
      </c>
      <c r="B370" s="28" t="s">
        <v>393</v>
      </c>
      <c r="C370" s="29">
        <v>1198</v>
      </c>
      <c r="D370" s="30">
        <v>795</v>
      </c>
      <c r="E370" s="20">
        <f t="shared" si="5"/>
        <v>0.6636060100166945</v>
      </c>
      <c r="F370" s="31">
        <v>0</v>
      </c>
      <c r="G370" s="111">
        <v>0</v>
      </c>
      <c r="H370" s="111">
        <v>0</v>
      </c>
      <c r="I370" s="111">
        <v>0</v>
      </c>
      <c r="J370" s="111">
        <v>1</v>
      </c>
      <c r="K370" s="111">
        <v>0</v>
      </c>
      <c r="L370" s="111">
        <v>0</v>
      </c>
      <c r="M370" s="111">
        <v>473</v>
      </c>
      <c r="N370" s="111">
        <v>0</v>
      </c>
      <c r="O370" s="111">
        <v>0</v>
      </c>
      <c r="P370" s="35">
        <v>1</v>
      </c>
      <c r="Q370" s="35">
        <v>0</v>
      </c>
      <c r="R370" s="35">
        <v>307</v>
      </c>
      <c r="S370" s="32">
        <v>0</v>
      </c>
      <c r="T370" s="31">
        <v>458</v>
      </c>
      <c r="U370" s="32">
        <v>304</v>
      </c>
      <c r="V370" s="31">
        <v>314</v>
      </c>
      <c r="W370" s="32">
        <v>454</v>
      </c>
      <c r="X370" s="31">
        <v>464</v>
      </c>
      <c r="Y370" s="32">
        <v>291</v>
      </c>
      <c r="Z370" s="111">
        <v>484</v>
      </c>
      <c r="AA370" s="35">
        <v>0</v>
      </c>
      <c r="AB370" s="35">
        <v>22</v>
      </c>
      <c r="AC370" s="35">
        <v>268</v>
      </c>
      <c r="AD370" s="35">
        <v>0</v>
      </c>
      <c r="AE370" s="33">
        <v>0</v>
      </c>
      <c r="AF370" s="115">
        <v>0</v>
      </c>
      <c r="AG370" s="111"/>
      <c r="AH370" s="32"/>
      <c r="AI370" s="31">
        <v>286</v>
      </c>
      <c r="AJ370" s="33">
        <v>461</v>
      </c>
      <c r="AK370" s="31">
        <v>303</v>
      </c>
      <c r="AL370" s="32">
        <v>458</v>
      </c>
      <c r="AM370" s="31"/>
      <c r="AN370" s="115"/>
      <c r="AO370" s="111"/>
      <c r="AP370" s="32"/>
      <c r="AQ370" s="31"/>
      <c r="AR370" s="115"/>
      <c r="AS370" s="111"/>
      <c r="AT370" s="32"/>
      <c r="AU370" s="31"/>
      <c r="AV370" s="111"/>
      <c r="AW370" s="111"/>
      <c r="AX370" s="31">
        <v>301</v>
      </c>
      <c r="AY370" s="32">
        <v>454</v>
      </c>
      <c r="AZ370" s="31"/>
      <c r="BA370" s="115"/>
      <c r="BB370" s="31">
        <v>291</v>
      </c>
      <c r="BC370" s="32">
        <v>458</v>
      </c>
      <c r="BD370" s="31">
        <v>285</v>
      </c>
      <c r="BE370" s="115">
        <v>467</v>
      </c>
      <c r="BF370" s="111">
        <v>465</v>
      </c>
      <c r="BG370" s="32">
        <v>284</v>
      </c>
      <c r="BH370" s="31">
        <v>305</v>
      </c>
      <c r="BI370" s="32">
        <v>443</v>
      </c>
      <c r="BJ370" s="111">
        <v>21</v>
      </c>
      <c r="BK370" s="33">
        <v>267</v>
      </c>
      <c r="BL370" s="115">
        <v>475</v>
      </c>
      <c r="BM370" s="111">
        <v>461</v>
      </c>
      <c r="BN370" s="35">
        <v>267</v>
      </c>
      <c r="BO370" s="32">
        <v>20</v>
      </c>
      <c r="BP370" s="31">
        <v>283</v>
      </c>
      <c r="BQ370" s="32">
        <v>468</v>
      </c>
      <c r="BR370" s="31">
        <v>425</v>
      </c>
      <c r="BS370" s="32">
        <v>333</v>
      </c>
      <c r="BT370" s="31">
        <v>282</v>
      </c>
      <c r="BU370" s="33">
        <v>24</v>
      </c>
      <c r="BV370" s="115">
        <v>441</v>
      </c>
      <c r="BW370" s="111">
        <v>459</v>
      </c>
      <c r="BX370" s="32">
        <v>303</v>
      </c>
      <c r="BY370" s="31">
        <v>460</v>
      </c>
      <c r="BZ370" s="32">
        <v>280</v>
      </c>
      <c r="CA370" s="111">
        <v>279</v>
      </c>
      <c r="CB370" s="32">
        <v>469</v>
      </c>
      <c r="CC370" s="33">
        <v>434</v>
      </c>
      <c r="CD370" s="34">
        <v>611</v>
      </c>
      <c r="CE370" s="111">
        <v>301</v>
      </c>
      <c r="CF370" s="38">
        <v>335</v>
      </c>
      <c r="CG370" s="31">
        <v>153</v>
      </c>
      <c r="CH370" s="35">
        <v>131</v>
      </c>
      <c r="CI370" s="35">
        <v>282</v>
      </c>
      <c r="CJ370" s="35">
        <v>288</v>
      </c>
      <c r="CK370" s="32">
        <v>299</v>
      </c>
    </row>
    <row r="371" spans="1:89" ht="13" x14ac:dyDescent="0.25">
      <c r="A371" s="27">
        <v>5921</v>
      </c>
      <c r="B371" s="28" t="s">
        <v>394</v>
      </c>
      <c r="C371" s="29">
        <v>1008</v>
      </c>
      <c r="D371" s="30">
        <v>775</v>
      </c>
      <c r="E371" s="20">
        <f t="shared" si="5"/>
        <v>0.76884920634920639</v>
      </c>
      <c r="F371" s="31">
        <v>0</v>
      </c>
      <c r="G371" s="111">
        <v>0</v>
      </c>
      <c r="H371" s="111">
        <v>0</v>
      </c>
      <c r="I371" s="111">
        <v>0</v>
      </c>
      <c r="J371" s="111">
        <v>3</v>
      </c>
      <c r="K371" s="111">
        <v>0</v>
      </c>
      <c r="L371" s="111">
        <v>0</v>
      </c>
      <c r="M371" s="111">
        <v>377</v>
      </c>
      <c r="N371" s="111">
        <v>0</v>
      </c>
      <c r="O371" s="111">
        <v>0</v>
      </c>
      <c r="P371" s="35">
        <v>7</v>
      </c>
      <c r="Q371" s="35">
        <v>5</v>
      </c>
      <c r="R371" s="35">
        <v>372</v>
      </c>
      <c r="S371" s="32">
        <v>2</v>
      </c>
      <c r="T371" s="31">
        <v>374</v>
      </c>
      <c r="U371" s="32">
        <v>372</v>
      </c>
      <c r="V371" s="31">
        <v>380</v>
      </c>
      <c r="W371" s="32">
        <v>364</v>
      </c>
      <c r="X371" s="31">
        <v>377</v>
      </c>
      <c r="Y371" s="32">
        <v>353</v>
      </c>
      <c r="Z371" s="111">
        <v>380</v>
      </c>
      <c r="AA371" s="35">
        <v>0</v>
      </c>
      <c r="AB371" s="35">
        <v>36</v>
      </c>
      <c r="AC371" s="35">
        <v>335</v>
      </c>
      <c r="AD371" s="35">
        <v>0</v>
      </c>
      <c r="AE371" s="33">
        <v>0</v>
      </c>
      <c r="AF371" s="115">
        <v>0</v>
      </c>
      <c r="AG371" s="111"/>
      <c r="AH371" s="32"/>
      <c r="AI371" s="31">
        <v>351</v>
      </c>
      <c r="AJ371" s="33">
        <v>381</v>
      </c>
      <c r="AK371" s="31">
        <v>372</v>
      </c>
      <c r="AL371" s="32">
        <v>360</v>
      </c>
      <c r="AM371" s="31"/>
      <c r="AN371" s="115"/>
      <c r="AO371" s="111"/>
      <c r="AP371" s="32"/>
      <c r="AQ371" s="31"/>
      <c r="AR371" s="115"/>
      <c r="AS371" s="111"/>
      <c r="AT371" s="32"/>
      <c r="AU371" s="31"/>
      <c r="AV371" s="111"/>
      <c r="AW371" s="111"/>
      <c r="AX371" s="31">
        <v>373</v>
      </c>
      <c r="AY371" s="32">
        <v>356</v>
      </c>
      <c r="AZ371" s="31"/>
      <c r="BA371" s="115"/>
      <c r="BB371" s="31">
        <v>360</v>
      </c>
      <c r="BC371" s="32">
        <v>364</v>
      </c>
      <c r="BD371" s="31">
        <v>354</v>
      </c>
      <c r="BE371" s="115">
        <v>366</v>
      </c>
      <c r="BF371" s="111">
        <v>368</v>
      </c>
      <c r="BG371" s="32">
        <v>342</v>
      </c>
      <c r="BH371" s="31">
        <v>366</v>
      </c>
      <c r="BI371" s="32">
        <v>351</v>
      </c>
      <c r="BJ371" s="111">
        <v>26</v>
      </c>
      <c r="BK371" s="33">
        <v>323</v>
      </c>
      <c r="BL371" s="115">
        <v>384</v>
      </c>
      <c r="BM371" s="111">
        <v>371</v>
      </c>
      <c r="BN371" s="35">
        <v>322</v>
      </c>
      <c r="BO371" s="32">
        <v>25</v>
      </c>
      <c r="BP371" s="31">
        <v>365</v>
      </c>
      <c r="BQ371" s="32">
        <v>360</v>
      </c>
      <c r="BR371" s="31">
        <v>337</v>
      </c>
      <c r="BS371" s="32">
        <v>394</v>
      </c>
      <c r="BT371" s="31">
        <v>352</v>
      </c>
      <c r="BU371" s="33">
        <v>26</v>
      </c>
      <c r="BV371" s="115">
        <v>339</v>
      </c>
      <c r="BW371" s="111">
        <v>377</v>
      </c>
      <c r="BX371" s="32">
        <v>360</v>
      </c>
      <c r="BY371" s="31">
        <v>370</v>
      </c>
      <c r="BZ371" s="32">
        <v>337</v>
      </c>
      <c r="CA371" s="111">
        <v>356</v>
      </c>
      <c r="CB371" s="32">
        <v>366</v>
      </c>
      <c r="CC371" s="33">
        <v>481</v>
      </c>
      <c r="CD371" s="34">
        <v>547</v>
      </c>
      <c r="CE371" s="111">
        <v>305</v>
      </c>
      <c r="CF371" s="38">
        <v>279</v>
      </c>
      <c r="CG371" s="31">
        <v>174</v>
      </c>
      <c r="CH371" s="35">
        <v>153</v>
      </c>
      <c r="CI371" s="35">
        <v>185</v>
      </c>
      <c r="CJ371" s="35">
        <v>225</v>
      </c>
      <c r="CK371" s="32">
        <v>324</v>
      </c>
    </row>
    <row r="372" spans="1:89" ht="13" x14ac:dyDescent="0.25">
      <c r="A372" s="27">
        <v>5922</v>
      </c>
      <c r="B372" s="28" t="s">
        <v>395</v>
      </c>
      <c r="C372" s="29">
        <v>1158</v>
      </c>
      <c r="D372" s="30">
        <v>792</v>
      </c>
      <c r="E372" s="20">
        <f t="shared" si="5"/>
        <v>0.68393782383419688</v>
      </c>
      <c r="F372" s="31">
        <v>0</v>
      </c>
      <c r="G372" s="111">
        <v>0</v>
      </c>
      <c r="H372" s="111">
        <v>0</v>
      </c>
      <c r="I372" s="111">
        <v>1</v>
      </c>
      <c r="J372" s="111">
        <v>1</v>
      </c>
      <c r="K372" s="111">
        <v>0</v>
      </c>
      <c r="L372" s="111">
        <v>0</v>
      </c>
      <c r="M372" s="111">
        <v>320</v>
      </c>
      <c r="N372" s="111">
        <v>0</v>
      </c>
      <c r="O372" s="111">
        <v>0</v>
      </c>
      <c r="P372" s="35">
        <v>2</v>
      </c>
      <c r="Q372" s="35">
        <v>2</v>
      </c>
      <c r="R372" s="35">
        <v>460</v>
      </c>
      <c r="S372" s="32">
        <v>0</v>
      </c>
      <c r="T372" s="31">
        <v>305</v>
      </c>
      <c r="U372" s="32">
        <v>450</v>
      </c>
      <c r="V372" s="31">
        <v>471</v>
      </c>
      <c r="W372" s="32">
        <v>295</v>
      </c>
      <c r="X372" s="31">
        <v>313</v>
      </c>
      <c r="Y372" s="32">
        <v>433</v>
      </c>
      <c r="Z372" s="111">
        <v>326</v>
      </c>
      <c r="AA372" s="35">
        <v>0</v>
      </c>
      <c r="AB372" s="35">
        <v>33</v>
      </c>
      <c r="AC372" s="35">
        <v>416</v>
      </c>
      <c r="AD372" s="35">
        <v>0</v>
      </c>
      <c r="AE372" s="33">
        <v>0</v>
      </c>
      <c r="AF372" s="115">
        <v>1</v>
      </c>
      <c r="AG372" s="111"/>
      <c r="AH372" s="32"/>
      <c r="AI372" s="31">
        <v>438</v>
      </c>
      <c r="AJ372" s="33">
        <v>305</v>
      </c>
      <c r="AK372" s="31">
        <v>460</v>
      </c>
      <c r="AL372" s="32">
        <v>288</v>
      </c>
      <c r="AM372" s="31"/>
      <c r="AN372" s="115"/>
      <c r="AO372" s="111"/>
      <c r="AP372" s="32"/>
      <c r="AQ372" s="31"/>
      <c r="AR372" s="115"/>
      <c r="AS372" s="111"/>
      <c r="AT372" s="32"/>
      <c r="AU372" s="31"/>
      <c r="AV372" s="111"/>
      <c r="AW372" s="111"/>
      <c r="AX372" s="31">
        <v>441</v>
      </c>
      <c r="AY372" s="32">
        <v>290</v>
      </c>
      <c r="AZ372" s="31"/>
      <c r="BA372" s="115"/>
      <c r="BB372" s="31">
        <v>440</v>
      </c>
      <c r="BC372" s="32">
        <v>294</v>
      </c>
      <c r="BD372" s="31">
        <v>431</v>
      </c>
      <c r="BE372" s="115">
        <v>300</v>
      </c>
      <c r="BF372" s="111">
        <v>296</v>
      </c>
      <c r="BG372" s="32">
        <v>425</v>
      </c>
      <c r="BH372" s="31">
        <v>460</v>
      </c>
      <c r="BI372" s="32">
        <v>277</v>
      </c>
      <c r="BJ372" s="111">
        <v>21</v>
      </c>
      <c r="BK372" s="33">
        <v>403</v>
      </c>
      <c r="BL372" s="115">
        <v>318</v>
      </c>
      <c r="BM372" s="111">
        <v>314</v>
      </c>
      <c r="BN372" s="35">
        <v>396</v>
      </c>
      <c r="BO372" s="32">
        <v>24</v>
      </c>
      <c r="BP372" s="31">
        <v>444</v>
      </c>
      <c r="BQ372" s="32">
        <v>292</v>
      </c>
      <c r="BR372" s="31">
        <v>264</v>
      </c>
      <c r="BS372" s="32">
        <v>485</v>
      </c>
      <c r="BT372" s="31">
        <v>414</v>
      </c>
      <c r="BU372" s="33">
        <v>31</v>
      </c>
      <c r="BV372" s="115">
        <v>291</v>
      </c>
      <c r="BW372" s="111">
        <v>304</v>
      </c>
      <c r="BX372" s="32">
        <v>451</v>
      </c>
      <c r="BY372" s="31">
        <v>305</v>
      </c>
      <c r="BZ372" s="32">
        <v>427</v>
      </c>
      <c r="CA372" s="111">
        <v>416</v>
      </c>
      <c r="CB372" s="32">
        <v>309</v>
      </c>
      <c r="CC372" s="33">
        <v>536</v>
      </c>
      <c r="CD372" s="34">
        <v>512</v>
      </c>
      <c r="CE372" s="111">
        <v>343</v>
      </c>
      <c r="CF372" s="38">
        <v>266</v>
      </c>
      <c r="CG372" s="31">
        <v>177</v>
      </c>
      <c r="CH372" s="35">
        <v>171</v>
      </c>
      <c r="CI372" s="35">
        <v>125</v>
      </c>
      <c r="CJ372" s="35">
        <v>175</v>
      </c>
      <c r="CK372" s="32">
        <v>415</v>
      </c>
    </row>
    <row r="373" spans="1:89" ht="13" x14ac:dyDescent="0.25">
      <c r="A373" s="27">
        <v>5923</v>
      </c>
      <c r="B373" s="28" t="s">
        <v>396</v>
      </c>
      <c r="C373" s="29">
        <v>702</v>
      </c>
      <c r="D373" s="30">
        <v>418</v>
      </c>
      <c r="E373" s="20">
        <f t="shared" si="5"/>
        <v>0.59544159544159547</v>
      </c>
      <c r="F373" s="31">
        <v>0</v>
      </c>
      <c r="G373" s="111">
        <v>0</v>
      </c>
      <c r="H373" s="111">
        <v>0</v>
      </c>
      <c r="I373" s="111">
        <v>0</v>
      </c>
      <c r="J373" s="111">
        <v>0</v>
      </c>
      <c r="K373" s="111">
        <v>0</v>
      </c>
      <c r="L373" s="111">
        <v>0</v>
      </c>
      <c r="M373" s="111">
        <v>254</v>
      </c>
      <c r="N373" s="111">
        <v>0</v>
      </c>
      <c r="O373" s="111">
        <v>0</v>
      </c>
      <c r="P373" s="35">
        <v>0</v>
      </c>
      <c r="Q373" s="35">
        <v>1</v>
      </c>
      <c r="R373" s="35">
        <v>157</v>
      </c>
      <c r="S373" s="32">
        <v>0</v>
      </c>
      <c r="T373" s="31">
        <v>246</v>
      </c>
      <c r="U373" s="32">
        <v>152</v>
      </c>
      <c r="V373" s="31">
        <v>167</v>
      </c>
      <c r="W373" s="32">
        <v>233</v>
      </c>
      <c r="X373" s="31">
        <v>255</v>
      </c>
      <c r="Y373" s="32">
        <v>143</v>
      </c>
      <c r="Z373" s="111">
        <v>255</v>
      </c>
      <c r="AA373" s="35">
        <v>0</v>
      </c>
      <c r="AB373" s="35">
        <v>14</v>
      </c>
      <c r="AC373" s="35">
        <v>136</v>
      </c>
      <c r="AD373" s="35">
        <v>0</v>
      </c>
      <c r="AE373" s="33">
        <v>0</v>
      </c>
      <c r="AF373" s="115">
        <v>0</v>
      </c>
      <c r="AG373" s="111"/>
      <c r="AH373" s="32"/>
      <c r="AI373" s="31">
        <v>149</v>
      </c>
      <c r="AJ373" s="33">
        <v>247</v>
      </c>
      <c r="AK373" s="31">
        <v>153</v>
      </c>
      <c r="AL373" s="32">
        <v>242</v>
      </c>
      <c r="AM373" s="31"/>
      <c r="AN373" s="115"/>
      <c r="AO373" s="111"/>
      <c r="AP373" s="32"/>
      <c r="AQ373" s="31"/>
      <c r="AR373" s="115"/>
      <c r="AS373" s="111"/>
      <c r="AT373" s="32"/>
      <c r="AU373" s="31"/>
      <c r="AV373" s="111"/>
      <c r="AW373" s="111"/>
      <c r="AX373" s="31">
        <v>152</v>
      </c>
      <c r="AY373" s="32">
        <v>244</v>
      </c>
      <c r="AZ373" s="31"/>
      <c r="BA373" s="115"/>
      <c r="BB373" s="31">
        <v>150</v>
      </c>
      <c r="BC373" s="32">
        <v>241</v>
      </c>
      <c r="BD373" s="31">
        <v>148</v>
      </c>
      <c r="BE373" s="115">
        <v>244</v>
      </c>
      <c r="BF373" s="111">
        <v>238</v>
      </c>
      <c r="BG373" s="32">
        <v>150</v>
      </c>
      <c r="BH373" s="31">
        <v>163</v>
      </c>
      <c r="BI373" s="32">
        <v>223</v>
      </c>
      <c r="BJ373" s="111">
        <v>14</v>
      </c>
      <c r="BK373" s="33">
        <v>133</v>
      </c>
      <c r="BL373" s="115">
        <v>250</v>
      </c>
      <c r="BM373" s="111">
        <v>250</v>
      </c>
      <c r="BN373" s="35">
        <v>133</v>
      </c>
      <c r="BO373" s="32">
        <v>9</v>
      </c>
      <c r="BP373" s="31">
        <v>151</v>
      </c>
      <c r="BQ373" s="32">
        <v>241</v>
      </c>
      <c r="BR373" s="31">
        <v>225</v>
      </c>
      <c r="BS373" s="32">
        <v>168</v>
      </c>
      <c r="BT373" s="31">
        <v>137</v>
      </c>
      <c r="BU373" s="33">
        <v>20</v>
      </c>
      <c r="BV373" s="115">
        <v>234</v>
      </c>
      <c r="BW373" s="111">
        <v>241</v>
      </c>
      <c r="BX373" s="32">
        <v>157</v>
      </c>
      <c r="BY373" s="31">
        <v>248</v>
      </c>
      <c r="BZ373" s="32">
        <v>142</v>
      </c>
      <c r="CA373" s="111">
        <v>148</v>
      </c>
      <c r="CB373" s="32">
        <v>244</v>
      </c>
      <c r="CC373" s="33">
        <v>250</v>
      </c>
      <c r="CD373" s="34">
        <v>330</v>
      </c>
      <c r="CE373" s="111">
        <v>206</v>
      </c>
      <c r="CF373" s="38">
        <v>125</v>
      </c>
      <c r="CG373" s="31">
        <v>94</v>
      </c>
      <c r="CH373" s="35">
        <v>62</v>
      </c>
      <c r="CI373" s="35">
        <v>102</v>
      </c>
      <c r="CJ373" s="35">
        <v>127</v>
      </c>
      <c r="CK373" s="32">
        <v>174</v>
      </c>
    </row>
    <row r="374" spans="1:89" ht="13" x14ac:dyDescent="0.25">
      <c r="A374" s="27">
        <v>5924</v>
      </c>
      <c r="B374" s="28" t="s">
        <v>397</v>
      </c>
      <c r="C374" s="29">
        <v>1191</v>
      </c>
      <c r="D374" s="30">
        <v>792</v>
      </c>
      <c r="E374" s="20">
        <f t="shared" si="5"/>
        <v>0.66498740554156166</v>
      </c>
      <c r="F374" s="31">
        <v>0</v>
      </c>
      <c r="G374" s="111">
        <v>0</v>
      </c>
      <c r="H374" s="111">
        <v>0</v>
      </c>
      <c r="I374" s="111">
        <v>0</v>
      </c>
      <c r="J374" s="111">
        <v>3</v>
      </c>
      <c r="K374" s="111">
        <v>0</v>
      </c>
      <c r="L374" s="111">
        <v>0</v>
      </c>
      <c r="M374" s="111">
        <v>436</v>
      </c>
      <c r="N374" s="111">
        <v>0</v>
      </c>
      <c r="O374" s="111">
        <v>1</v>
      </c>
      <c r="P374" s="35">
        <v>5</v>
      </c>
      <c r="Q374" s="35">
        <v>3</v>
      </c>
      <c r="R374" s="35">
        <v>331</v>
      </c>
      <c r="S374" s="32">
        <v>0</v>
      </c>
      <c r="T374" s="31">
        <v>438</v>
      </c>
      <c r="U374" s="32">
        <v>320</v>
      </c>
      <c r="V374" s="31">
        <v>340</v>
      </c>
      <c r="W374" s="32">
        <v>424</v>
      </c>
      <c r="X374" s="31">
        <v>434</v>
      </c>
      <c r="Y374" s="32">
        <v>318</v>
      </c>
      <c r="Z374" s="111">
        <v>449</v>
      </c>
      <c r="AA374" s="35">
        <v>0</v>
      </c>
      <c r="AB374" s="35">
        <v>38</v>
      </c>
      <c r="AC374" s="35">
        <v>285</v>
      </c>
      <c r="AD374" s="35">
        <v>1</v>
      </c>
      <c r="AE374" s="33">
        <v>0</v>
      </c>
      <c r="AF374" s="115">
        <v>0</v>
      </c>
      <c r="AG374" s="111"/>
      <c r="AH374" s="32"/>
      <c r="AI374" s="31">
        <v>310</v>
      </c>
      <c r="AJ374" s="33">
        <v>440</v>
      </c>
      <c r="AK374" s="31">
        <v>328</v>
      </c>
      <c r="AL374" s="32">
        <v>425</v>
      </c>
      <c r="AM374" s="31"/>
      <c r="AN374" s="115"/>
      <c r="AO374" s="111"/>
      <c r="AP374" s="32"/>
      <c r="AQ374" s="31"/>
      <c r="AR374" s="115"/>
      <c r="AS374" s="111"/>
      <c r="AT374" s="32"/>
      <c r="AU374" s="31"/>
      <c r="AV374" s="111"/>
      <c r="AW374" s="111"/>
      <c r="AX374" s="31">
        <v>325</v>
      </c>
      <c r="AY374" s="32">
        <v>425</v>
      </c>
      <c r="AZ374" s="31"/>
      <c r="BA374" s="115"/>
      <c r="BB374" s="31">
        <v>319</v>
      </c>
      <c r="BC374" s="32">
        <v>423</v>
      </c>
      <c r="BD374" s="31">
        <v>318</v>
      </c>
      <c r="BE374" s="115">
        <v>424</v>
      </c>
      <c r="BF374" s="111">
        <v>418</v>
      </c>
      <c r="BG374" s="32">
        <v>321</v>
      </c>
      <c r="BH374" s="31">
        <v>336</v>
      </c>
      <c r="BI374" s="32">
        <v>408</v>
      </c>
      <c r="BJ374" s="111">
        <v>43</v>
      </c>
      <c r="BK374" s="33">
        <v>275</v>
      </c>
      <c r="BL374" s="115">
        <v>443</v>
      </c>
      <c r="BM374" s="111">
        <v>432</v>
      </c>
      <c r="BN374" s="35">
        <v>280</v>
      </c>
      <c r="BO374" s="32">
        <v>39</v>
      </c>
      <c r="BP374" s="31">
        <v>327</v>
      </c>
      <c r="BQ374" s="32">
        <v>417</v>
      </c>
      <c r="BR374" s="31">
        <v>390</v>
      </c>
      <c r="BS374" s="32">
        <v>368</v>
      </c>
      <c r="BT374" s="31">
        <v>294</v>
      </c>
      <c r="BU374" s="33">
        <v>40</v>
      </c>
      <c r="BV374" s="115">
        <v>419</v>
      </c>
      <c r="BW374" s="111">
        <v>440</v>
      </c>
      <c r="BX374" s="32">
        <v>326</v>
      </c>
      <c r="BY374" s="31">
        <v>434</v>
      </c>
      <c r="BZ374" s="32">
        <v>307</v>
      </c>
      <c r="CA374" s="111">
        <v>309</v>
      </c>
      <c r="CB374" s="32">
        <v>439</v>
      </c>
      <c r="CC374" s="33">
        <v>461</v>
      </c>
      <c r="CD374" s="34">
        <v>618</v>
      </c>
      <c r="CE374" s="111">
        <v>309</v>
      </c>
      <c r="CF374" s="38">
        <v>328</v>
      </c>
      <c r="CG374" s="31">
        <v>169</v>
      </c>
      <c r="CH374" s="35">
        <v>161</v>
      </c>
      <c r="CI374" s="35">
        <v>211</v>
      </c>
      <c r="CJ374" s="35">
        <v>262</v>
      </c>
      <c r="CK374" s="32">
        <v>314</v>
      </c>
    </row>
    <row r="375" spans="1:89" ht="13" x14ac:dyDescent="0.25">
      <c r="A375" s="27">
        <v>5925</v>
      </c>
      <c r="B375" s="28" t="s">
        <v>398</v>
      </c>
      <c r="C375" s="29">
        <v>1295</v>
      </c>
      <c r="D375" s="30">
        <v>887</v>
      </c>
      <c r="E375" s="20">
        <f t="shared" si="5"/>
        <v>0.68494208494208497</v>
      </c>
      <c r="F375" s="31">
        <v>0</v>
      </c>
      <c r="G375" s="111">
        <v>0</v>
      </c>
      <c r="H375" s="111">
        <v>0</v>
      </c>
      <c r="I375" s="111">
        <v>0</v>
      </c>
      <c r="J375" s="111">
        <v>2</v>
      </c>
      <c r="K375" s="111">
        <v>0</v>
      </c>
      <c r="L375" s="111">
        <v>0</v>
      </c>
      <c r="M375" s="111">
        <v>533</v>
      </c>
      <c r="N375" s="111">
        <v>0</v>
      </c>
      <c r="O375" s="111">
        <v>0</v>
      </c>
      <c r="P375" s="35">
        <v>2</v>
      </c>
      <c r="Q375" s="35">
        <v>0</v>
      </c>
      <c r="R375" s="35">
        <v>337</v>
      </c>
      <c r="S375" s="32">
        <v>0</v>
      </c>
      <c r="T375" s="31">
        <v>521</v>
      </c>
      <c r="U375" s="32">
        <v>336</v>
      </c>
      <c r="V375" s="31">
        <v>342</v>
      </c>
      <c r="W375" s="32">
        <v>510</v>
      </c>
      <c r="X375" s="31">
        <v>524</v>
      </c>
      <c r="Y375" s="32">
        <v>324</v>
      </c>
      <c r="Z375" s="111">
        <v>538</v>
      </c>
      <c r="AA375" s="35">
        <v>0</v>
      </c>
      <c r="AB375" s="35">
        <v>32</v>
      </c>
      <c r="AC375" s="35">
        <v>297</v>
      </c>
      <c r="AD375" s="35">
        <v>0</v>
      </c>
      <c r="AE375" s="33">
        <v>0</v>
      </c>
      <c r="AF375" s="115">
        <v>0</v>
      </c>
      <c r="AG375" s="111"/>
      <c r="AH375" s="32"/>
      <c r="AI375" s="31">
        <v>317</v>
      </c>
      <c r="AJ375" s="33">
        <v>518</v>
      </c>
      <c r="AK375" s="31">
        <v>323</v>
      </c>
      <c r="AL375" s="32">
        <v>521</v>
      </c>
      <c r="AM375" s="31"/>
      <c r="AN375" s="115"/>
      <c r="AO375" s="111"/>
      <c r="AP375" s="32"/>
      <c r="AQ375" s="31"/>
      <c r="AR375" s="115"/>
      <c r="AS375" s="111"/>
      <c r="AT375" s="32"/>
      <c r="AU375" s="31"/>
      <c r="AV375" s="111"/>
      <c r="AW375" s="111"/>
      <c r="AX375" s="31">
        <v>341</v>
      </c>
      <c r="AY375" s="32">
        <v>503</v>
      </c>
      <c r="AZ375" s="31"/>
      <c r="BA375" s="115"/>
      <c r="BB375" s="31">
        <v>330</v>
      </c>
      <c r="BC375" s="32">
        <v>508</v>
      </c>
      <c r="BD375" s="31">
        <v>314</v>
      </c>
      <c r="BE375" s="115">
        <v>517</v>
      </c>
      <c r="BF375" s="111">
        <v>512</v>
      </c>
      <c r="BG375" s="32">
        <v>316</v>
      </c>
      <c r="BH375" s="31">
        <v>334</v>
      </c>
      <c r="BI375" s="32">
        <v>501</v>
      </c>
      <c r="BJ375" s="111">
        <v>36</v>
      </c>
      <c r="BK375" s="33">
        <v>290</v>
      </c>
      <c r="BL375" s="115">
        <v>515</v>
      </c>
      <c r="BM375" s="111">
        <v>512</v>
      </c>
      <c r="BN375" s="35">
        <v>294</v>
      </c>
      <c r="BO375" s="32">
        <v>30</v>
      </c>
      <c r="BP375" s="31">
        <v>320</v>
      </c>
      <c r="BQ375" s="32">
        <v>520</v>
      </c>
      <c r="BR375" s="31">
        <v>482</v>
      </c>
      <c r="BS375" s="32">
        <v>362</v>
      </c>
      <c r="BT375" s="31">
        <v>313</v>
      </c>
      <c r="BU375" s="33">
        <v>34</v>
      </c>
      <c r="BV375" s="115">
        <v>490</v>
      </c>
      <c r="BW375" s="111">
        <v>519</v>
      </c>
      <c r="BX375" s="32">
        <v>333</v>
      </c>
      <c r="BY375" s="31">
        <v>517</v>
      </c>
      <c r="BZ375" s="32">
        <v>310</v>
      </c>
      <c r="CA375" s="111">
        <v>309</v>
      </c>
      <c r="CB375" s="32">
        <v>525</v>
      </c>
      <c r="CC375" s="33">
        <v>513</v>
      </c>
      <c r="CD375" s="34">
        <v>703</v>
      </c>
      <c r="CE375" s="111">
        <v>350</v>
      </c>
      <c r="CF375" s="38">
        <v>406</v>
      </c>
      <c r="CG375" s="31">
        <v>154</v>
      </c>
      <c r="CH375" s="35">
        <v>150</v>
      </c>
      <c r="CI375" s="35">
        <v>346</v>
      </c>
      <c r="CJ375" s="35">
        <v>350</v>
      </c>
      <c r="CK375" s="32">
        <v>314</v>
      </c>
    </row>
    <row r="376" spans="1:89" ht="13" x14ac:dyDescent="0.25">
      <c r="A376" s="27">
        <v>5926</v>
      </c>
      <c r="B376" s="28" t="s">
        <v>399</v>
      </c>
      <c r="C376" s="29">
        <v>1350</v>
      </c>
      <c r="D376" s="30">
        <v>888</v>
      </c>
      <c r="E376" s="20">
        <f t="shared" si="5"/>
        <v>0.65777777777777779</v>
      </c>
      <c r="F376" s="31">
        <v>0</v>
      </c>
      <c r="G376" s="111">
        <v>0</v>
      </c>
      <c r="H376" s="111">
        <v>0</v>
      </c>
      <c r="I376" s="111">
        <v>0</v>
      </c>
      <c r="J376" s="111">
        <v>0</v>
      </c>
      <c r="K376" s="111">
        <v>0</v>
      </c>
      <c r="L376" s="111">
        <v>0</v>
      </c>
      <c r="M376" s="111">
        <v>539</v>
      </c>
      <c r="N376" s="111">
        <v>0</v>
      </c>
      <c r="O376" s="111">
        <v>0</v>
      </c>
      <c r="P376" s="35">
        <v>8</v>
      </c>
      <c r="Q376" s="35">
        <v>0</v>
      </c>
      <c r="R376" s="35">
        <v>337</v>
      </c>
      <c r="S376" s="32">
        <v>0</v>
      </c>
      <c r="T376" s="31">
        <v>523</v>
      </c>
      <c r="U376" s="32">
        <v>334</v>
      </c>
      <c r="V376" s="31">
        <v>354</v>
      </c>
      <c r="W376" s="32">
        <v>503</v>
      </c>
      <c r="X376" s="31">
        <v>540</v>
      </c>
      <c r="Y376" s="32">
        <v>308</v>
      </c>
      <c r="Z376" s="111">
        <v>530</v>
      </c>
      <c r="AA376" s="35">
        <v>0</v>
      </c>
      <c r="AB376" s="35">
        <v>43</v>
      </c>
      <c r="AC376" s="35">
        <v>300</v>
      </c>
      <c r="AD376" s="35">
        <v>0</v>
      </c>
      <c r="AE376" s="33">
        <v>0</v>
      </c>
      <c r="AF376" s="115">
        <v>0</v>
      </c>
      <c r="AG376" s="111"/>
      <c r="AH376" s="32"/>
      <c r="AI376" s="31">
        <v>314</v>
      </c>
      <c r="AJ376" s="33">
        <v>527</v>
      </c>
      <c r="AK376" s="31">
        <v>332</v>
      </c>
      <c r="AL376" s="32">
        <v>521</v>
      </c>
      <c r="AM376" s="31"/>
      <c r="AN376" s="115"/>
      <c r="AO376" s="111"/>
      <c r="AP376" s="32"/>
      <c r="AQ376" s="31"/>
      <c r="AR376" s="115"/>
      <c r="AS376" s="111"/>
      <c r="AT376" s="32"/>
      <c r="AU376" s="31"/>
      <c r="AV376" s="111"/>
      <c r="AW376" s="111"/>
      <c r="AX376" s="31">
        <v>338</v>
      </c>
      <c r="AY376" s="32">
        <v>510</v>
      </c>
      <c r="AZ376" s="31"/>
      <c r="BA376" s="115"/>
      <c r="BB376" s="31">
        <v>330</v>
      </c>
      <c r="BC376" s="32">
        <v>513</v>
      </c>
      <c r="BD376" s="31">
        <v>329</v>
      </c>
      <c r="BE376" s="115">
        <v>510</v>
      </c>
      <c r="BF376" s="111">
        <v>521</v>
      </c>
      <c r="BG376" s="32">
        <v>317</v>
      </c>
      <c r="BH376" s="31">
        <v>349</v>
      </c>
      <c r="BI376" s="32">
        <v>493</v>
      </c>
      <c r="BJ376" s="111">
        <v>38</v>
      </c>
      <c r="BK376" s="33">
        <v>284</v>
      </c>
      <c r="BL376" s="115">
        <v>526</v>
      </c>
      <c r="BM376" s="111">
        <v>512</v>
      </c>
      <c r="BN376" s="35">
        <v>288</v>
      </c>
      <c r="BO376" s="32">
        <v>38</v>
      </c>
      <c r="BP376" s="31">
        <v>321</v>
      </c>
      <c r="BQ376" s="32">
        <v>512</v>
      </c>
      <c r="BR376" s="31">
        <v>482</v>
      </c>
      <c r="BS376" s="32">
        <v>358</v>
      </c>
      <c r="BT376" s="31">
        <v>310</v>
      </c>
      <c r="BU376" s="33">
        <v>44</v>
      </c>
      <c r="BV376" s="115">
        <v>491</v>
      </c>
      <c r="BW376" s="111">
        <v>517</v>
      </c>
      <c r="BX376" s="32">
        <v>333</v>
      </c>
      <c r="BY376" s="31">
        <v>526</v>
      </c>
      <c r="BZ376" s="32">
        <v>307</v>
      </c>
      <c r="CA376" s="111">
        <v>317</v>
      </c>
      <c r="CB376" s="32">
        <v>526</v>
      </c>
      <c r="CC376" s="33">
        <v>528</v>
      </c>
      <c r="CD376" s="34">
        <v>711</v>
      </c>
      <c r="CE376" s="111">
        <v>345</v>
      </c>
      <c r="CF376" s="38">
        <v>370</v>
      </c>
      <c r="CG376" s="31">
        <v>202</v>
      </c>
      <c r="CH376" s="35">
        <v>141</v>
      </c>
      <c r="CI376" s="35">
        <v>250</v>
      </c>
      <c r="CJ376" s="35">
        <v>298</v>
      </c>
      <c r="CK376" s="32">
        <v>350</v>
      </c>
    </row>
    <row r="377" spans="1:89" ht="13" x14ac:dyDescent="0.25">
      <c r="A377" s="27">
        <v>5927</v>
      </c>
      <c r="B377" s="28" t="s">
        <v>400</v>
      </c>
      <c r="C377" s="29">
        <v>1103</v>
      </c>
      <c r="D377" s="30">
        <v>952</v>
      </c>
      <c r="E377" s="20">
        <f t="shared" si="5"/>
        <v>0.86310063463281961</v>
      </c>
      <c r="F377" s="31">
        <v>0</v>
      </c>
      <c r="G377" s="111">
        <v>0</v>
      </c>
      <c r="H377" s="111">
        <v>0</v>
      </c>
      <c r="I377" s="111">
        <v>1</v>
      </c>
      <c r="J377" s="111">
        <v>2</v>
      </c>
      <c r="K377" s="111">
        <v>0</v>
      </c>
      <c r="L377" s="111">
        <v>0</v>
      </c>
      <c r="M377" s="111">
        <v>242</v>
      </c>
      <c r="N377" s="111">
        <v>0</v>
      </c>
      <c r="O377" s="111">
        <v>0</v>
      </c>
      <c r="P377" s="35">
        <v>10</v>
      </c>
      <c r="Q377" s="35">
        <v>0</v>
      </c>
      <c r="R377" s="35">
        <v>684</v>
      </c>
      <c r="S377" s="32">
        <v>0</v>
      </c>
      <c r="T377" s="31">
        <v>212</v>
      </c>
      <c r="U377" s="32">
        <v>703</v>
      </c>
      <c r="V377" s="31">
        <v>737</v>
      </c>
      <c r="W377" s="32">
        <v>187</v>
      </c>
      <c r="X377" s="31">
        <v>218</v>
      </c>
      <c r="Y377" s="32">
        <v>677</v>
      </c>
      <c r="Z377" s="111">
        <v>278</v>
      </c>
      <c r="AA377" s="35">
        <v>0</v>
      </c>
      <c r="AB377" s="35">
        <v>23</v>
      </c>
      <c r="AC377" s="35">
        <v>632</v>
      </c>
      <c r="AD377" s="35">
        <v>0</v>
      </c>
      <c r="AE377" s="33">
        <v>0</v>
      </c>
      <c r="AF377" s="115">
        <v>0</v>
      </c>
      <c r="AG377" s="111"/>
      <c r="AH377" s="32"/>
      <c r="AI377" s="31">
        <v>689</v>
      </c>
      <c r="AJ377" s="33">
        <v>206</v>
      </c>
      <c r="AK377" s="31">
        <v>712</v>
      </c>
      <c r="AL377" s="32">
        <v>191</v>
      </c>
      <c r="AM377" s="31"/>
      <c r="AN377" s="115"/>
      <c r="AO377" s="111"/>
      <c r="AP377" s="32"/>
      <c r="AQ377" s="31"/>
      <c r="AR377" s="115"/>
      <c r="AS377" s="111"/>
      <c r="AT377" s="32"/>
      <c r="AU377" s="31"/>
      <c r="AV377" s="111"/>
      <c r="AW377" s="111"/>
      <c r="AX377" s="31">
        <v>696</v>
      </c>
      <c r="AY377" s="32">
        <v>199</v>
      </c>
      <c r="AZ377" s="31"/>
      <c r="BA377" s="115"/>
      <c r="BB377" s="31">
        <v>688</v>
      </c>
      <c r="BC377" s="32">
        <v>193</v>
      </c>
      <c r="BD377" s="31">
        <v>676</v>
      </c>
      <c r="BE377" s="115">
        <v>200</v>
      </c>
      <c r="BF377" s="111">
        <v>200</v>
      </c>
      <c r="BG377" s="32">
        <v>652</v>
      </c>
      <c r="BH377" s="31">
        <v>704</v>
      </c>
      <c r="BI377" s="32">
        <v>181</v>
      </c>
      <c r="BJ377" s="111">
        <v>39</v>
      </c>
      <c r="BK377" s="33">
        <v>626</v>
      </c>
      <c r="BL377" s="115">
        <v>231</v>
      </c>
      <c r="BM377" s="111">
        <v>246</v>
      </c>
      <c r="BN377" s="35">
        <v>623</v>
      </c>
      <c r="BO377" s="32">
        <v>30</v>
      </c>
      <c r="BP377" s="31">
        <v>695</v>
      </c>
      <c r="BQ377" s="32">
        <v>189</v>
      </c>
      <c r="BR377" s="31">
        <v>169</v>
      </c>
      <c r="BS377" s="32">
        <v>740</v>
      </c>
      <c r="BT377" s="31">
        <v>652</v>
      </c>
      <c r="BU377" s="33">
        <v>36</v>
      </c>
      <c r="BV377" s="115">
        <v>187</v>
      </c>
      <c r="BW377" s="111">
        <v>232</v>
      </c>
      <c r="BX377" s="32">
        <v>677</v>
      </c>
      <c r="BY377" s="31">
        <v>210</v>
      </c>
      <c r="BZ377" s="32">
        <v>663</v>
      </c>
      <c r="CA377" s="111">
        <v>677</v>
      </c>
      <c r="CB377" s="32">
        <v>207</v>
      </c>
      <c r="CC377" s="33">
        <v>740</v>
      </c>
      <c r="CD377" s="34">
        <v>536</v>
      </c>
      <c r="CE377" s="111">
        <v>518</v>
      </c>
      <c r="CF377" s="38">
        <v>211</v>
      </c>
      <c r="CG377" s="31">
        <v>209</v>
      </c>
      <c r="CH377" s="35">
        <v>370</v>
      </c>
      <c r="CI377" s="35">
        <v>107</v>
      </c>
      <c r="CJ377" s="35">
        <v>124</v>
      </c>
      <c r="CK377" s="32">
        <v>632</v>
      </c>
    </row>
    <row r="378" spans="1:89" ht="13" x14ac:dyDescent="0.25">
      <c r="A378" s="27">
        <v>5928</v>
      </c>
      <c r="B378" s="28" t="s">
        <v>401</v>
      </c>
      <c r="C378" s="29">
        <v>1363</v>
      </c>
      <c r="D378" s="30">
        <v>1047</v>
      </c>
      <c r="E378" s="20">
        <f t="shared" si="5"/>
        <v>0.76815847395451209</v>
      </c>
      <c r="F378" s="31">
        <v>0</v>
      </c>
      <c r="G378" s="111">
        <v>0</v>
      </c>
      <c r="H378" s="111">
        <v>0</v>
      </c>
      <c r="I378" s="111">
        <v>0</v>
      </c>
      <c r="J378" s="111">
        <v>4</v>
      </c>
      <c r="K378" s="111">
        <v>0</v>
      </c>
      <c r="L378" s="111">
        <v>0</v>
      </c>
      <c r="M378" s="111">
        <v>282</v>
      </c>
      <c r="N378" s="111">
        <v>0</v>
      </c>
      <c r="O378" s="111">
        <v>0</v>
      </c>
      <c r="P378" s="35">
        <v>5</v>
      </c>
      <c r="Q378" s="35">
        <v>3</v>
      </c>
      <c r="R378" s="35">
        <v>744</v>
      </c>
      <c r="S378" s="32">
        <v>0</v>
      </c>
      <c r="T378" s="31">
        <v>266</v>
      </c>
      <c r="U378" s="32">
        <v>739</v>
      </c>
      <c r="V378" s="31">
        <v>772</v>
      </c>
      <c r="W378" s="32">
        <v>246</v>
      </c>
      <c r="X378" s="31">
        <v>257</v>
      </c>
      <c r="Y378" s="32">
        <v>731</v>
      </c>
      <c r="Z378" s="111">
        <v>299</v>
      </c>
      <c r="AA378" s="35">
        <v>0</v>
      </c>
      <c r="AB378" s="35">
        <v>32</v>
      </c>
      <c r="AC378" s="35">
        <v>695</v>
      </c>
      <c r="AD378" s="35">
        <v>0</v>
      </c>
      <c r="AE378" s="33">
        <v>0</v>
      </c>
      <c r="AF378" s="115">
        <v>0</v>
      </c>
      <c r="AG378" s="111"/>
      <c r="AH378" s="32"/>
      <c r="AI378" s="31">
        <v>733</v>
      </c>
      <c r="AJ378" s="33">
        <v>256</v>
      </c>
      <c r="AK378" s="31">
        <v>737</v>
      </c>
      <c r="AL378" s="32">
        <v>258</v>
      </c>
      <c r="AM378" s="31"/>
      <c r="AN378" s="115"/>
      <c r="AO378" s="111"/>
      <c r="AP378" s="32"/>
      <c r="AQ378" s="31"/>
      <c r="AR378" s="115"/>
      <c r="AS378" s="111"/>
      <c r="AT378" s="32"/>
      <c r="AU378" s="31"/>
      <c r="AV378" s="111"/>
      <c r="AW378" s="111"/>
      <c r="AX378" s="31">
        <v>746</v>
      </c>
      <c r="AY378" s="32">
        <v>238</v>
      </c>
      <c r="AZ378" s="31"/>
      <c r="BA378" s="115"/>
      <c r="BB378" s="31">
        <v>720</v>
      </c>
      <c r="BC378" s="32">
        <v>243</v>
      </c>
      <c r="BD378" s="31">
        <v>711</v>
      </c>
      <c r="BE378" s="115">
        <v>252</v>
      </c>
      <c r="BF378" s="111">
        <v>248</v>
      </c>
      <c r="BG378" s="32">
        <v>711</v>
      </c>
      <c r="BH378" s="31">
        <v>751</v>
      </c>
      <c r="BI378" s="32">
        <v>226</v>
      </c>
      <c r="BJ378" s="111">
        <v>48</v>
      </c>
      <c r="BK378" s="33">
        <v>682</v>
      </c>
      <c r="BL378" s="115">
        <v>257</v>
      </c>
      <c r="BM378" s="111">
        <v>274</v>
      </c>
      <c r="BN378" s="35">
        <v>675</v>
      </c>
      <c r="BO378" s="32">
        <v>38</v>
      </c>
      <c r="BP378" s="31">
        <v>729</v>
      </c>
      <c r="BQ378" s="32">
        <v>251</v>
      </c>
      <c r="BR378" s="31">
        <v>208</v>
      </c>
      <c r="BS378" s="32">
        <v>790</v>
      </c>
      <c r="BT378" s="31">
        <v>692</v>
      </c>
      <c r="BU378" s="33">
        <v>51</v>
      </c>
      <c r="BV378" s="115">
        <v>224</v>
      </c>
      <c r="BW378" s="111">
        <v>268</v>
      </c>
      <c r="BX378" s="32">
        <v>739</v>
      </c>
      <c r="BY378" s="31">
        <v>267</v>
      </c>
      <c r="BZ378" s="32">
        <v>693</v>
      </c>
      <c r="CA378" s="111">
        <v>717</v>
      </c>
      <c r="CB378" s="32">
        <v>259</v>
      </c>
      <c r="CC378" s="33">
        <v>786</v>
      </c>
      <c r="CD378" s="34">
        <v>606</v>
      </c>
      <c r="CE378" s="111">
        <v>576</v>
      </c>
      <c r="CF378" s="38">
        <v>238</v>
      </c>
      <c r="CG378" s="31">
        <v>211</v>
      </c>
      <c r="CH378" s="35">
        <v>443</v>
      </c>
      <c r="CI378" s="35">
        <v>114</v>
      </c>
      <c r="CJ378" s="35">
        <v>129</v>
      </c>
      <c r="CK378" s="32">
        <v>662</v>
      </c>
    </row>
    <row r="379" spans="1:89" ht="13" x14ac:dyDescent="0.25">
      <c r="A379" s="27">
        <v>5929</v>
      </c>
      <c r="B379" s="28" t="s">
        <v>402</v>
      </c>
      <c r="C379" s="29">
        <v>1161</v>
      </c>
      <c r="D379" s="30">
        <v>632</v>
      </c>
      <c r="E379" s="20">
        <f t="shared" si="5"/>
        <v>0.54435831180017225</v>
      </c>
      <c r="F379" s="31">
        <v>0</v>
      </c>
      <c r="G379" s="111">
        <v>0</v>
      </c>
      <c r="H379" s="111">
        <v>0</v>
      </c>
      <c r="I379" s="111">
        <v>0</v>
      </c>
      <c r="J379" s="111">
        <v>0</v>
      </c>
      <c r="K379" s="111">
        <v>0</v>
      </c>
      <c r="L379" s="111">
        <v>0</v>
      </c>
      <c r="M379" s="111">
        <v>336</v>
      </c>
      <c r="N379" s="111">
        <v>0</v>
      </c>
      <c r="O379" s="111">
        <v>0</v>
      </c>
      <c r="P379" s="35">
        <v>4</v>
      </c>
      <c r="Q379" s="35">
        <v>2</v>
      </c>
      <c r="R379" s="35">
        <v>281</v>
      </c>
      <c r="S379" s="32">
        <v>0</v>
      </c>
      <c r="T379" s="31">
        <v>332</v>
      </c>
      <c r="U379" s="32">
        <v>270</v>
      </c>
      <c r="V379" s="31">
        <v>276</v>
      </c>
      <c r="W379" s="32">
        <v>324</v>
      </c>
      <c r="X379" s="31">
        <v>333</v>
      </c>
      <c r="Y379" s="32">
        <v>260</v>
      </c>
      <c r="Z379" s="111">
        <v>333</v>
      </c>
      <c r="AA379" s="35">
        <v>0</v>
      </c>
      <c r="AB379" s="35">
        <v>32</v>
      </c>
      <c r="AC379" s="35">
        <v>251</v>
      </c>
      <c r="AD379" s="35">
        <v>0</v>
      </c>
      <c r="AE379" s="33">
        <v>0</v>
      </c>
      <c r="AF379" s="115">
        <v>0</v>
      </c>
      <c r="AG379" s="111"/>
      <c r="AH379" s="32"/>
      <c r="AI379" s="31">
        <v>251</v>
      </c>
      <c r="AJ379" s="33">
        <v>335</v>
      </c>
      <c r="AK379" s="31">
        <v>268</v>
      </c>
      <c r="AL379" s="32">
        <v>329</v>
      </c>
      <c r="AM379" s="31"/>
      <c r="AN379" s="115"/>
      <c r="AO379" s="111"/>
      <c r="AP379" s="32"/>
      <c r="AQ379" s="31"/>
      <c r="AR379" s="115"/>
      <c r="AS379" s="111"/>
      <c r="AT379" s="32"/>
      <c r="AU379" s="31"/>
      <c r="AV379" s="111"/>
      <c r="AW379" s="111"/>
      <c r="AX379" s="31">
        <v>272</v>
      </c>
      <c r="AY379" s="32">
        <v>327</v>
      </c>
      <c r="AZ379" s="31"/>
      <c r="BA379" s="115"/>
      <c r="BB379" s="31">
        <v>265</v>
      </c>
      <c r="BC379" s="32">
        <v>329</v>
      </c>
      <c r="BD379" s="31">
        <v>255</v>
      </c>
      <c r="BE379" s="115">
        <v>332</v>
      </c>
      <c r="BF379" s="111">
        <v>326</v>
      </c>
      <c r="BG379" s="32">
        <v>257</v>
      </c>
      <c r="BH379" s="31">
        <v>265</v>
      </c>
      <c r="BI379" s="32">
        <v>322</v>
      </c>
      <c r="BJ379" s="111">
        <v>30</v>
      </c>
      <c r="BK379" s="33">
        <v>248</v>
      </c>
      <c r="BL379" s="115">
        <v>320</v>
      </c>
      <c r="BM379" s="111">
        <v>322</v>
      </c>
      <c r="BN379" s="35">
        <v>247</v>
      </c>
      <c r="BO379" s="32">
        <v>23</v>
      </c>
      <c r="BP379" s="31">
        <v>254</v>
      </c>
      <c r="BQ379" s="32">
        <v>332</v>
      </c>
      <c r="BR379" s="31">
        <v>305</v>
      </c>
      <c r="BS379" s="32">
        <v>284</v>
      </c>
      <c r="BT379" s="31">
        <v>245</v>
      </c>
      <c r="BU379" s="33">
        <v>33</v>
      </c>
      <c r="BV379" s="115">
        <v>308</v>
      </c>
      <c r="BW379" s="111">
        <v>335</v>
      </c>
      <c r="BX379" s="32">
        <v>264</v>
      </c>
      <c r="BY379" s="31">
        <v>325</v>
      </c>
      <c r="BZ379" s="32">
        <v>255</v>
      </c>
      <c r="CA379" s="111">
        <v>257</v>
      </c>
      <c r="CB379" s="32">
        <v>330</v>
      </c>
      <c r="CC379" s="33">
        <v>373</v>
      </c>
      <c r="CD379" s="34">
        <v>473</v>
      </c>
      <c r="CE379" s="111">
        <v>289</v>
      </c>
      <c r="CF379" s="38">
        <v>205</v>
      </c>
      <c r="CG379" s="31">
        <v>141</v>
      </c>
      <c r="CH379" s="35">
        <v>104</v>
      </c>
      <c r="CI379" s="35">
        <v>133</v>
      </c>
      <c r="CJ379" s="35">
        <v>182</v>
      </c>
      <c r="CK379" s="32">
        <v>253</v>
      </c>
    </row>
    <row r="380" spans="1:89" ht="13" x14ac:dyDescent="0.25">
      <c r="A380" s="27">
        <v>5930</v>
      </c>
      <c r="B380" s="28" t="s">
        <v>403</v>
      </c>
      <c r="C380" s="29">
        <v>961</v>
      </c>
      <c r="D380" s="30">
        <v>589</v>
      </c>
      <c r="E380" s="20">
        <f t="shared" si="5"/>
        <v>0.61290322580645162</v>
      </c>
      <c r="F380" s="31">
        <v>0</v>
      </c>
      <c r="G380" s="111">
        <v>0</v>
      </c>
      <c r="H380" s="111">
        <v>0</v>
      </c>
      <c r="I380" s="111">
        <v>0</v>
      </c>
      <c r="J380" s="111">
        <v>2</v>
      </c>
      <c r="K380" s="111">
        <v>0</v>
      </c>
      <c r="L380" s="111">
        <v>0</v>
      </c>
      <c r="M380" s="111">
        <v>470</v>
      </c>
      <c r="N380" s="111">
        <v>0</v>
      </c>
      <c r="O380" s="111">
        <v>0</v>
      </c>
      <c r="P380" s="35">
        <v>2</v>
      </c>
      <c r="Q380" s="35">
        <v>0</v>
      </c>
      <c r="R380" s="35">
        <v>108</v>
      </c>
      <c r="S380" s="32">
        <v>0</v>
      </c>
      <c r="T380" s="31">
        <v>463</v>
      </c>
      <c r="U380" s="32">
        <v>105</v>
      </c>
      <c r="V380" s="31">
        <v>113</v>
      </c>
      <c r="W380" s="32">
        <v>456</v>
      </c>
      <c r="X380" s="31">
        <v>455</v>
      </c>
      <c r="Y380" s="32">
        <v>102</v>
      </c>
      <c r="Z380" s="111">
        <v>463</v>
      </c>
      <c r="AA380" s="35">
        <v>0</v>
      </c>
      <c r="AB380" s="35">
        <v>18</v>
      </c>
      <c r="AC380" s="35">
        <v>96</v>
      </c>
      <c r="AD380" s="35">
        <v>0</v>
      </c>
      <c r="AE380" s="33">
        <v>0</v>
      </c>
      <c r="AF380" s="115">
        <v>0</v>
      </c>
      <c r="AG380" s="111"/>
      <c r="AH380" s="32"/>
      <c r="AI380" s="31">
        <v>93</v>
      </c>
      <c r="AJ380" s="33">
        <v>459</v>
      </c>
      <c r="AK380" s="31">
        <v>112</v>
      </c>
      <c r="AL380" s="32">
        <v>455</v>
      </c>
      <c r="AM380" s="31"/>
      <c r="AN380" s="115"/>
      <c r="AO380" s="111"/>
      <c r="AP380" s="32"/>
      <c r="AQ380" s="31"/>
      <c r="AR380" s="115"/>
      <c r="AS380" s="111"/>
      <c r="AT380" s="32"/>
      <c r="AU380" s="31"/>
      <c r="AV380" s="111"/>
      <c r="AW380" s="111"/>
      <c r="AX380" s="31">
        <v>108</v>
      </c>
      <c r="AY380" s="32">
        <v>457</v>
      </c>
      <c r="AZ380" s="31"/>
      <c r="BA380" s="115"/>
      <c r="BB380" s="31">
        <v>105</v>
      </c>
      <c r="BC380" s="32">
        <v>455</v>
      </c>
      <c r="BD380" s="31">
        <v>98</v>
      </c>
      <c r="BE380" s="115">
        <v>462</v>
      </c>
      <c r="BF380" s="111">
        <v>457</v>
      </c>
      <c r="BG380" s="32">
        <v>99</v>
      </c>
      <c r="BH380" s="31">
        <v>104</v>
      </c>
      <c r="BI380" s="32">
        <v>453</v>
      </c>
      <c r="BJ380" s="111">
        <v>18</v>
      </c>
      <c r="BK380" s="33">
        <v>92</v>
      </c>
      <c r="BL380" s="115">
        <v>457</v>
      </c>
      <c r="BM380" s="111">
        <v>449</v>
      </c>
      <c r="BN380" s="35">
        <v>92</v>
      </c>
      <c r="BO380" s="32">
        <v>17</v>
      </c>
      <c r="BP380" s="31">
        <v>103</v>
      </c>
      <c r="BQ380" s="32">
        <v>458</v>
      </c>
      <c r="BR380" s="31">
        <v>447</v>
      </c>
      <c r="BS380" s="32">
        <v>119</v>
      </c>
      <c r="BT380" s="31">
        <v>102</v>
      </c>
      <c r="BU380" s="33">
        <v>16</v>
      </c>
      <c r="BV380" s="115">
        <v>443</v>
      </c>
      <c r="BW380" s="111">
        <v>470</v>
      </c>
      <c r="BX380" s="32">
        <v>102</v>
      </c>
      <c r="BY380" s="31">
        <v>451</v>
      </c>
      <c r="BZ380" s="32">
        <v>106</v>
      </c>
      <c r="CA380" s="111">
        <v>104</v>
      </c>
      <c r="CB380" s="32">
        <v>454</v>
      </c>
      <c r="CC380" s="33">
        <v>226</v>
      </c>
      <c r="CD380" s="34">
        <v>505</v>
      </c>
      <c r="CE380" s="111">
        <v>175</v>
      </c>
      <c r="CF380" s="38">
        <v>282</v>
      </c>
      <c r="CG380" s="31">
        <v>103</v>
      </c>
      <c r="CH380" s="35">
        <v>47</v>
      </c>
      <c r="CI380" s="35">
        <v>264</v>
      </c>
      <c r="CJ380" s="35">
        <v>286</v>
      </c>
      <c r="CK380" s="32">
        <v>142</v>
      </c>
    </row>
    <row r="381" spans="1:89" ht="13" x14ac:dyDescent="0.25">
      <c r="A381" s="27">
        <v>5931</v>
      </c>
      <c r="B381" s="28" t="s">
        <v>404</v>
      </c>
      <c r="C381" s="29">
        <v>1162</v>
      </c>
      <c r="D381" s="30">
        <v>843</v>
      </c>
      <c r="E381" s="20">
        <f t="shared" si="5"/>
        <v>0.72547332185886404</v>
      </c>
      <c r="F381" s="31">
        <v>0</v>
      </c>
      <c r="G381" s="111">
        <v>0</v>
      </c>
      <c r="H381" s="111">
        <v>0</v>
      </c>
      <c r="I381" s="111">
        <v>0</v>
      </c>
      <c r="J381" s="111">
        <v>3</v>
      </c>
      <c r="K381" s="111">
        <v>0</v>
      </c>
      <c r="L381" s="111">
        <v>0</v>
      </c>
      <c r="M381" s="111">
        <v>361</v>
      </c>
      <c r="N381" s="111">
        <v>0</v>
      </c>
      <c r="O381" s="111">
        <v>0</v>
      </c>
      <c r="P381" s="35">
        <v>3</v>
      </c>
      <c r="Q381" s="35">
        <v>2</v>
      </c>
      <c r="R381" s="35">
        <v>469</v>
      </c>
      <c r="S381" s="32">
        <v>0</v>
      </c>
      <c r="T381" s="31">
        <v>362</v>
      </c>
      <c r="U381" s="32">
        <v>446</v>
      </c>
      <c r="V381" s="31">
        <v>470</v>
      </c>
      <c r="W381" s="32">
        <v>342</v>
      </c>
      <c r="X381" s="31">
        <v>356</v>
      </c>
      <c r="Y381" s="32">
        <v>439</v>
      </c>
      <c r="Z381" s="111">
        <v>372</v>
      </c>
      <c r="AA381" s="35">
        <v>0</v>
      </c>
      <c r="AB381" s="35">
        <v>38</v>
      </c>
      <c r="AC381" s="35">
        <v>413</v>
      </c>
      <c r="AD381" s="35">
        <v>0</v>
      </c>
      <c r="AE381" s="33">
        <v>0</v>
      </c>
      <c r="AF381" s="115">
        <v>0</v>
      </c>
      <c r="AG381" s="111"/>
      <c r="AH381" s="32"/>
      <c r="AI381" s="31">
        <v>430</v>
      </c>
      <c r="AJ381" s="33">
        <v>359</v>
      </c>
      <c r="AK381" s="31">
        <v>445</v>
      </c>
      <c r="AL381" s="32">
        <v>355</v>
      </c>
      <c r="AM381" s="31"/>
      <c r="AN381" s="115"/>
      <c r="AO381" s="111"/>
      <c r="AP381" s="32"/>
      <c r="AQ381" s="31"/>
      <c r="AR381" s="115"/>
      <c r="AS381" s="111"/>
      <c r="AT381" s="32"/>
      <c r="AU381" s="31"/>
      <c r="AV381" s="111"/>
      <c r="AW381" s="111"/>
      <c r="AX381" s="31">
        <v>445</v>
      </c>
      <c r="AY381" s="32">
        <v>343</v>
      </c>
      <c r="AZ381" s="31"/>
      <c r="BA381" s="115"/>
      <c r="BB381" s="31">
        <v>438</v>
      </c>
      <c r="BC381" s="32">
        <v>353</v>
      </c>
      <c r="BD381" s="31">
        <v>429</v>
      </c>
      <c r="BE381" s="115">
        <v>354</v>
      </c>
      <c r="BF381" s="111">
        <v>355</v>
      </c>
      <c r="BG381" s="32">
        <v>420</v>
      </c>
      <c r="BH381" s="31">
        <v>462</v>
      </c>
      <c r="BI381" s="32">
        <v>331</v>
      </c>
      <c r="BJ381" s="111">
        <v>26</v>
      </c>
      <c r="BK381" s="33">
        <v>406</v>
      </c>
      <c r="BL381" s="115">
        <v>361</v>
      </c>
      <c r="BM381" s="111">
        <v>358</v>
      </c>
      <c r="BN381" s="35">
        <v>404</v>
      </c>
      <c r="BO381" s="32">
        <v>25</v>
      </c>
      <c r="BP381" s="31">
        <v>434</v>
      </c>
      <c r="BQ381" s="32">
        <v>350</v>
      </c>
      <c r="BR381" s="31">
        <v>334</v>
      </c>
      <c r="BS381" s="32">
        <v>467</v>
      </c>
      <c r="BT381" s="31">
        <v>426</v>
      </c>
      <c r="BU381" s="33">
        <v>25</v>
      </c>
      <c r="BV381" s="115">
        <v>337</v>
      </c>
      <c r="BW381" s="111">
        <v>363</v>
      </c>
      <c r="BX381" s="32">
        <v>442</v>
      </c>
      <c r="BY381" s="31">
        <v>359</v>
      </c>
      <c r="BZ381" s="32">
        <v>419</v>
      </c>
      <c r="CA381" s="111">
        <v>428</v>
      </c>
      <c r="CB381" s="32">
        <v>361</v>
      </c>
      <c r="CC381" s="33">
        <v>556</v>
      </c>
      <c r="CD381" s="34">
        <v>568</v>
      </c>
      <c r="CE381" s="111">
        <v>376</v>
      </c>
      <c r="CF381" s="38">
        <v>276</v>
      </c>
      <c r="CG381" s="31">
        <v>190</v>
      </c>
      <c r="CH381" s="35">
        <v>208</v>
      </c>
      <c r="CI381" s="35">
        <v>190</v>
      </c>
      <c r="CJ381" s="35">
        <v>206</v>
      </c>
      <c r="CK381" s="32">
        <v>387</v>
      </c>
    </row>
    <row r="382" spans="1:89" ht="13" x14ac:dyDescent="0.25">
      <c r="A382" s="27">
        <v>5932</v>
      </c>
      <c r="B382" s="28" t="s">
        <v>405</v>
      </c>
      <c r="C382" s="29">
        <v>492</v>
      </c>
      <c r="D382" s="30">
        <v>314</v>
      </c>
      <c r="E382" s="20">
        <f t="shared" si="5"/>
        <v>0.63821138211382111</v>
      </c>
      <c r="F382" s="31">
        <v>0</v>
      </c>
      <c r="G382" s="111">
        <v>0</v>
      </c>
      <c r="H382" s="111">
        <v>0</v>
      </c>
      <c r="I382" s="111">
        <v>0</v>
      </c>
      <c r="J382" s="111">
        <v>0</v>
      </c>
      <c r="K382" s="111">
        <v>0</v>
      </c>
      <c r="L382" s="111">
        <v>0</v>
      </c>
      <c r="M382" s="111">
        <v>152</v>
      </c>
      <c r="N382" s="111">
        <v>0</v>
      </c>
      <c r="O382" s="111">
        <v>0</v>
      </c>
      <c r="P382" s="35">
        <v>3</v>
      </c>
      <c r="Q382" s="35">
        <v>0</v>
      </c>
      <c r="R382" s="35">
        <v>153</v>
      </c>
      <c r="S382" s="32">
        <v>0</v>
      </c>
      <c r="T382" s="37">
        <v>138</v>
      </c>
      <c r="U382" s="38">
        <v>159</v>
      </c>
      <c r="V382" s="37">
        <v>152</v>
      </c>
      <c r="W382" s="32">
        <v>141</v>
      </c>
      <c r="X382" s="31">
        <v>143</v>
      </c>
      <c r="Y382" s="32">
        <v>148</v>
      </c>
      <c r="Z382" s="111">
        <v>151</v>
      </c>
      <c r="AA382" s="35">
        <v>0</v>
      </c>
      <c r="AB382" s="35">
        <v>13</v>
      </c>
      <c r="AC382" s="35">
        <v>137</v>
      </c>
      <c r="AD382" s="35">
        <v>0</v>
      </c>
      <c r="AE382" s="33">
        <v>0</v>
      </c>
      <c r="AF382" s="116">
        <v>0</v>
      </c>
      <c r="AG382" s="120"/>
      <c r="AH382" s="38"/>
      <c r="AI382" s="37">
        <v>153</v>
      </c>
      <c r="AJ382" s="36">
        <v>140</v>
      </c>
      <c r="AK382" s="37">
        <v>149</v>
      </c>
      <c r="AL382" s="38">
        <v>142</v>
      </c>
      <c r="AM382" s="37"/>
      <c r="AN382" s="116"/>
      <c r="AO382" s="120"/>
      <c r="AP382" s="38"/>
      <c r="AQ382" s="37"/>
      <c r="AR382" s="116"/>
      <c r="AS382" s="120"/>
      <c r="AT382" s="38"/>
      <c r="AU382" s="37"/>
      <c r="AV382" s="120"/>
      <c r="AW382" s="120"/>
      <c r="AX382" s="37">
        <v>150</v>
      </c>
      <c r="AY382" s="38">
        <v>143</v>
      </c>
      <c r="AZ382" s="37"/>
      <c r="BA382" s="116"/>
      <c r="BB382" s="31">
        <v>144</v>
      </c>
      <c r="BC382" s="32">
        <v>142</v>
      </c>
      <c r="BD382" s="31">
        <v>142</v>
      </c>
      <c r="BE382" s="116">
        <v>144</v>
      </c>
      <c r="BF382" s="120">
        <v>137</v>
      </c>
      <c r="BG382" s="38">
        <v>143</v>
      </c>
      <c r="BH382" s="37">
        <v>155</v>
      </c>
      <c r="BI382" s="38">
        <v>133</v>
      </c>
      <c r="BJ382" s="111">
        <v>12</v>
      </c>
      <c r="BK382" s="33">
        <v>139</v>
      </c>
      <c r="BL382" s="115">
        <v>145</v>
      </c>
      <c r="BM382" s="111">
        <v>146</v>
      </c>
      <c r="BN382" s="35">
        <v>136</v>
      </c>
      <c r="BO382" s="32">
        <v>8</v>
      </c>
      <c r="BP382" s="31">
        <v>150</v>
      </c>
      <c r="BQ382" s="32">
        <v>138</v>
      </c>
      <c r="BR382" s="31">
        <v>137</v>
      </c>
      <c r="BS382" s="32">
        <v>160</v>
      </c>
      <c r="BT382" s="31">
        <v>137</v>
      </c>
      <c r="BU382" s="33">
        <v>12</v>
      </c>
      <c r="BV382" s="115">
        <v>141</v>
      </c>
      <c r="BW382" s="111">
        <v>143</v>
      </c>
      <c r="BX382" s="32">
        <v>155</v>
      </c>
      <c r="BY382" s="31">
        <v>148</v>
      </c>
      <c r="BZ382" s="32">
        <v>137</v>
      </c>
      <c r="CA382" s="111">
        <v>142</v>
      </c>
      <c r="CB382" s="32">
        <v>149</v>
      </c>
      <c r="CC382" s="33">
        <v>193</v>
      </c>
      <c r="CD382" s="34">
        <v>216</v>
      </c>
      <c r="CE382" s="120">
        <v>138</v>
      </c>
      <c r="CF382" s="38">
        <v>98</v>
      </c>
      <c r="CG382" s="31">
        <v>69</v>
      </c>
      <c r="CH382" s="35">
        <v>60</v>
      </c>
      <c r="CI382" s="35">
        <v>53</v>
      </c>
      <c r="CJ382" s="35">
        <v>79</v>
      </c>
      <c r="CK382" s="32">
        <v>155</v>
      </c>
    </row>
    <row r="383" spans="1:89" ht="13" x14ac:dyDescent="0.25">
      <c r="A383" s="27">
        <v>5933</v>
      </c>
      <c r="B383" s="28" t="s">
        <v>406</v>
      </c>
      <c r="C383" s="29">
        <v>1204</v>
      </c>
      <c r="D383" s="30">
        <v>833</v>
      </c>
      <c r="E383" s="20">
        <f t="shared" si="5"/>
        <v>0.69186046511627908</v>
      </c>
      <c r="F383" s="31">
        <v>0</v>
      </c>
      <c r="G383" s="111">
        <v>0</v>
      </c>
      <c r="H383" s="111">
        <v>0</v>
      </c>
      <c r="I383" s="111">
        <v>0</v>
      </c>
      <c r="J383" s="111">
        <v>0</v>
      </c>
      <c r="K383" s="111">
        <v>0</v>
      </c>
      <c r="L383" s="111">
        <v>0</v>
      </c>
      <c r="M383" s="111">
        <v>448</v>
      </c>
      <c r="N383" s="111">
        <v>0</v>
      </c>
      <c r="O383" s="111">
        <v>0</v>
      </c>
      <c r="P383" s="35">
        <v>4</v>
      </c>
      <c r="Q383" s="35">
        <v>2</v>
      </c>
      <c r="R383" s="35">
        <v>372</v>
      </c>
      <c r="S383" s="32">
        <v>0</v>
      </c>
      <c r="T383" s="37">
        <v>440</v>
      </c>
      <c r="U383" s="38">
        <v>363</v>
      </c>
      <c r="V383" s="37">
        <v>393</v>
      </c>
      <c r="W383" s="32">
        <v>418</v>
      </c>
      <c r="X383" s="31">
        <v>442</v>
      </c>
      <c r="Y383" s="32">
        <v>350</v>
      </c>
      <c r="Z383" s="111">
        <v>445</v>
      </c>
      <c r="AA383" s="35">
        <v>0</v>
      </c>
      <c r="AB383" s="35">
        <v>35</v>
      </c>
      <c r="AC383" s="35">
        <v>337</v>
      </c>
      <c r="AD383" s="35">
        <v>0</v>
      </c>
      <c r="AE383" s="33">
        <v>0</v>
      </c>
      <c r="AF383" s="116">
        <v>0</v>
      </c>
      <c r="AG383" s="120"/>
      <c r="AH383" s="38"/>
      <c r="AI383" s="37">
        <v>358</v>
      </c>
      <c r="AJ383" s="36">
        <v>431</v>
      </c>
      <c r="AK383" s="37">
        <v>376</v>
      </c>
      <c r="AL383" s="38">
        <v>430</v>
      </c>
      <c r="AM383" s="37"/>
      <c r="AN383" s="116"/>
      <c r="AO383" s="120"/>
      <c r="AP383" s="38"/>
      <c r="AQ383" s="37"/>
      <c r="AR383" s="116"/>
      <c r="AS383" s="120"/>
      <c r="AT383" s="38"/>
      <c r="AU383" s="37"/>
      <c r="AV383" s="120"/>
      <c r="AW383" s="120"/>
      <c r="AX383" s="37">
        <v>383</v>
      </c>
      <c r="AY383" s="38">
        <v>413</v>
      </c>
      <c r="AZ383" s="37"/>
      <c r="BA383" s="116"/>
      <c r="BB383" s="31">
        <v>365</v>
      </c>
      <c r="BC383" s="32">
        <v>433</v>
      </c>
      <c r="BD383" s="31">
        <v>351</v>
      </c>
      <c r="BE383" s="116">
        <v>439</v>
      </c>
      <c r="BF383" s="120">
        <v>435</v>
      </c>
      <c r="BG383" s="38">
        <v>351</v>
      </c>
      <c r="BH383" s="37">
        <v>376</v>
      </c>
      <c r="BI383" s="38">
        <v>416</v>
      </c>
      <c r="BJ383" s="111">
        <v>46</v>
      </c>
      <c r="BK383" s="33">
        <v>316</v>
      </c>
      <c r="BL383" s="115">
        <v>440</v>
      </c>
      <c r="BM383" s="111">
        <v>461</v>
      </c>
      <c r="BN383" s="35">
        <v>310</v>
      </c>
      <c r="BO383" s="32">
        <v>25</v>
      </c>
      <c r="BP383" s="31">
        <v>353</v>
      </c>
      <c r="BQ383" s="32">
        <v>443</v>
      </c>
      <c r="BR383" s="31">
        <v>408</v>
      </c>
      <c r="BS383" s="32">
        <v>392</v>
      </c>
      <c r="BT383" s="31">
        <v>349</v>
      </c>
      <c r="BU383" s="33">
        <v>40</v>
      </c>
      <c r="BV383" s="115">
        <v>408</v>
      </c>
      <c r="BW383" s="111">
        <v>450</v>
      </c>
      <c r="BX383" s="32">
        <v>360</v>
      </c>
      <c r="BY383" s="31">
        <v>443</v>
      </c>
      <c r="BZ383" s="32">
        <v>344</v>
      </c>
      <c r="CA383" s="111">
        <v>362</v>
      </c>
      <c r="CB383" s="32">
        <v>433</v>
      </c>
      <c r="CC383" s="33">
        <v>503</v>
      </c>
      <c r="CD383" s="34">
        <v>624</v>
      </c>
      <c r="CE383" s="120">
        <v>355</v>
      </c>
      <c r="CF383" s="38">
        <v>320</v>
      </c>
      <c r="CG383" s="31">
        <v>197</v>
      </c>
      <c r="CH383" s="35">
        <v>139</v>
      </c>
      <c r="CI383" s="35">
        <v>207</v>
      </c>
      <c r="CJ383" s="35">
        <v>234</v>
      </c>
      <c r="CK383" s="32">
        <v>378</v>
      </c>
    </row>
    <row r="384" spans="1:89" ht="13" x14ac:dyDescent="0.25">
      <c r="A384" s="27">
        <v>5934</v>
      </c>
      <c r="B384" s="28" t="s">
        <v>407</v>
      </c>
      <c r="C384" s="29">
        <v>1083</v>
      </c>
      <c r="D384" s="30">
        <v>654</v>
      </c>
      <c r="E384" s="20">
        <f t="shared" si="5"/>
        <v>0.60387811634349031</v>
      </c>
      <c r="F384" s="31">
        <v>0</v>
      </c>
      <c r="G384" s="111">
        <v>0</v>
      </c>
      <c r="H384" s="111">
        <v>0</v>
      </c>
      <c r="I384" s="111">
        <v>0</v>
      </c>
      <c r="J384" s="111">
        <v>2</v>
      </c>
      <c r="K384" s="111">
        <v>0</v>
      </c>
      <c r="L384" s="111">
        <v>0</v>
      </c>
      <c r="M384" s="111">
        <v>373</v>
      </c>
      <c r="N384" s="111">
        <v>0</v>
      </c>
      <c r="O384" s="111">
        <v>0</v>
      </c>
      <c r="P384" s="35">
        <v>2</v>
      </c>
      <c r="Q384" s="35">
        <v>3</v>
      </c>
      <c r="R384" s="35">
        <v>264</v>
      </c>
      <c r="S384" s="32">
        <v>0</v>
      </c>
      <c r="T384" s="37">
        <v>362</v>
      </c>
      <c r="U384" s="38">
        <v>267</v>
      </c>
      <c r="V384" s="37">
        <v>279</v>
      </c>
      <c r="W384" s="32">
        <v>354</v>
      </c>
      <c r="X384" s="31">
        <v>362</v>
      </c>
      <c r="Y384" s="32">
        <v>258</v>
      </c>
      <c r="Z384" s="111">
        <v>375</v>
      </c>
      <c r="AA384" s="35">
        <v>0</v>
      </c>
      <c r="AB384" s="35">
        <v>26</v>
      </c>
      <c r="AC384" s="35">
        <v>237</v>
      </c>
      <c r="AD384" s="35">
        <v>0</v>
      </c>
      <c r="AE384" s="33">
        <v>0</v>
      </c>
      <c r="AF384" s="116">
        <v>0</v>
      </c>
      <c r="AG384" s="120"/>
      <c r="AH384" s="38"/>
      <c r="AI384" s="37">
        <v>250</v>
      </c>
      <c r="AJ384" s="36">
        <v>362</v>
      </c>
      <c r="AK384" s="37">
        <v>267</v>
      </c>
      <c r="AL384" s="38">
        <v>357</v>
      </c>
      <c r="AM384" s="37"/>
      <c r="AN384" s="116"/>
      <c r="AO384" s="120"/>
      <c r="AP384" s="38"/>
      <c r="AQ384" s="37"/>
      <c r="AR384" s="116"/>
      <c r="AS384" s="120"/>
      <c r="AT384" s="38"/>
      <c r="AU384" s="37"/>
      <c r="AV384" s="120"/>
      <c r="AW384" s="120"/>
      <c r="AX384" s="37">
        <v>263</v>
      </c>
      <c r="AY384" s="38">
        <v>352</v>
      </c>
      <c r="AZ384" s="37"/>
      <c r="BA384" s="116"/>
      <c r="BB384" s="31">
        <v>250</v>
      </c>
      <c r="BC384" s="32">
        <v>361</v>
      </c>
      <c r="BD384" s="31">
        <v>247</v>
      </c>
      <c r="BE384" s="116">
        <v>364</v>
      </c>
      <c r="BF384" s="120">
        <v>361</v>
      </c>
      <c r="BG384" s="38">
        <v>249</v>
      </c>
      <c r="BH384" s="37">
        <v>259</v>
      </c>
      <c r="BI384" s="38">
        <v>352</v>
      </c>
      <c r="BJ384" s="111">
        <v>23</v>
      </c>
      <c r="BK384" s="33">
        <v>234</v>
      </c>
      <c r="BL384" s="115">
        <v>363</v>
      </c>
      <c r="BM384" s="111">
        <v>359</v>
      </c>
      <c r="BN384" s="35">
        <v>232</v>
      </c>
      <c r="BO384" s="32">
        <v>23</v>
      </c>
      <c r="BP384" s="31">
        <v>255</v>
      </c>
      <c r="BQ384" s="32">
        <v>363</v>
      </c>
      <c r="BR384" s="31">
        <v>343</v>
      </c>
      <c r="BS384" s="32">
        <v>283</v>
      </c>
      <c r="BT384" s="31">
        <v>240</v>
      </c>
      <c r="BU384" s="33">
        <v>39</v>
      </c>
      <c r="BV384" s="115">
        <v>335</v>
      </c>
      <c r="BW384" s="111">
        <v>367</v>
      </c>
      <c r="BX384" s="32">
        <v>260</v>
      </c>
      <c r="BY384" s="31">
        <v>368</v>
      </c>
      <c r="BZ384" s="32">
        <v>240</v>
      </c>
      <c r="CA384" s="111">
        <v>249</v>
      </c>
      <c r="CB384" s="32">
        <v>368</v>
      </c>
      <c r="CC384" s="33">
        <v>388</v>
      </c>
      <c r="CD384" s="34">
        <v>502</v>
      </c>
      <c r="CE384" s="120">
        <v>278</v>
      </c>
      <c r="CF384" s="38">
        <v>241</v>
      </c>
      <c r="CG384" s="31">
        <v>151</v>
      </c>
      <c r="CH384" s="35">
        <v>113</v>
      </c>
      <c r="CI384" s="35">
        <v>178</v>
      </c>
      <c r="CJ384" s="35">
        <v>199</v>
      </c>
      <c r="CK384" s="32">
        <v>244</v>
      </c>
    </row>
    <row r="385" spans="1:89" ht="13" x14ac:dyDescent="0.25">
      <c r="A385" s="27">
        <v>5935</v>
      </c>
      <c r="B385" s="28" t="s">
        <v>408</v>
      </c>
      <c r="C385" s="29">
        <v>492</v>
      </c>
      <c r="D385" s="30">
        <v>386</v>
      </c>
      <c r="E385" s="20">
        <f t="shared" si="5"/>
        <v>0.78455284552845528</v>
      </c>
      <c r="F385" s="31">
        <v>0</v>
      </c>
      <c r="G385" s="111">
        <v>0</v>
      </c>
      <c r="H385" s="111">
        <v>0</v>
      </c>
      <c r="I385" s="111">
        <v>0</v>
      </c>
      <c r="J385" s="111">
        <v>2</v>
      </c>
      <c r="K385" s="111">
        <v>0</v>
      </c>
      <c r="L385" s="111">
        <v>0</v>
      </c>
      <c r="M385" s="111">
        <v>159</v>
      </c>
      <c r="N385" s="111">
        <v>0</v>
      </c>
      <c r="O385" s="111">
        <v>0</v>
      </c>
      <c r="P385" s="35">
        <v>1</v>
      </c>
      <c r="Q385" s="35">
        <v>1</v>
      </c>
      <c r="R385" s="35">
        <v>220</v>
      </c>
      <c r="S385" s="32">
        <v>0</v>
      </c>
      <c r="T385" s="37">
        <v>147</v>
      </c>
      <c r="U385" s="38">
        <v>222</v>
      </c>
      <c r="V385" s="37">
        <v>233</v>
      </c>
      <c r="W385" s="32">
        <v>138</v>
      </c>
      <c r="X385" s="31">
        <v>156</v>
      </c>
      <c r="Y385" s="32">
        <v>212</v>
      </c>
      <c r="Z385" s="111">
        <v>164</v>
      </c>
      <c r="AA385" s="35">
        <v>0</v>
      </c>
      <c r="AB385" s="35">
        <v>8</v>
      </c>
      <c r="AC385" s="35">
        <v>203</v>
      </c>
      <c r="AD385" s="35">
        <v>0</v>
      </c>
      <c r="AE385" s="33">
        <v>0</v>
      </c>
      <c r="AF385" s="116">
        <v>0</v>
      </c>
      <c r="AG385" s="120"/>
      <c r="AH385" s="38"/>
      <c r="AI385" s="37">
        <v>214</v>
      </c>
      <c r="AJ385" s="36">
        <v>154</v>
      </c>
      <c r="AK385" s="37">
        <v>215</v>
      </c>
      <c r="AL385" s="38">
        <v>150</v>
      </c>
      <c r="AM385" s="37"/>
      <c r="AN385" s="116"/>
      <c r="AO385" s="120"/>
      <c r="AP385" s="38"/>
      <c r="AQ385" s="37"/>
      <c r="AR385" s="116"/>
      <c r="AS385" s="120"/>
      <c r="AT385" s="38"/>
      <c r="AU385" s="37"/>
      <c r="AV385" s="120"/>
      <c r="AW385" s="120"/>
      <c r="AX385" s="37">
        <v>221</v>
      </c>
      <c r="AY385" s="38">
        <v>144</v>
      </c>
      <c r="AZ385" s="37"/>
      <c r="BA385" s="116"/>
      <c r="BB385" s="31">
        <v>219</v>
      </c>
      <c r="BC385" s="32">
        <v>142</v>
      </c>
      <c r="BD385" s="31">
        <v>216</v>
      </c>
      <c r="BE385" s="116">
        <v>141</v>
      </c>
      <c r="BF385" s="120">
        <v>145</v>
      </c>
      <c r="BG385" s="38">
        <v>212</v>
      </c>
      <c r="BH385" s="37">
        <v>225</v>
      </c>
      <c r="BI385" s="38">
        <v>136</v>
      </c>
      <c r="BJ385" s="111">
        <v>11</v>
      </c>
      <c r="BK385" s="33">
        <v>196</v>
      </c>
      <c r="BL385" s="115">
        <v>157</v>
      </c>
      <c r="BM385" s="111">
        <v>150</v>
      </c>
      <c r="BN385" s="35">
        <v>202</v>
      </c>
      <c r="BO385" s="32">
        <v>11</v>
      </c>
      <c r="BP385" s="31">
        <v>222</v>
      </c>
      <c r="BQ385" s="32">
        <v>140</v>
      </c>
      <c r="BR385" s="31">
        <v>140</v>
      </c>
      <c r="BS385" s="32">
        <v>224</v>
      </c>
      <c r="BT385" s="31">
        <v>207</v>
      </c>
      <c r="BU385" s="33">
        <v>13</v>
      </c>
      <c r="BV385" s="115">
        <v>134</v>
      </c>
      <c r="BW385" s="111">
        <v>157</v>
      </c>
      <c r="BX385" s="32">
        <v>208</v>
      </c>
      <c r="BY385" s="31">
        <v>143</v>
      </c>
      <c r="BZ385" s="32">
        <v>209</v>
      </c>
      <c r="CA385" s="111">
        <v>210</v>
      </c>
      <c r="CB385" s="32">
        <v>144</v>
      </c>
      <c r="CC385" s="33">
        <v>257</v>
      </c>
      <c r="CD385" s="34">
        <v>259</v>
      </c>
      <c r="CE385" s="120">
        <v>156</v>
      </c>
      <c r="CF385" s="38">
        <v>138</v>
      </c>
      <c r="CG385" s="31">
        <v>87</v>
      </c>
      <c r="CH385" s="35">
        <v>83</v>
      </c>
      <c r="CI385" s="35">
        <v>84</v>
      </c>
      <c r="CJ385" s="35">
        <v>95</v>
      </c>
      <c r="CK385" s="32">
        <v>176</v>
      </c>
    </row>
    <row r="386" spans="1:89" ht="13" x14ac:dyDescent="0.25">
      <c r="A386" s="27">
        <v>5936</v>
      </c>
      <c r="B386" s="28" t="s">
        <v>409</v>
      </c>
      <c r="C386" s="29">
        <v>1256</v>
      </c>
      <c r="D386" s="30">
        <v>900</v>
      </c>
      <c r="E386" s="20">
        <f t="shared" si="5"/>
        <v>0.71656050955414008</v>
      </c>
      <c r="F386" s="31">
        <v>0</v>
      </c>
      <c r="G386" s="111">
        <v>0</v>
      </c>
      <c r="H386" s="111">
        <v>0</v>
      </c>
      <c r="I386" s="111">
        <v>0</v>
      </c>
      <c r="J386" s="111">
        <v>1</v>
      </c>
      <c r="K386" s="111">
        <v>0</v>
      </c>
      <c r="L386" s="111">
        <v>0</v>
      </c>
      <c r="M386" s="111">
        <v>433</v>
      </c>
      <c r="N386" s="111">
        <v>0</v>
      </c>
      <c r="O386" s="111">
        <v>0</v>
      </c>
      <c r="P386" s="35">
        <v>4</v>
      </c>
      <c r="Q386" s="35">
        <v>2</v>
      </c>
      <c r="R386" s="35">
        <v>453</v>
      </c>
      <c r="S386" s="32">
        <v>0</v>
      </c>
      <c r="T386" s="37">
        <v>418</v>
      </c>
      <c r="U386" s="38">
        <v>446</v>
      </c>
      <c r="V386" s="37">
        <v>468</v>
      </c>
      <c r="W386" s="32">
        <v>402</v>
      </c>
      <c r="X386" s="31">
        <v>423</v>
      </c>
      <c r="Y386" s="32">
        <v>433</v>
      </c>
      <c r="Z386" s="111">
        <v>449</v>
      </c>
      <c r="AA386" s="35">
        <v>0</v>
      </c>
      <c r="AB386" s="35">
        <v>46</v>
      </c>
      <c r="AC386" s="35">
        <v>388</v>
      </c>
      <c r="AD386" s="35">
        <v>0</v>
      </c>
      <c r="AE386" s="33">
        <v>0</v>
      </c>
      <c r="AF386" s="116">
        <v>0</v>
      </c>
      <c r="AG386" s="120"/>
      <c r="AH386" s="38"/>
      <c r="AI386" s="37">
        <v>427</v>
      </c>
      <c r="AJ386" s="36">
        <v>418</v>
      </c>
      <c r="AK386" s="37">
        <v>440</v>
      </c>
      <c r="AL386" s="38">
        <v>418</v>
      </c>
      <c r="AM386" s="37"/>
      <c r="AN386" s="116"/>
      <c r="AO386" s="120"/>
      <c r="AP386" s="38"/>
      <c r="AQ386" s="37"/>
      <c r="AR386" s="116"/>
      <c r="AS386" s="120"/>
      <c r="AT386" s="38"/>
      <c r="AU386" s="37"/>
      <c r="AV386" s="120"/>
      <c r="AW386" s="120"/>
      <c r="AX386" s="37">
        <v>447</v>
      </c>
      <c r="AY386" s="38">
        <v>416</v>
      </c>
      <c r="AZ386" s="37"/>
      <c r="BA386" s="116"/>
      <c r="BB386" s="31">
        <v>439</v>
      </c>
      <c r="BC386" s="32">
        <v>406</v>
      </c>
      <c r="BD386" s="31">
        <v>418</v>
      </c>
      <c r="BE386" s="116">
        <v>423</v>
      </c>
      <c r="BF386" s="120">
        <v>410</v>
      </c>
      <c r="BG386" s="38">
        <v>429</v>
      </c>
      <c r="BH386" s="37">
        <v>448</v>
      </c>
      <c r="BI386" s="38">
        <v>397</v>
      </c>
      <c r="BJ386" s="111">
        <v>48</v>
      </c>
      <c r="BK386" s="33">
        <v>377</v>
      </c>
      <c r="BL386" s="115">
        <v>428</v>
      </c>
      <c r="BM386" s="111">
        <v>422</v>
      </c>
      <c r="BN386" s="35">
        <v>387</v>
      </c>
      <c r="BO386" s="32">
        <v>35</v>
      </c>
      <c r="BP386" s="31">
        <v>410</v>
      </c>
      <c r="BQ386" s="32">
        <v>425</v>
      </c>
      <c r="BR386" s="31">
        <v>386</v>
      </c>
      <c r="BS386" s="32">
        <v>473</v>
      </c>
      <c r="BT386" s="31">
        <v>408</v>
      </c>
      <c r="BU386" s="33">
        <v>42</v>
      </c>
      <c r="BV386" s="115">
        <v>391</v>
      </c>
      <c r="BW386" s="111">
        <v>422</v>
      </c>
      <c r="BX386" s="32">
        <v>440</v>
      </c>
      <c r="BY386" s="31">
        <v>420</v>
      </c>
      <c r="BZ386" s="32">
        <v>409</v>
      </c>
      <c r="CA386" s="111">
        <v>413</v>
      </c>
      <c r="CB386" s="32">
        <v>429</v>
      </c>
      <c r="CC386" s="33">
        <v>557</v>
      </c>
      <c r="CD386" s="34">
        <v>635</v>
      </c>
      <c r="CE386" s="120">
        <v>390</v>
      </c>
      <c r="CF386" s="38">
        <v>305</v>
      </c>
      <c r="CG386" s="31">
        <v>207</v>
      </c>
      <c r="CH386" s="35">
        <v>195</v>
      </c>
      <c r="CI386" s="35">
        <v>197</v>
      </c>
      <c r="CJ386" s="35">
        <v>250</v>
      </c>
      <c r="CK386" s="32">
        <v>394</v>
      </c>
    </row>
    <row r="387" spans="1:89" ht="13" x14ac:dyDescent="0.25">
      <c r="A387" s="27">
        <v>5937</v>
      </c>
      <c r="B387" s="28" t="s">
        <v>410</v>
      </c>
      <c r="C387" s="29">
        <v>1354</v>
      </c>
      <c r="D387" s="30">
        <v>919</v>
      </c>
      <c r="E387" s="20">
        <f t="shared" si="5"/>
        <v>0.67872968980797632</v>
      </c>
      <c r="F387" s="31">
        <v>0</v>
      </c>
      <c r="G387" s="111">
        <v>0</v>
      </c>
      <c r="H387" s="111">
        <v>0</v>
      </c>
      <c r="I387" s="111">
        <v>0</v>
      </c>
      <c r="J387" s="111">
        <v>1</v>
      </c>
      <c r="K387" s="111">
        <v>0</v>
      </c>
      <c r="L387" s="111">
        <v>0</v>
      </c>
      <c r="M387" s="111">
        <v>645</v>
      </c>
      <c r="N387" s="111">
        <v>0</v>
      </c>
      <c r="O387" s="111">
        <v>0</v>
      </c>
      <c r="P387" s="35">
        <v>2</v>
      </c>
      <c r="Q387" s="35">
        <v>0</v>
      </c>
      <c r="R387" s="35">
        <v>259</v>
      </c>
      <c r="S387" s="32">
        <v>1</v>
      </c>
      <c r="T387" s="37">
        <v>629</v>
      </c>
      <c r="U387" s="38">
        <v>258</v>
      </c>
      <c r="V387" s="37">
        <v>286</v>
      </c>
      <c r="W387" s="32">
        <v>602</v>
      </c>
      <c r="X387" s="31">
        <v>623</v>
      </c>
      <c r="Y387" s="32">
        <v>245</v>
      </c>
      <c r="Z387" s="111">
        <v>643</v>
      </c>
      <c r="AA387" s="35">
        <v>0</v>
      </c>
      <c r="AB387" s="35">
        <v>31</v>
      </c>
      <c r="AC387" s="35">
        <v>226</v>
      </c>
      <c r="AD387" s="35">
        <v>0</v>
      </c>
      <c r="AE387" s="33">
        <v>0</v>
      </c>
      <c r="AF387" s="116">
        <v>0</v>
      </c>
      <c r="AG387" s="120"/>
      <c r="AH387" s="38"/>
      <c r="AI387" s="37">
        <v>247</v>
      </c>
      <c r="AJ387" s="36">
        <v>620</v>
      </c>
      <c r="AK387" s="37">
        <v>268</v>
      </c>
      <c r="AL387" s="38">
        <v>603</v>
      </c>
      <c r="AM387" s="37"/>
      <c r="AN387" s="116"/>
      <c r="AO387" s="120"/>
      <c r="AP387" s="38"/>
      <c r="AQ387" s="37"/>
      <c r="AR387" s="116"/>
      <c r="AS387" s="120"/>
      <c r="AT387" s="38"/>
      <c r="AU387" s="37"/>
      <c r="AV387" s="120"/>
      <c r="AW387" s="120"/>
      <c r="AX387" s="37">
        <v>265</v>
      </c>
      <c r="AY387" s="38">
        <v>604</v>
      </c>
      <c r="AZ387" s="37"/>
      <c r="BA387" s="116"/>
      <c r="BB387" s="31">
        <v>250</v>
      </c>
      <c r="BC387" s="32">
        <v>613</v>
      </c>
      <c r="BD387" s="31">
        <v>250</v>
      </c>
      <c r="BE387" s="116">
        <v>606</v>
      </c>
      <c r="BF387" s="120">
        <v>615</v>
      </c>
      <c r="BG387" s="38">
        <v>238</v>
      </c>
      <c r="BH387" s="37">
        <v>275</v>
      </c>
      <c r="BI387" s="38">
        <v>589</v>
      </c>
      <c r="BJ387" s="111">
        <v>34</v>
      </c>
      <c r="BK387" s="33">
        <v>220</v>
      </c>
      <c r="BL387" s="115">
        <v>615</v>
      </c>
      <c r="BM387" s="111">
        <v>608</v>
      </c>
      <c r="BN387" s="35">
        <v>223</v>
      </c>
      <c r="BO387" s="32">
        <v>31</v>
      </c>
      <c r="BP387" s="31">
        <v>257</v>
      </c>
      <c r="BQ387" s="32">
        <v>605</v>
      </c>
      <c r="BR387" s="31">
        <v>583</v>
      </c>
      <c r="BS387" s="32">
        <v>280</v>
      </c>
      <c r="BT387" s="31">
        <v>242</v>
      </c>
      <c r="BU387" s="33">
        <v>32</v>
      </c>
      <c r="BV387" s="115">
        <v>589</v>
      </c>
      <c r="BW387" s="111">
        <v>612</v>
      </c>
      <c r="BX387" s="32">
        <v>268</v>
      </c>
      <c r="BY387" s="31">
        <v>615</v>
      </c>
      <c r="BZ387" s="32">
        <v>238</v>
      </c>
      <c r="CA387" s="111">
        <v>241</v>
      </c>
      <c r="CB387" s="32">
        <v>617</v>
      </c>
      <c r="CC387" s="33">
        <v>457</v>
      </c>
      <c r="CD387" s="34">
        <v>725</v>
      </c>
      <c r="CE387" s="120">
        <v>390</v>
      </c>
      <c r="CF387" s="38">
        <v>366</v>
      </c>
      <c r="CG387" s="31">
        <v>208</v>
      </c>
      <c r="CH387" s="35">
        <v>110</v>
      </c>
      <c r="CI387" s="35">
        <v>296</v>
      </c>
      <c r="CJ387" s="35">
        <v>353</v>
      </c>
      <c r="CK387" s="32">
        <v>345</v>
      </c>
    </row>
    <row r="388" spans="1:89" ht="13" x14ac:dyDescent="0.25">
      <c r="A388" s="27">
        <v>5938</v>
      </c>
      <c r="B388" s="28" t="s">
        <v>411</v>
      </c>
      <c r="C388" s="29">
        <v>706</v>
      </c>
      <c r="D388" s="30">
        <v>522</v>
      </c>
      <c r="E388" s="20">
        <f t="shared" ref="E388:E451" si="6">SUM(D388/C388)</f>
        <v>0.73937677053824358</v>
      </c>
      <c r="F388" s="31">
        <v>0</v>
      </c>
      <c r="G388" s="111">
        <v>0</v>
      </c>
      <c r="H388" s="111">
        <v>0</v>
      </c>
      <c r="I388" s="111">
        <v>0</v>
      </c>
      <c r="J388" s="111">
        <v>1</v>
      </c>
      <c r="K388" s="111">
        <v>0</v>
      </c>
      <c r="L388" s="111">
        <v>0</v>
      </c>
      <c r="M388" s="111">
        <v>311</v>
      </c>
      <c r="N388" s="111">
        <v>0</v>
      </c>
      <c r="O388" s="111">
        <v>0</v>
      </c>
      <c r="P388" s="35">
        <v>3</v>
      </c>
      <c r="Q388" s="35">
        <v>3</v>
      </c>
      <c r="R388" s="35">
        <v>201</v>
      </c>
      <c r="S388" s="32">
        <v>0</v>
      </c>
      <c r="T388" s="37">
        <v>303</v>
      </c>
      <c r="U388" s="38">
        <v>201</v>
      </c>
      <c r="V388" s="37">
        <v>218</v>
      </c>
      <c r="W388" s="32">
        <v>289</v>
      </c>
      <c r="X388" s="31">
        <v>307</v>
      </c>
      <c r="Y388" s="32">
        <v>190</v>
      </c>
      <c r="Z388" s="111">
        <v>309</v>
      </c>
      <c r="AA388" s="35">
        <v>0</v>
      </c>
      <c r="AB388" s="35">
        <v>20</v>
      </c>
      <c r="AC388" s="35">
        <v>182</v>
      </c>
      <c r="AD388" s="35">
        <v>0</v>
      </c>
      <c r="AE388" s="33">
        <v>0</v>
      </c>
      <c r="AF388" s="116">
        <v>0</v>
      </c>
      <c r="AG388" s="120"/>
      <c r="AH388" s="38"/>
      <c r="AI388" s="37">
        <v>189</v>
      </c>
      <c r="AJ388" s="36">
        <v>303</v>
      </c>
      <c r="AK388" s="37">
        <v>200</v>
      </c>
      <c r="AL388" s="38">
        <v>294</v>
      </c>
      <c r="AM388" s="37"/>
      <c r="AN388" s="116"/>
      <c r="AO388" s="120"/>
      <c r="AP388" s="38"/>
      <c r="AQ388" s="37"/>
      <c r="AR388" s="116"/>
      <c r="AS388" s="120"/>
      <c r="AT388" s="38"/>
      <c r="AU388" s="37"/>
      <c r="AV388" s="120"/>
      <c r="AW388" s="120"/>
      <c r="AX388" s="37">
        <v>201</v>
      </c>
      <c r="AY388" s="38">
        <v>294</v>
      </c>
      <c r="AZ388" s="37"/>
      <c r="BA388" s="116"/>
      <c r="BB388" s="31">
        <v>192</v>
      </c>
      <c r="BC388" s="32">
        <v>299</v>
      </c>
      <c r="BD388" s="31">
        <v>193</v>
      </c>
      <c r="BE388" s="116">
        <v>295</v>
      </c>
      <c r="BF388" s="120">
        <v>295</v>
      </c>
      <c r="BG388" s="38">
        <v>186</v>
      </c>
      <c r="BH388" s="37">
        <v>200</v>
      </c>
      <c r="BI388" s="38">
        <v>286</v>
      </c>
      <c r="BJ388" s="111">
        <v>23</v>
      </c>
      <c r="BK388" s="33">
        <v>173</v>
      </c>
      <c r="BL388" s="115">
        <v>297</v>
      </c>
      <c r="BM388" s="111">
        <v>297</v>
      </c>
      <c r="BN388" s="35">
        <v>166</v>
      </c>
      <c r="BO388" s="32">
        <v>22</v>
      </c>
      <c r="BP388" s="31">
        <v>190</v>
      </c>
      <c r="BQ388" s="32">
        <v>295</v>
      </c>
      <c r="BR388" s="31">
        <v>277</v>
      </c>
      <c r="BS388" s="32">
        <v>216</v>
      </c>
      <c r="BT388" s="31">
        <v>177</v>
      </c>
      <c r="BU388" s="33">
        <v>21</v>
      </c>
      <c r="BV388" s="115">
        <v>282</v>
      </c>
      <c r="BW388" s="111">
        <v>300</v>
      </c>
      <c r="BX388" s="32">
        <v>197</v>
      </c>
      <c r="BY388" s="31">
        <v>303</v>
      </c>
      <c r="BZ388" s="32">
        <v>172</v>
      </c>
      <c r="CA388" s="111">
        <v>178</v>
      </c>
      <c r="CB388" s="32">
        <v>300</v>
      </c>
      <c r="CC388" s="33">
        <v>280</v>
      </c>
      <c r="CD388" s="34">
        <v>393</v>
      </c>
      <c r="CE388" s="120">
        <v>209</v>
      </c>
      <c r="CF388" s="38">
        <v>199</v>
      </c>
      <c r="CG388" s="31">
        <v>132</v>
      </c>
      <c r="CH388" s="35">
        <v>91</v>
      </c>
      <c r="CI388" s="35">
        <v>151</v>
      </c>
      <c r="CJ388" s="35">
        <v>162</v>
      </c>
      <c r="CK388" s="32">
        <v>208</v>
      </c>
    </row>
    <row r="389" spans="1:89" ht="13" x14ac:dyDescent="0.25">
      <c r="A389" s="27">
        <v>6201</v>
      </c>
      <c r="B389" s="28" t="s">
        <v>412</v>
      </c>
      <c r="C389" s="29">
        <v>161</v>
      </c>
      <c r="D389" s="30">
        <v>126</v>
      </c>
      <c r="E389" s="20">
        <f t="shared" si="6"/>
        <v>0.78260869565217395</v>
      </c>
      <c r="F389" s="31">
        <v>0</v>
      </c>
      <c r="G389" s="111">
        <v>0</v>
      </c>
      <c r="H389" s="111">
        <v>0</v>
      </c>
      <c r="I389" s="111">
        <v>0</v>
      </c>
      <c r="J389" s="111">
        <v>0</v>
      </c>
      <c r="K389" s="111">
        <v>0</v>
      </c>
      <c r="L389" s="111">
        <v>0</v>
      </c>
      <c r="M389" s="111">
        <v>83</v>
      </c>
      <c r="N389" s="111">
        <v>0</v>
      </c>
      <c r="O389" s="111">
        <v>0</v>
      </c>
      <c r="P389" s="35">
        <v>0</v>
      </c>
      <c r="Q389" s="35">
        <v>0</v>
      </c>
      <c r="R389" s="35">
        <v>40</v>
      </c>
      <c r="S389" s="32">
        <v>0</v>
      </c>
      <c r="T389" s="37">
        <v>75</v>
      </c>
      <c r="U389" s="38">
        <v>45</v>
      </c>
      <c r="V389" s="37">
        <v>48</v>
      </c>
      <c r="W389" s="32">
        <v>75</v>
      </c>
      <c r="X389" s="31">
        <v>79</v>
      </c>
      <c r="Y389" s="32">
        <v>41</v>
      </c>
      <c r="Z389" s="111">
        <v>83</v>
      </c>
      <c r="AA389" s="35">
        <v>0</v>
      </c>
      <c r="AB389" s="35">
        <v>1</v>
      </c>
      <c r="AC389" s="35">
        <v>39</v>
      </c>
      <c r="AD389" s="35">
        <v>0</v>
      </c>
      <c r="AE389" s="33">
        <v>0</v>
      </c>
      <c r="AF389" s="116">
        <v>0</v>
      </c>
      <c r="AG389" s="120">
        <v>82</v>
      </c>
      <c r="AH389" s="38">
        <v>41</v>
      </c>
      <c r="AI389" s="37"/>
      <c r="AJ389" s="36"/>
      <c r="AK389" s="37">
        <v>43</v>
      </c>
      <c r="AL389" s="38">
        <v>79</v>
      </c>
      <c r="AM389" s="37"/>
      <c r="AN389" s="116"/>
      <c r="AO389" s="120"/>
      <c r="AP389" s="38"/>
      <c r="AQ389" s="37"/>
      <c r="AR389" s="116"/>
      <c r="AS389" s="120">
        <v>80</v>
      </c>
      <c r="AT389" s="38">
        <v>42</v>
      </c>
      <c r="AU389" s="37"/>
      <c r="AV389" s="120"/>
      <c r="AW389" s="120"/>
      <c r="AX389" s="37"/>
      <c r="AY389" s="38"/>
      <c r="AZ389" s="37"/>
      <c r="BA389" s="116"/>
      <c r="BB389" s="31">
        <v>43</v>
      </c>
      <c r="BC389" s="32">
        <v>76</v>
      </c>
      <c r="BD389" s="31">
        <v>42</v>
      </c>
      <c r="BE389" s="116">
        <v>77</v>
      </c>
      <c r="BF389" s="120">
        <v>80</v>
      </c>
      <c r="BG389" s="38">
        <v>39</v>
      </c>
      <c r="BH389" s="37">
        <v>44</v>
      </c>
      <c r="BI389" s="38">
        <v>77</v>
      </c>
      <c r="BJ389" s="111">
        <v>3</v>
      </c>
      <c r="BK389" s="33">
        <v>35</v>
      </c>
      <c r="BL389" s="115">
        <v>84</v>
      </c>
      <c r="BM389" s="111">
        <v>84</v>
      </c>
      <c r="BN389" s="35">
        <v>36</v>
      </c>
      <c r="BO389" s="32">
        <v>3</v>
      </c>
      <c r="BP389" s="31">
        <v>41</v>
      </c>
      <c r="BQ389" s="32">
        <v>80</v>
      </c>
      <c r="BR389" s="31">
        <v>76</v>
      </c>
      <c r="BS389" s="32">
        <v>46</v>
      </c>
      <c r="BT389" s="31">
        <v>40</v>
      </c>
      <c r="BU389" s="33">
        <v>2</v>
      </c>
      <c r="BV389" s="115">
        <v>75</v>
      </c>
      <c r="BW389" s="111">
        <v>83</v>
      </c>
      <c r="BX389" s="32">
        <v>40</v>
      </c>
      <c r="BY389" s="31">
        <v>76</v>
      </c>
      <c r="BZ389" s="32">
        <v>41</v>
      </c>
      <c r="CA389" s="111">
        <v>39</v>
      </c>
      <c r="CB389" s="32">
        <v>81</v>
      </c>
      <c r="CC389" s="33">
        <v>67</v>
      </c>
      <c r="CD389" s="34">
        <v>100</v>
      </c>
      <c r="CE389" s="120">
        <v>43</v>
      </c>
      <c r="CF389" s="42">
        <v>65</v>
      </c>
      <c r="CG389" s="31">
        <v>30</v>
      </c>
      <c r="CH389" s="35">
        <v>22</v>
      </c>
      <c r="CI389" s="35">
        <v>57</v>
      </c>
      <c r="CJ389" s="35">
        <v>58</v>
      </c>
      <c r="CK389" s="32">
        <v>41</v>
      </c>
    </row>
    <row r="390" spans="1:89" ht="13" x14ac:dyDescent="0.25">
      <c r="A390" s="27">
        <v>6202</v>
      </c>
      <c r="B390" s="28" t="s">
        <v>413</v>
      </c>
      <c r="C390" s="29">
        <v>378</v>
      </c>
      <c r="D390" s="30">
        <v>284</v>
      </c>
      <c r="E390" s="20">
        <f t="shared" si="6"/>
        <v>0.75132275132275128</v>
      </c>
      <c r="F390" s="31">
        <v>0</v>
      </c>
      <c r="G390" s="111">
        <v>0</v>
      </c>
      <c r="H390" s="111">
        <v>0</v>
      </c>
      <c r="I390" s="111">
        <v>0</v>
      </c>
      <c r="J390" s="111">
        <v>1</v>
      </c>
      <c r="K390" s="111">
        <v>0</v>
      </c>
      <c r="L390" s="111">
        <v>0</v>
      </c>
      <c r="M390" s="111">
        <v>174</v>
      </c>
      <c r="N390" s="111">
        <v>0</v>
      </c>
      <c r="O390" s="111">
        <v>0</v>
      </c>
      <c r="P390" s="35">
        <v>4</v>
      </c>
      <c r="Q390" s="35">
        <v>1</v>
      </c>
      <c r="R390" s="35">
        <v>100</v>
      </c>
      <c r="S390" s="32">
        <v>0</v>
      </c>
      <c r="T390" s="37">
        <v>167</v>
      </c>
      <c r="U390" s="38">
        <v>108</v>
      </c>
      <c r="V390" s="37">
        <v>106</v>
      </c>
      <c r="W390" s="32">
        <v>173</v>
      </c>
      <c r="X390" s="31">
        <v>167</v>
      </c>
      <c r="Y390" s="32">
        <v>105</v>
      </c>
      <c r="Z390" s="111">
        <v>185</v>
      </c>
      <c r="AA390" s="35">
        <v>0</v>
      </c>
      <c r="AB390" s="35">
        <v>13</v>
      </c>
      <c r="AC390" s="35">
        <v>83</v>
      </c>
      <c r="AD390" s="35">
        <v>0</v>
      </c>
      <c r="AE390" s="33">
        <v>0</v>
      </c>
      <c r="AF390" s="116">
        <v>0</v>
      </c>
      <c r="AG390" s="120">
        <v>188</v>
      </c>
      <c r="AH390" s="38">
        <v>90</v>
      </c>
      <c r="AI390" s="37"/>
      <c r="AJ390" s="36"/>
      <c r="AK390" s="37"/>
      <c r="AL390" s="38"/>
      <c r="AM390" s="37"/>
      <c r="AN390" s="116"/>
      <c r="AO390" s="120"/>
      <c r="AP390" s="38"/>
      <c r="AQ390" s="37">
        <v>102</v>
      </c>
      <c r="AR390" s="116">
        <v>167</v>
      </c>
      <c r="AS390" s="120"/>
      <c r="AT390" s="38"/>
      <c r="AU390" s="37"/>
      <c r="AV390" s="120"/>
      <c r="AW390" s="120"/>
      <c r="AX390" s="37"/>
      <c r="AY390" s="38"/>
      <c r="AZ390" s="37"/>
      <c r="BA390" s="116"/>
      <c r="BB390" s="31">
        <v>106</v>
      </c>
      <c r="BC390" s="32">
        <v>163</v>
      </c>
      <c r="BD390" s="31">
        <v>102</v>
      </c>
      <c r="BE390" s="116">
        <v>169</v>
      </c>
      <c r="BF390" s="120">
        <v>169</v>
      </c>
      <c r="BG390" s="38">
        <v>98</v>
      </c>
      <c r="BH390" s="37">
        <v>108</v>
      </c>
      <c r="BI390" s="38">
        <v>160</v>
      </c>
      <c r="BJ390" s="111">
        <v>16</v>
      </c>
      <c r="BK390" s="33">
        <v>93</v>
      </c>
      <c r="BL390" s="115">
        <v>164</v>
      </c>
      <c r="BM390" s="111">
        <v>167</v>
      </c>
      <c r="BN390" s="35">
        <v>89</v>
      </c>
      <c r="BO390" s="32">
        <v>15</v>
      </c>
      <c r="BP390" s="31">
        <v>109</v>
      </c>
      <c r="BQ390" s="32">
        <v>164</v>
      </c>
      <c r="BR390" s="31">
        <v>153</v>
      </c>
      <c r="BS390" s="32">
        <v>118</v>
      </c>
      <c r="BT390" s="31">
        <v>94</v>
      </c>
      <c r="BU390" s="33">
        <v>19</v>
      </c>
      <c r="BV390" s="115">
        <v>159</v>
      </c>
      <c r="BW390" s="111">
        <v>172</v>
      </c>
      <c r="BX390" s="32">
        <v>99</v>
      </c>
      <c r="BY390" s="31">
        <v>176</v>
      </c>
      <c r="BZ390" s="32">
        <v>96</v>
      </c>
      <c r="CA390" s="111">
        <v>99</v>
      </c>
      <c r="CB390" s="32">
        <v>170</v>
      </c>
      <c r="CC390" s="33">
        <v>168</v>
      </c>
      <c r="CD390" s="34">
        <v>212</v>
      </c>
      <c r="CE390" s="120">
        <v>119</v>
      </c>
      <c r="CF390" s="42">
        <v>117</v>
      </c>
      <c r="CG390" s="31">
        <v>74</v>
      </c>
      <c r="CH390" s="35">
        <v>46</v>
      </c>
      <c r="CI390" s="35">
        <v>97</v>
      </c>
      <c r="CJ390" s="35">
        <v>111</v>
      </c>
      <c r="CK390" s="32">
        <v>97</v>
      </c>
    </row>
    <row r="391" spans="1:89" ht="13" x14ac:dyDescent="0.25">
      <c r="A391" s="27">
        <v>6203</v>
      </c>
      <c r="B391" s="28" t="s">
        <v>414</v>
      </c>
      <c r="C391" s="29">
        <v>429</v>
      </c>
      <c r="D391" s="30">
        <v>366</v>
      </c>
      <c r="E391" s="20">
        <f t="shared" si="6"/>
        <v>0.85314685314685312</v>
      </c>
      <c r="F391" s="31">
        <v>0</v>
      </c>
      <c r="G391" s="111">
        <v>0</v>
      </c>
      <c r="H391" s="111">
        <v>0</v>
      </c>
      <c r="I391" s="111">
        <v>0</v>
      </c>
      <c r="J391" s="111">
        <v>1</v>
      </c>
      <c r="K391" s="111">
        <v>0</v>
      </c>
      <c r="L391" s="111">
        <v>0</v>
      </c>
      <c r="M391" s="111">
        <v>276</v>
      </c>
      <c r="N391" s="111">
        <v>0</v>
      </c>
      <c r="O391" s="111">
        <v>0</v>
      </c>
      <c r="P391" s="35">
        <v>2</v>
      </c>
      <c r="Q391" s="35">
        <v>2</v>
      </c>
      <c r="R391" s="35">
        <v>81</v>
      </c>
      <c r="S391" s="32">
        <v>0</v>
      </c>
      <c r="T391" s="37">
        <v>262</v>
      </c>
      <c r="U391" s="38">
        <v>97</v>
      </c>
      <c r="V391" s="37">
        <v>98</v>
      </c>
      <c r="W391" s="32">
        <v>265</v>
      </c>
      <c r="X391" s="31">
        <v>273</v>
      </c>
      <c r="Y391" s="32">
        <v>84</v>
      </c>
      <c r="Z391" s="111">
        <v>278</v>
      </c>
      <c r="AA391" s="35">
        <v>0</v>
      </c>
      <c r="AB391" s="35">
        <v>14</v>
      </c>
      <c r="AC391" s="35">
        <v>72</v>
      </c>
      <c r="AD391" s="35">
        <v>0</v>
      </c>
      <c r="AE391" s="33">
        <v>0</v>
      </c>
      <c r="AF391" s="116">
        <v>0</v>
      </c>
      <c r="AG391" s="120">
        <v>273</v>
      </c>
      <c r="AH391" s="38">
        <v>86</v>
      </c>
      <c r="AI391" s="37"/>
      <c r="AJ391" s="36"/>
      <c r="AK391" s="37">
        <v>89</v>
      </c>
      <c r="AL391" s="38">
        <v>263</v>
      </c>
      <c r="AM391" s="37"/>
      <c r="AN391" s="116"/>
      <c r="AO391" s="120"/>
      <c r="AP391" s="38"/>
      <c r="AQ391" s="37"/>
      <c r="AR391" s="116"/>
      <c r="AS391" s="120">
        <v>263</v>
      </c>
      <c r="AT391" s="38">
        <v>88</v>
      </c>
      <c r="AU391" s="37"/>
      <c r="AV391" s="120"/>
      <c r="AW391" s="120"/>
      <c r="AX391" s="37"/>
      <c r="AY391" s="38"/>
      <c r="AZ391" s="37"/>
      <c r="BA391" s="116"/>
      <c r="BB391" s="31">
        <v>93</v>
      </c>
      <c r="BC391" s="32">
        <v>256</v>
      </c>
      <c r="BD391" s="31">
        <v>92</v>
      </c>
      <c r="BE391" s="116">
        <v>253</v>
      </c>
      <c r="BF391" s="120">
        <v>255</v>
      </c>
      <c r="BG391" s="38">
        <v>89</v>
      </c>
      <c r="BH391" s="37">
        <v>101</v>
      </c>
      <c r="BI391" s="38">
        <v>249</v>
      </c>
      <c r="BJ391" s="111">
        <v>17</v>
      </c>
      <c r="BK391" s="33">
        <v>86</v>
      </c>
      <c r="BL391" s="115">
        <v>246</v>
      </c>
      <c r="BM391" s="111">
        <v>258</v>
      </c>
      <c r="BN391" s="35">
        <v>85</v>
      </c>
      <c r="BO391" s="32">
        <v>8</v>
      </c>
      <c r="BP391" s="31">
        <v>90</v>
      </c>
      <c r="BQ391" s="32">
        <v>253</v>
      </c>
      <c r="BR391" s="31">
        <v>244</v>
      </c>
      <c r="BS391" s="32">
        <v>106</v>
      </c>
      <c r="BT391" s="31">
        <v>78</v>
      </c>
      <c r="BU391" s="33">
        <v>15</v>
      </c>
      <c r="BV391" s="115">
        <v>251</v>
      </c>
      <c r="BW391" s="111">
        <v>260</v>
      </c>
      <c r="BX391" s="32">
        <v>90</v>
      </c>
      <c r="BY391" s="31">
        <v>257</v>
      </c>
      <c r="BZ391" s="32">
        <v>87</v>
      </c>
      <c r="CA391" s="111">
        <v>89</v>
      </c>
      <c r="CB391" s="32">
        <v>255</v>
      </c>
      <c r="CC391" s="33">
        <v>182</v>
      </c>
      <c r="CD391" s="34">
        <v>283</v>
      </c>
      <c r="CE391" s="120">
        <v>90</v>
      </c>
      <c r="CF391" s="42">
        <v>232</v>
      </c>
      <c r="CG391" s="31">
        <v>78</v>
      </c>
      <c r="CH391" s="35">
        <v>47</v>
      </c>
      <c r="CI391" s="35">
        <v>163</v>
      </c>
      <c r="CJ391" s="35">
        <v>189</v>
      </c>
      <c r="CK391" s="32">
        <v>93</v>
      </c>
    </row>
    <row r="392" spans="1:89" ht="13" x14ac:dyDescent="0.25">
      <c r="A392" s="27">
        <v>6204</v>
      </c>
      <c r="B392" s="28" t="s">
        <v>415</v>
      </c>
      <c r="C392" s="29">
        <v>589</v>
      </c>
      <c r="D392" s="30">
        <v>356</v>
      </c>
      <c r="E392" s="20">
        <f t="shared" si="6"/>
        <v>0.60441426146010191</v>
      </c>
      <c r="F392" s="31">
        <v>0</v>
      </c>
      <c r="G392" s="111">
        <v>0</v>
      </c>
      <c r="H392" s="111">
        <v>0</v>
      </c>
      <c r="I392" s="111">
        <v>0</v>
      </c>
      <c r="J392" s="111">
        <v>1</v>
      </c>
      <c r="K392" s="111">
        <v>0</v>
      </c>
      <c r="L392" s="111">
        <v>0</v>
      </c>
      <c r="M392" s="111">
        <v>292</v>
      </c>
      <c r="N392" s="111">
        <v>0</v>
      </c>
      <c r="O392" s="111">
        <v>0</v>
      </c>
      <c r="P392" s="35">
        <v>2</v>
      </c>
      <c r="Q392" s="35">
        <v>0</v>
      </c>
      <c r="R392" s="35">
        <v>57</v>
      </c>
      <c r="S392" s="32">
        <v>0</v>
      </c>
      <c r="T392" s="37">
        <v>285</v>
      </c>
      <c r="U392" s="38">
        <v>58</v>
      </c>
      <c r="V392" s="37">
        <v>65</v>
      </c>
      <c r="W392" s="32">
        <v>275</v>
      </c>
      <c r="X392" s="31">
        <v>282</v>
      </c>
      <c r="Y392" s="32">
        <v>54</v>
      </c>
      <c r="Z392" s="111">
        <v>286</v>
      </c>
      <c r="AA392" s="35">
        <v>0</v>
      </c>
      <c r="AB392" s="35">
        <v>12</v>
      </c>
      <c r="AC392" s="35">
        <v>48</v>
      </c>
      <c r="AD392" s="35">
        <v>0</v>
      </c>
      <c r="AE392" s="33">
        <v>0</v>
      </c>
      <c r="AF392" s="116">
        <v>0</v>
      </c>
      <c r="AG392" s="120">
        <v>285</v>
      </c>
      <c r="AH392" s="38">
        <v>51</v>
      </c>
      <c r="AI392" s="37"/>
      <c r="AJ392" s="36"/>
      <c r="AK392" s="37">
        <v>58</v>
      </c>
      <c r="AL392" s="38">
        <v>276</v>
      </c>
      <c r="AM392" s="37"/>
      <c r="AN392" s="116"/>
      <c r="AO392" s="120"/>
      <c r="AP392" s="38"/>
      <c r="AQ392" s="37"/>
      <c r="AR392" s="116"/>
      <c r="AS392" s="120">
        <v>283</v>
      </c>
      <c r="AT392" s="38">
        <v>49</v>
      </c>
      <c r="AU392" s="37"/>
      <c r="AV392" s="120"/>
      <c r="AW392" s="120"/>
      <c r="AX392" s="37"/>
      <c r="AY392" s="38"/>
      <c r="AZ392" s="37"/>
      <c r="BA392" s="116"/>
      <c r="BB392" s="31">
        <v>52</v>
      </c>
      <c r="BC392" s="32">
        <v>278</v>
      </c>
      <c r="BD392" s="31">
        <v>50</v>
      </c>
      <c r="BE392" s="116">
        <v>281</v>
      </c>
      <c r="BF392" s="120">
        <v>281</v>
      </c>
      <c r="BG392" s="38">
        <v>50</v>
      </c>
      <c r="BH392" s="37">
        <v>53</v>
      </c>
      <c r="BI392" s="38">
        <v>279</v>
      </c>
      <c r="BJ392" s="111">
        <v>12</v>
      </c>
      <c r="BK392" s="33">
        <v>43</v>
      </c>
      <c r="BL392" s="115">
        <v>281</v>
      </c>
      <c r="BM392" s="111">
        <v>275</v>
      </c>
      <c r="BN392" s="35">
        <v>48</v>
      </c>
      <c r="BO392" s="32">
        <v>8</v>
      </c>
      <c r="BP392" s="31">
        <v>53</v>
      </c>
      <c r="BQ392" s="32">
        <v>273</v>
      </c>
      <c r="BR392" s="31">
        <v>263</v>
      </c>
      <c r="BS392" s="32">
        <v>69</v>
      </c>
      <c r="BT392" s="31">
        <v>48</v>
      </c>
      <c r="BU392" s="33">
        <v>10</v>
      </c>
      <c r="BV392" s="115">
        <v>267</v>
      </c>
      <c r="BW392" s="111">
        <v>281</v>
      </c>
      <c r="BX392" s="32">
        <v>57</v>
      </c>
      <c r="BY392" s="31">
        <v>274</v>
      </c>
      <c r="BZ392" s="32">
        <v>47</v>
      </c>
      <c r="CA392" s="111">
        <v>52</v>
      </c>
      <c r="CB392" s="32">
        <v>278</v>
      </c>
      <c r="CC392" s="33">
        <v>144</v>
      </c>
      <c r="CD392" s="34">
        <v>300</v>
      </c>
      <c r="CE392" s="120">
        <v>104</v>
      </c>
      <c r="CF392" s="42">
        <v>182</v>
      </c>
      <c r="CG392" s="31">
        <v>67</v>
      </c>
      <c r="CH392" s="35">
        <v>34</v>
      </c>
      <c r="CI392" s="35">
        <v>150</v>
      </c>
      <c r="CJ392" s="35">
        <v>158</v>
      </c>
      <c r="CK392" s="32">
        <v>75</v>
      </c>
    </row>
    <row r="393" spans="1:89" ht="13" x14ac:dyDescent="0.25">
      <c r="A393" s="27">
        <v>6205</v>
      </c>
      <c r="B393" s="28" t="s">
        <v>416</v>
      </c>
      <c r="C393" s="29">
        <v>343</v>
      </c>
      <c r="D393" s="30">
        <v>233</v>
      </c>
      <c r="E393" s="20">
        <f t="shared" si="6"/>
        <v>0.67930029154518945</v>
      </c>
      <c r="F393" s="31">
        <v>0</v>
      </c>
      <c r="G393" s="111">
        <v>0</v>
      </c>
      <c r="H393" s="111">
        <v>0</v>
      </c>
      <c r="I393" s="111">
        <v>0</v>
      </c>
      <c r="J393" s="111">
        <v>0</v>
      </c>
      <c r="K393" s="111">
        <v>0</v>
      </c>
      <c r="L393" s="111">
        <v>0</v>
      </c>
      <c r="M393" s="111">
        <v>154</v>
      </c>
      <c r="N393" s="111">
        <v>0</v>
      </c>
      <c r="O393" s="111">
        <v>0</v>
      </c>
      <c r="P393" s="35">
        <v>3</v>
      </c>
      <c r="Q393" s="35">
        <v>2</v>
      </c>
      <c r="R393" s="35">
        <v>71</v>
      </c>
      <c r="S393" s="32">
        <v>0</v>
      </c>
      <c r="T393" s="37">
        <v>151</v>
      </c>
      <c r="U393" s="38">
        <v>73</v>
      </c>
      <c r="V393" s="37">
        <v>86</v>
      </c>
      <c r="W393" s="32">
        <v>140</v>
      </c>
      <c r="X393" s="31">
        <v>149</v>
      </c>
      <c r="Y393" s="32">
        <v>72</v>
      </c>
      <c r="Z393" s="111">
        <v>153</v>
      </c>
      <c r="AA393" s="35">
        <v>0</v>
      </c>
      <c r="AB393" s="35">
        <v>10</v>
      </c>
      <c r="AC393" s="35">
        <v>67</v>
      </c>
      <c r="AD393" s="35">
        <v>0</v>
      </c>
      <c r="AE393" s="33">
        <v>0</v>
      </c>
      <c r="AF393" s="116">
        <v>0</v>
      </c>
      <c r="AG393" s="120">
        <v>164</v>
      </c>
      <c r="AH393" s="38">
        <v>61</v>
      </c>
      <c r="AI393" s="37"/>
      <c r="AJ393" s="36"/>
      <c r="AK393" s="37">
        <v>70</v>
      </c>
      <c r="AL393" s="38">
        <v>152</v>
      </c>
      <c r="AM393" s="37"/>
      <c r="AN393" s="116"/>
      <c r="AO393" s="120"/>
      <c r="AP393" s="38"/>
      <c r="AQ393" s="37"/>
      <c r="AR393" s="116"/>
      <c r="AS393" s="120">
        <v>144</v>
      </c>
      <c r="AT393" s="38">
        <v>74</v>
      </c>
      <c r="AU393" s="37"/>
      <c r="AV393" s="120"/>
      <c r="AW393" s="120"/>
      <c r="AX393" s="37"/>
      <c r="AY393" s="38"/>
      <c r="AZ393" s="37"/>
      <c r="BA393" s="116"/>
      <c r="BB393" s="31">
        <v>74</v>
      </c>
      <c r="BC393" s="32">
        <v>145</v>
      </c>
      <c r="BD393" s="31">
        <v>70</v>
      </c>
      <c r="BE393" s="116">
        <v>147</v>
      </c>
      <c r="BF393" s="120">
        <v>143</v>
      </c>
      <c r="BG393" s="38">
        <v>69</v>
      </c>
      <c r="BH393" s="37">
        <v>82</v>
      </c>
      <c r="BI393" s="38">
        <v>141</v>
      </c>
      <c r="BJ393" s="111">
        <v>11</v>
      </c>
      <c r="BK393" s="33">
        <v>62</v>
      </c>
      <c r="BL393" s="115">
        <v>148</v>
      </c>
      <c r="BM393" s="111">
        <v>150</v>
      </c>
      <c r="BN393" s="35">
        <v>62</v>
      </c>
      <c r="BO393" s="32">
        <v>10</v>
      </c>
      <c r="BP393" s="31">
        <v>79</v>
      </c>
      <c r="BQ393" s="32">
        <v>140</v>
      </c>
      <c r="BR393" s="31">
        <v>130</v>
      </c>
      <c r="BS393" s="32">
        <v>92</v>
      </c>
      <c r="BT393" s="31">
        <v>72</v>
      </c>
      <c r="BU393" s="33">
        <v>15</v>
      </c>
      <c r="BV393" s="115">
        <v>135</v>
      </c>
      <c r="BW393" s="111">
        <v>158</v>
      </c>
      <c r="BX393" s="32">
        <v>64</v>
      </c>
      <c r="BY393" s="31">
        <v>149</v>
      </c>
      <c r="BZ393" s="32">
        <v>67</v>
      </c>
      <c r="CA393" s="111">
        <v>68</v>
      </c>
      <c r="CB393" s="32">
        <v>150</v>
      </c>
      <c r="CC393" s="33">
        <v>123</v>
      </c>
      <c r="CD393" s="34">
        <v>178</v>
      </c>
      <c r="CE393" s="120">
        <v>100</v>
      </c>
      <c r="CF393" s="42">
        <v>95</v>
      </c>
      <c r="CG393" s="31">
        <v>71</v>
      </c>
      <c r="CH393" s="35">
        <v>34</v>
      </c>
      <c r="CI393" s="35">
        <v>84</v>
      </c>
      <c r="CJ393" s="35">
        <v>90</v>
      </c>
      <c r="CK393" s="32">
        <v>76</v>
      </c>
    </row>
    <row r="394" spans="1:89" ht="13" x14ac:dyDescent="0.25">
      <c r="A394" s="27">
        <v>6206</v>
      </c>
      <c r="B394" s="28" t="s">
        <v>417</v>
      </c>
      <c r="C394" s="29">
        <v>638</v>
      </c>
      <c r="D394" s="30">
        <v>475</v>
      </c>
      <c r="E394" s="20">
        <f t="shared" si="6"/>
        <v>0.74451410658307215</v>
      </c>
      <c r="F394" s="31">
        <v>0</v>
      </c>
      <c r="G394" s="111">
        <v>0</v>
      </c>
      <c r="H394" s="111">
        <v>0</v>
      </c>
      <c r="I394" s="111">
        <v>0</v>
      </c>
      <c r="J394" s="111">
        <v>1</v>
      </c>
      <c r="K394" s="111">
        <v>0</v>
      </c>
      <c r="L394" s="111">
        <v>0</v>
      </c>
      <c r="M394" s="111">
        <v>267</v>
      </c>
      <c r="N394" s="111">
        <v>0</v>
      </c>
      <c r="O394" s="111">
        <v>0</v>
      </c>
      <c r="P394" s="35">
        <v>6</v>
      </c>
      <c r="Q394" s="35">
        <v>5</v>
      </c>
      <c r="R394" s="35">
        <v>186</v>
      </c>
      <c r="S394" s="32">
        <v>0</v>
      </c>
      <c r="T394" s="37">
        <v>246</v>
      </c>
      <c r="U394" s="38">
        <v>209</v>
      </c>
      <c r="V394" s="37">
        <v>204</v>
      </c>
      <c r="W394" s="32">
        <v>247</v>
      </c>
      <c r="X394" s="31">
        <v>250</v>
      </c>
      <c r="Y394" s="32">
        <v>193</v>
      </c>
      <c r="Z394" s="111">
        <v>275</v>
      </c>
      <c r="AA394" s="35">
        <v>0</v>
      </c>
      <c r="AB394" s="35">
        <v>12</v>
      </c>
      <c r="AC394" s="35">
        <v>174</v>
      </c>
      <c r="AD394" s="35">
        <v>0</v>
      </c>
      <c r="AE394" s="33">
        <v>0</v>
      </c>
      <c r="AF394" s="116">
        <v>0</v>
      </c>
      <c r="AG394" s="120">
        <v>269</v>
      </c>
      <c r="AH394" s="38">
        <v>180</v>
      </c>
      <c r="AI394" s="37"/>
      <c r="AJ394" s="36"/>
      <c r="AK394" s="37"/>
      <c r="AL394" s="38"/>
      <c r="AM394" s="37"/>
      <c r="AN394" s="116"/>
      <c r="AO394" s="120"/>
      <c r="AP394" s="38"/>
      <c r="AQ394" s="37">
        <v>186</v>
      </c>
      <c r="AR394" s="116">
        <v>253</v>
      </c>
      <c r="AS394" s="120"/>
      <c r="AT394" s="38"/>
      <c r="AU394" s="37"/>
      <c r="AV394" s="120"/>
      <c r="AW394" s="120"/>
      <c r="AX394" s="37"/>
      <c r="AY394" s="38"/>
      <c r="AZ394" s="37"/>
      <c r="BA394" s="116"/>
      <c r="BB394" s="31">
        <v>199</v>
      </c>
      <c r="BC394" s="32">
        <v>238</v>
      </c>
      <c r="BD394" s="31">
        <v>183</v>
      </c>
      <c r="BE394" s="116">
        <v>257</v>
      </c>
      <c r="BF394" s="120">
        <v>246</v>
      </c>
      <c r="BG394" s="38">
        <v>189</v>
      </c>
      <c r="BH394" s="37">
        <v>212</v>
      </c>
      <c r="BI394" s="38">
        <v>229</v>
      </c>
      <c r="BJ394" s="111">
        <v>16</v>
      </c>
      <c r="BK394" s="33">
        <v>170</v>
      </c>
      <c r="BL394" s="115">
        <v>255</v>
      </c>
      <c r="BM394" s="111">
        <v>244</v>
      </c>
      <c r="BN394" s="35">
        <v>171</v>
      </c>
      <c r="BO394" s="32">
        <v>19</v>
      </c>
      <c r="BP394" s="31">
        <v>187</v>
      </c>
      <c r="BQ394" s="32">
        <v>243</v>
      </c>
      <c r="BR394" s="31">
        <v>231</v>
      </c>
      <c r="BS394" s="32">
        <v>208</v>
      </c>
      <c r="BT394" s="31">
        <v>176</v>
      </c>
      <c r="BU394" s="33">
        <v>19</v>
      </c>
      <c r="BV394" s="115">
        <v>239</v>
      </c>
      <c r="BW394" s="111">
        <v>247</v>
      </c>
      <c r="BX394" s="32">
        <v>195</v>
      </c>
      <c r="BY394" s="31">
        <v>249</v>
      </c>
      <c r="BZ394" s="32">
        <v>174</v>
      </c>
      <c r="CA394" s="111">
        <v>185</v>
      </c>
      <c r="CB394" s="32">
        <v>249</v>
      </c>
      <c r="CC394" s="33">
        <v>283</v>
      </c>
      <c r="CD394" s="34">
        <v>343</v>
      </c>
      <c r="CE394" s="120">
        <v>181</v>
      </c>
      <c r="CF394" s="42">
        <v>189</v>
      </c>
      <c r="CG394" s="31">
        <v>112</v>
      </c>
      <c r="CH394" s="35">
        <v>98</v>
      </c>
      <c r="CI394" s="35">
        <v>139</v>
      </c>
      <c r="CJ394" s="35">
        <v>166</v>
      </c>
      <c r="CK394" s="32">
        <v>156</v>
      </c>
    </row>
    <row r="395" spans="1:89" ht="13" x14ac:dyDescent="0.25">
      <c r="A395" s="27">
        <v>6207</v>
      </c>
      <c r="B395" s="28" t="s">
        <v>418</v>
      </c>
      <c r="C395" s="29">
        <v>816</v>
      </c>
      <c r="D395" s="30">
        <v>594</v>
      </c>
      <c r="E395" s="20">
        <f t="shared" si="6"/>
        <v>0.7279411764705882</v>
      </c>
      <c r="F395" s="31">
        <v>0</v>
      </c>
      <c r="G395" s="111">
        <v>0</v>
      </c>
      <c r="H395" s="111">
        <v>0</v>
      </c>
      <c r="I395" s="111">
        <v>0</v>
      </c>
      <c r="J395" s="111">
        <v>3</v>
      </c>
      <c r="K395" s="111">
        <v>0</v>
      </c>
      <c r="L395" s="111">
        <v>0</v>
      </c>
      <c r="M395" s="111">
        <v>370</v>
      </c>
      <c r="N395" s="111">
        <v>0</v>
      </c>
      <c r="O395" s="111">
        <v>0</v>
      </c>
      <c r="P395" s="35">
        <v>10</v>
      </c>
      <c r="Q395" s="35">
        <v>0</v>
      </c>
      <c r="R395" s="35">
        <v>198</v>
      </c>
      <c r="S395" s="32">
        <v>0</v>
      </c>
      <c r="T395" s="37">
        <v>337</v>
      </c>
      <c r="U395" s="38">
        <v>237</v>
      </c>
      <c r="V395" s="37">
        <v>241</v>
      </c>
      <c r="W395" s="32">
        <v>338</v>
      </c>
      <c r="X395" s="31">
        <v>345</v>
      </c>
      <c r="Y395" s="32">
        <v>220</v>
      </c>
      <c r="Z395" s="111">
        <v>368</v>
      </c>
      <c r="AA395" s="35">
        <v>0</v>
      </c>
      <c r="AB395" s="35">
        <v>19</v>
      </c>
      <c r="AC395" s="35">
        <v>195</v>
      </c>
      <c r="AD395" s="35">
        <v>0</v>
      </c>
      <c r="AE395" s="33">
        <v>0</v>
      </c>
      <c r="AF395" s="116">
        <v>0</v>
      </c>
      <c r="AG395" s="120">
        <v>369</v>
      </c>
      <c r="AH395" s="38">
        <v>202</v>
      </c>
      <c r="AI395" s="37"/>
      <c r="AJ395" s="36"/>
      <c r="AK395" s="37"/>
      <c r="AL395" s="38"/>
      <c r="AM395" s="37"/>
      <c r="AN395" s="116"/>
      <c r="AO395" s="120"/>
      <c r="AP395" s="38"/>
      <c r="AQ395" s="37">
        <v>208</v>
      </c>
      <c r="AR395" s="116">
        <v>344</v>
      </c>
      <c r="AS395" s="120"/>
      <c r="AT395" s="38"/>
      <c r="AU395" s="37"/>
      <c r="AV395" s="120"/>
      <c r="AW395" s="120"/>
      <c r="AX395" s="37"/>
      <c r="AY395" s="38"/>
      <c r="AZ395" s="37"/>
      <c r="BA395" s="116"/>
      <c r="BB395" s="31">
        <v>233</v>
      </c>
      <c r="BC395" s="32">
        <v>323</v>
      </c>
      <c r="BD395" s="31">
        <v>215</v>
      </c>
      <c r="BE395" s="116">
        <v>336</v>
      </c>
      <c r="BF395" s="120">
        <v>343</v>
      </c>
      <c r="BG395" s="38">
        <v>209</v>
      </c>
      <c r="BH395" s="37">
        <v>241</v>
      </c>
      <c r="BI395" s="38">
        <v>310</v>
      </c>
      <c r="BJ395" s="111">
        <v>30</v>
      </c>
      <c r="BK395" s="33">
        <v>202</v>
      </c>
      <c r="BL395" s="115">
        <v>321</v>
      </c>
      <c r="BM395" s="111">
        <v>329</v>
      </c>
      <c r="BN395" s="35">
        <v>204</v>
      </c>
      <c r="BO395" s="32">
        <v>22</v>
      </c>
      <c r="BP395" s="31">
        <v>225</v>
      </c>
      <c r="BQ395" s="32">
        <v>320</v>
      </c>
      <c r="BR395" s="31">
        <v>302</v>
      </c>
      <c r="BS395" s="32">
        <v>259</v>
      </c>
      <c r="BT395" s="31">
        <v>203</v>
      </c>
      <c r="BU395" s="33">
        <v>20</v>
      </c>
      <c r="BV395" s="115">
        <v>326</v>
      </c>
      <c r="BW395" s="111">
        <v>340</v>
      </c>
      <c r="BX395" s="32">
        <v>226</v>
      </c>
      <c r="BY395" s="31">
        <v>327</v>
      </c>
      <c r="BZ395" s="32">
        <v>205</v>
      </c>
      <c r="CA395" s="111">
        <v>215</v>
      </c>
      <c r="CB395" s="32">
        <v>332</v>
      </c>
      <c r="CC395" s="33">
        <v>350</v>
      </c>
      <c r="CD395" s="34">
        <v>444</v>
      </c>
      <c r="CE395" s="120">
        <v>210</v>
      </c>
      <c r="CF395" s="42">
        <v>251</v>
      </c>
      <c r="CG395" s="31">
        <v>153</v>
      </c>
      <c r="CH395" s="35">
        <v>115</v>
      </c>
      <c r="CI395" s="35">
        <v>185</v>
      </c>
      <c r="CJ395" s="35">
        <v>230</v>
      </c>
      <c r="CK395" s="32">
        <v>192</v>
      </c>
    </row>
    <row r="396" spans="1:89" ht="13" x14ac:dyDescent="0.25">
      <c r="A396" s="27">
        <v>6208</v>
      </c>
      <c r="B396" s="28" t="s">
        <v>419</v>
      </c>
      <c r="C396" s="29">
        <v>1</v>
      </c>
      <c r="D396" s="30">
        <v>1</v>
      </c>
      <c r="E396" s="20">
        <f t="shared" si="6"/>
        <v>1</v>
      </c>
      <c r="F396" s="31">
        <v>0</v>
      </c>
      <c r="G396" s="111">
        <v>0</v>
      </c>
      <c r="H396" s="111">
        <v>0</v>
      </c>
      <c r="I396" s="111">
        <v>0</v>
      </c>
      <c r="J396" s="111">
        <v>0</v>
      </c>
      <c r="K396" s="111">
        <v>0</v>
      </c>
      <c r="L396" s="111">
        <v>0</v>
      </c>
      <c r="M396" s="111">
        <v>1</v>
      </c>
      <c r="N396" s="111">
        <v>0</v>
      </c>
      <c r="O396" s="111">
        <v>0</v>
      </c>
      <c r="P396" s="35">
        <v>0</v>
      </c>
      <c r="Q396" s="35">
        <v>0</v>
      </c>
      <c r="R396" s="35">
        <v>0</v>
      </c>
      <c r="S396" s="32">
        <v>0</v>
      </c>
      <c r="T396" s="37">
        <v>1</v>
      </c>
      <c r="U396" s="38">
        <v>0</v>
      </c>
      <c r="V396" s="37">
        <v>0</v>
      </c>
      <c r="W396" s="32">
        <v>1</v>
      </c>
      <c r="X396" s="31">
        <v>1</v>
      </c>
      <c r="Y396" s="32">
        <v>0</v>
      </c>
      <c r="Z396" s="111">
        <v>1</v>
      </c>
      <c r="AA396" s="35">
        <v>0</v>
      </c>
      <c r="AB396" s="35">
        <v>0</v>
      </c>
      <c r="AC396" s="35">
        <v>0</v>
      </c>
      <c r="AD396" s="35">
        <v>0</v>
      </c>
      <c r="AE396" s="33">
        <v>0</v>
      </c>
      <c r="AF396" s="116">
        <v>0</v>
      </c>
      <c r="AG396" s="120">
        <v>1</v>
      </c>
      <c r="AH396" s="38">
        <v>0</v>
      </c>
      <c r="AI396" s="37"/>
      <c r="AJ396" s="36"/>
      <c r="AK396" s="37">
        <v>0</v>
      </c>
      <c r="AL396" s="38">
        <v>1</v>
      </c>
      <c r="AM396" s="37"/>
      <c r="AN396" s="116"/>
      <c r="AO396" s="120"/>
      <c r="AP396" s="38"/>
      <c r="AQ396" s="37"/>
      <c r="AR396" s="116"/>
      <c r="AS396" s="120">
        <v>1</v>
      </c>
      <c r="AT396" s="38">
        <v>0</v>
      </c>
      <c r="AU396" s="37"/>
      <c r="AV396" s="120"/>
      <c r="AW396" s="120"/>
      <c r="AX396" s="37"/>
      <c r="AY396" s="38"/>
      <c r="AZ396" s="37"/>
      <c r="BA396" s="116"/>
      <c r="BB396" s="31">
        <v>0</v>
      </c>
      <c r="BC396" s="32">
        <v>1</v>
      </c>
      <c r="BD396" s="31">
        <v>0</v>
      </c>
      <c r="BE396" s="116">
        <v>1</v>
      </c>
      <c r="BF396" s="120">
        <v>0</v>
      </c>
      <c r="BG396" s="38">
        <v>1</v>
      </c>
      <c r="BH396" s="37">
        <v>0</v>
      </c>
      <c r="BI396" s="38">
        <v>1</v>
      </c>
      <c r="BJ396" s="111">
        <v>0</v>
      </c>
      <c r="BK396" s="33">
        <v>0</v>
      </c>
      <c r="BL396" s="115">
        <v>1</v>
      </c>
      <c r="BM396" s="111">
        <v>1</v>
      </c>
      <c r="BN396" s="35">
        <v>0</v>
      </c>
      <c r="BO396" s="32">
        <v>0</v>
      </c>
      <c r="BP396" s="31">
        <v>1</v>
      </c>
      <c r="BQ396" s="32">
        <v>0</v>
      </c>
      <c r="BR396" s="31">
        <v>1</v>
      </c>
      <c r="BS396" s="32">
        <v>0</v>
      </c>
      <c r="BT396" s="31">
        <v>0</v>
      </c>
      <c r="BU396" s="33">
        <v>0</v>
      </c>
      <c r="BV396" s="115">
        <v>1</v>
      </c>
      <c r="BW396" s="111">
        <v>1</v>
      </c>
      <c r="BX396" s="32">
        <v>0</v>
      </c>
      <c r="BY396" s="31">
        <v>1</v>
      </c>
      <c r="BZ396" s="32">
        <v>0</v>
      </c>
      <c r="CA396" s="111">
        <v>0</v>
      </c>
      <c r="CB396" s="32">
        <v>1</v>
      </c>
      <c r="CC396" s="33">
        <v>1</v>
      </c>
      <c r="CD396" s="34">
        <v>1</v>
      </c>
      <c r="CE396" s="120">
        <v>1</v>
      </c>
      <c r="CF396" s="42">
        <v>0</v>
      </c>
      <c r="CG396" s="31">
        <v>1</v>
      </c>
      <c r="CH396" s="35">
        <v>1</v>
      </c>
      <c r="CI396" s="35">
        <v>0</v>
      </c>
      <c r="CJ396" s="35">
        <v>0</v>
      </c>
      <c r="CK396" s="32">
        <v>0</v>
      </c>
    </row>
    <row r="397" spans="1:89" ht="13" x14ac:dyDescent="0.25">
      <c r="A397" s="27">
        <v>6209</v>
      </c>
      <c r="B397" s="28" t="s">
        <v>420</v>
      </c>
      <c r="C397" s="29">
        <v>92</v>
      </c>
      <c r="D397" s="30">
        <v>64</v>
      </c>
      <c r="E397" s="20">
        <f t="shared" si="6"/>
        <v>0.69565217391304346</v>
      </c>
      <c r="F397" s="31">
        <v>0</v>
      </c>
      <c r="G397" s="111">
        <v>0</v>
      </c>
      <c r="H397" s="111">
        <v>0</v>
      </c>
      <c r="I397" s="111">
        <v>0</v>
      </c>
      <c r="J397" s="111">
        <v>0</v>
      </c>
      <c r="K397" s="111">
        <v>0</v>
      </c>
      <c r="L397" s="111">
        <v>0</v>
      </c>
      <c r="M397" s="111">
        <v>37</v>
      </c>
      <c r="N397" s="111">
        <v>0</v>
      </c>
      <c r="O397" s="111">
        <v>0</v>
      </c>
      <c r="P397" s="35">
        <v>0</v>
      </c>
      <c r="Q397" s="35">
        <v>0</v>
      </c>
      <c r="R397" s="35">
        <v>24</v>
      </c>
      <c r="S397" s="32">
        <v>0</v>
      </c>
      <c r="T397" s="37">
        <v>38</v>
      </c>
      <c r="U397" s="38">
        <v>23</v>
      </c>
      <c r="V397" s="37">
        <v>25</v>
      </c>
      <c r="W397" s="32">
        <v>37</v>
      </c>
      <c r="X397" s="31">
        <v>37</v>
      </c>
      <c r="Y397" s="32">
        <v>24</v>
      </c>
      <c r="Z397" s="111">
        <v>39</v>
      </c>
      <c r="AA397" s="35">
        <v>0</v>
      </c>
      <c r="AB397" s="35">
        <v>1</v>
      </c>
      <c r="AC397" s="35">
        <v>23</v>
      </c>
      <c r="AD397" s="35">
        <v>0</v>
      </c>
      <c r="AE397" s="33">
        <v>0</v>
      </c>
      <c r="AF397" s="116">
        <v>0</v>
      </c>
      <c r="AG397" s="120">
        <v>39</v>
      </c>
      <c r="AH397" s="38">
        <v>22</v>
      </c>
      <c r="AI397" s="37"/>
      <c r="AJ397" s="36"/>
      <c r="AK397" s="37"/>
      <c r="AL397" s="38"/>
      <c r="AM397" s="37"/>
      <c r="AN397" s="116"/>
      <c r="AO397" s="120"/>
      <c r="AP397" s="38"/>
      <c r="AQ397" s="37">
        <v>22</v>
      </c>
      <c r="AR397" s="116">
        <v>39</v>
      </c>
      <c r="AS397" s="120"/>
      <c r="AT397" s="38"/>
      <c r="AU397" s="37"/>
      <c r="AV397" s="120"/>
      <c r="AW397" s="120"/>
      <c r="AX397" s="37"/>
      <c r="AY397" s="38"/>
      <c r="AZ397" s="37"/>
      <c r="BA397" s="116"/>
      <c r="BB397" s="31">
        <v>26</v>
      </c>
      <c r="BC397" s="32">
        <v>34</v>
      </c>
      <c r="BD397" s="31">
        <v>25</v>
      </c>
      <c r="BE397" s="116">
        <v>35</v>
      </c>
      <c r="BF397" s="120">
        <v>35</v>
      </c>
      <c r="BG397" s="38">
        <v>25</v>
      </c>
      <c r="BH397" s="37">
        <v>26</v>
      </c>
      <c r="BI397" s="38">
        <v>34</v>
      </c>
      <c r="BJ397" s="111">
        <v>5</v>
      </c>
      <c r="BK397" s="33">
        <v>21</v>
      </c>
      <c r="BL397" s="115">
        <v>34</v>
      </c>
      <c r="BM397" s="111">
        <v>33</v>
      </c>
      <c r="BN397" s="35">
        <v>22</v>
      </c>
      <c r="BO397" s="32">
        <v>5</v>
      </c>
      <c r="BP397" s="31">
        <v>25</v>
      </c>
      <c r="BQ397" s="32">
        <v>35</v>
      </c>
      <c r="BR397" s="31">
        <v>32</v>
      </c>
      <c r="BS397" s="32">
        <v>28</v>
      </c>
      <c r="BT397" s="31">
        <v>21</v>
      </c>
      <c r="BU397" s="33">
        <v>5</v>
      </c>
      <c r="BV397" s="115">
        <v>34</v>
      </c>
      <c r="BW397" s="111">
        <v>35</v>
      </c>
      <c r="BX397" s="32">
        <v>25</v>
      </c>
      <c r="BY397" s="31">
        <v>38</v>
      </c>
      <c r="BZ397" s="32">
        <v>22</v>
      </c>
      <c r="CA397" s="111">
        <v>26</v>
      </c>
      <c r="CB397" s="32">
        <v>34</v>
      </c>
      <c r="CC397" s="33">
        <v>45</v>
      </c>
      <c r="CD397" s="34">
        <v>52</v>
      </c>
      <c r="CE397" s="120">
        <v>29</v>
      </c>
      <c r="CF397" s="42">
        <v>21</v>
      </c>
      <c r="CG397" s="31">
        <v>13</v>
      </c>
      <c r="CH397" s="35">
        <v>8</v>
      </c>
      <c r="CI397" s="35">
        <v>21</v>
      </c>
      <c r="CJ397" s="35">
        <v>24</v>
      </c>
      <c r="CK397" s="32">
        <v>22</v>
      </c>
    </row>
    <row r="398" spans="1:89" ht="13" x14ac:dyDescent="0.25">
      <c r="A398" s="27">
        <v>6401</v>
      </c>
      <c r="B398" s="28" t="s">
        <v>421</v>
      </c>
      <c r="C398" s="29">
        <v>1545</v>
      </c>
      <c r="D398" s="30">
        <v>1211</v>
      </c>
      <c r="E398" s="20">
        <f t="shared" si="6"/>
        <v>0.78381877022653723</v>
      </c>
      <c r="F398" s="31">
        <v>0</v>
      </c>
      <c r="G398" s="111">
        <v>0</v>
      </c>
      <c r="H398" s="111">
        <v>0</v>
      </c>
      <c r="I398" s="111">
        <v>0</v>
      </c>
      <c r="J398" s="111">
        <v>7</v>
      </c>
      <c r="K398" s="111">
        <v>0</v>
      </c>
      <c r="L398" s="111">
        <v>0</v>
      </c>
      <c r="M398" s="111">
        <v>283</v>
      </c>
      <c r="N398" s="111">
        <v>0</v>
      </c>
      <c r="O398" s="111">
        <v>0</v>
      </c>
      <c r="P398" s="35">
        <v>7</v>
      </c>
      <c r="Q398" s="35">
        <v>0</v>
      </c>
      <c r="R398" s="35">
        <v>906</v>
      </c>
      <c r="S398" s="32">
        <v>0</v>
      </c>
      <c r="T398" s="37">
        <v>264</v>
      </c>
      <c r="U398" s="38">
        <v>902</v>
      </c>
      <c r="V398" s="37">
        <v>931</v>
      </c>
      <c r="W398" s="32">
        <v>242</v>
      </c>
      <c r="X398" s="31">
        <v>268</v>
      </c>
      <c r="Y398" s="32">
        <v>874</v>
      </c>
      <c r="Z398" s="111">
        <v>322</v>
      </c>
      <c r="AA398" s="35">
        <v>0</v>
      </c>
      <c r="AB398" s="35">
        <v>28</v>
      </c>
      <c r="AC398" s="35">
        <v>835</v>
      </c>
      <c r="AD398" s="35">
        <v>0</v>
      </c>
      <c r="AE398" s="33">
        <v>0</v>
      </c>
      <c r="AF398" s="116">
        <v>0</v>
      </c>
      <c r="AG398" s="120"/>
      <c r="AH398" s="38"/>
      <c r="AI398" s="37">
        <v>874</v>
      </c>
      <c r="AJ398" s="36">
        <v>255</v>
      </c>
      <c r="AK398" s="37">
        <v>890</v>
      </c>
      <c r="AL398" s="38">
        <v>249</v>
      </c>
      <c r="AM398" s="37"/>
      <c r="AN398" s="116"/>
      <c r="AO398" s="120"/>
      <c r="AP398" s="38"/>
      <c r="AQ398" s="37"/>
      <c r="AR398" s="116"/>
      <c r="AS398" s="120"/>
      <c r="AT398" s="38"/>
      <c r="AU398" s="37"/>
      <c r="AV398" s="120"/>
      <c r="AW398" s="120"/>
      <c r="AX398" s="37">
        <v>901</v>
      </c>
      <c r="AY398" s="38">
        <v>240</v>
      </c>
      <c r="AZ398" s="37"/>
      <c r="BA398" s="116"/>
      <c r="BB398" s="31">
        <v>879</v>
      </c>
      <c r="BC398" s="32">
        <v>247</v>
      </c>
      <c r="BD398" s="31">
        <v>871</v>
      </c>
      <c r="BE398" s="116">
        <v>244</v>
      </c>
      <c r="BF398" s="120">
        <v>243</v>
      </c>
      <c r="BG398" s="38">
        <v>865</v>
      </c>
      <c r="BH398" s="37">
        <v>900</v>
      </c>
      <c r="BI398" s="38">
        <v>220</v>
      </c>
      <c r="BJ398" s="111">
        <v>54</v>
      </c>
      <c r="BK398" s="33">
        <v>818</v>
      </c>
      <c r="BL398" s="115">
        <v>259</v>
      </c>
      <c r="BM398" s="111">
        <v>262</v>
      </c>
      <c r="BN398" s="35">
        <v>825</v>
      </c>
      <c r="BO398" s="32">
        <v>34</v>
      </c>
      <c r="BP398" s="31">
        <v>871</v>
      </c>
      <c r="BQ398" s="32">
        <v>242</v>
      </c>
      <c r="BR398" s="31">
        <v>202</v>
      </c>
      <c r="BS398" s="32">
        <v>935</v>
      </c>
      <c r="BT398" s="31">
        <v>843</v>
      </c>
      <c r="BU398" s="33">
        <v>54</v>
      </c>
      <c r="BV398" s="115">
        <v>212</v>
      </c>
      <c r="BW398" s="111">
        <v>270</v>
      </c>
      <c r="BX398" s="32">
        <v>884</v>
      </c>
      <c r="BY398" s="31">
        <v>266</v>
      </c>
      <c r="BZ398" s="32">
        <v>833</v>
      </c>
      <c r="CA398" s="111">
        <v>850</v>
      </c>
      <c r="CB398" s="32">
        <v>258</v>
      </c>
      <c r="CC398" s="33">
        <v>951</v>
      </c>
      <c r="CD398" s="34">
        <v>702</v>
      </c>
      <c r="CE398" s="120">
        <v>582</v>
      </c>
      <c r="CF398" s="38">
        <v>353</v>
      </c>
      <c r="CG398" s="31">
        <v>300</v>
      </c>
      <c r="CH398" s="35">
        <v>402</v>
      </c>
      <c r="CI398" s="35">
        <v>120</v>
      </c>
      <c r="CJ398" s="35">
        <v>160</v>
      </c>
      <c r="CK398" s="32">
        <v>732</v>
      </c>
    </row>
    <row r="399" spans="1:89" ht="13" x14ac:dyDescent="0.25">
      <c r="A399" s="27">
        <v>6402</v>
      </c>
      <c r="B399" s="28" t="s">
        <v>422</v>
      </c>
      <c r="C399" s="29">
        <v>1358</v>
      </c>
      <c r="D399" s="30">
        <v>1083</v>
      </c>
      <c r="E399" s="20">
        <f t="shared" si="6"/>
        <v>0.79749631811487487</v>
      </c>
      <c r="F399" s="31">
        <v>0</v>
      </c>
      <c r="G399" s="111">
        <v>0</v>
      </c>
      <c r="H399" s="111">
        <v>0</v>
      </c>
      <c r="I399" s="111">
        <v>0</v>
      </c>
      <c r="J399" s="111">
        <v>3</v>
      </c>
      <c r="K399" s="111">
        <v>0</v>
      </c>
      <c r="L399" s="111">
        <v>0</v>
      </c>
      <c r="M399" s="111">
        <v>187</v>
      </c>
      <c r="N399" s="111">
        <v>0</v>
      </c>
      <c r="O399" s="111">
        <v>0</v>
      </c>
      <c r="P399" s="35">
        <v>7</v>
      </c>
      <c r="Q399" s="35">
        <v>0</v>
      </c>
      <c r="R399" s="35">
        <v>875</v>
      </c>
      <c r="S399" s="32">
        <v>0</v>
      </c>
      <c r="T399" s="37">
        <v>174</v>
      </c>
      <c r="U399" s="38">
        <v>863</v>
      </c>
      <c r="V399" s="37">
        <v>894</v>
      </c>
      <c r="W399" s="32">
        <v>153</v>
      </c>
      <c r="X399" s="31">
        <v>169</v>
      </c>
      <c r="Y399" s="32">
        <v>852</v>
      </c>
      <c r="Z399" s="111">
        <v>216</v>
      </c>
      <c r="AA399" s="35">
        <v>0</v>
      </c>
      <c r="AB399" s="35">
        <v>46</v>
      </c>
      <c r="AC399" s="35">
        <v>804</v>
      </c>
      <c r="AD399" s="35">
        <v>0</v>
      </c>
      <c r="AE399" s="33">
        <v>0</v>
      </c>
      <c r="AF399" s="116">
        <v>0</v>
      </c>
      <c r="AG399" s="120"/>
      <c r="AH399" s="38"/>
      <c r="AI399" s="37">
        <v>850</v>
      </c>
      <c r="AJ399" s="36">
        <v>164</v>
      </c>
      <c r="AK399" s="37">
        <v>854</v>
      </c>
      <c r="AL399" s="38">
        <v>159</v>
      </c>
      <c r="AM399" s="37"/>
      <c r="AN399" s="116"/>
      <c r="AO399" s="120"/>
      <c r="AP399" s="38"/>
      <c r="AQ399" s="37"/>
      <c r="AR399" s="116"/>
      <c r="AS399" s="120"/>
      <c r="AT399" s="38"/>
      <c r="AU399" s="37"/>
      <c r="AV399" s="120"/>
      <c r="AW399" s="120"/>
      <c r="AX399" s="37">
        <v>854</v>
      </c>
      <c r="AY399" s="38">
        <v>164</v>
      </c>
      <c r="AZ399" s="37"/>
      <c r="BA399" s="116"/>
      <c r="BB399" s="31">
        <v>843</v>
      </c>
      <c r="BC399" s="32">
        <v>160</v>
      </c>
      <c r="BD399" s="31">
        <v>834</v>
      </c>
      <c r="BE399" s="116">
        <v>163</v>
      </c>
      <c r="BF399" s="120">
        <v>165</v>
      </c>
      <c r="BG399" s="38">
        <v>824</v>
      </c>
      <c r="BH399" s="37">
        <v>875</v>
      </c>
      <c r="BI399" s="38">
        <v>135</v>
      </c>
      <c r="BJ399" s="111">
        <v>46</v>
      </c>
      <c r="BK399" s="33">
        <v>791</v>
      </c>
      <c r="BL399" s="115">
        <v>175</v>
      </c>
      <c r="BM399" s="111">
        <v>192</v>
      </c>
      <c r="BN399" s="35">
        <v>782</v>
      </c>
      <c r="BO399" s="32">
        <v>36</v>
      </c>
      <c r="BP399" s="31">
        <v>850</v>
      </c>
      <c r="BQ399" s="32">
        <v>159</v>
      </c>
      <c r="BR399" s="31">
        <v>133</v>
      </c>
      <c r="BS399" s="32">
        <v>891</v>
      </c>
      <c r="BT399" s="31">
        <v>798</v>
      </c>
      <c r="BU399" s="33">
        <v>49</v>
      </c>
      <c r="BV399" s="115">
        <v>147</v>
      </c>
      <c r="BW399" s="111">
        <v>180</v>
      </c>
      <c r="BX399" s="32">
        <v>862</v>
      </c>
      <c r="BY399" s="31">
        <v>180</v>
      </c>
      <c r="BZ399" s="32">
        <v>809</v>
      </c>
      <c r="CA399" s="111">
        <v>814</v>
      </c>
      <c r="CB399" s="32">
        <v>189</v>
      </c>
      <c r="CC399" s="33">
        <v>857</v>
      </c>
      <c r="CD399" s="34">
        <v>573</v>
      </c>
      <c r="CE399" s="120">
        <v>564</v>
      </c>
      <c r="CF399" s="38">
        <v>235</v>
      </c>
      <c r="CG399" s="31">
        <v>246</v>
      </c>
      <c r="CH399" s="35">
        <v>377</v>
      </c>
      <c r="CI399" s="35">
        <v>97</v>
      </c>
      <c r="CJ399" s="35">
        <v>109</v>
      </c>
      <c r="CK399" s="32">
        <v>671</v>
      </c>
    </row>
    <row r="400" spans="1:89" ht="13" x14ac:dyDescent="0.25">
      <c r="A400" s="27">
        <v>6501</v>
      </c>
      <c r="B400" s="28" t="s">
        <v>423</v>
      </c>
      <c r="C400" s="29">
        <v>1303</v>
      </c>
      <c r="D400" s="30">
        <v>837</v>
      </c>
      <c r="E400" s="20">
        <f t="shared" si="6"/>
        <v>0.64236377590176519</v>
      </c>
      <c r="F400" s="31">
        <v>0</v>
      </c>
      <c r="G400" s="111">
        <v>0</v>
      </c>
      <c r="H400" s="111">
        <v>0</v>
      </c>
      <c r="I400" s="111">
        <v>1</v>
      </c>
      <c r="J400" s="111">
        <v>0</v>
      </c>
      <c r="K400" s="111">
        <v>0</v>
      </c>
      <c r="L400" s="111">
        <v>0</v>
      </c>
      <c r="M400" s="111">
        <v>304</v>
      </c>
      <c r="N400" s="111">
        <v>0</v>
      </c>
      <c r="O400" s="111">
        <v>0</v>
      </c>
      <c r="P400" s="35">
        <v>5</v>
      </c>
      <c r="Q400" s="35">
        <v>2</v>
      </c>
      <c r="R400" s="35">
        <v>518</v>
      </c>
      <c r="S400" s="32">
        <v>0</v>
      </c>
      <c r="T400" s="37">
        <v>318</v>
      </c>
      <c r="U400" s="38">
        <v>483</v>
      </c>
      <c r="V400" s="37">
        <v>512</v>
      </c>
      <c r="W400" s="32">
        <v>295</v>
      </c>
      <c r="X400" s="31">
        <v>321</v>
      </c>
      <c r="Y400" s="32">
        <v>473</v>
      </c>
      <c r="Z400" s="111">
        <v>327</v>
      </c>
      <c r="AA400" s="35">
        <v>0</v>
      </c>
      <c r="AB400" s="35">
        <v>53</v>
      </c>
      <c r="AC400" s="35">
        <v>437</v>
      </c>
      <c r="AD400" s="35">
        <v>0</v>
      </c>
      <c r="AE400" s="33">
        <v>0</v>
      </c>
      <c r="AF400" s="116">
        <v>1</v>
      </c>
      <c r="AG400" s="120">
        <v>361</v>
      </c>
      <c r="AH400" s="38">
        <v>438</v>
      </c>
      <c r="AI400" s="37"/>
      <c r="AJ400" s="36"/>
      <c r="AK400" s="37">
        <v>471</v>
      </c>
      <c r="AL400" s="38">
        <v>325</v>
      </c>
      <c r="AM400" s="37"/>
      <c r="AN400" s="116"/>
      <c r="AO400" s="120"/>
      <c r="AP400" s="38"/>
      <c r="AQ400" s="37"/>
      <c r="AR400" s="116"/>
      <c r="AS400" s="120"/>
      <c r="AT400" s="38"/>
      <c r="AU400" s="37"/>
      <c r="AV400" s="120"/>
      <c r="AW400" s="120"/>
      <c r="AX400" s="37"/>
      <c r="AY400" s="38"/>
      <c r="AZ400" s="37">
        <v>318</v>
      </c>
      <c r="BA400" s="116">
        <v>471</v>
      </c>
      <c r="BB400" s="31">
        <v>485</v>
      </c>
      <c r="BC400" s="32">
        <v>302</v>
      </c>
      <c r="BD400" s="31">
        <v>464</v>
      </c>
      <c r="BE400" s="116">
        <v>316</v>
      </c>
      <c r="BF400" s="120">
        <v>306</v>
      </c>
      <c r="BG400" s="38">
        <v>469</v>
      </c>
      <c r="BH400" s="37">
        <v>496</v>
      </c>
      <c r="BI400" s="38">
        <v>289</v>
      </c>
      <c r="BJ400" s="111">
        <v>52</v>
      </c>
      <c r="BK400" s="33">
        <v>429</v>
      </c>
      <c r="BL400" s="115">
        <v>310</v>
      </c>
      <c r="BM400" s="111">
        <v>312</v>
      </c>
      <c r="BN400" s="35">
        <v>432</v>
      </c>
      <c r="BO400" s="32">
        <v>45</v>
      </c>
      <c r="BP400" s="31">
        <v>486</v>
      </c>
      <c r="BQ400" s="32">
        <v>298</v>
      </c>
      <c r="BR400" s="31">
        <v>272</v>
      </c>
      <c r="BS400" s="32">
        <v>519</v>
      </c>
      <c r="BT400" s="31">
        <v>447</v>
      </c>
      <c r="BU400" s="33">
        <v>55</v>
      </c>
      <c r="BV400" s="115">
        <v>282</v>
      </c>
      <c r="BW400" s="111">
        <v>311</v>
      </c>
      <c r="BX400" s="32">
        <v>495</v>
      </c>
      <c r="BY400" s="31">
        <v>308</v>
      </c>
      <c r="BZ400" s="32">
        <v>469</v>
      </c>
      <c r="CA400" s="111">
        <v>464</v>
      </c>
      <c r="CB400" s="32">
        <v>323</v>
      </c>
      <c r="CC400" s="33">
        <v>607</v>
      </c>
      <c r="CD400" s="34">
        <v>557</v>
      </c>
      <c r="CE400" s="120">
        <v>353</v>
      </c>
      <c r="CF400" s="38">
        <v>292</v>
      </c>
      <c r="CG400" s="31">
        <v>173</v>
      </c>
      <c r="CH400" s="35">
        <v>221</v>
      </c>
      <c r="CI400" s="35">
        <v>135</v>
      </c>
      <c r="CJ400" s="35">
        <v>171</v>
      </c>
      <c r="CK400" s="32">
        <v>406</v>
      </c>
    </row>
    <row r="401" spans="1:89" ht="13" x14ac:dyDescent="0.25">
      <c r="A401" s="27">
        <v>6502</v>
      </c>
      <c r="B401" s="28" t="s">
        <v>424</v>
      </c>
      <c r="C401" s="29">
        <v>1189</v>
      </c>
      <c r="D401" s="30">
        <v>759</v>
      </c>
      <c r="E401" s="20">
        <f t="shared" si="6"/>
        <v>0.63835155592935244</v>
      </c>
      <c r="F401" s="31">
        <v>0</v>
      </c>
      <c r="G401" s="111">
        <v>0</v>
      </c>
      <c r="H401" s="111">
        <v>0</v>
      </c>
      <c r="I401" s="111">
        <v>0</v>
      </c>
      <c r="J401" s="111">
        <v>2</v>
      </c>
      <c r="K401" s="111">
        <v>0</v>
      </c>
      <c r="L401" s="111">
        <v>0</v>
      </c>
      <c r="M401" s="111">
        <v>290</v>
      </c>
      <c r="N401" s="111">
        <v>0</v>
      </c>
      <c r="O401" s="111">
        <v>0</v>
      </c>
      <c r="P401" s="35">
        <v>2</v>
      </c>
      <c r="Q401" s="35">
        <v>1</v>
      </c>
      <c r="R401" s="35">
        <v>458</v>
      </c>
      <c r="S401" s="32">
        <v>0</v>
      </c>
      <c r="T401" s="37">
        <v>289</v>
      </c>
      <c r="U401" s="38">
        <v>442</v>
      </c>
      <c r="V401" s="37">
        <v>467</v>
      </c>
      <c r="W401" s="32">
        <v>269</v>
      </c>
      <c r="X401" s="31">
        <v>295</v>
      </c>
      <c r="Y401" s="32">
        <v>422</v>
      </c>
      <c r="Z401" s="111">
        <v>311</v>
      </c>
      <c r="AA401" s="35">
        <v>0</v>
      </c>
      <c r="AB401" s="35">
        <v>33</v>
      </c>
      <c r="AC401" s="35">
        <v>397</v>
      </c>
      <c r="AD401" s="35">
        <v>0</v>
      </c>
      <c r="AE401" s="33">
        <v>0</v>
      </c>
      <c r="AF401" s="116">
        <v>0</v>
      </c>
      <c r="AG401" s="120">
        <v>320</v>
      </c>
      <c r="AH401" s="38">
        <v>408</v>
      </c>
      <c r="AI401" s="37"/>
      <c r="AJ401" s="36"/>
      <c r="AK401" s="37">
        <v>425</v>
      </c>
      <c r="AL401" s="38">
        <v>288</v>
      </c>
      <c r="AM401" s="37"/>
      <c r="AN401" s="116"/>
      <c r="AO401" s="120"/>
      <c r="AP401" s="38"/>
      <c r="AQ401" s="37"/>
      <c r="AR401" s="116"/>
      <c r="AS401" s="120"/>
      <c r="AT401" s="38"/>
      <c r="AU401" s="37"/>
      <c r="AV401" s="120"/>
      <c r="AW401" s="120"/>
      <c r="AX401" s="37"/>
      <c r="AY401" s="38"/>
      <c r="AZ401" s="37">
        <v>290</v>
      </c>
      <c r="BA401" s="116">
        <v>416</v>
      </c>
      <c r="BB401" s="31">
        <v>432</v>
      </c>
      <c r="BC401" s="32">
        <v>268</v>
      </c>
      <c r="BD401" s="31">
        <v>423</v>
      </c>
      <c r="BE401" s="116">
        <v>274</v>
      </c>
      <c r="BF401" s="120">
        <v>275</v>
      </c>
      <c r="BG401" s="38">
        <v>419</v>
      </c>
      <c r="BH401" s="37">
        <v>455</v>
      </c>
      <c r="BI401" s="38">
        <v>256</v>
      </c>
      <c r="BJ401" s="111">
        <v>51</v>
      </c>
      <c r="BK401" s="33">
        <v>383</v>
      </c>
      <c r="BL401" s="115">
        <v>276</v>
      </c>
      <c r="BM401" s="111">
        <v>278</v>
      </c>
      <c r="BN401" s="35">
        <v>390</v>
      </c>
      <c r="BO401" s="32">
        <v>41</v>
      </c>
      <c r="BP401" s="31">
        <v>435</v>
      </c>
      <c r="BQ401" s="32">
        <v>267</v>
      </c>
      <c r="BR401" s="31">
        <v>256</v>
      </c>
      <c r="BS401" s="32">
        <v>456</v>
      </c>
      <c r="BT401" s="31">
        <v>405</v>
      </c>
      <c r="BU401" s="33">
        <v>46</v>
      </c>
      <c r="BV401" s="115">
        <v>248</v>
      </c>
      <c r="BW401" s="111">
        <v>278</v>
      </c>
      <c r="BX401" s="32">
        <v>441</v>
      </c>
      <c r="BY401" s="31">
        <v>283</v>
      </c>
      <c r="BZ401" s="32">
        <v>413</v>
      </c>
      <c r="CA401" s="111">
        <v>411</v>
      </c>
      <c r="CB401" s="32">
        <v>286</v>
      </c>
      <c r="CC401" s="33">
        <v>530</v>
      </c>
      <c r="CD401" s="34">
        <v>499</v>
      </c>
      <c r="CE401" s="120">
        <v>386</v>
      </c>
      <c r="CF401" s="38">
        <v>206</v>
      </c>
      <c r="CG401" s="31">
        <v>158</v>
      </c>
      <c r="CH401" s="35">
        <v>234</v>
      </c>
      <c r="CI401" s="35">
        <v>114</v>
      </c>
      <c r="CJ401" s="35">
        <v>165</v>
      </c>
      <c r="CK401" s="32">
        <v>365</v>
      </c>
    </row>
    <row r="402" spans="1:89" ht="13" x14ac:dyDescent="0.25">
      <c r="A402" s="27">
        <v>6503</v>
      </c>
      <c r="B402" s="28" t="s">
        <v>425</v>
      </c>
      <c r="C402" s="29">
        <v>1147</v>
      </c>
      <c r="D402" s="30">
        <v>923</v>
      </c>
      <c r="E402" s="20">
        <f t="shared" si="6"/>
        <v>0.80470793374019178</v>
      </c>
      <c r="F402" s="31">
        <v>0</v>
      </c>
      <c r="G402" s="111">
        <v>0</v>
      </c>
      <c r="H402" s="111">
        <v>0</v>
      </c>
      <c r="I402" s="111">
        <v>0</v>
      </c>
      <c r="J402" s="111">
        <v>2</v>
      </c>
      <c r="K402" s="111">
        <v>0</v>
      </c>
      <c r="L402" s="111">
        <v>0</v>
      </c>
      <c r="M402" s="111">
        <v>289</v>
      </c>
      <c r="N402" s="111">
        <v>0</v>
      </c>
      <c r="O402" s="111">
        <v>0</v>
      </c>
      <c r="P402" s="35">
        <v>5</v>
      </c>
      <c r="Q402" s="35">
        <v>3</v>
      </c>
      <c r="R402" s="35">
        <v>616</v>
      </c>
      <c r="S402" s="32">
        <v>0</v>
      </c>
      <c r="T402" s="37">
        <v>274</v>
      </c>
      <c r="U402" s="38">
        <v>606</v>
      </c>
      <c r="V402" s="37">
        <v>638</v>
      </c>
      <c r="W402" s="32">
        <v>259</v>
      </c>
      <c r="X402" s="31">
        <v>271</v>
      </c>
      <c r="Y402" s="32">
        <v>597</v>
      </c>
      <c r="Z402" s="111">
        <v>301</v>
      </c>
      <c r="AA402" s="35">
        <v>0</v>
      </c>
      <c r="AB402" s="35">
        <v>28</v>
      </c>
      <c r="AC402" s="35">
        <v>568</v>
      </c>
      <c r="AD402" s="35">
        <v>0</v>
      </c>
      <c r="AE402" s="33">
        <v>0</v>
      </c>
      <c r="AF402" s="116">
        <v>0</v>
      </c>
      <c r="AG402" s="120">
        <v>327</v>
      </c>
      <c r="AH402" s="38">
        <v>560</v>
      </c>
      <c r="AI402" s="37"/>
      <c r="AJ402" s="36"/>
      <c r="AK402" s="37">
        <v>607</v>
      </c>
      <c r="AL402" s="38">
        <v>264</v>
      </c>
      <c r="AM402" s="37"/>
      <c r="AN402" s="116"/>
      <c r="AO402" s="120"/>
      <c r="AP402" s="38"/>
      <c r="AQ402" s="37"/>
      <c r="AR402" s="116"/>
      <c r="AS402" s="120"/>
      <c r="AT402" s="38"/>
      <c r="AU402" s="37"/>
      <c r="AV402" s="120"/>
      <c r="AW402" s="120"/>
      <c r="AX402" s="37"/>
      <c r="AY402" s="38"/>
      <c r="AZ402" s="37">
        <v>260</v>
      </c>
      <c r="BA402" s="116">
        <v>604</v>
      </c>
      <c r="BB402" s="31">
        <v>604</v>
      </c>
      <c r="BC402" s="32">
        <v>245</v>
      </c>
      <c r="BD402" s="31">
        <v>591</v>
      </c>
      <c r="BE402" s="116">
        <v>251</v>
      </c>
      <c r="BF402" s="120">
        <v>244</v>
      </c>
      <c r="BG402" s="38">
        <v>587</v>
      </c>
      <c r="BH402" s="37">
        <v>626</v>
      </c>
      <c r="BI402" s="38">
        <v>223</v>
      </c>
      <c r="BJ402" s="111">
        <v>44</v>
      </c>
      <c r="BK402" s="33">
        <v>559</v>
      </c>
      <c r="BL402" s="115">
        <v>246</v>
      </c>
      <c r="BM402" s="111">
        <v>289</v>
      </c>
      <c r="BN402" s="35">
        <v>536</v>
      </c>
      <c r="BO402" s="32">
        <v>30</v>
      </c>
      <c r="BP402" s="31">
        <v>597</v>
      </c>
      <c r="BQ402" s="32">
        <v>254</v>
      </c>
      <c r="BR402" s="31">
        <v>213</v>
      </c>
      <c r="BS402" s="32">
        <v>649</v>
      </c>
      <c r="BT402" s="31">
        <v>573</v>
      </c>
      <c r="BU402" s="33">
        <v>47</v>
      </c>
      <c r="BV402" s="115">
        <v>217</v>
      </c>
      <c r="BW402" s="111">
        <v>251</v>
      </c>
      <c r="BX402" s="32">
        <v>625</v>
      </c>
      <c r="BY402" s="31">
        <v>268</v>
      </c>
      <c r="BZ402" s="32">
        <v>568</v>
      </c>
      <c r="CA402" s="111">
        <v>566</v>
      </c>
      <c r="CB402" s="32">
        <v>279</v>
      </c>
      <c r="CC402" s="33">
        <v>661</v>
      </c>
      <c r="CD402" s="34">
        <v>560</v>
      </c>
      <c r="CE402" s="120">
        <v>469</v>
      </c>
      <c r="CF402" s="38">
        <v>267</v>
      </c>
      <c r="CG402" s="31">
        <v>215</v>
      </c>
      <c r="CH402" s="35">
        <v>382</v>
      </c>
      <c r="CI402" s="35">
        <v>123</v>
      </c>
      <c r="CJ402" s="35">
        <v>144</v>
      </c>
      <c r="CK402" s="32">
        <v>551</v>
      </c>
    </row>
    <row r="403" spans="1:89" ht="13" x14ac:dyDescent="0.25">
      <c r="A403" s="27">
        <v>6504</v>
      </c>
      <c r="B403" s="28" t="s">
        <v>426</v>
      </c>
      <c r="C403" s="29">
        <v>959</v>
      </c>
      <c r="D403" s="30">
        <v>691</v>
      </c>
      <c r="E403" s="20">
        <f t="shared" si="6"/>
        <v>0.72054223149113661</v>
      </c>
      <c r="F403" s="31">
        <v>0</v>
      </c>
      <c r="G403" s="111">
        <v>0</v>
      </c>
      <c r="H403" s="111">
        <v>0</v>
      </c>
      <c r="I403" s="111">
        <v>0</v>
      </c>
      <c r="J403" s="111">
        <v>0</v>
      </c>
      <c r="K403" s="111">
        <v>0</v>
      </c>
      <c r="L403" s="111">
        <v>0</v>
      </c>
      <c r="M403" s="111">
        <v>233</v>
      </c>
      <c r="N403" s="111">
        <v>0</v>
      </c>
      <c r="O403" s="111">
        <v>0</v>
      </c>
      <c r="P403" s="35">
        <v>3</v>
      </c>
      <c r="Q403" s="35">
        <v>0</v>
      </c>
      <c r="R403" s="35">
        <v>448</v>
      </c>
      <c r="S403" s="32">
        <v>0</v>
      </c>
      <c r="T403" s="37">
        <v>217</v>
      </c>
      <c r="U403" s="38">
        <v>440</v>
      </c>
      <c r="V403" s="37">
        <v>459</v>
      </c>
      <c r="W403" s="32">
        <v>207</v>
      </c>
      <c r="X403" s="31">
        <v>229</v>
      </c>
      <c r="Y403" s="32">
        <v>420</v>
      </c>
      <c r="Z403" s="111">
        <v>254</v>
      </c>
      <c r="AA403" s="35">
        <v>0</v>
      </c>
      <c r="AB403" s="35">
        <v>33</v>
      </c>
      <c r="AC403" s="35">
        <v>384</v>
      </c>
      <c r="AD403" s="35">
        <v>0</v>
      </c>
      <c r="AE403" s="33">
        <v>0</v>
      </c>
      <c r="AF403" s="116">
        <v>0</v>
      </c>
      <c r="AG403" s="120">
        <v>262</v>
      </c>
      <c r="AH403" s="38">
        <v>391</v>
      </c>
      <c r="AI403" s="37"/>
      <c r="AJ403" s="36"/>
      <c r="AK403" s="37">
        <v>427</v>
      </c>
      <c r="AL403" s="38">
        <v>225</v>
      </c>
      <c r="AM403" s="37"/>
      <c r="AN403" s="116"/>
      <c r="AO403" s="120"/>
      <c r="AP403" s="38"/>
      <c r="AQ403" s="37"/>
      <c r="AR403" s="116"/>
      <c r="AS403" s="120"/>
      <c r="AT403" s="38"/>
      <c r="AU403" s="37"/>
      <c r="AV403" s="120"/>
      <c r="AW403" s="120"/>
      <c r="AX403" s="37"/>
      <c r="AY403" s="38"/>
      <c r="AZ403" s="37">
        <v>220</v>
      </c>
      <c r="BA403" s="116">
        <v>429</v>
      </c>
      <c r="BB403" s="31">
        <v>434</v>
      </c>
      <c r="BC403" s="32">
        <v>213</v>
      </c>
      <c r="BD403" s="31">
        <v>419</v>
      </c>
      <c r="BE403" s="116">
        <v>217</v>
      </c>
      <c r="BF403" s="120">
        <v>213</v>
      </c>
      <c r="BG403" s="38">
        <v>418</v>
      </c>
      <c r="BH403" s="37">
        <v>450</v>
      </c>
      <c r="BI403" s="38">
        <v>193</v>
      </c>
      <c r="BJ403" s="111">
        <v>41</v>
      </c>
      <c r="BK403" s="33">
        <v>383</v>
      </c>
      <c r="BL403" s="115">
        <v>218</v>
      </c>
      <c r="BM403" s="111">
        <v>241</v>
      </c>
      <c r="BN403" s="35">
        <v>375</v>
      </c>
      <c r="BO403" s="32">
        <v>29</v>
      </c>
      <c r="BP403" s="31">
        <v>436</v>
      </c>
      <c r="BQ403" s="32">
        <v>205</v>
      </c>
      <c r="BR403" s="31">
        <v>198</v>
      </c>
      <c r="BS403" s="32">
        <v>455</v>
      </c>
      <c r="BT403" s="31">
        <v>386</v>
      </c>
      <c r="BU403" s="33">
        <v>45</v>
      </c>
      <c r="BV403" s="115">
        <v>211</v>
      </c>
      <c r="BW403" s="111">
        <v>215</v>
      </c>
      <c r="BX403" s="32">
        <v>448</v>
      </c>
      <c r="BY403" s="31">
        <v>232</v>
      </c>
      <c r="BZ403" s="32">
        <v>398</v>
      </c>
      <c r="CA403" s="111">
        <v>408</v>
      </c>
      <c r="CB403" s="32">
        <v>227</v>
      </c>
      <c r="CC403" s="33">
        <v>515</v>
      </c>
      <c r="CD403" s="34">
        <v>459</v>
      </c>
      <c r="CE403" s="120">
        <v>346</v>
      </c>
      <c r="CF403" s="38">
        <v>196</v>
      </c>
      <c r="CG403" s="31">
        <v>181</v>
      </c>
      <c r="CH403" s="35">
        <v>221</v>
      </c>
      <c r="CI403" s="35">
        <v>109</v>
      </c>
      <c r="CJ403" s="35">
        <v>117</v>
      </c>
      <c r="CK403" s="32">
        <v>378</v>
      </c>
    </row>
    <row r="404" spans="1:89" ht="13" x14ac:dyDescent="0.25">
      <c r="A404" s="27">
        <v>6505</v>
      </c>
      <c r="B404" s="28" t="s">
        <v>427</v>
      </c>
      <c r="C404" s="29">
        <v>1003</v>
      </c>
      <c r="D404" s="30">
        <v>867</v>
      </c>
      <c r="E404" s="20">
        <f t="shared" si="6"/>
        <v>0.86440677966101698</v>
      </c>
      <c r="F404" s="31">
        <v>0</v>
      </c>
      <c r="G404" s="111">
        <v>0</v>
      </c>
      <c r="H404" s="111">
        <v>0</v>
      </c>
      <c r="I404" s="111">
        <v>1</v>
      </c>
      <c r="J404" s="111">
        <v>3</v>
      </c>
      <c r="K404" s="111">
        <v>0</v>
      </c>
      <c r="L404" s="111">
        <v>0</v>
      </c>
      <c r="M404" s="111">
        <v>206</v>
      </c>
      <c r="N404" s="111">
        <v>0</v>
      </c>
      <c r="O404" s="111">
        <v>0</v>
      </c>
      <c r="P404" s="35">
        <v>4</v>
      </c>
      <c r="Q404" s="35">
        <v>0</v>
      </c>
      <c r="R404" s="35">
        <v>647</v>
      </c>
      <c r="S404" s="32">
        <v>0</v>
      </c>
      <c r="T404" s="31">
        <v>169</v>
      </c>
      <c r="U404" s="32">
        <v>668</v>
      </c>
      <c r="V404" s="31">
        <v>679</v>
      </c>
      <c r="W404" s="32">
        <v>170</v>
      </c>
      <c r="X404" s="31">
        <v>180</v>
      </c>
      <c r="Y404" s="32">
        <v>630</v>
      </c>
      <c r="Z404" s="111">
        <v>219</v>
      </c>
      <c r="AA404" s="35">
        <v>0</v>
      </c>
      <c r="AB404" s="35">
        <v>19</v>
      </c>
      <c r="AC404" s="35">
        <v>615</v>
      </c>
      <c r="AD404" s="35">
        <v>0</v>
      </c>
      <c r="AE404" s="33">
        <v>0</v>
      </c>
      <c r="AF404" s="115">
        <v>0</v>
      </c>
      <c r="AG404" s="111">
        <v>243</v>
      </c>
      <c r="AH404" s="32">
        <v>595</v>
      </c>
      <c r="AI404" s="31"/>
      <c r="AJ404" s="33"/>
      <c r="AK404" s="31">
        <v>643</v>
      </c>
      <c r="AL404" s="32">
        <v>184</v>
      </c>
      <c r="AM404" s="31"/>
      <c r="AN404" s="115"/>
      <c r="AO404" s="111"/>
      <c r="AP404" s="32"/>
      <c r="AQ404" s="31"/>
      <c r="AR404" s="115"/>
      <c r="AS404" s="111"/>
      <c r="AT404" s="32"/>
      <c r="AU404" s="31"/>
      <c r="AV404" s="111"/>
      <c r="AW404" s="111"/>
      <c r="AX404" s="31"/>
      <c r="AY404" s="32"/>
      <c r="AZ404" s="31">
        <v>178</v>
      </c>
      <c r="BA404" s="115">
        <v>642</v>
      </c>
      <c r="BB404" s="31">
        <v>648</v>
      </c>
      <c r="BC404" s="32">
        <v>168</v>
      </c>
      <c r="BD404" s="31">
        <v>633</v>
      </c>
      <c r="BE404" s="115">
        <v>174</v>
      </c>
      <c r="BF404" s="111">
        <v>169</v>
      </c>
      <c r="BG404" s="32">
        <v>635</v>
      </c>
      <c r="BH404" s="31">
        <v>657</v>
      </c>
      <c r="BI404" s="32">
        <v>157</v>
      </c>
      <c r="BJ404" s="111">
        <v>34</v>
      </c>
      <c r="BK404" s="33">
        <v>607</v>
      </c>
      <c r="BL404" s="115">
        <v>178</v>
      </c>
      <c r="BM404" s="111">
        <v>234</v>
      </c>
      <c r="BN404" s="35">
        <v>568</v>
      </c>
      <c r="BO404" s="32">
        <v>25</v>
      </c>
      <c r="BP404" s="31">
        <v>639</v>
      </c>
      <c r="BQ404" s="32">
        <v>181</v>
      </c>
      <c r="BR404" s="31">
        <v>143</v>
      </c>
      <c r="BS404" s="32">
        <v>686</v>
      </c>
      <c r="BT404" s="31">
        <v>610</v>
      </c>
      <c r="BU404" s="33">
        <v>26</v>
      </c>
      <c r="BV404" s="115">
        <v>163</v>
      </c>
      <c r="BW404" s="111">
        <v>189</v>
      </c>
      <c r="BX404" s="32">
        <v>646</v>
      </c>
      <c r="BY404" s="31">
        <v>205</v>
      </c>
      <c r="BZ404" s="32">
        <v>593</v>
      </c>
      <c r="CA404" s="111">
        <v>612</v>
      </c>
      <c r="CB404" s="32">
        <v>193</v>
      </c>
      <c r="CC404" s="33">
        <v>686</v>
      </c>
      <c r="CD404" s="34">
        <v>497</v>
      </c>
      <c r="CE404" s="111">
        <v>437</v>
      </c>
      <c r="CF404" s="38">
        <v>227</v>
      </c>
      <c r="CG404" s="31">
        <v>185</v>
      </c>
      <c r="CH404" s="35">
        <v>459</v>
      </c>
      <c r="CI404" s="35">
        <v>71</v>
      </c>
      <c r="CJ404" s="35">
        <v>97</v>
      </c>
      <c r="CK404" s="32">
        <v>499</v>
      </c>
    </row>
    <row r="405" spans="1:89" ht="13" x14ac:dyDescent="0.25">
      <c r="A405" s="27">
        <v>6506</v>
      </c>
      <c r="B405" s="28" t="s">
        <v>428</v>
      </c>
      <c r="C405" s="29">
        <v>1242</v>
      </c>
      <c r="D405" s="30">
        <v>918</v>
      </c>
      <c r="E405" s="20">
        <f t="shared" si="6"/>
        <v>0.73913043478260865</v>
      </c>
      <c r="F405" s="31">
        <v>0</v>
      </c>
      <c r="G405" s="111">
        <v>0</v>
      </c>
      <c r="H405" s="111">
        <v>0</v>
      </c>
      <c r="I405" s="111">
        <v>0</v>
      </c>
      <c r="J405" s="111">
        <v>2</v>
      </c>
      <c r="K405" s="111">
        <v>0</v>
      </c>
      <c r="L405" s="111">
        <v>0</v>
      </c>
      <c r="M405" s="111">
        <v>324</v>
      </c>
      <c r="N405" s="111">
        <v>0</v>
      </c>
      <c r="O405" s="111">
        <v>0</v>
      </c>
      <c r="P405" s="35">
        <v>5</v>
      </c>
      <c r="Q405" s="35">
        <v>1</v>
      </c>
      <c r="R405" s="35">
        <v>572</v>
      </c>
      <c r="S405" s="32">
        <v>0</v>
      </c>
      <c r="T405" s="37">
        <v>309</v>
      </c>
      <c r="U405" s="38">
        <v>577</v>
      </c>
      <c r="V405" s="37">
        <v>609</v>
      </c>
      <c r="W405" s="32">
        <v>283</v>
      </c>
      <c r="X405" s="31">
        <v>325</v>
      </c>
      <c r="Y405" s="32">
        <v>546</v>
      </c>
      <c r="Z405" s="111">
        <v>342</v>
      </c>
      <c r="AA405" s="35">
        <v>0</v>
      </c>
      <c r="AB405" s="35">
        <v>41</v>
      </c>
      <c r="AC405" s="35">
        <v>516</v>
      </c>
      <c r="AD405" s="35">
        <v>0</v>
      </c>
      <c r="AE405" s="33">
        <v>0</v>
      </c>
      <c r="AF405" s="116">
        <v>0</v>
      </c>
      <c r="AG405" s="120">
        <v>359</v>
      </c>
      <c r="AH405" s="38">
        <v>525</v>
      </c>
      <c r="AI405" s="37"/>
      <c r="AJ405" s="36"/>
      <c r="AK405" s="37">
        <v>552</v>
      </c>
      <c r="AL405" s="38">
        <v>312</v>
      </c>
      <c r="AM405" s="37"/>
      <c r="AN405" s="116"/>
      <c r="AO405" s="120"/>
      <c r="AP405" s="38"/>
      <c r="AQ405" s="37"/>
      <c r="AR405" s="116"/>
      <c r="AS405" s="120"/>
      <c r="AT405" s="38"/>
      <c r="AU405" s="37"/>
      <c r="AV405" s="120"/>
      <c r="AW405" s="120"/>
      <c r="AX405" s="37"/>
      <c r="AY405" s="38"/>
      <c r="AZ405" s="37">
        <v>307</v>
      </c>
      <c r="BA405" s="116">
        <v>552</v>
      </c>
      <c r="BB405" s="31">
        <v>577</v>
      </c>
      <c r="BC405" s="32">
        <v>284</v>
      </c>
      <c r="BD405" s="31">
        <v>550</v>
      </c>
      <c r="BE405" s="116">
        <v>301</v>
      </c>
      <c r="BF405" s="120">
        <v>296</v>
      </c>
      <c r="BG405" s="38">
        <v>554</v>
      </c>
      <c r="BH405" s="37">
        <v>595</v>
      </c>
      <c r="BI405" s="38">
        <v>265</v>
      </c>
      <c r="BJ405" s="111">
        <v>63</v>
      </c>
      <c r="BK405" s="33">
        <v>507</v>
      </c>
      <c r="BL405" s="115">
        <v>302</v>
      </c>
      <c r="BM405" s="111">
        <v>334</v>
      </c>
      <c r="BN405" s="35">
        <v>501</v>
      </c>
      <c r="BO405" s="32">
        <v>34</v>
      </c>
      <c r="BP405" s="31">
        <v>557</v>
      </c>
      <c r="BQ405" s="32">
        <v>300</v>
      </c>
      <c r="BR405" s="31">
        <v>265</v>
      </c>
      <c r="BS405" s="32">
        <v>610</v>
      </c>
      <c r="BT405" s="31">
        <v>534</v>
      </c>
      <c r="BU405" s="33">
        <v>57</v>
      </c>
      <c r="BV405" s="115">
        <v>265</v>
      </c>
      <c r="BW405" s="111">
        <v>317</v>
      </c>
      <c r="BX405" s="32">
        <v>566</v>
      </c>
      <c r="BY405" s="31">
        <v>315</v>
      </c>
      <c r="BZ405" s="32">
        <v>530</v>
      </c>
      <c r="CA405" s="111">
        <v>543</v>
      </c>
      <c r="CB405" s="32">
        <v>313</v>
      </c>
      <c r="CC405" s="33">
        <v>674</v>
      </c>
      <c r="CD405" s="34">
        <v>575</v>
      </c>
      <c r="CE405" s="120">
        <v>503</v>
      </c>
      <c r="CF405" s="38">
        <v>244</v>
      </c>
      <c r="CG405" s="31">
        <v>194</v>
      </c>
      <c r="CH405" s="35">
        <v>351</v>
      </c>
      <c r="CI405" s="35">
        <v>154</v>
      </c>
      <c r="CJ405" s="35">
        <v>198</v>
      </c>
      <c r="CK405" s="32">
        <v>495</v>
      </c>
    </row>
    <row r="406" spans="1:89" ht="13" x14ac:dyDescent="0.25">
      <c r="A406" s="27">
        <v>6507</v>
      </c>
      <c r="B406" s="28" t="s">
        <v>429</v>
      </c>
      <c r="C406" s="29">
        <v>1231</v>
      </c>
      <c r="D406" s="30">
        <v>1015</v>
      </c>
      <c r="E406" s="20">
        <f t="shared" si="6"/>
        <v>0.82453290008123481</v>
      </c>
      <c r="F406" s="31">
        <v>0</v>
      </c>
      <c r="G406" s="111">
        <v>0</v>
      </c>
      <c r="H406" s="111">
        <v>0</v>
      </c>
      <c r="I406" s="111">
        <v>0</v>
      </c>
      <c r="J406" s="111">
        <v>2</v>
      </c>
      <c r="K406" s="111">
        <v>0</v>
      </c>
      <c r="L406" s="111">
        <v>0</v>
      </c>
      <c r="M406" s="111">
        <v>278</v>
      </c>
      <c r="N406" s="111">
        <v>0</v>
      </c>
      <c r="O406" s="111">
        <v>0</v>
      </c>
      <c r="P406" s="35">
        <v>3</v>
      </c>
      <c r="Q406" s="35">
        <v>0</v>
      </c>
      <c r="R406" s="35">
        <v>716</v>
      </c>
      <c r="S406" s="32">
        <v>0</v>
      </c>
      <c r="T406" s="37">
        <v>247</v>
      </c>
      <c r="U406" s="38">
        <v>733</v>
      </c>
      <c r="V406" s="37">
        <v>764</v>
      </c>
      <c r="W406" s="32">
        <v>218</v>
      </c>
      <c r="X406" s="31">
        <v>246</v>
      </c>
      <c r="Y406" s="32">
        <v>707</v>
      </c>
      <c r="Z406" s="111">
        <v>300</v>
      </c>
      <c r="AA406" s="35">
        <v>0</v>
      </c>
      <c r="AB406" s="35">
        <v>34</v>
      </c>
      <c r="AC406" s="35">
        <v>653</v>
      </c>
      <c r="AD406" s="35">
        <v>0</v>
      </c>
      <c r="AE406" s="33">
        <v>0</v>
      </c>
      <c r="AF406" s="116">
        <v>0</v>
      </c>
      <c r="AG406" s="120">
        <v>309</v>
      </c>
      <c r="AH406" s="38">
        <v>670</v>
      </c>
      <c r="AI406" s="37"/>
      <c r="AJ406" s="36"/>
      <c r="AK406" s="37">
        <v>709</v>
      </c>
      <c r="AL406" s="38">
        <v>250</v>
      </c>
      <c r="AM406" s="37"/>
      <c r="AN406" s="116"/>
      <c r="AO406" s="120"/>
      <c r="AP406" s="38"/>
      <c r="AQ406" s="37"/>
      <c r="AR406" s="116"/>
      <c r="AS406" s="120"/>
      <c r="AT406" s="38"/>
      <c r="AU406" s="37"/>
      <c r="AV406" s="120"/>
      <c r="AW406" s="120"/>
      <c r="AX406" s="37"/>
      <c r="AY406" s="38"/>
      <c r="AZ406" s="37">
        <v>233</v>
      </c>
      <c r="BA406" s="116">
        <v>720</v>
      </c>
      <c r="BB406" s="31">
        <v>724</v>
      </c>
      <c r="BC406" s="32">
        <v>225</v>
      </c>
      <c r="BD406" s="31">
        <v>701</v>
      </c>
      <c r="BE406" s="116">
        <v>235</v>
      </c>
      <c r="BF406" s="120">
        <v>233</v>
      </c>
      <c r="BG406" s="38">
        <v>698</v>
      </c>
      <c r="BH406" s="37">
        <v>737</v>
      </c>
      <c r="BI406" s="38">
        <v>210</v>
      </c>
      <c r="BJ406" s="111">
        <v>33</v>
      </c>
      <c r="BK406" s="33">
        <v>672</v>
      </c>
      <c r="BL406" s="115">
        <v>239</v>
      </c>
      <c r="BM406" s="111">
        <v>279</v>
      </c>
      <c r="BN406" s="35">
        <v>643</v>
      </c>
      <c r="BO406" s="32">
        <v>30</v>
      </c>
      <c r="BP406" s="31">
        <v>719</v>
      </c>
      <c r="BQ406" s="32">
        <v>226</v>
      </c>
      <c r="BR406" s="31">
        <v>194</v>
      </c>
      <c r="BS406" s="32">
        <v>770</v>
      </c>
      <c r="BT406" s="31">
        <v>673</v>
      </c>
      <c r="BU406" s="33">
        <v>45</v>
      </c>
      <c r="BV406" s="115">
        <v>210</v>
      </c>
      <c r="BW406" s="111">
        <v>245</v>
      </c>
      <c r="BX406" s="32">
        <v>730</v>
      </c>
      <c r="BY406" s="31">
        <v>245</v>
      </c>
      <c r="BZ406" s="32">
        <v>681</v>
      </c>
      <c r="CA406" s="111">
        <v>689</v>
      </c>
      <c r="CB406" s="32">
        <v>245</v>
      </c>
      <c r="CC406" s="33">
        <v>762</v>
      </c>
      <c r="CD406" s="34">
        <v>569</v>
      </c>
      <c r="CE406" s="120">
        <v>572</v>
      </c>
      <c r="CF406" s="38">
        <v>247</v>
      </c>
      <c r="CG406" s="31">
        <v>221</v>
      </c>
      <c r="CH406" s="35">
        <v>499</v>
      </c>
      <c r="CI406" s="35">
        <v>95</v>
      </c>
      <c r="CJ406" s="35">
        <v>141</v>
      </c>
      <c r="CK406" s="32">
        <v>656</v>
      </c>
    </row>
    <row r="407" spans="1:89" ht="13" x14ac:dyDescent="0.25">
      <c r="A407" s="27">
        <v>6508</v>
      </c>
      <c r="B407" s="28" t="s">
        <v>430</v>
      </c>
      <c r="C407" s="29">
        <v>1362</v>
      </c>
      <c r="D407" s="30">
        <v>1078</v>
      </c>
      <c r="E407" s="20">
        <f t="shared" si="6"/>
        <v>0.7914831130690162</v>
      </c>
      <c r="F407" s="31">
        <v>0</v>
      </c>
      <c r="G407" s="111">
        <v>0</v>
      </c>
      <c r="H407" s="111">
        <v>0</v>
      </c>
      <c r="I407" s="111">
        <v>0</v>
      </c>
      <c r="J407" s="111">
        <v>1</v>
      </c>
      <c r="K407" s="111">
        <v>0</v>
      </c>
      <c r="L407" s="111">
        <v>0</v>
      </c>
      <c r="M407" s="111">
        <v>317</v>
      </c>
      <c r="N407" s="111">
        <v>0</v>
      </c>
      <c r="O407" s="111">
        <v>0</v>
      </c>
      <c r="P407" s="35">
        <v>10</v>
      </c>
      <c r="Q407" s="35">
        <v>1</v>
      </c>
      <c r="R407" s="35">
        <v>736</v>
      </c>
      <c r="S407" s="32">
        <v>0</v>
      </c>
      <c r="T407" s="31">
        <v>319</v>
      </c>
      <c r="U407" s="32">
        <v>712</v>
      </c>
      <c r="V407" s="31">
        <v>759</v>
      </c>
      <c r="W407" s="32">
        <v>284</v>
      </c>
      <c r="X407" s="31">
        <v>323</v>
      </c>
      <c r="Y407" s="32">
        <v>690</v>
      </c>
      <c r="Z407" s="111">
        <v>344</v>
      </c>
      <c r="AA407" s="35">
        <v>0</v>
      </c>
      <c r="AB407" s="35">
        <v>56</v>
      </c>
      <c r="AC407" s="35">
        <v>653</v>
      </c>
      <c r="AD407" s="35">
        <v>0</v>
      </c>
      <c r="AE407" s="33">
        <v>0</v>
      </c>
      <c r="AF407" s="115">
        <v>2</v>
      </c>
      <c r="AG407" s="111">
        <v>373</v>
      </c>
      <c r="AH407" s="32">
        <v>660</v>
      </c>
      <c r="AI407" s="31"/>
      <c r="AJ407" s="33"/>
      <c r="AK407" s="31">
        <v>700</v>
      </c>
      <c r="AL407" s="32">
        <v>318</v>
      </c>
      <c r="AM407" s="31"/>
      <c r="AN407" s="115"/>
      <c r="AO407" s="111"/>
      <c r="AP407" s="32"/>
      <c r="AQ407" s="31"/>
      <c r="AR407" s="115"/>
      <c r="AS407" s="111"/>
      <c r="AT407" s="32"/>
      <c r="AU407" s="31"/>
      <c r="AV407" s="111"/>
      <c r="AW407" s="111"/>
      <c r="AX407" s="31"/>
      <c r="AY407" s="32"/>
      <c r="AZ407" s="31">
        <v>309</v>
      </c>
      <c r="BA407" s="115">
        <v>705</v>
      </c>
      <c r="BB407" s="31">
        <v>705</v>
      </c>
      <c r="BC407" s="32">
        <v>299</v>
      </c>
      <c r="BD407" s="31">
        <v>692</v>
      </c>
      <c r="BE407" s="115">
        <v>306</v>
      </c>
      <c r="BF407" s="111">
        <v>301</v>
      </c>
      <c r="BG407" s="32">
        <v>695</v>
      </c>
      <c r="BH407" s="31">
        <v>735</v>
      </c>
      <c r="BI407" s="32">
        <v>276</v>
      </c>
      <c r="BJ407" s="111">
        <v>50</v>
      </c>
      <c r="BK407" s="33">
        <v>635</v>
      </c>
      <c r="BL407" s="115">
        <v>320</v>
      </c>
      <c r="BM407" s="111">
        <v>343</v>
      </c>
      <c r="BN407" s="35">
        <v>634</v>
      </c>
      <c r="BO407" s="32">
        <v>39</v>
      </c>
      <c r="BP407" s="31">
        <v>696</v>
      </c>
      <c r="BQ407" s="32">
        <v>304</v>
      </c>
      <c r="BR407" s="31">
        <v>258</v>
      </c>
      <c r="BS407" s="32">
        <v>757</v>
      </c>
      <c r="BT407" s="31">
        <v>657</v>
      </c>
      <c r="BU407" s="33">
        <v>49</v>
      </c>
      <c r="BV407" s="115">
        <v>291</v>
      </c>
      <c r="BW407" s="111">
        <v>310</v>
      </c>
      <c r="BX407" s="32">
        <v>721</v>
      </c>
      <c r="BY407" s="31">
        <v>328</v>
      </c>
      <c r="BZ407" s="32">
        <v>652</v>
      </c>
      <c r="CA407" s="111">
        <v>668</v>
      </c>
      <c r="CB407" s="32">
        <v>325</v>
      </c>
      <c r="CC407" s="33">
        <v>809</v>
      </c>
      <c r="CD407" s="34">
        <v>689</v>
      </c>
      <c r="CE407" s="111">
        <v>537</v>
      </c>
      <c r="CF407" s="38">
        <v>318</v>
      </c>
      <c r="CG407" s="31">
        <v>269</v>
      </c>
      <c r="CH407" s="35">
        <v>412</v>
      </c>
      <c r="CI407" s="35">
        <v>136</v>
      </c>
      <c r="CJ407" s="35">
        <v>173</v>
      </c>
      <c r="CK407" s="32">
        <v>631</v>
      </c>
    </row>
    <row r="408" spans="1:89" ht="13" x14ac:dyDescent="0.25">
      <c r="A408" s="27">
        <v>6509</v>
      </c>
      <c r="B408" s="28" t="s">
        <v>431</v>
      </c>
      <c r="C408" s="29">
        <v>690</v>
      </c>
      <c r="D408" s="30">
        <v>509</v>
      </c>
      <c r="E408" s="20">
        <f t="shared" si="6"/>
        <v>0.73768115942028989</v>
      </c>
      <c r="F408" s="31">
        <v>0</v>
      </c>
      <c r="G408" s="111">
        <v>0</v>
      </c>
      <c r="H408" s="111">
        <v>0</v>
      </c>
      <c r="I408" s="111">
        <v>0</v>
      </c>
      <c r="J408" s="111">
        <v>2</v>
      </c>
      <c r="K408" s="111">
        <v>0</v>
      </c>
      <c r="L408" s="111">
        <v>0</v>
      </c>
      <c r="M408" s="111">
        <v>177</v>
      </c>
      <c r="N408" s="111">
        <v>0</v>
      </c>
      <c r="O408" s="111">
        <v>0</v>
      </c>
      <c r="P408" s="35">
        <v>2</v>
      </c>
      <c r="Q408" s="35">
        <v>0</v>
      </c>
      <c r="R408" s="35">
        <v>323</v>
      </c>
      <c r="S408" s="32">
        <v>0</v>
      </c>
      <c r="T408" s="31">
        <v>166</v>
      </c>
      <c r="U408" s="32">
        <v>310</v>
      </c>
      <c r="V408" s="31">
        <v>343</v>
      </c>
      <c r="W408" s="32">
        <v>145</v>
      </c>
      <c r="X408" s="31">
        <v>169</v>
      </c>
      <c r="Y408" s="32">
        <v>300</v>
      </c>
      <c r="Z408" s="111">
        <v>194</v>
      </c>
      <c r="AA408" s="35">
        <v>0</v>
      </c>
      <c r="AB408" s="35">
        <v>21</v>
      </c>
      <c r="AC408" s="35">
        <v>279</v>
      </c>
      <c r="AD408" s="35">
        <v>0</v>
      </c>
      <c r="AE408" s="33">
        <v>0</v>
      </c>
      <c r="AF408" s="115">
        <v>0</v>
      </c>
      <c r="AG408" s="111">
        <v>195</v>
      </c>
      <c r="AH408" s="32">
        <v>283</v>
      </c>
      <c r="AI408" s="31"/>
      <c r="AJ408" s="33"/>
      <c r="AK408" s="31">
        <v>305</v>
      </c>
      <c r="AL408" s="32">
        <v>165</v>
      </c>
      <c r="AM408" s="31"/>
      <c r="AN408" s="115"/>
      <c r="AO408" s="111"/>
      <c r="AP408" s="32"/>
      <c r="AQ408" s="31"/>
      <c r="AR408" s="115"/>
      <c r="AS408" s="111"/>
      <c r="AT408" s="32"/>
      <c r="AU408" s="31"/>
      <c r="AV408" s="111"/>
      <c r="AW408" s="111"/>
      <c r="AX408" s="31"/>
      <c r="AY408" s="32"/>
      <c r="AZ408" s="31">
        <v>165</v>
      </c>
      <c r="BA408" s="115">
        <v>299</v>
      </c>
      <c r="BB408" s="31">
        <v>320</v>
      </c>
      <c r="BC408" s="32">
        <v>143</v>
      </c>
      <c r="BD408" s="31">
        <v>304</v>
      </c>
      <c r="BE408" s="115">
        <v>153</v>
      </c>
      <c r="BF408" s="111">
        <v>158</v>
      </c>
      <c r="BG408" s="32">
        <v>298</v>
      </c>
      <c r="BH408" s="31">
        <v>328</v>
      </c>
      <c r="BI408" s="32">
        <v>135</v>
      </c>
      <c r="BJ408" s="111">
        <v>29</v>
      </c>
      <c r="BK408" s="33">
        <v>283</v>
      </c>
      <c r="BL408" s="115">
        <v>152</v>
      </c>
      <c r="BM408" s="111">
        <v>183</v>
      </c>
      <c r="BN408" s="35">
        <v>264</v>
      </c>
      <c r="BO408" s="32">
        <v>16</v>
      </c>
      <c r="BP408" s="31">
        <v>301</v>
      </c>
      <c r="BQ408" s="32">
        <v>156</v>
      </c>
      <c r="BR408" s="31">
        <v>121</v>
      </c>
      <c r="BS408" s="32">
        <v>350</v>
      </c>
      <c r="BT408" s="31">
        <v>289</v>
      </c>
      <c r="BU408" s="33">
        <v>25</v>
      </c>
      <c r="BV408" s="115">
        <v>142</v>
      </c>
      <c r="BW408" s="111">
        <v>148</v>
      </c>
      <c r="BX408" s="32">
        <v>330</v>
      </c>
      <c r="BY408" s="31">
        <v>160</v>
      </c>
      <c r="BZ408" s="32">
        <v>291</v>
      </c>
      <c r="CA408" s="111">
        <v>293</v>
      </c>
      <c r="CB408" s="32">
        <v>164</v>
      </c>
      <c r="CC408" s="33">
        <v>381</v>
      </c>
      <c r="CD408" s="34">
        <v>325</v>
      </c>
      <c r="CE408" s="111">
        <v>230</v>
      </c>
      <c r="CF408" s="38">
        <v>156</v>
      </c>
      <c r="CG408" s="31">
        <v>134</v>
      </c>
      <c r="CH408" s="35">
        <v>170</v>
      </c>
      <c r="CI408" s="35">
        <v>58</v>
      </c>
      <c r="CJ408" s="35">
        <v>76</v>
      </c>
      <c r="CK408" s="32">
        <v>281</v>
      </c>
    </row>
    <row r="409" spans="1:89" ht="13" x14ac:dyDescent="0.25">
      <c r="A409" s="27">
        <v>6510</v>
      </c>
      <c r="B409" s="28" t="s">
        <v>432</v>
      </c>
      <c r="C409" s="29">
        <v>1358</v>
      </c>
      <c r="D409" s="30">
        <v>983</v>
      </c>
      <c r="E409" s="20">
        <f t="shared" si="6"/>
        <v>0.72385861561119291</v>
      </c>
      <c r="F409" s="31">
        <v>0</v>
      </c>
      <c r="G409" s="111">
        <v>0</v>
      </c>
      <c r="H409" s="111">
        <v>0</v>
      </c>
      <c r="I409" s="111">
        <v>1</v>
      </c>
      <c r="J409" s="111">
        <v>1</v>
      </c>
      <c r="K409" s="111">
        <v>0</v>
      </c>
      <c r="L409" s="111">
        <v>0</v>
      </c>
      <c r="M409" s="111">
        <v>380</v>
      </c>
      <c r="N409" s="111">
        <v>0</v>
      </c>
      <c r="O409" s="111">
        <v>0</v>
      </c>
      <c r="P409" s="35">
        <v>6</v>
      </c>
      <c r="Q409" s="35">
        <v>0</v>
      </c>
      <c r="R409" s="35">
        <v>585</v>
      </c>
      <c r="S409" s="32">
        <v>0</v>
      </c>
      <c r="T409" s="37">
        <v>367</v>
      </c>
      <c r="U409" s="38">
        <v>574</v>
      </c>
      <c r="V409" s="37">
        <v>605</v>
      </c>
      <c r="W409" s="32">
        <v>342</v>
      </c>
      <c r="X409" s="31">
        <v>375</v>
      </c>
      <c r="Y409" s="32">
        <v>547</v>
      </c>
      <c r="Z409" s="111">
        <v>407</v>
      </c>
      <c r="AA409" s="35">
        <v>0</v>
      </c>
      <c r="AB409" s="35">
        <v>38</v>
      </c>
      <c r="AC409" s="35">
        <v>525</v>
      </c>
      <c r="AD409" s="35">
        <v>0</v>
      </c>
      <c r="AE409" s="33">
        <v>0</v>
      </c>
      <c r="AF409" s="116">
        <v>0</v>
      </c>
      <c r="AG409" s="120">
        <v>417</v>
      </c>
      <c r="AH409" s="38">
        <v>519</v>
      </c>
      <c r="AI409" s="37"/>
      <c r="AJ409" s="36"/>
      <c r="AK409" s="37">
        <v>544</v>
      </c>
      <c r="AL409" s="38">
        <v>373</v>
      </c>
      <c r="AM409" s="37"/>
      <c r="AN409" s="116"/>
      <c r="AO409" s="120"/>
      <c r="AP409" s="38"/>
      <c r="AQ409" s="37"/>
      <c r="AR409" s="116"/>
      <c r="AS409" s="120"/>
      <c r="AT409" s="38"/>
      <c r="AU409" s="37"/>
      <c r="AV409" s="120"/>
      <c r="AW409" s="120"/>
      <c r="AX409" s="37"/>
      <c r="AY409" s="38"/>
      <c r="AZ409" s="37">
        <v>361</v>
      </c>
      <c r="BA409" s="116">
        <v>548</v>
      </c>
      <c r="BB409" s="31">
        <v>565</v>
      </c>
      <c r="BC409" s="32">
        <v>342</v>
      </c>
      <c r="BD409" s="31">
        <v>546</v>
      </c>
      <c r="BE409" s="116">
        <v>358</v>
      </c>
      <c r="BF409" s="120">
        <v>360</v>
      </c>
      <c r="BG409" s="38">
        <v>539</v>
      </c>
      <c r="BH409" s="37">
        <v>593</v>
      </c>
      <c r="BI409" s="38">
        <v>319</v>
      </c>
      <c r="BJ409" s="111">
        <v>49</v>
      </c>
      <c r="BK409" s="33">
        <v>518</v>
      </c>
      <c r="BL409" s="115">
        <v>352</v>
      </c>
      <c r="BM409" s="111">
        <v>377</v>
      </c>
      <c r="BN409" s="35">
        <v>505</v>
      </c>
      <c r="BO409" s="32">
        <v>41</v>
      </c>
      <c r="BP409" s="31">
        <v>557</v>
      </c>
      <c r="BQ409" s="32">
        <v>356</v>
      </c>
      <c r="BR409" s="31">
        <v>314</v>
      </c>
      <c r="BS409" s="32">
        <v>612</v>
      </c>
      <c r="BT409" s="31">
        <v>517</v>
      </c>
      <c r="BU409" s="33">
        <v>59</v>
      </c>
      <c r="BV409" s="115">
        <v>325</v>
      </c>
      <c r="BW409" s="111">
        <v>354</v>
      </c>
      <c r="BX409" s="32">
        <v>587</v>
      </c>
      <c r="BY409" s="31">
        <v>368</v>
      </c>
      <c r="BZ409" s="32">
        <v>531</v>
      </c>
      <c r="CA409" s="111">
        <v>537</v>
      </c>
      <c r="CB409" s="32">
        <v>371</v>
      </c>
      <c r="CC409" s="33">
        <v>718</v>
      </c>
      <c r="CD409" s="34">
        <v>631</v>
      </c>
      <c r="CE409" s="120">
        <v>466</v>
      </c>
      <c r="CF409" s="38">
        <v>271</v>
      </c>
      <c r="CG409" s="31">
        <v>229</v>
      </c>
      <c r="CH409" s="35">
        <v>369</v>
      </c>
      <c r="CI409" s="35">
        <v>142</v>
      </c>
      <c r="CJ409" s="35">
        <v>180</v>
      </c>
      <c r="CK409" s="32">
        <v>453</v>
      </c>
    </row>
    <row r="410" spans="1:89" ht="13" x14ac:dyDescent="0.25">
      <c r="A410" s="27">
        <v>6511</v>
      </c>
      <c r="B410" s="28" t="s">
        <v>433</v>
      </c>
      <c r="C410" s="29">
        <v>854</v>
      </c>
      <c r="D410" s="30">
        <v>714</v>
      </c>
      <c r="E410" s="20">
        <f t="shared" si="6"/>
        <v>0.83606557377049184</v>
      </c>
      <c r="F410" s="31">
        <v>0</v>
      </c>
      <c r="G410" s="111">
        <v>0</v>
      </c>
      <c r="H410" s="111">
        <v>0</v>
      </c>
      <c r="I410" s="111">
        <v>0</v>
      </c>
      <c r="J410" s="111">
        <v>3</v>
      </c>
      <c r="K410" s="111">
        <v>0</v>
      </c>
      <c r="L410" s="111">
        <v>0</v>
      </c>
      <c r="M410" s="111">
        <v>231</v>
      </c>
      <c r="N410" s="111">
        <v>0</v>
      </c>
      <c r="O410" s="111">
        <v>0</v>
      </c>
      <c r="P410" s="35">
        <v>6</v>
      </c>
      <c r="Q410" s="35">
        <v>1</v>
      </c>
      <c r="R410" s="35">
        <v>467</v>
      </c>
      <c r="S410" s="32">
        <v>0</v>
      </c>
      <c r="T410" s="37">
        <v>221</v>
      </c>
      <c r="U410" s="38">
        <v>474</v>
      </c>
      <c r="V410" s="37">
        <v>503</v>
      </c>
      <c r="W410" s="32">
        <v>195</v>
      </c>
      <c r="X410" s="31">
        <v>233</v>
      </c>
      <c r="Y410" s="32">
        <v>456</v>
      </c>
      <c r="Z410" s="111">
        <v>240</v>
      </c>
      <c r="AA410" s="35">
        <v>0</v>
      </c>
      <c r="AB410" s="35">
        <v>25</v>
      </c>
      <c r="AC410" s="35">
        <v>437</v>
      </c>
      <c r="AD410" s="35">
        <v>0</v>
      </c>
      <c r="AE410" s="33">
        <v>0</v>
      </c>
      <c r="AF410" s="116">
        <v>0</v>
      </c>
      <c r="AG410" s="120">
        <v>256</v>
      </c>
      <c r="AH410" s="38">
        <v>434</v>
      </c>
      <c r="AI410" s="37"/>
      <c r="AJ410" s="36"/>
      <c r="AK410" s="37">
        <v>471</v>
      </c>
      <c r="AL410" s="38">
        <v>216</v>
      </c>
      <c r="AM410" s="37"/>
      <c r="AN410" s="116"/>
      <c r="AO410" s="120"/>
      <c r="AP410" s="38"/>
      <c r="AQ410" s="37"/>
      <c r="AR410" s="116"/>
      <c r="AS410" s="120"/>
      <c r="AT410" s="38"/>
      <c r="AU410" s="37"/>
      <c r="AV410" s="120"/>
      <c r="AW410" s="120"/>
      <c r="AX410" s="37"/>
      <c r="AY410" s="38"/>
      <c r="AZ410" s="37">
        <v>227</v>
      </c>
      <c r="BA410" s="116">
        <v>457</v>
      </c>
      <c r="BB410" s="31">
        <v>482</v>
      </c>
      <c r="BC410" s="32">
        <v>202</v>
      </c>
      <c r="BD410" s="31">
        <v>469</v>
      </c>
      <c r="BE410" s="116">
        <v>209</v>
      </c>
      <c r="BF410" s="120">
        <v>215</v>
      </c>
      <c r="BG410" s="38">
        <v>462</v>
      </c>
      <c r="BH410" s="37">
        <v>500</v>
      </c>
      <c r="BI410" s="38">
        <v>183</v>
      </c>
      <c r="BJ410" s="111">
        <v>31</v>
      </c>
      <c r="BK410" s="33">
        <v>434</v>
      </c>
      <c r="BL410" s="115">
        <v>218</v>
      </c>
      <c r="BM410" s="111">
        <v>244</v>
      </c>
      <c r="BN410" s="35">
        <v>418</v>
      </c>
      <c r="BO410" s="32">
        <v>20</v>
      </c>
      <c r="BP410" s="31">
        <v>467</v>
      </c>
      <c r="BQ410" s="32">
        <v>212</v>
      </c>
      <c r="BR410" s="31">
        <v>184</v>
      </c>
      <c r="BS410" s="32">
        <v>505</v>
      </c>
      <c r="BT410" s="31">
        <v>450</v>
      </c>
      <c r="BU410" s="33">
        <v>30</v>
      </c>
      <c r="BV410" s="115">
        <v>203</v>
      </c>
      <c r="BW410" s="111">
        <v>220</v>
      </c>
      <c r="BX410" s="32">
        <v>474</v>
      </c>
      <c r="BY410" s="31">
        <v>241</v>
      </c>
      <c r="BZ410" s="32">
        <v>437</v>
      </c>
      <c r="CA410" s="111">
        <v>445</v>
      </c>
      <c r="CB410" s="32">
        <v>231</v>
      </c>
      <c r="CC410" s="33">
        <v>548</v>
      </c>
      <c r="CD410" s="34">
        <v>463</v>
      </c>
      <c r="CE410" s="120">
        <v>347</v>
      </c>
      <c r="CF410" s="38">
        <v>230</v>
      </c>
      <c r="CG410" s="31">
        <v>181</v>
      </c>
      <c r="CH410" s="35">
        <v>285</v>
      </c>
      <c r="CI410" s="35">
        <v>88</v>
      </c>
      <c r="CJ410" s="35">
        <v>123</v>
      </c>
      <c r="CK410" s="32">
        <v>421</v>
      </c>
    </row>
    <row r="411" spans="1:89" ht="13" x14ac:dyDescent="0.25">
      <c r="A411" s="27">
        <v>6512</v>
      </c>
      <c r="B411" s="28" t="s">
        <v>434</v>
      </c>
      <c r="C411" s="29">
        <v>1091</v>
      </c>
      <c r="D411" s="30">
        <v>888</v>
      </c>
      <c r="E411" s="20">
        <f t="shared" si="6"/>
        <v>0.81393217231897341</v>
      </c>
      <c r="F411" s="31">
        <v>0</v>
      </c>
      <c r="G411" s="111">
        <v>0</v>
      </c>
      <c r="H411" s="111">
        <v>0</v>
      </c>
      <c r="I411" s="111">
        <v>0</v>
      </c>
      <c r="J411" s="111">
        <v>3</v>
      </c>
      <c r="K411" s="111">
        <v>0</v>
      </c>
      <c r="L411" s="111">
        <v>0</v>
      </c>
      <c r="M411" s="111">
        <v>294</v>
      </c>
      <c r="N411" s="111">
        <v>0</v>
      </c>
      <c r="O411" s="111">
        <v>0</v>
      </c>
      <c r="P411" s="35">
        <v>6</v>
      </c>
      <c r="Q411" s="35">
        <v>0</v>
      </c>
      <c r="R411" s="35">
        <v>567</v>
      </c>
      <c r="S411" s="32">
        <v>0</v>
      </c>
      <c r="T411" s="37">
        <v>259</v>
      </c>
      <c r="U411" s="38">
        <v>582</v>
      </c>
      <c r="V411" s="37">
        <v>608</v>
      </c>
      <c r="W411" s="32">
        <v>248</v>
      </c>
      <c r="X411" s="31">
        <v>269</v>
      </c>
      <c r="Y411" s="32">
        <v>552</v>
      </c>
      <c r="Z411" s="111">
        <v>303</v>
      </c>
      <c r="AA411" s="35">
        <v>0</v>
      </c>
      <c r="AB411" s="35">
        <v>24</v>
      </c>
      <c r="AC411" s="35">
        <v>533</v>
      </c>
      <c r="AD411" s="35">
        <v>0</v>
      </c>
      <c r="AE411" s="33">
        <v>0</v>
      </c>
      <c r="AF411" s="116">
        <v>0</v>
      </c>
      <c r="AG411" s="120">
        <v>307</v>
      </c>
      <c r="AH411" s="38">
        <v>534</v>
      </c>
      <c r="AI411" s="37"/>
      <c r="AJ411" s="36"/>
      <c r="AK411" s="37">
        <v>570</v>
      </c>
      <c r="AL411" s="38">
        <v>258</v>
      </c>
      <c r="AM411" s="37"/>
      <c r="AN411" s="116"/>
      <c r="AO411" s="120"/>
      <c r="AP411" s="38"/>
      <c r="AQ411" s="37"/>
      <c r="AR411" s="116"/>
      <c r="AS411" s="120"/>
      <c r="AT411" s="38"/>
      <c r="AU411" s="37"/>
      <c r="AV411" s="120"/>
      <c r="AW411" s="120"/>
      <c r="AX411" s="37"/>
      <c r="AY411" s="38"/>
      <c r="AZ411" s="37">
        <v>259</v>
      </c>
      <c r="BA411" s="116">
        <v>564</v>
      </c>
      <c r="BB411" s="31">
        <v>584</v>
      </c>
      <c r="BC411" s="32">
        <v>228</v>
      </c>
      <c r="BD411" s="31">
        <v>560</v>
      </c>
      <c r="BE411" s="116">
        <v>245</v>
      </c>
      <c r="BF411" s="120">
        <v>240</v>
      </c>
      <c r="BG411" s="38">
        <v>560</v>
      </c>
      <c r="BH411" s="37">
        <v>602</v>
      </c>
      <c r="BI411" s="38">
        <v>215</v>
      </c>
      <c r="BJ411" s="111">
        <v>39</v>
      </c>
      <c r="BK411" s="33">
        <v>527</v>
      </c>
      <c r="BL411" s="115">
        <v>261</v>
      </c>
      <c r="BM411" s="111">
        <v>303</v>
      </c>
      <c r="BN411" s="35">
        <v>507</v>
      </c>
      <c r="BO411" s="32">
        <v>21</v>
      </c>
      <c r="BP411" s="31">
        <v>580</v>
      </c>
      <c r="BQ411" s="32">
        <v>238</v>
      </c>
      <c r="BR411" s="31">
        <v>206</v>
      </c>
      <c r="BS411" s="32">
        <v>626</v>
      </c>
      <c r="BT411" s="31">
        <v>549</v>
      </c>
      <c r="BU411" s="33">
        <v>35</v>
      </c>
      <c r="BV411" s="115">
        <v>226</v>
      </c>
      <c r="BW411" s="111">
        <v>248</v>
      </c>
      <c r="BX411" s="32">
        <v>594</v>
      </c>
      <c r="BY411" s="31">
        <v>271</v>
      </c>
      <c r="BZ411" s="32">
        <v>533</v>
      </c>
      <c r="CA411" s="111">
        <v>553</v>
      </c>
      <c r="CB411" s="32">
        <v>258</v>
      </c>
      <c r="CC411" s="33">
        <v>642</v>
      </c>
      <c r="CD411" s="34">
        <v>528</v>
      </c>
      <c r="CE411" s="120">
        <v>466</v>
      </c>
      <c r="CF411" s="38">
        <v>222</v>
      </c>
      <c r="CG411" s="31">
        <v>201</v>
      </c>
      <c r="CH411" s="35">
        <v>350</v>
      </c>
      <c r="CI411" s="35">
        <v>101</v>
      </c>
      <c r="CJ411" s="35">
        <v>142</v>
      </c>
      <c r="CK411" s="32">
        <v>521</v>
      </c>
    </row>
    <row r="412" spans="1:89" ht="13" x14ac:dyDescent="0.25">
      <c r="A412" s="27">
        <v>6513</v>
      </c>
      <c r="B412" s="28" t="s">
        <v>435</v>
      </c>
      <c r="C412" s="29">
        <v>1166</v>
      </c>
      <c r="D412" s="30">
        <v>858</v>
      </c>
      <c r="E412" s="20">
        <f t="shared" si="6"/>
        <v>0.73584905660377353</v>
      </c>
      <c r="F412" s="31">
        <v>0</v>
      </c>
      <c r="G412" s="111">
        <v>0</v>
      </c>
      <c r="H412" s="111">
        <v>0</v>
      </c>
      <c r="I412" s="111">
        <v>0</v>
      </c>
      <c r="J412" s="111">
        <v>2</v>
      </c>
      <c r="K412" s="111">
        <v>0</v>
      </c>
      <c r="L412" s="111">
        <v>0</v>
      </c>
      <c r="M412" s="111">
        <v>308</v>
      </c>
      <c r="N412" s="111">
        <v>0</v>
      </c>
      <c r="O412" s="111">
        <v>0</v>
      </c>
      <c r="P412" s="35">
        <v>3</v>
      </c>
      <c r="Q412" s="35">
        <v>0</v>
      </c>
      <c r="R412" s="35">
        <v>536</v>
      </c>
      <c r="S412" s="32">
        <v>0</v>
      </c>
      <c r="T412" s="37">
        <v>293</v>
      </c>
      <c r="U412" s="38">
        <v>537</v>
      </c>
      <c r="V412" s="37">
        <v>559</v>
      </c>
      <c r="W412" s="32">
        <v>281</v>
      </c>
      <c r="X412" s="31">
        <v>302</v>
      </c>
      <c r="Y412" s="32">
        <v>521</v>
      </c>
      <c r="Z412" s="111">
        <v>328</v>
      </c>
      <c r="AA412" s="35">
        <v>0</v>
      </c>
      <c r="AB412" s="35">
        <v>40</v>
      </c>
      <c r="AC412" s="35">
        <v>472</v>
      </c>
      <c r="AD412" s="35">
        <v>0</v>
      </c>
      <c r="AE412" s="33">
        <v>0</v>
      </c>
      <c r="AF412" s="116">
        <v>0</v>
      </c>
      <c r="AG412" s="120">
        <v>337</v>
      </c>
      <c r="AH412" s="38">
        <v>490</v>
      </c>
      <c r="AI412" s="37"/>
      <c r="AJ412" s="36"/>
      <c r="AK412" s="37">
        <v>515</v>
      </c>
      <c r="AL412" s="38">
        <v>300</v>
      </c>
      <c r="AM412" s="37"/>
      <c r="AN412" s="116"/>
      <c r="AO412" s="120"/>
      <c r="AP412" s="38"/>
      <c r="AQ412" s="37"/>
      <c r="AR412" s="116"/>
      <c r="AS412" s="120"/>
      <c r="AT412" s="38"/>
      <c r="AU412" s="37"/>
      <c r="AV412" s="120"/>
      <c r="AW412" s="120"/>
      <c r="AX412" s="37"/>
      <c r="AY412" s="38"/>
      <c r="AZ412" s="37">
        <v>291</v>
      </c>
      <c r="BA412" s="116">
        <v>518</v>
      </c>
      <c r="BB412" s="31">
        <v>532</v>
      </c>
      <c r="BC412" s="32">
        <v>280</v>
      </c>
      <c r="BD412" s="31">
        <v>518</v>
      </c>
      <c r="BE412" s="116">
        <v>291</v>
      </c>
      <c r="BF412" s="120">
        <v>289</v>
      </c>
      <c r="BG412" s="38">
        <v>515</v>
      </c>
      <c r="BH412" s="37">
        <v>557</v>
      </c>
      <c r="BI412" s="38">
        <v>257</v>
      </c>
      <c r="BJ412" s="111">
        <v>40</v>
      </c>
      <c r="BK412" s="33">
        <v>479</v>
      </c>
      <c r="BL412" s="115">
        <v>297</v>
      </c>
      <c r="BM412" s="111">
        <v>308</v>
      </c>
      <c r="BN412" s="35">
        <v>472</v>
      </c>
      <c r="BO412" s="32">
        <v>37</v>
      </c>
      <c r="BP412" s="31">
        <v>521</v>
      </c>
      <c r="BQ412" s="32">
        <v>288</v>
      </c>
      <c r="BR412" s="31">
        <v>266</v>
      </c>
      <c r="BS412" s="32">
        <v>549</v>
      </c>
      <c r="BT412" s="31">
        <v>495</v>
      </c>
      <c r="BU412" s="33">
        <v>45</v>
      </c>
      <c r="BV412" s="115">
        <v>268</v>
      </c>
      <c r="BW412" s="111">
        <v>292</v>
      </c>
      <c r="BX412" s="32">
        <v>544</v>
      </c>
      <c r="BY412" s="31">
        <v>303</v>
      </c>
      <c r="BZ412" s="32">
        <v>501</v>
      </c>
      <c r="CA412" s="111">
        <v>498</v>
      </c>
      <c r="CB412" s="32">
        <v>316</v>
      </c>
      <c r="CC412" s="33">
        <v>628</v>
      </c>
      <c r="CD412" s="34">
        <v>559</v>
      </c>
      <c r="CE412" s="120">
        <v>421</v>
      </c>
      <c r="CF412" s="38">
        <v>271</v>
      </c>
      <c r="CG412" s="31">
        <v>199</v>
      </c>
      <c r="CH412" s="35">
        <v>321</v>
      </c>
      <c r="CI412" s="35">
        <v>134</v>
      </c>
      <c r="CJ412" s="35">
        <v>180</v>
      </c>
      <c r="CK412" s="32">
        <v>472</v>
      </c>
    </row>
    <row r="413" spans="1:89" ht="13" x14ac:dyDescent="0.25">
      <c r="A413" s="27">
        <v>6514</v>
      </c>
      <c r="B413" s="28" t="s">
        <v>436</v>
      </c>
      <c r="C413" s="29">
        <v>635</v>
      </c>
      <c r="D413" s="30">
        <v>459</v>
      </c>
      <c r="E413" s="20">
        <f t="shared" si="6"/>
        <v>0.72283464566929134</v>
      </c>
      <c r="F413" s="31">
        <v>0</v>
      </c>
      <c r="G413" s="111">
        <v>0</v>
      </c>
      <c r="H413" s="111">
        <v>0</v>
      </c>
      <c r="I413" s="111">
        <v>0</v>
      </c>
      <c r="J413" s="111">
        <v>0</v>
      </c>
      <c r="K413" s="111">
        <v>0</v>
      </c>
      <c r="L413" s="111">
        <v>0</v>
      </c>
      <c r="M413" s="111">
        <v>156</v>
      </c>
      <c r="N413" s="111">
        <v>0</v>
      </c>
      <c r="O413" s="111">
        <v>0</v>
      </c>
      <c r="P413" s="35">
        <v>2</v>
      </c>
      <c r="Q413" s="35">
        <v>0</v>
      </c>
      <c r="R413" s="35">
        <v>292</v>
      </c>
      <c r="S413" s="32">
        <v>0</v>
      </c>
      <c r="T413" s="37">
        <v>159</v>
      </c>
      <c r="U413" s="38">
        <v>275</v>
      </c>
      <c r="V413" s="37">
        <v>294</v>
      </c>
      <c r="W413" s="32">
        <v>147</v>
      </c>
      <c r="X413" s="31">
        <v>172</v>
      </c>
      <c r="Y413" s="32">
        <v>256</v>
      </c>
      <c r="Z413" s="111">
        <v>161</v>
      </c>
      <c r="AA413" s="35">
        <v>0</v>
      </c>
      <c r="AB413" s="35">
        <v>21</v>
      </c>
      <c r="AC413" s="35">
        <v>257</v>
      </c>
      <c r="AD413" s="35">
        <v>0</v>
      </c>
      <c r="AE413" s="33">
        <v>0</v>
      </c>
      <c r="AF413" s="116">
        <v>1</v>
      </c>
      <c r="AG413" s="120">
        <v>186</v>
      </c>
      <c r="AH413" s="38">
        <v>249</v>
      </c>
      <c r="AI413" s="37"/>
      <c r="AJ413" s="36"/>
      <c r="AK413" s="37">
        <v>269</v>
      </c>
      <c r="AL413" s="38">
        <v>155</v>
      </c>
      <c r="AM413" s="37"/>
      <c r="AN413" s="116"/>
      <c r="AO413" s="120"/>
      <c r="AP413" s="38"/>
      <c r="AQ413" s="37"/>
      <c r="AR413" s="116"/>
      <c r="AS413" s="120"/>
      <c r="AT413" s="38"/>
      <c r="AU413" s="37"/>
      <c r="AV413" s="120"/>
      <c r="AW413" s="120"/>
      <c r="AX413" s="37"/>
      <c r="AY413" s="38"/>
      <c r="AZ413" s="37">
        <v>159</v>
      </c>
      <c r="BA413" s="116">
        <v>261</v>
      </c>
      <c r="BB413" s="31">
        <v>266</v>
      </c>
      <c r="BC413" s="32">
        <v>149</v>
      </c>
      <c r="BD413" s="31">
        <v>261</v>
      </c>
      <c r="BE413" s="116">
        <v>155</v>
      </c>
      <c r="BF413" s="120">
        <v>152</v>
      </c>
      <c r="BG413" s="38">
        <v>258</v>
      </c>
      <c r="BH413" s="37">
        <v>279</v>
      </c>
      <c r="BI413" s="38">
        <v>141</v>
      </c>
      <c r="BJ413" s="111">
        <v>22</v>
      </c>
      <c r="BK413" s="33">
        <v>239</v>
      </c>
      <c r="BL413" s="115">
        <v>162</v>
      </c>
      <c r="BM413" s="111">
        <v>160</v>
      </c>
      <c r="BN413" s="35">
        <v>240</v>
      </c>
      <c r="BO413" s="32">
        <v>22</v>
      </c>
      <c r="BP413" s="31">
        <v>270</v>
      </c>
      <c r="BQ413" s="32">
        <v>152</v>
      </c>
      <c r="BR413" s="31">
        <v>136</v>
      </c>
      <c r="BS413" s="32">
        <v>297</v>
      </c>
      <c r="BT413" s="31">
        <v>242</v>
      </c>
      <c r="BU413" s="33">
        <v>28</v>
      </c>
      <c r="BV413" s="115">
        <v>145</v>
      </c>
      <c r="BW413" s="111">
        <v>156</v>
      </c>
      <c r="BX413" s="32">
        <v>274</v>
      </c>
      <c r="BY413" s="31">
        <v>164</v>
      </c>
      <c r="BZ413" s="32">
        <v>248</v>
      </c>
      <c r="CA413" s="111">
        <v>255</v>
      </c>
      <c r="CB413" s="32">
        <v>162</v>
      </c>
      <c r="CC413" s="33">
        <v>330</v>
      </c>
      <c r="CD413" s="34">
        <v>284</v>
      </c>
      <c r="CE413" s="120">
        <v>191</v>
      </c>
      <c r="CF413" s="38">
        <v>156</v>
      </c>
      <c r="CG413" s="31">
        <v>119</v>
      </c>
      <c r="CH413" s="35">
        <v>137</v>
      </c>
      <c r="CI413" s="35">
        <v>76</v>
      </c>
      <c r="CJ413" s="35">
        <v>82</v>
      </c>
      <c r="CK413" s="32">
        <v>237</v>
      </c>
    </row>
    <row r="414" spans="1:89" ht="13" x14ac:dyDescent="0.25">
      <c r="A414" s="27">
        <v>6515</v>
      </c>
      <c r="B414" s="28" t="s">
        <v>437</v>
      </c>
      <c r="C414" s="29">
        <v>1232</v>
      </c>
      <c r="D414" s="30">
        <v>992</v>
      </c>
      <c r="E414" s="20">
        <f t="shared" si="6"/>
        <v>0.80519480519480524</v>
      </c>
      <c r="F414" s="31">
        <v>0</v>
      </c>
      <c r="G414" s="111">
        <v>0</v>
      </c>
      <c r="H414" s="111">
        <v>0</v>
      </c>
      <c r="I414" s="111">
        <v>0</v>
      </c>
      <c r="J414" s="111">
        <v>0</v>
      </c>
      <c r="K414" s="111">
        <v>0</v>
      </c>
      <c r="L414" s="111">
        <v>0</v>
      </c>
      <c r="M414" s="111">
        <v>320</v>
      </c>
      <c r="N414" s="111">
        <v>0</v>
      </c>
      <c r="O414" s="111">
        <v>0</v>
      </c>
      <c r="P414" s="35">
        <v>5</v>
      </c>
      <c r="Q414" s="35">
        <v>4</v>
      </c>
      <c r="R414" s="35">
        <v>649</v>
      </c>
      <c r="S414" s="32">
        <v>0</v>
      </c>
      <c r="T414" s="37">
        <v>294</v>
      </c>
      <c r="U414" s="38">
        <v>648</v>
      </c>
      <c r="V414" s="37">
        <v>701</v>
      </c>
      <c r="W414" s="32">
        <v>260</v>
      </c>
      <c r="X414" s="31">
        <v>299</v>
      </c>
      <c r="Y414" s="32">
        <v>611</v>
      </c>
      <c r="Z414" s="111">
        <v>356</v>
      </c>
      <c r="AA414" s="35">
        <v>0</v>
      </c>
      <c r="AB414" s="35">
        <v>33</v>
      </c>
      <c r="AC414" s="35">
        <v>587</v>
      </c>
      <c r="AD414" s="35">
        <v>0</v>
      </c>
      <c r="AE414" s="33">
        <v>0</v>
      </c>
      <c r="AF414" s="116">
        <v>0</v>
      </c>
      <c r="AG414" s="120">
        <v>364</v>
      </c>
      <c r="AH414" s="38">
        <v>583</v>
      </c>
      <c r="AI414" s="37"/>
      <c r="AJ414" s="36"/>
      <c r="AK414" s="37">
        <v>618</v>
      </c>
      <c r="AL414" s="38">
        <v>295</v>
      </c>
      <c r="AM414" s="37"/>
      <c r="AN414" s="116"/>
      <c r="AO414" s="120"/>
      <c r="AP414" s="38"/>
      <c r="AQ414" s="37"/>
      <c r="AR414" s="116"/>
      <c r="AS414" s="120"/>
      <c r="AT414" s="38"/>
      <c r="AU414" s="37"/>
      <c r="AV414" s="120"/>
      <c r="AW414" s="120"/>
      <c r="AX414" s="37"/>
      <c r="AY414" s="38"/>
      <c r="AZ414" s="37">
        <v>273</v>
      </c>
      <c r="BA414" s="116">
        <v>640</v>
      </c>
      <c r="BB414" s="31">
        <v>632</v>
      </c>
      <c r="BC414" s="32">
        <v>270</v>
      </c>
      <c r="BD414" s="31">
        <v>602</v>
      </c>
      <c r="BE414" s="116">
        <v>286</v>
      </c>
      <c r="BF414" s="120">
        <v>265</v>
      </c>
      <c r="BG414" s="38">
        <v>621</v>
      </c>
      <c r="BH414" s="37">
        <v>668</v>
      </c>
      <c r="BI414" s="38">
        <v>238</v>
      </c>
      <c r="BJ414" s="111">
        <v>52</v>
      </c>
      <c r="BK414" s="33">
        <v>582</v>
      </c>
      <c r="BL414" s="115">
        <v>285</v>
      </c>
      <c r="BM414" s="111">
        <v>344</v>
      </c>
      <c r="BN414" s="35">
        <v>546</v>
      </c>
      <c r="BO414" s="32">
        <v>33</v>
      </c>
      <c r="BP414" s="31">
        <v>642</v>
      </c>
      <c r="BQ414" s="32">
        <v>263</v>
      </c>
      <c r="BR414" s="31">
        <v>242</v>
      </c>
      <c r="BS414" s="32">
        <v>687</v>
      </c>
      <c r="BT414" s="31">
        <v>575</v>
      </c>
      <c r="BU414" s="33">
        <v>58</v>
      </c>
      <c r="BV414" s="115">
        <v>252</v>
      </c>
      <c r="BW414" s="111">
        <v>281</v>
      </c>
      <c r="BX414" s="32">
        <v>663</v>
      </c>
      <c r="BY414" s="31">
        <v>297</v>
      </c>
      <c r="BZ414" s="32">
        <v>585</v>
      </c>
      <c r="CA414" s="111">
        <v>587</v>
      </c>
      <c r="CB414" s="32">
        <v>309</v>
      </c>
      <c r="CC414" s="33">
        <v>712</v>
      </c>
      <c r="CD414" s="34">
        <v>612</v>
      </c>
      <c r="CE414" s="120">
        <v>459</v>
      </c>
      <c r="CF414" s="38">
        <v>271</v>
      </c>
      <c r="CG414" s="31">
        <v>197</v>
      </c>
      <c r="CH414" s="35">
        <v>418</v>
      </c>
      <c r="CI414" s="35">
        <v>131</v>
      </c>
      <c r="CJ414" s="35">
        <v>153</v>
      </c>
      <c r="CK414" s="32">
        <v>559</v>
      </c>
    </row>
    <row r="415" spans="1:89" ht="13" x14ac:dyDescent="0.25">
      <c r="A415" s="27">
        <v>6516</v>
      </c>
      <c r="B415" s="28" t="s">
        <v>438</v>
      </c>
      <c r="C415" s="29">
        <v>1030</v>
      </c>
      <c r="D415" s="30">
        <v>814</v>
      </c>
      <c r="E415" s="20">
        <f t="shared" si="6"/>
        <v>0.79029126213592238</v>
      </c>
      <c r="F415" s="31">
        <v>0</v>
      </c>
      <c r="G415" s="111">
        <v>0</v>
      </c>
      <c r="H415" s="111">
        <v>0</v>
      </c>
      <c r="I415" s="111">
        <v>0</v>
      </c>
      <c r="J415" s="111">
        <v>2</v>
      </c>
      <c r="K415" s="111">
        <v>0</v>
      </c>
      <c r="L415" s="111">
        <v>0</v>
      </c>
      <c r="M415" s="111">
        <v>254</v>
      </c>
      <c r="N415" s="111">
        <v>0</v>
      </c>
      <c r="O415" s="111">
        <v>0</v>
      </c>
      <c r="P415" s="35">
        <v>2</v>
      </c>
      <c r="Q415" s="35">
        <v>0</v>
      </c>
      <c r="R415" s="35">
        <v>548</v>
      </c>
      <c r="S415" s="32">
        <v>0</v>
      </c>
      <c r="T415" s="37">
        <v>239</v>
      </c>
      <c r="U415" s="38">
        <v>556</v>
      </c>
      <c r="V415" s="37">
        <v>570</v>
      </c>
      <c r="W415" s="32">
        <v>222</v>
      </c>
      <c r="X415" s="31">
        <v>240</v>
      </c>
      <c r="Y415" s="32">
        <v>542</v>
      </c>
      <c r="Z415" s="111">
        <v>251</v>
      </c>
      <c r="AA415" s="35">
        <v>0</v>
      </c>
      <c r="AB415" s="35">
        <v>23</v>
      </c>
      <c r="AC415" s="35">
        <v>520</v>
      </c>
      <c r="AD415" s="35">
        <v>0</v>
      </c>
      <c r="AE415" s="33">
        <v>0</v>
      </c>
      <c r="AF415" s="116">
        <v>0</v>
      </c>
      <c r="AG415" s="120">
        <v>290</v>
      </c>
      <c r="AH415" s="38">
        <v>492</v>
      </c>
      <c r="AI415" s="37"/>
      <c r="AJ415" s="36"/>
      <c r="AK415" s="37">
        <v>545</v>
      </c>
      <c r="AL415" s="38">
        <v>223</v>
      </c>
      <c r="AM415" s="37"/>
      <c r="AN415" s="116"/>
      <c r="AO415" s="120"/>
      <c r="AP415" s="38"/>
      <c r="AQ415" s="37"/>
      <c r="AR415" s="116"/>
      <c r="AS415" s="120"/>
      <c r="AT415" s="38"/>
      <c r="AU415" s="37"/>
      <c r="AV415" s="120"/>
      <c r="AW415" s="120"/>
      <c r="AX415" s="37"/>
      <c r="AY415" s="38"/>
      <c r="AZ415" s="37">
        <v>221</v>
      </c>
      <c r="BA415" s="116">
        <v>546</v>
      </c>
      <c r="BB415" s="31">
        <v>540</v>
      </c>
      <c r="BC415" s="32">
        <v>221</v>
      </c>
      <c r="BD415" s="31">
        <v>521</v>
      </c>
      <c r="BE415" s="116">
        <v>233</v>
      </c>
      <c r="BF415" s="120">
        <v>211</v>
      </c>
      <c r="BG415" s="38">
        <v>536</v>
      </c>
      <c r="BH415" s="37">
        <v>554</v>
      </c>
      <c r="BI415" s="38">
        <v>209</v>
      </c>
      <c r="BJ415" s="111">
        <v>30</v>
      </c>
      <c r="BK415" s="33">
        <v>503</v>
      </c>
      <c r="BL415" s="115">
        <v>232</v>
      </c>
      <c r="BM415" s="111">
        <v>258</v>
      </c>
      <c r="BN415" s="35">
        <v>497</v>
      </c>
      <c r="BO415" s="32">
        <v>18</v>
      </c>
      <c r="BP415" s="31">
        <v>535</v>
      </c>
      <c r="BQ415" s="32">
        <v>222</v>
      </c>
      <c r="BR415" s="31">
        <v>190</v>
      </c>
      <c r="BS415" s="32">
        <v>586</v>
      </c>
      <c r="BT415" s="31">
        <v>517</v>
      </c>
      <c r="BU415" s="33">
        <v>34</v>
      </c>
      <c r="BV415" s="115">
        <v>208</v>
      </c>
      <c r="BW415" s="111">
        <v>235</v>
      </c>
      <c r="BX415" s="32">
        <v>553</v>
      </c>
      <c r="BY415" s="31">
        <v>241</v>
      </c>
      <c r="BZ415" s="32">
        <v>521</v>
      </c>
      <c r="CA415" s="111">
        <v>524</v>
      </c>
      <c r="CB415" s="32">
        <v>242</v>
      </c>
      <c r="CC415" s="33">
        <v>593</v>
      </c>
      <c r="CD415" s="34">
        <v>490</v>
      </c>
      <c r="CE415" s="120">
        <v>381</v>
      </c>
      <c r="CF415" s="38">
        <v>250</v>
      </c>
      <c r="CG415" s="31">
        <v>195</v>
      </c>
      <c r="CH415" s="35">
        <v>290</v>
      </c>
      <c r="CI415" s="35">
        <v>132</v>
      </c>
      <c r="CJ415" s="35">
        <v>152</v>
      </c>
      <c r="CK415" s="32">
        <v>445</v>
      </c>
    </row>
    <row r="416" spans="1:89" ht="13" x14ac:dyDescent="0.25">
      <c r="A416" s="27">
        <v>6517</v>
      </c>
      <c r="B416" s="28" t="s">
        <v>439</v>
      </c>
      <c r="C416" s="29">
        <v>1160</v>
      </c>
      <c r="D416" s="30">
        <v>1001</v>
      </c>
      <c r="E416" s="20">
        <f t="shared" si="6"/>
        <v>0.86293103448275865</v>
      </c>
      <c r="F416" s="31">
        <v>0</v>
      </c>
      <c r="G416" s="111">
        <v>0</v>
      </c>
      <c r="H416" s="111">
        <v>0</v>
      </c>
      <c r="I416" s="111">
        <v>0</v>
      </c>
      <c r="J416" s="111">
        <v>2</v>
      </c>
      <c r="K416" s="111">
        <v>0</v>
      </c>
      <c r="L416" s="111">
        <v>0</v>
      </c>
      <c r="M416" s="111">
        <v>271</v>
      </c>
      <c r="N416" s="111">
        <v>0</v>
      </c>
      <c r="O416" s="111">
        <v>0</v>
      </c>
      <c r="P416" s="35">
        <v>4</v>
      </c>
      <c r="Q416" s="35">
        <v>3</v>
      </c>
      <c r="R416" s="35">
        <v>710</v>
      </c>
      <c r="S416" s="32">
        <v>0</v>
      </c>
      <c r="T416" s="37">
        <v>221</v>
      </c>
      <c r="U416" s="38">
        <v>745</v>
      </c>
      <c r="V416" s="37">
        <v>758</v>
      </c>
      <c r="W416" s="32">
        <v>217</v>
      </c>
      <c r="X416" s="31">
        <v>225</v>
      </c>
      <c r="Y416" s="32">
        <v>719</v>
      </c>
      <c r="Z416" s="111">
        <v>274</v>
      </c>
      <c r="AA416" s="35">
        <v>0</v>
      </c>
      <c r="AB416" s="35">
        <v>30</v>
      </c>
      <c r="AC416" s="35">
        <v>679</v>
      </c>
      <c r="AD416" s="35">
        <v>0</v>
      </c>
      <c r="AE416" s="33">
        <v>0</v>
      </c>
      <c r="AF416" s="116">
        <v>0</v>
      </c>
      <c r="AG416" s="120">
        <v>287</v>
      </c>
      <c r="AH416" s="38">
        <v>675</v>
      </c>
      <c r="AI416" s="37"/>
      <c r="AJ416" s="36"/>
      <c r="AK416" s="37">
        <v>715</v>
      </c>
      <c r="AL416" s="38">
        <v>229</v>
      </c>
      <c r="AM416" s="37"/>
      <c r="AN416" s="116"/>
      <c r="AO416" s="120"/>
      <c r="AP416" s="38"/>
      <c r="AQ416" s="37"/>
      <c r="AR416" s="116"/>
      <c r="AS416" s="120"/>
      <c r="AT416" s="38"/>
      <c r="AU416" s="37"/>
      <c r="AV416" s="120"/>
      <c r="AW416" s="120"/>
      <c r="AX416" s="37"/>
      <c r="AY416" s="38"/>
      <c r="AZ416" s="37">
        <v>231</v>
      </c>
      <c r="BA416" s="116">
        <v>713</v>
      </c>
      <c r="BB416" s="31">
        <v>731</v>
      </c>
      <c r="BC416" s="32">
        <v>207</v>
      </c>
      <c r="BD416" s="31">
        <v>705</v>
      </c>
      <c r="BE416" s="116">
        <v>229</v>
      </c>
      <c r="BF416" s="120">
        <v>218</v>
      </c>
      <c r="BG416" s="38">
        <v>705</v>
      </c>
      <c r="BH416" s="37">
        <v>764</v>
      </c>
      <c r="BI416" s="38">
        <v>180</v>
      </c>
      <c r="BJ416" s="111">
        <v>38</v>
      </c>
      <c r="BK416" s="33">
        <v>679</v>
      </c>
      <c r="BL416" s="115">
        <v>230</v>
      </c>
      <c r="BM416" s="111">
        <v>292</v>
      </c>
      <c r="BN416" s="35">
        <v>641</v>
      </c>
      <c r="BO416" s="32">
        <v>21</v>
      </c>
      <c r="BP416" s="31">
        <v>733</v>
      </c>
      <c r="BQ416" s="32">
        <v>215</v>
      </c>
      <c r="BR416" s="31">
        <v>170</v>
      </c>
      <c r="BS416" s="32">
        <v>788</v>
      </c>
      <c r="BT416" s="31">
        <v>669</v>
      </c>
      <c r="BU416" s="33">
        <v>44</v>
      </c>
      <c r="BV416" s="115">
        <v>221</v>
      </c>
      <c r="BW416" s="111">
        <v>251</v>
      </c>
      <c r="BX416" s="32">
        <v>714</v>
      </c>
      <c r="BY416" s="31">
        <v>256</v>
      </c>
      <c r="BZ416" s="32">
        <v>672</v>
      </c>
      <c r="CA416" s="111">
        <v>691</v>
      </c>
      <c r="CB416" s="32">
        <v>243</v>
      </c>
      <c r="CC416" s="33">
        <v>800</v>
      </c>
      <c r="CD416" s="34">
        <v>598</v>
      </c>
      <c r="CE416" s="120">
        <v>510</v>
      </c>
      <c r="CF416" s="38">
        <v>268</v>
      </c>
      <c r="CG416" s="31">
        <v>216</v>
      </c>
      <c r="CH416" s="35">
        <v>518</v>
      </c>
      <c r="CI416" s="35">
        <v>91</v>
      </c>
      <c r="CJ416" s="35">
        <v>121</v>
      </c>
      <c r="CK416" s="32">
        <v>626</v>
      </c>
    </row>
    <row r="417" spans="1:89" ht="13" x14ac:dyDescent="0.25">
      <c r="A417" s="27">
        <v>6518</v>
      </c>
      <c r="B417" s="28" t="s">
        <v>440</v>
      </c>
      <c r="C417" s="29">
        <v>904</v>
      </c>
      <c r="D417" s="30">
        <v>634</v>
      </c>
      <c r="E417" s="20">
        <f t="shared" si="6"/>
        <v>0.70132743362831862</v>
      </c>
      <c r="F417" s="31">
        <v>0</v>
      </c>
      <c r="G417" s="111">
        <v>0</v>
      </c>
      <c r="H417" s="111">
        <v>0</v>
      </c>
      <c r="I417" s="111">
        <v>0</v>
      </c>
      <c r="J417" s="111">
        <v>2</v>
      </c>
      <c r="K417" s="111">
        <v>0</v>
      </c>
      <c r="L417" s="111">
        <v>0</v>
      </c>
      <c r="M417" s="111">
        <v>255</v>
      </c>
      <c r="N417" s="111">
        <v>0</v>
      </c>
      <c r="O417" s="111">
        <v>0</v>
      </c>
      <c r="P417" s="35">
        <v>3</v>
      </c>
      <c r="Q417" s="35">
        <v>1</v>
      </c>
      <c r="R417" s="35">
        <v>368</v>
      </c>
      <c r="S417" s="32">
        <v>0</v>
      </c>
      <c r="T417" s="37">
        <v>239</v>
      </c>
      <c r="U417" s="38">
        <v>369</v>
      </c>
      <c r="V417" s="37">
        <v>405</v>
      </c>
      <c r="W417" s="32">
        <v>212</v>
      </c>
      <c r="X417" s="31">
        <v>236</v>
      </c>
      <c r="Y417" s="32">
        <v>357</v>
      </c>
      <c r="Z417" s="111">
        <v>266</v>
      </c>
      <c r="AA417" s="35">
        <v>0</v>
      </c>
      <c r="AB417" s="35">
        <v>15</v>
      </c>
      <c r="AC417" s="35">
        <v>338</v>
      </c>
      <c r="AD417" s="35">
        <v>0</v>
      </c>
      <c r="AE417" s="33">
        <v>0</v>
      </c>
      <c r="AF417" s="116">
        <v>0</v>
      </c>
      <c r="AG417" s="120">
        <v>277</v>
      </c>
      <c r="AH417" s="38">
        <v>330</v>
      </c>
      <c r="AI417" s="37"/>
      <c r="AJ417" s="36"/>
      <c r="AK417" s="37">
        <v>380</v>
      </c>
      <c r="AL417" s="38">
        <v>214</v>
      </c>
      <c r="AM417" s="37"/>
      <c r="AN417" s="116"/>
      <c r="AO417" s="120"/>
      <c r="AP417" s="38"/>
      <c r="AQ417" s="37"/>
      <c r="AR417" s="116"/>
      <c r="AS417" s="120"/>
      <c r="AT417" s="38"/>
      <c r="AU417" s="37"/>
      <c r="AV417" s="120"/>
      <c r="AW417" s="120"/>
      <c r="AX417" s="37"/>
      <c r="AY417" s="38"/>
      <c r="AZ417" s="37">
        <v>231</v>
      </c>
      <c r="BA417" s="116">
        <v>352</v>
      </c>
      <c r="BB417" s="31">
        <v>371</v>
      </c>
      <c r="BC417" s="32">
        <v>214</v>
      </c>
      <c r="BD417" s="31">
        <v>357</v>
      </c>
      <c r="BE417" s="116">
        <v>221</v>
      </c>
      <c r="BF417" s="120">
        <v>226</v>
      </c>
      <c r="BG417" s="38">
        <v>351</v>
      </c>
      <c r="BH417" s="37">
        <v>389</v>
      </c>
      <c r="BI417" s="38">
        <v>199</v>
      </c>
      <c r="BJ417" s="111">
        <v>16</v>
      </c>
      <c r="BK417" s="33">
        <v>335</v>
      </c>
      <c r="BL417" s="115">
        <v>236</v>
      </c>
      <c r="BM417" s="111">
        <v>272</v>
      </c>
      <c r="BN417" s="35">
        <v>313</v>
      </c>
      <c r="BO417" s="32">
        <v>9</v>
      </c>
      <c r="BP417" s="31">
        <v>364</v>
      </c>
      <c r="BQ417" s="32">
        <v>226</v>
      </c>
      <c r="BR417" s="31">
        <v>193</v>
      </c>
      <c r="BS417" s="32">
        <v>410</v>
      </c>
      <c r="BT417" s="31">
        <v>352</v>
      </c>
      <c r="BU417" s="33">
        <v>18</v>
      </c>
      <c r="BV417" s="115">
        <v>211</v>
      </c>
      <c r="BW417" s="111">
        <v>231</v>
      </c>
      <c r="BX417" s="32">
        <v>369</v>
      </c>
      <c r="BY417" s="31">
        <v>238</v>
      </c>
      <c r="BZ417" s="32">
        <v>340</v>
      </c>
      <c r="CA417" s="111">
        <v>340</v>
      </c>
      <c r="CB417" s="32">
        <v>237</v>
      </c>
      <c r="CC417" s="33">
        <v>435</v>
      </c>
      <c r="CD417" s="34">
        <v>413</v>
      </c>
      <c r="CE417" s="120">
        <v>286</v>
      </c>
      <c r="CF417" s="38">
        <v>193</v>
      </c>
      <c r="CG417" s="31">
        <v>173</v>
      </c>
      <c r="CH417" s="35">
        <v>187</v>
      </c>
      <c r="CI417" s="35">
        <v>126</v>
      </c>
      <c r="CJ417" s="35">
        <v>128</v>
      </c>
      <c r="CK417" s="32">
        <v>350</v>
      </c>
    </row>
    <row r="418" spans="1:89" ht="13" x14ac:dyDescent="0.25">
      <c r="A418" s="27">
        <v>6519</v>
      </c>
      <c r="B418" s="28" t="s">
        <v>441</v>
      </c>
      <c r="C418" s="29">
        <v>1098</v>
      </c>
      <c r="D418" s="30">
        <v>857</v>
      </c>
      <c r="E418" s="20">
        <f t="shared" si="6"/>
        <v>0.78051001821493626</v>
      </c>
      <c r="F418" s="31">
        <v>0</v>
      </c>
      <c r="G418" s="111">
        <v>0</v>
      </c>
      <c r="H418" s="111">
        <v>0</v>
      </c>
      <c r="I418" s="111">
        <v>0</v>
      </c>
      <c r="J418" s="111">
        <v>2</v>
      </c>
      <c r="K418" s="111">
        <v>0</v>
      </c>
      <c r="L418" s="111">
        <v>0</v>
      </c>
      <c r="M418" s="111">
        <v>282</v>
      </c>
      <c r="N418" s="111">
        <v>0</v>
      </c>
      <c r="O418" s="111">
        <v>0</v>
      </c>
      <c r="P418" s="35">
        <v>7</v>
      </c>
      <c r="Q418" s="35">
        <v>0</v>
      </c>
      <c r="R418" s="35">
        <v>557</v>
      </c>
      <c r="S418" s="32">
        <v>0</v>
      </c>
      <c r="T418" s="37">
        <v>258</v>
      </c>
      <c r="U418" s="38">
        <v>562</v>
      </c>
      <c r="V418" s="37">
        <v>594</v>
      </c>
      <c r="W418" s="32">
        <v>231</v>
      </c>
      <c r="X418" s="31">
        <v>261</v>
      </c>
      <c r="Y418" s="32">
        <v>545</v>
      </c>
      <c r="Z418" s="111">
        <v>286</v>
      </c>
      <c r="AA418" s="35">
        <v>0</v>
      </c>
      <c r="AB418" s="35">
        <v>32</v>
      </c>
      <c r="AC418" s="35">
        <v>516</v>
      </c>
      <c r="AD418" s="35">
        <v>0</v>
      </c>
      <c r="AE418" s="33">
        <v>0</v>
      </c>
      <c r="AF418" s="116">
        <v>0</v>
      </c>
      <c r="AG418" s="120">
        <v>319</v>
      </c>
      <c r="AH418" s="38">
        <v>501</v>
      </c>
      <c r="AI418" s="37"/>
      <c r="AJ418" s="36"/>
      <c r="AK418" s="37">
        <v>558</v>
      </c>
      <c r="AL418" s="38">
        <v>251</v>
      </c>
      <c r="AM418" s="37"/>
      <c r="AN418" s="116"/>
      <c r="AO418" s="120"/>
      <c r="AP418" s="38"/>
      <c r="AQ418" s="37"/>
      <c r="AR418" s="116"/>
      <c r="AS418" s="120"/>
      <c r="AT418" s="38"/>
      <c r="AU418" s="37"/>
      <c r="AV418" s="120"/>
      <c r="AW418" s="120"/>
      <c r="AX418" s="37"/>
      <c r="AY418" s="38"/>
      <c r="AZ418" s="37">
        <v>250</v>
      </c>
      <c r="BA418" s="116">
        <v>554</v>
      </c>
      <c r="BB418" s="31">
        <v>560</v>
      </c>
      <c r="BC418" s="32">
        <v>241</v>
      </c>
      <c r="BD418" s="31">
        <v>542</v>
      </c>
      <c r="BE418" s="116">
        <v>248</v>
      </c>
      <c r="BF418" s="120">
        <v>238</v>
      </c>
      <c r="BG418" s="38">
        <v>553</v>
      </c>
      <c r="BH418" s="37">
        <v>581</v>
      </c>
      <c r="BI418" s="38">
        <v>220</v>
      </c>
      <c r="BJ418" s="111">
        <v>35</v>
      </c>
      <c r="BK418" s="33">
        <v>510</v>
      </c>
      <c r="BL418" s="115">
        <v>256</v>
      </c>
      <c r="BM418" s="111">
        <v>288</v>
      </c>
      <c r="BN418" s="35">
        <v>491</v>
      </c>
      <c r="BO418" s="32">
        <v>26</v>
      </c>
      <c r="BP418" s="31">
        <v>550</v>
      </c>
      <c r="BQ418" s="32">
        <v>237</v>
      </c>
      <c r="BR418" s="31">
        <v>221</v>
      </c>
      <c r="BS418" s="32">
        <v>590</v>
      </c>
      <c r="BT418" s="31">
        <v>528</v>
      </c>
      <c r="BU418" s="33">
        <v>36</v>
      </c>
      <c r="BV418" s="115">
        <v>227</v>
      </c>
      <c r="BW418" s="111">
        <v>241</v>
      </c>
      <c r="BX418" s="32">
        <v>582</v>
      </c>
      <c r="BY418" s="31">
        <v>253</v>
      </c>
      <c r="BZ418" s="32">
        <v>523</v>
      </c>
      <c r="CA418" s="111">
        <v>521</v>
      </c>
      <c r="CB418" s="32">
        <v>270</v>
      </c>
      <c r="CC418" s="33">
        <v>639</v>
      </c>
      <c r="CD418" s="34">
        <v>541</v>
      </c>
      <c r="CE418" s="120">
        <v>448</v>
      </c>
      <c r="CF418" s="38">
        <v>232</v>
      </c>
      <c r="CG418" s="31">
        <v>185</v>
      </c>
      <c r="CH418" s="35">
        <v>363</v>
      </c>
      <c r="CI418" s="35">
        <v>118</v>
      </c>
      <c r="CJ418" s="35">
        <v>127</v>
      </c>
      <c r="CK418" s="32">
        <v>520</v>
      </c>
    </row>
    <row r="419" spans="1:89" ht="13" x14ac:dyDescent="0.25">
      <c r="A419" s="27">
        <v>6701</v>
      </c>
      <c r="B419" s="28" t="s">
        <v>442</v>
      </c>
      <c r="C419" s="29">
        <v>1114</v>
      </c>
      <c r="D419" s="30">
        <v>527</v>
      </c>
      <c r="E419" s="20">
        <f t="shared" si="6"/>
        <v>0.47307001795332138</v>
      </c>
      <c r="F419" s="31">
        <v>0</v>
      </c>
      <c r="G419" s="111">
        <v>0</v>
      </c>
      <c r="H419" s="111">
        <v>0</v>
      </c>
      <c r="I419" s="111">
        <v>0</v>
      </c>
      <c r="J419" s="111">
        <v>1</v>
      </c>
      <c r="K419" s="111">
        <v>0</v>
      </c>
      <c r="L419" s="111">
        <v>0</v>
      </c>
      <c r="M419" s="111">
        <v>234</v>
      </c>
      <c r="N419" s="111">
        <v>0</v>
      </c>
      <c r="O419" s="111">
        <v>0</v>
      </c>
      <c r="P419" s="35">
        <v>2</v>
      </c>
      <c r="Q419" s="35">
        <v>2</v>
      </c>
      <c r="R419" s="35">
        <v>280</v>
      </c>
      <c r="S419" s="32">
        <v>0</v>
      </c>
      <c r="T419" s="37">
        <v>229</v>
      </c>
      <c r="U419" s="38">
        <v>269</v>
      </c>
      <c r="V419" s="37">
        <v>277</v>
      </c>
      <c r="W419" s="32">
        <v>222</v>
      </c>
      <c r="X419" s="31">
        <v>239</v>
      </c>
      <c r="Y419" s="32">
        <v>249</v>
      </c>
      <c r="Z419" s="111">
        <v>240</v>
      </c>
      <c r="AA419" s="35">
        <v>0</v>
      </c>
      <c r="AB419" s="35">
        <v>28</v>
      </c>
      <c r="AC419" s="35">
        <v>242</v>
      </c>
      <c r="AD419" s="35">
        <v>0</v>
      </c>
      <c r="AE419" s="33">
        <v>0</v>
      </c>
      <c r="AF419" s="116">
        <v>0</v>
      </c>
      <c r="AG419" s="120">
        <v>250</v>
      </c>
      <c r="AH419" s="38">
        <v>243</v>
      </c>
      <c r="AI419" s="37"/>
      <c r="AJ419" s="36"/>
      <c r="AK419" s="37"/>
      <c r="AL419" s="38"/>
      <c r="AM419" s="37"/>
      <c r="AN419" s="116"/>
      <c r="AO419" s="120">
        <v>245</v>
      </c>
      <c r="AP419" s="38">
        <v>250</v>
      </c>
      <c r="AQ419" s="37"/>
      <c r="AR419" s="116"/>
      <c r="AS419" s="120"/>
      <c r="AT419" s="38"/>
      <c r="AU419" s="37"/>
      <c r="AV419" s="120"/>
      <c r="AW419" s="120"/>
      <c r="AX419" s="37"/>
      <c r="AY419" s="38"/>
      <c r="AZ419" s="37"/>
      <c r="BA419" s="116"/>
      <c r="BB419" s="31">
        <v>253</v>
      </c>
      <c r="BC419" s="32">
        <v>236</v>
      </c>
      <c r="BD419" s="31">
        <v>254</v>
      </c>
      <c r="BE419" s="116">
        <v>231</v>
      </c>
      <c r="BF419" s="120">
        <v>241</v>
      </c>
      <c r="BG419" s="38">
        <v>243</v>
      </c>
      <c r="BH419" s="37">
        <v>259</v>
      </c>
      <c r="BI419" s="38">
        <v>225</v>
      </c>
      <c r="BJ419" s="111">
        <v>26</v>
      </c>
      <c r="BK419" s="33">
        <v>233</v>
      </c>
      <c r="BL419" s="115">
        <v>231</v>
      </c>
      <c r="BM419" s="111">
        <v>243</v>
      </c>
      <c r="BN419" s="35">
        <v>225</v>
      </c>
      <c r="BO419" s="32">
        <v>18</v>
      </c>
      <c r="BP419" s="31">
        <v>247</v>
      </c>
      <c r="BQ419" s="32">
        <v>234</v>
      </c>
      <c r="BR419" s="31">
        <v>222</v>
      </c>
      <c r="BS419" s="32">
        <v>265</v>
      </c>
      <c r="BT419" s="31">
        <v>244</v>
      </c>
      <c r="BU419" s="33">
        <v>28</v>
      </c>
      <c r="BV419" s="115">
        <v>218</v>
      </c>
      <c r="BW419" s="111">
        <v>233</v>
      </c>
      <c r="BX419" s="32">
        <v>267</v>
      </c>
      <c r="BY419" s="31">
        <v>236</v>
      </c>
      <c r="BZ419" s="32">
        <v>244</v>
      </c>
      <c r="CA419" s="111">
        <v>245</v>
      </c>
      <c r="CB419" s="32">
        <v>239</v>
      </c>
      <c r="CC419" s="33">
        <v>332</v>
      </c>
      <c r="CD419" s="34">
        <v>371</v>
      </c>
      <c r="CE419" s="120">
        <v>241</v>
      </c>
      <c r="CF419" s="38">
        <v>174</v>
      </c>
      <c r="CG419" s="31">
        <v>103</v>
      </c>
      <c r="CH419" s="35">
        <v>96</v>
      </c>
      <c r="CI419" s="35">
        <v>109</v>
      </c>
      <c r="CJ419" s="35">
        <v>132</v>
      </c>
      <c r="CK419" s="32">
        <v>222</v>
      </c>
    </row>
    <row r="420" spans="1:89" ht="13" x14ac:dyDescent="0.25">
      <c r="A420" s="27">
        <v>6801</v>
      </c>
      <c r="B420" s="28" t="s">
        <v>443</v>
      </c>
      <c r="C420" s="29">
        <v>1143</v>
      </c>
      <c r="D420" s="30">
        <v>977</v>
      </c>
      <c r="E420" s="20">
        <f t="shared" si="6"/>
        <v>0.85476815398075245</v>
      </c>
      <c r="F420" s="31">
        <v>0</v>
      </c>
      <c r="G420" s="111">
        <v>0</v>
      </c>
      <c r="H420" s="111">
        <v>0</v>
      </c>
      <c r="I420" s="111">
        <v>0</v>
      </c>
      <c r="J420" s="111">
        <v>1</v>
      </c>
      <c r="K420" s="111">
        <v>0</v>
      </c>
      <c r="L420" s="111">
        <v>0</v>
      </c>
      <c r="M420" s="111">
        <v>510</v>
      </c>
      <c r="N420" s="111">
        <v>0</v>
      </c>
      <c r="O420" s="111">
        <v>0</v>
      </c>
      <c r="P420" s="35">
        <v>3</v>
      </c>
      <c r="Q420" s="35">
        <v>1</v>
      </c>
      <c r="R420" s="35">
        <v>444</v>
      </c>
      <c r="S420" s="32">
        <v>1</v>
      </c>
      <c r="T420" s="37">
        <v>467</v>
      </c>
      <c r="U420" s="38">
        <v>484</v>
      </c>
      <c r="V420" s="37">
        <v>499</v>
      </c>
      <c r="W420" s="32">
        <v>456</v>
      </c>
      <c r="X420" s="31">
        <v>468</v>
      </c>
      <c r="Y420" s="32">
        <v>471</v>
      </c>
      <c r="Z420" s="111">
        <v>513</v>
      </c>
      <c r="AA420" s="35">
        <v>0</v>
      </c>
      <c r="AB420" s="35">
        <v>22</v>
      </c>
      <c r="AC420" s="35">
        <v>430</v>
      </c>
      <c r="AD420" s="35">
        <v>0</v>
      </c>
      <c r="AE420" s="33">
        <v>0</v>
      </c>
      <c r="AF420" s="116">
        <v>0</v>
      </c>
      <c r="AG420" s="120">
        <v>501</v>
      </c>
      <c r="AH420" s="38">
        <v>447</v>
      </c>
      <c r="AI420" s="37"/>
      <c r="AJ420" s="36"/>
      <c r="AK420" s="37"/>
      <c r="AL420" s="38"/>
      <c r="AM420" s="37"/>
      <c r="AN420" s="116"/>
      <c r="AO420" s="120"/>
      <c r="AP420" s="38"/>
      <c r="AQ420" s="37"/>
      <c r="AR420" s="116"/>
      <c r="AS420" s="120"/>
      <c r="AT420" s="38"/>
      <c r="AU420" s="37">
        <v>458</v>
      </c>
      <c r="AV420" s="120">
        <v>0</v>
      </c>
      <c r="AW420" s="120">
        <v>473</v>
      </c>
      <c r="AX420" s="37"/>
      <c r="AY420" s="38"/>
      <c r="AZ420" s="37"/>
      <c r="BA420" s="116"/>
      <c r="BB420" s="31">
        <v>474</v>
      </c>
      <c r="BC420" s="32">
        <v>449</v>
      </c>
      <c r="BD420" s="31">
        <v>464</v>
      </c>
      <c r="BE420" s="116">
        <v>454</v>
      </c>
      <c r="BF420" s="120">
        <v>453</v>
      </c>
      <c r="BG420" s="38">
        <v>462</v>
      </c>
      <c r="BH420" s="37">
        <v>509</v>
      </c>
      <c r="BI420" s="38">
        <v>414</v>
      </c>
      <c r="BJ420" s="111">
        <v>36</v>
      </c>
      <c r="BK420" s="33">
        <v>437</v>
      </c>
      <c r="BL420" s="115">
        <v>454</v>
      </c>
      <c r="BM420" s="111">
        <v>473</v>
      </c>
      <c r="BN420" s="35">
        <v>437</v>
      </c>
      <c r="BO420" s="32">
        <v>21</v>
      </c>
      <c r="BP420" s="31">
        <v>454</v>
      </c>
      <c r="BQ420" s="32">
        <v>478</v>
      </c>
      <c r="BR420" s="31">
        <v>411</v>
      </c>
      <c r="BS420" s="32">
        <v>518</v>
      </c>
      <c r="BT420" s="31">
        <v>409</v>
      </c>
      <c r="BU420" s="33">
        <v>34</v>
      </c>
      <c r="BV420" s="115">
        <v>478</v>
      </c>
      <c r="BW420" s="111">
        <v>473</v>
      </c>
      <c r="BX420" s="32">
        <v>466</v>
      </c>
      <c r="BY420" s="31">
        <v>456</v>
      </c>
      <c r="BZ420" s="32">
        <v>454</v>
      </c>
      <c r="CA420" s="111">
        <v>445</v>
      </c>
      <c r="CB420" s="32">
        <v>474</v>
      </c>
      <c r="CC420" s="33">
        <v>616</v>
      </c>
      <c r="CD420" s="34">
        <v>680</v>
      </c>
      <c r="CE420" s="120">
        <v>439</v>
      </c>
      <c r="CF420" s="38">
        <v>366</v>
      </c>
      <c r="CG420" s="31">
        <v>214</v>
      </c>
      <c r="CH420" s="35">
        <v>253</v>
      </c>
      <c r="CI420" s="35">
        <v>305</v>
      </c>
      <c r="CJ420" s="35">
        <v>324</v>
      </c>
      <c r="CK420" s="32">
        <v>425</v>
      </c>
    </row>
    <row r="421" spans="1:89" ht="13" x14ac:dyDescent="0.25">
      <c r="A421" s="27">
        <v>6802</v>
      </c>
      <c r="B421" s="28" t="s">
        <v>444</v>
      </c>
      <c r="C421" s="29">
        <v>923</v>
      </c>
      <c r="D421" s="30">
        <v>768</v>
      </c>
      <c r="E421" s="20">
        <f t="shared" si="6"/>
        <v>0.83206933911159264</v>
      </c>
      <c r="F421" s="31">
        <v>0</v>
      </c>
      <c r="G421" s="111">
        <v>0</v>
      </c>
      <c r="H421" s="111">
        <v>0</v>
      </c>
      <c r="I421" s="111">
        <v>0</v>
      </c>
      <c r="J421" s="111">
        <v>3</v>
      </c>
      <c r="K421" s="111">
        <v>0</v>
      </c>
      <c r="L421" s="111">
        <v>0</v>
      </c>
      <c r="M421" s="111">
        <v>293</v>
      </c>
      <c r="N421" s="111">
        <v>0</v>
      </c>
      <c r="O421" s="111">
        <v>0</v>
      </c>
      <c r="P421" s="35">
        <v>4</v>
      </c>
      <c r="Q421" s="35">
        <v>5</v>
      </c>
      <c r="R421" s="35">
        <v>450</v>
      </c>
      <c r="S421" s="32">
        <v>0</v>
      </c>
      <c r="T421" s="37">
        <v>271</v>
      </c>
      <c r="U421" s="38">
        <v>465</v>
      </c>
      <c r="V421" s="37">
        <v>499</v>
      </c>
      <c r="W421" s="32">
        <v>243</v>
      </c>
      <c r="X421" s="31">
        <v>277</v>
      </c>
      <c r="Y421" s="32">
        <v>450</v>
      </c>
      <c r="Z421" s="111">
        <v>295</v>
      </c>
      <c r="AA421" s="35">
        <v>0</v>
      </c>
      <c r="AB421" s="35">
        <v>30</v>
      </c>
      <c r="AC421" s="35">
        <v>418</v>
      </c>
      <c r="AD421" s="35">
        <v>0</v>
      </c>
      <c r="AE421" s="33">
        <v>0</v>
      </c>
      <c r="AF421" s="116">
        <v>0</v>
      </c>
      <c r="AG421" s="120">
        <v>308</v>
      </c>
      <c r="AH421" s="38">
        <v>435</v>
      </c>
      <c r="AI421" s="37"/>
      <c r="AJ421" s="36"/>
      <c r="AK421" s="37"/>
      <c r="AL421" s="38"/>
      <c r="AM421" s="37"/>
      <c r="AN421" s="116"/>
      <c r="AO421" s="120"/>
      <c r="AP421" s="38"/>
      <c r="AQ421" s="37"/>
      <c r="AR421" s="116"/>
      <c r="AS421" s="120"/>
      <c r="AT421" s="38"/>
      <c r="AU421" s="37">
        <v>268</v>
      </c>
      <c r="AV421" s="120">
        <v>0</v>
      </c>
      <c r="AW421" s="120">
        <v>453</v>
      </c>
      <c r="AX421" s="37"/>
      <c r="AY421" s="38"/>
      <c r="AZ421" s="37"/>
      <c r="BA421" s="116"/>
      <c r="BB421" s="31">
        <v>466</v>
      </c>
      <c r="BC421" s="32">
        <v>248</v>
      </c>
      <c r="BD421" s="31">
        <v>447</v>
      </c>
      <c r="BE421" s="116">
        <v>266</v>
      </c>
      <c r="BF421" s="120">
        <v>263</v>
      </c>
      <c r="BG421" s="38">
        <v>448</v>
      </c>
      <c r="BH421" s="37">
        <v>476</v>
      </c>
      <c r="BI421" s="38">
        <v>239</v>
      </c>
      <c r="BJ421" s="111">
        <v>30</v>
      </c>
      <c r="BK421" s="33">
        <v>429</v>
      </c>
      <c r="BL421" s="115">
        <v>258</v>
      </c>
      <c r="BM421" s="111">
        <v>270</v>
      </c>
      <c r="BN421" s="35">
        <v>422</v>
      </c>
      <c r="BO421" s="32">
        <v>20</v>
      </c>
      <c r="BP421" s="31">
        <v>453</v>
      </c>
      <c r="BQ421" s="32">
        <v>261</v>
      </c>
      <c r="BR421" s="31">
        <v>236</v>
      </c>
      <c r="BS421" s="32">
        <v>493</v>
      </c>
      <c r="BT421" s="31">
        <v>408</v>
      </c>
      <c r="BU421" s="33">
        <v>30</v>
      </c>
      <c r="BV421" s="115">
        <v>270</v>
      </c>
      <c r="BW421" s="111">
        <v>275</v>
      </c>
      <c r="BX421" s="32">
        <v>450</v>
      </c>
      <c r="BY421" s="31">
        <v>256</v>
      </c>
      <c r="BZ421" s="32">
        <v>439</v>
      </c>
      <c r="CA421" s="111">
        <v>440</v>
      </c>
      <c r="CB421" s="32">
        <v>261</v>
      </c>
      <c r="CC421" s="33">
        <v>540</v>
      </c>
      <c r="CD421" s="34">
        <v>485</v>
      </c>
      <c r="CE421" s="120">
        <v>412</v>
      </c>
      <c r="CF421" s="38">
        <v>199</v>
      </c>
      <c r="CG421" s="31">
        <v>201</v>
      </c>
      <c r="CH421" s="35">
        <v>263</v>
      </c>
      <c r="CI421" s="35">
        <v>116</v>
      </c>
      <c r="CJ421" s="35">
        <v>166</v>
      </c>
      <c r="CK421" s="32">
        <v>425</v>
      </c>
    </row>
    <row r="422" spans="1:89" ht="13" x14ac:dyDescent="0.25">
      <c r="A422" s="27">
        <v>6803</v>
      </c>
      <c r="B422" s="28" t="s">
        <v>445</v>
      </c>
      <c r="C422" s="29">
        <v>250</v>
      </c>
      <c r="D422" s="30">
        <v>201</v>
      </c>
      <c r="E422" s="20">
        <f t="shared" si="6"/>
        <v>0.80400000000000005</v>
      </c>
      <c r="F422" s="31">
        <v>0</v>
      </c>
      <c r="G422" s="111">
        <v>0</v>
      </c>
      <c r="H422" s="111">
        <v>0</v>
      </c>
      <c r="I422" s="111">
        <v>0</v>
      </c>
      <c r="J422" s="111">
        <v>1</v>
      </c>
      <c r="K422" s="111">
        <v>0</v>
      </c>
      <c r="L422" s="111">
        <v>0</v>
      </c>
      <c r="M422" s="111">
        <v>112</v>
      </c>
      <c r="N422" s="111">
        <v>0</v>
      </c>
      <c r="O422" s="111">
        <v>0</v>
      </c>
      <c r="P422" s="35">
        <v>2</v>
      </c>
      <c r="Q422" s="35">
        <v>0</v>
      </c>
      <c r="R422" s="35">
        <v>76</v>
      </c>
      <c r="S422" s="32">
        <v>0</v>
      </c>
      <c r="T422" s="37">
        <v>110</v>
      </c>
      <c r="U422" s="38">
        <v>81</v>
      </c>
      <c r="V422" s="37">
        <v>80</v>
      </c>
      <c r="W422" s="32">
        <v>111</v>
      </c>
      <c r="X422" s="31">
        <v>108</v>
      </c>
      <c r="Y422" s="32">
        <v>79</v>
      </c>
      <c r="Z422" s="111">
        <v>126</v>
      </c>
      <c r="AA422" s="35">
        <v>0</v>
      </c>
      <c r="AB422" s="35">
        <v>4</v>
      </c>
      <c r="AC422" s="35">
        <v>66</v>
      </c>
      <c r="AD422" s="35">
        <v>0</v>
      </c>
      <c r="AE422" s="33">
        <v>0</v>
      </c>
      <c r="AF422" s="116">
        <v>0</v>
      </c>
      <c r="AG422" s="120">
        <v>122</v>
      </c>
      <c r="AH422" s="38">
        <v>73</v>
      </c>
      <c r="AI422" s="37"/>
      <c r="AJ422" s="36"/>
      <c r="AK422" s="37"/>
      <c r="AL422" s="38"/>
      <c r="AM422" s="37"/>
      <c r="AN422" s="116"/>
      <c r="AO422" s="120"/>
      <c r="AP422" s="38"/>
      <c r="AQ422" s="37"/>
      <c r="AR422" s="116"/>
      <c r="AS422" s="120"/>
      <c r="AT422" s="38"/>
      <c r="AU422" s="37">
        <v>112</v>
      </c>
      <c r="AV422" s="120">
        <v>0</v>
      </c>
      <c r="AW422" s="120">
        <v>77</v>
      </c>
      <c r="AX422" s="37"/>
      <c r="AY422" s="38"/>
      <c r="AZ422" s="37"/>
      <c r="BA422" s="116"/>
      <c r="BB422" s="31">
        <v>79</v>
      </c>
      <c r="BC422" s="32">
        <v>106</v>
      </c>
      <c r="BD422" s="31">
        <v>80</v>
      </c>
      <c r="BE422" s="116">
        <v>105</v>
      </c>
      <c r="BF422" s="120">
        <v>104</v>
      </c>
      <c r="BG422" s="38">
        <v>81</v>
      </c>
      <c r="BH422" s="37">
        <v>84</v>
      </c>
      <c r="BI422" s="38">
        <v>100</v>
      </c>
      <c r="BJ422" s="111">
        <v>12</v>
      </c>
      <c r="BK422" s="33">
        <v>71</v>
      </c>
      <c r="BL422" s="115">
        <v>102</v>
      </c>
      <c r="BM422" s="111">
        <v>106</v>
      </c>
      <c r="BN422" s="35">
        <v>68</v>
      </c>
      <c r="BO422" s="32">
        <v>9</v>
      </c>
      <c r="BP422" s="31">
        <v>72</v>
      </c>
      <c r="BQ422" s="32">
        <v>112</v>
      </c>
      <c r="BR422" s="31">
        <v>102</v>
      </c>
      <c r="BS422" s="32">
        <v>84</v>
      </c>
      <c r="BT422" s="31">
        <v>64</v>
      </c>
      <c r="BU422" s="33">
        <v>10</v>
      </c>
      <c r="BV422" s="115">
        <v>111</v>
      </c>
      <c r="BW422" s="111">
        <v>107</v>
      </c>
      <c r="BX422" s="32">
        <v>79</v>
      </c>
      <c r="BY422" s="31">
        <v>103</v>
      </c>
      <c r="BZ422" s="32">
        <v>72</v>
      </c>
      <c r="CA422" s="111">
        <v>74</v>
      </c>
      <c r="CB422" s="32">
        <v>107</v>
      </c>
      <c r="CC422" s="33">
        <v>107</v>
      </c>
      <c r="CD422" s="34">
        <v>137</v>
      </c>
      <c r="CE422" s="120">
        <v>75</v>
      </c>
      <c r="CF422" s="38">
        <v>83</v>
      </c>
      <c r="CG422" s="31">
        <v>38</v>
      </c>
      <c r="CH422" s="35">
        <v>48</v>
      </c>
      <c r="CI422" s="35">
        <v>57</v>
      </c>
      <c r="CJ422" s="35">
        <v>66</v>
      </c>
      <c r="CK422" s="32">
        <v>78</v>
      </c>
    </row>
    <row r="423" spans="1:89" ht="13" x14ac:dyDescent="0.25">
      <c r="A423" s="27">
        <v>6901</v>
      </c>
      <c r="B423" s="28" t="s">
        <v>446</v>
      </c>
      <c r="C423" s="29">
        <v>1344</v>
      </c>
      <c r="D423" s="30">
        <v>1029</v>
      </c>
      <c r="E423" s="20">
        <f t="shared" si="6"/>
        <v>0.765625</v>
      </c>
      <c r="F423" s="31">
        <v>0</v>
      </c>
      <c r="G423" s="111">
        <v>0</v>
      </c>
      <c r="H423" s="111">
        <v>0</v>
      </c>
      <c r="I423" s="111">
        <v>0</v>
      </c>
      <c r="J423" s="111">
        <v>2</v>
      </c>
      <c r="K423" s="111">
        <v>0</v>
      </c>
      <c r="L423" s="111">
        <v>0</v>
      </c>
      <c r="M423" s="111">
        <v>509</v>
      </c>
      <c r="N423" s="111">
        <v>0</v>
      </c>
      <c r="O423" s="111">
        <v>0</v>
      </c>
      <c r="P423" s="35">
        <v>9</v>
      </c>
      <c r="Q423" s="35">
        <v>2</v>
      </c>
      <c r="R423" s="35">
        <v>496</v>
      </c>
      <c r="S423" s="32">
        <v>0</v>
      </c>
      <c r="T423" s="37">
        <v>494</v>
      </c>
      <c r="U423" s="38">
        <v>496</v>
      </c>
      <c r="V423" s="37">
        <v>515</v>
      </c>
      <c r="W423" s="32">
        <v>482</v>
      </c>
      <c r="X423" s="31">
        <v>514</v>
      </c>
      <c r="Y423" s="32">
        <v>465</v>
      </c>
      <c r="Z423" s="111">
        <v>521</v>
      </c>
      <c r="AA423" s="35">
        <v>0</v>
      </c>
      <c r="AB423" s="35">
        <v>42</v>
      </c>
      <c r="AC423" s="35">
        <v>453</v>
      </c>
      <c r="AD423" s="35">
        <v>0</v>
      </c>
      <c r="AE423" s="33">
        <v>0</v>
      </c>
      <c r="AF423" s="116">
        <v>0</v>
      </c>
      <c r="AG423" s="120">
        <v>535</v>
      </c>
      <c r="AH423" s="38">
        <v>458</v>
      </c>
      <c r="AI423" s="37"/>
      <c r="AJ423" s="36"/>
      <c r="AK423" s="37"/>
      <c r="AL423" s="38"/>
      <c r="AM423" s="37"/>
      <c r="AN423" s="116"/>
      <c r="AO423" s="120"/>
      <c r="AP423" s="38"/>
      <c r="AQ423" s="37">
        <v>484</v>
      </c>
      <c r="AR423" s="116">
        <v>487</v>
      </c>
      <c r="AS423" s="120"/>
      <c r="AT423" s="38"/>
      <c r="AU423" s="37"/>
      <c r="AV423" s="120"/>
      <c r="AW423" s="120"/>
      <c r="AX423" s="37"/>
      <c r="AY423" s="38"/>
      <c r="AZ423" s="37"/>
      <c r="BA423" s="116"/>
      <c r="BB423" s="31">
        <v>492</v>
      </c>
      <c r="BC423" s="32">
        <v>471</v>
      </c>
      <c r="BD423" s="31">
        <v>469</v>
      </c>
      <c r="BE423" s="116">
        <v>485</v>
      </c>
      <c r="BF423" s="120">
        <v>485</v>
      </c>
      <c r="BG423" s="38">
        <v>468</v>
      </c>
      <c r="BH423" s="37">
        <v>512</v>
      </c>
      <c r="BI423" s="38">
        <v>449</v>
      </c>
      <c r="BJ423" s="111">
        <v>52</v>
      </c>
      <c r="BK423" s="33">
        <v>432</v>
      </c>
      <c r="BL423" s="115">
        <v>483</v>
      </c>
      <c r="BM423" s="111">
        <v>481</v>
      </c>
      <c r="BN423" s="35">
        <v>443</v>
      </c>
      <c r="BO423" s="32">
        <v>36</v>
      </c>
      <c r="BP423" s="31">
        <v>496</v>
      </c>
      <c r="BQ423" s="32">
        <v>468</v>
      </c>
      <c r="BR423" s="31">
        <v>439</v>
      </c>
      <c r="BS423" s="32">
        <v>533</v>
      </c>
      <c r="BT423" s="31">
        <v>436</v>
      </c>
      <c r="BU423" s="33">
        <v>56</v>
      </c>
      <c r="BV423" s="115">
        <v>465</v>
      </c>
      <c r="BW423" s="111">
        <v>502</v>
      </c>
      <c r="BX423" s="32">
        <v>477</v>
      </c>
      <c r="BY423" s="31">
        <v>481</v>
      </c>
      <c r="BZ423" s="32">
        <v>461</v>
      </c>
      <c r="CA423" s="111">
        <v>464</v>
      </c>
      <c r="CB423" s="32">
        <v>486</v>
      </c>
      <c r="CC423" s="33">
        <v>653</v>
      </c>
      <c r="CD423" s="34">
        <v>709</v>
      </c>
      <c r="CE423" s="120">
        <v>402</v>
      </c>
      <c r="CF423" s="42">
        <v>395</v>
      </c>
      <c r="CG423" s="31">
        <v>254</v>
      </c>
      <c r="CH423" s="35">
        <v>202</v>
      </c>
      <c r="CI423" s="35">
        <v>282</v>
      </c>
      <c r="CJ423" s="35">
        <v>349</v>
      </c>
      <c r="CK423" s="32">
        <v>377</v>
      </c>
    </row>
    <row r="424" spans="1:89" ht="13" x14ac:dyDescent="0.25">
      <c r="A424" s="27">
        <v>7001</v>
      </c>
      <c r="B424" s="28" t="s">
        <v>447</v>
      </c>
      <c r="C424" s="29">
        <v>1000</v>
      </c>
      <c r="D424" s="30">
        <v>820</v>
      </c>
      <c r="E424" s="20">
        <f t="shared" si="6"/>
        <v>0.82</v>
      </c>
      <c r="F424" s="31">
        <v>0</v>
      </c>
      <c r="G424" s="111">
        <v>0</v>
      </c>
      <c r="H424" s="111">
        <v>0</v>
      </c>
      <c r="I424" s="111">
        <v>2</v>
      </c>
      <c r="J424" s="111">
        <v>0</v>
      </c>
      <c r="K424" s="111">
        <v>0</v>
      </c>
      <c r="L424" s="111">
        <v>0</v>
      </c>
      <c r="M424" s="111">
        <v>433</v>
      </c>
      <c r="N424" s="111">
        <v>0</v>
      </c>
      <c r="O424" s="111">
        <v>0</v>
      </c>
      <c r="P424" s="35">
        <v>3</v>
      </c>
      <c r="Q424" s="35">
        <v>2</v>
      </c>
      <c r="R424" s="35">
        <v>365</v>
      </c>
      <c r="S424" s="32">
        <v>0</v>
      </c>
      <c r="T424" s="37">
        <v>390</v>
      </c>
      <c r="U424" s="38">
        <v>404</v>
      </c>
      <c r="V424" s="37">
        <v>428</v>
      </c>
      <c r="W424" s="32">
        <v>372</v>
      </c>
      <c r="X424" s="31">
        <v>389</v>
      </c>
      <c r="Y424" s="32">
        <v>393</v>
      </c>
      <c r="Z424" s="111">
        <v>424</v>
      </c>
      <c r="AA424" s="35">
        <v>0</v>
      </c>
      <c r="AB424" s="35">
        <v>16</v>
      </c>
      <c r="AC424" s="35">
        <v>370</v>
      </c>
      <c r="AD424" s="35">
        <v>0</v>
      </c>
      <c r="AE424" s="33">
        <v>0</v>
      </c>
      <c r="AF424" s="116">
        <v>0</v>
      </c>
      <c r="AG424" s="120"/>
      <c r="AH424" s="38"/>
      <c r="AI424" s="37">
        <v>394</v>
      </c>
      <c r="AJ424" s="36">
        <v>386</v>
      </c>
      <c r="AK424" s="37">
        <v>398</v>
      </c>
      <c r="AL424" s="38">
        <v>385</v>
      </c>
      <c r="AM424" s="37"/>
      <c r="AN424" s="116"/>
      <c r="AO424" s="120"/>
      <c r="AP424" s="38"/>
      <c r="AQ424" s="37"/>
      <c r="AR424" s="116"/>
      <c r="AS424" s="120"/>
      <c r="AT424" s="38"/>
      <c r="AU424" s="37"/>
      <c r="AV424" s="120"/>
      <c r="AW424" s="120"/>
      <c r="AX424" s="37">
        <v>399</v>
      </c>
      <c r="AY424" s="38">
        <v>384</v>
      </c>
      <c r="AZ424" s="37"/>
      <c r="BA424" s="116"/>
      <c r="BB424" s="31">
        <v>397</v>
      </c>
      <c r="BC424" s="32">
        <v>377</v>
      </c>
      <c r="BD424" s="31">
        <v>389</v>
      </c>
      <c r="BE424" s="116">
        <v>382</v>
      </c>
      <c r="BF424" s="120">
        <v>390</v>
      </c>
      <c r="BG424" s="38">
        <v>382</v>
      </c>
      <c r="BH424" s="37">
        <v>417</v>
      </c>
      <c r="BI424" s="38">
        <v>362</v>
      </c>
      <c r="BJ424" s="111">
        <v>32</v>
      </c>
      <c r="BK424" s="33">
        <v>376</v>
      </c>
      <c r="BL424" s="115">
        <v>381</v>
      </c>
      <c r="BM424" s="111">
        <v>400</v>
      </c>
      <c r="BN424" s="35">
        <v>358</v>
      </c>
      <c r="BO424" s="32">
        <v>23</v>
      </c>
      <c r="BP424" s="31">
        <v>391</v>
      </c>
      <c r="BQ424" s="32">
        <v>390</v>
      </c>
      <c r="BR424" s="31">
        <v>354</v>
      </c>
      <c r="BS424" s="32">
        <v>434</v>
      </c>
      <c r="BT424" s="31">
        <v>373</v>
      </c>
      <c r="BU424" s="33">
        <v>32</v>
      </c>
      <c r="BV424" s="115">
        <v>373</v>
      </c>
      <c r="BW424" s="111">
        <v>409</v>
      </c>
      <c r="BX424" s="32">
        <v>380</v>
      </c>
      <c r="BY424" s="31">
        <v>387</v>
      </c>
      <c r="BZ424" s="32">
        <v>378</v>
      </c>
      <c r="CA424" s="111">
        <v>386</v>
      </c>
      <c r="CB424" s="32">
        <v>389</v>
      </c>
      <c r="CC424" s="33">
        <v>511</v>
      </c>
      <c r="CD424" s="34">
        <v>566</v>
      </c>
      <c r="CE424" s="120">
        <v>332</v>
      </c>
      <c r="CF424" s="38">
        <v>295</v>
      </c>
      <c r="CG424" s="31">
        <v>202</v>
      </c>
      <c r="CH424" s="35">
        <v>183</v>
      </c>
      <c r="CI424" s="35">
        <v>215</v>
      </c>
      <c r="CJ424" s="35">
        <v>242</v>
      </c>
      <c r="CK424" s="32">
        <v>333</v>
      </c>
    </row>
    <row r="425" spans="1:89" ht="13" x14ac:dyDescent="0.25">
      <c r="A425" s="27">
        <v>7002</v>
      </c>
      <c r="B425" s="28" t="s">
        <v>448</v>
      </c>
      <c r="C425" s="29">
        <v>1121</v>
      </c>
      <c r="D425" s="30">
        <v>898</v>
      </c>
      <c r="E425" s="20">
        <f t="shared" si="6"/>
        <v>0.80107047279214982</v>
      </c>
      <c r="F425" s="31">
        <v>0</v>
      </c>
      <c r="G425" s="111">
        <v>0</v>
      </c>
      <c r="H425" s="111">
        <v>0</v>
      </c>
      <c r="I425" s="111">
        <v>0</v>
      </c>
      <c r="J425" s="111">
        <v>2</v>
      </c>
      <c r="K425" s="111">
        <v>0</v>
      </c>
      <c r="L425" s="111">
        <v>0</v>
      </c>
      <c r="M425" s="111">
        <v>498</v>
      </c>
      <c r="N425" s="111">
        <v>0</v>
      </c>
      <c r="O425" s="111">
        <v>0</v>
      </c>
      <c r="P425" s="35">
        <v>5</v>
      </c>
      <c r="Q425" s="35">
        <v>0</v>
      </c>
      <c r="R425" s="35">
        <v>378</v>
      </c>
      <c r="S425" s="32">
        <v>1</v>
      </c>
      <c r="T425" s="37">
        <v>471</v>
      </c>
      <c r="U425" s="38">
        <v>398</v>
      </c>
      <c r="V425" s="37">
        <v>424</v>
      </c>
      <c r="W425" s="32">
        <v>448</v>
      </c>
      <c r="X425" s="31">
        <v>476</v>
      </c>
      <c r="Y425" s="32">
        <v>384</v>
      </c>
      <c r="Z425" s="111">
        <v>501</v>
      </c>
      <c r="AA425" s="35">
        <v>0</v>
      </c>
      <c r="AB425" s="35">
        <v>23</v>
      </c>
      <c r="AC425" s="35">
        <v>352</v>
      </c>
      <c r="AD425" s="35">
        <v>0</v>
      </c>
      <c r="AE425" s="33">
        <v>0</v>
      </c>
      <c r="AF425" s="116">
        <v>1</v>
      </c>
      <c r="AG425" s="120"/>
      <c r="AH425" s="38"/>
      <c r="AI425" s="37">
        <v>391</v>
      </c>
      <c r="AJ425" s="36">
        <v>472</v>
      </c>
      <c r="AK425" s="37">
        <v>392</v>
      </c>
      <c r="AL425" s="38">
        <v>465</v>
      </c>
      <c r="AM425" s="37"/>
      <c r="AN425" s="116"/>
      <c r="AO425" s="120"/>
      <c r="AP425" s="38"/>
      <c r="AQ425" s="37"/>
      <c r="AR425" s="116"/>
      <c r="AS425" s="120"/>
      <c r="AT425" s="38"/>
      <c r="AU425" s="37"/>
      <c r="AV425" s="120"/>
      <c r="AW425" s="120"/>
      <c r="AX425" s="37">
        <v>400</v>
      </c>
      <c r="AY425" s="38">
        <v>453</v>
      </c>
      <c r="AZ425" s="37"/>
      <c r="BA425" s="116"/>
      <c r="BB425" s="31">
        <v>399</v>
      </c>
      <c r="BC425" s="32">
        <v>451</v>
      </c>
      <c r="BD425" s="31">
        <v>384</v>
      </c>
      <c r="BE425" s="116">
        <v>470</v>
      </c>
      <c r="BF425" s="120">
        <v>467</v>
      </c>
      <c r="BG425" s="38">
        <v>383</v>
      </c>
      <c r="BH425" s="37">
        <v>413</v>
      </c>
      <c r="BI425" s="38">
        <v>439</v>
      </c>
      <c r="BJ425" s="111">
        <v>39</v>
      </c>
      <c r="BK425" s="33">
        <v>375</v>
      </c>
      <c r="BL425" s="115">
        <v>442</v>
      </c>
      <c r="BM425" s="111">
        <v>464</v>
      </c>
      <c r="BN425" s="35">
        <v>368</v>
      </c>
      <c r="BO425" s="32">
        <v>26</v>
      </c>
      <c r="BP425" s="31">
        <v>383</v>
      </c>
      <c r="BQ425" s="32">
        <v>472</v>
      </c>
      <c r="BR425" s="31">
        <v>426</v>
      </c>
      <c r="BS425" s="32">
        <v>437</v>
      </c>
      <c r="BT425" s="31">
        <v>373</v>
      </c>
      <c r="BU425" s="33">
        <v>31</v>
      </c>
      <c r="BV425" s="115">
        <v>442</v>
      </c>
      <c r="BW425" s="111">
        <v>481</v>
      </c>
      <c r="BX425" s="32">
        <v>385</v>
      </c>
      <c r="BY425" s="31">
        <v>465</v>
      </c>
      <c r="BZ425" s="32">
        <v>379</v>
      </c>
      <c r="CA425" s="111">
        <v>389</v>
      </c>
      <c r="CB425" s="32">
        <v>459</v>
      </c>
      <c r="CC425" s="33">
        <v>565</v>
      </c>
      <c r="CD425" s="34">
        <v>625</v>
      </c>
      <c r="CE425" s="120">
        <v>412</v>
      </c>
      <c r="CF425" s="38">
        <v>327</v>
      </c>
      <c r="CG425" s="31">
        <v>198</v>
      </c>
      <c r="CH425" s="35">
        <v>207</v>
      </c>
      <c r="CI425" s="35">
        <v>273</v>
      </c>
      <c r="CJ425" s="35">
        <v>307</v>
      </c>
      <c r="CK425" s="32">
        <v>363</v>
      </c>
    </row>
    <row r="426" spans="1:89" ht="13" x14ac:dyDescent="0.25">
      <c r="A426" s="27">
        <v>7101</v>
      </c>
      <c r="B426" s="28" t="s">
        <v>449</v>
      </c>
      <c r="C426" s="29">
        <v>1416</v>
      </c>
      <c r="D426" s="30">
        <v>920</v>
      </c>
      <c r="E426" s="20">
        <f t="shared" si="6"/>
        <v>0.64971751412429379</v>
      </c>
      <c r="F426" s="31">
        <v>0</v>
      </c>
      <c r="G426" s="111">
        <v>0</v>
      </c>
      <c r="H426" s="111">
        <v>0</v>
      </c>
      <c r="I426" s="111">
        <v>0</v>
      </c>
      <c r="J426" s="111">
        <v>0</v>
      </c>
      <c r="K426" s="111">
        <v>0</v>
      </c>
      <c r="L426" s="111">
        <v>0</v>
      </c>
      <c r="M426" s="111">
        <v>653</v>
      </c>
      <c r="N426" s="111">
        <v>1</v>
      </c>
      <c r="O426" s="111">
        <v>0</v>
      </c>
      <c r="P426" s="35">
        <v>5</v>
      </c>
      <c r="Q426" s="35">
        <v>3</v>
      </c>
      <c r="R426" s="35">
        <v>234</v>
      </c>
      <c r="S426" s="32">
        <v>0</v>
      </c>
      <c r="T426" s="37">
        <v>660</v>
      </c>
      <c r="U426" s="38">
        <v>225</v>
      </c>
      <c r="V426" s="37">
        <v>246</v>
      </c>
      <c r="W426" s="32">
        <v>639</v>
      </c>
      <c r="X426" s="31">
        <v>647</v>
      </c>
      <c r="Y426" s="32">
        <v>224</v>
      </c>
      <c r="Z426" s="111">
        <v>662</v>
      </c>
      <c r="AA426" s="35">
        <v>0</v>
      </c>
      <c r="AB426" s="35">
        <v>25</v>
      </c>
      <c r="AC426" s="35">
        <v>217</v>
      </c>
      <c r="AD426" s="35">
        <v>0</v>
      </c>
      <c r="AE426" s="33">
        <v>0</v>
      </c>
      <c r="AF426" s="116">
        <v>0</v>
      </c>
      <c r="AG426" s="120">
        <v>723</v>
      </c>
      <c r="AH426" s="38">
        <v>168</v>
      </c>
      <c r="AI426" s="37"/>
      <c r="AJ426" s="36"/>
      <c r="AK426" s="37"/>
      <c r="AL426" s="38"/>
      <c r="AM426" s="37"/>
      <c r="AN426" s="116"/>
      <c r="AO426" s="120"/>
      <c r="AP426" s="38"/>
      <c r="AQ426" s="37">
        <v>225</v>
      </c>
      <c r="AR426" s="116">
        <v>655</v>
      </c>
      <c r="AS426" s="120"/>
      <c r="AT426" s="38"/>
      <c r="AU426" s="37"/>
      <c r="AV426" s="120"/>
      <c r="AW426" s="120"/>
      <c r="AX426" s="37"/>
      <c r="AY426" s="38"/>
      <c r="AZ426" s="37"/>
      <c r="BA426" s="116"/>
      <c r="BB426" s="31">
        <v>223</v>
      </c>
      <c r="BC426" s="32">
        <v>651</v>
      </c>
      <c r="BD426" s="31">
        <v>214</v>
      </c>
      <c r="BE426" s="116">
        <v>658</v>
      </c>
      <c r="BF426" s="120">
        <v>650</v>
      </c>
      <c r="BG426" s="38">
        <v>219</v>
      </c>
      <c r="BH426" s="37">
        <v>237</v>
      </c>
      <c r="BI426" s="38">
        <v>626</v>
      </c>
      <c r="BJ426" s="111">
        <v>22</v>
      </c>
      <c r="BK426" s="33">
        <v>200</v>
      </c>
      <c r="BL426" s="115">
        <v>666</v>
      </c>
      <c r="BM426" s="111">
        <v>672</v>
      </c>
      <c r="BN426" s="35">
        <v>175</v>
      </c>
      <c r="BO426" s="32">
        <v>25</v>
      </c>
      <c r="BP426" s="31">
        <v>221</v>
      </c>
      <c r="BQ426" s="32">
        <v>648</v>
      </c>
      <c r="BR426" s="31">
        <v>622</v>
      </c>
      <c r="BS426" s="32">
        <v>255</v>
      </c>
      <c r="BT426" s="31">
        <v>204</v>
      </c>
      <c r="BU426" s="33">
        <v>28</v>
      </c>
      <c r="BV426" s="115">
        <v>644</v>
      </c>
      <c r="BW426" s="111">
        <v>667</v>
      </c>
      <c r="BX426" s="32">
        <v>226</v>
      </c>
      <c r="BY426" s="31">
        <v>651</v>
      </c>
      <c r="BZ426" s="32">
        <v>207</v>
      </c>
      <c r="CA426" s="111">
        <v>215</v>
      </c>
      <c r="CB426" s="32">
        <v>653</v>
      </c>
      <c r="CC426" s="33">
        <v>386</v>
      </c>
      <c r="CD426" s="34">
        <v>738</v>
      </c>
      <c r="CE426" s="120">
        <v>305</v>
      </c>
      <c r="CF426" s="42">
        <v>428</v>
      </c>
      <c r="CG426" s="31">
        <v>161</v>
      </c>
      <c r="CH426" s="35">
        <v>120</v>
      </c>
      <c r="CI426" s="35">
        <v>391</v>
      </c>
      <c r="CJ426" s="35">
        <v>393</v>
      </c>
      <c r="CK426" s="32">
        <v>247</v>
      </c>
    </row>
    <row r="427" spans="1:89" ht="13" x14ac:dyDescent="0.25">
      <c r="A427" s="27">
        <v>7102</v>
      </c>
      <c r="B427" s="28" t="s">
        <v>450</v>
      </c>
      <c r="C427" s="29">
        <v>1267</v>
      </c>
      <c r="D427" s="30">
        <v>853</v>
      </c>
      <c r="E427" s="20">
        <f t="shared" si="6"/>
        <v>0.6732438831886346</v>
      </c>
      <c r="F427" s="31">
        <v>0</v>
      </c>
      <c r="G427" s="111">
        <v>0</v>
      </c>
      <c r="H427" s="111">
        <v>0</v>
      </c>
      <c r="I427" s="111">
        <v>0</v>
      </c>
      <c r="J427" s="111">
        <v>1</v>
      </c>
      <c r="K427" s="111">
        <v>0</v>
      </c>
      <c r="L427" s="111">
        <v>0</v>
      </c>
      <c r="M427" s="111">
        <v>722</v>
      </c>
      <c r="N427" s="111">
        <v>0</v>
      </c>
      <c r="O427" s="111">
        <v>0</v>
      </c>
      <c r="P427" s="35">
        <v>5</v>
      </c>
      <c r="Q427" s="35">
        <v>0</v>
      </c>
      <c r="R427" s="35">
        <v>118</v>
      </c>
      <c r="S427" s="32">
        <v>1</v>
      </c>
      <c r="T427" s="37">
        <v>709</v>
      </c>
      <c r="U427" s="38">
        <v>117</v>
      </c>
      <c r="V427" s="37">
        <v>131</v>
      </c>
      <c r="W427" s="32">
        <v>697</v>
      </c>
      <c r="X427" s="31">
        <v>702</v>
      </c>
      <c r="Y427" s="32">
        <v>109</v>
      </c>
      <c r="Z427" s="111">
        <v>707</v>
      </c>
      <c r="AA427" s="35">
        <v>0</v>
      </c>
      <c r="AB427" s="35">
        <v>26</v>
      </c>
      <c r="AC427" s="35">
        <v>102</v>
      </c>
      <c r="AD427" s="35">
        <v>0</v>
      </c>
      <c r="AE427" s="33">
        <v>0</v>
      </c>
      <c r="AF427" s="116">
        <v>0</v>
      </c>
      <c r="AG427" s="120">
        <v>718</v>
      </c>
      <c r="AH427" s="38">
        <v>105</v>
      </c>
      <c r="AI427" s="37"/>
      <c r="AJ427" s="36"/>
      <c r="AK427" s="37"/>
      <c r="AL427" s="38"/>
      <c r="AM427" s="37"/>
      <c r="AN427" s="116"/>
      <c r="AO427" s="120"/>
      <c r="AP427" s="38"/>
      <c r="AQ427" s="37">
        <v>105</v>
      </c>
      <c r="AR427" s="116">
        <v>716</v>
      </c>
      <c r="AS427" s="120"/>
      <c r="AT427" s="38"/>
      <c r="AU427" s="37"/>
      <c r="AV427" s="120"/>
      <c r="AW427" s="120"/>
      <c r="AX427" s="37"/>
      <c r="AY427" s="38"/>
      <c r="AZ427" s="37"/>
      <c r="BA427" s="116"/>
      <c r="BB427" s="31">
        <v>126</v>
      </c>
      <c r="BC427" s="32">
        <v>689</v>
      </c>
      <c r="BD427" s="31">
        <v>114</v>
      </c>
      <c r="BE427" s="116">
        <v>705</v>
      </c>
      <c r="BF427" s="120">
        <v>699</v>
      </c>
      <c r="BG427" s="38">
        <v>115</v>
      </c>
      <c r="BH427" s="37">
        <v>138</v>
      </c>
      <c r="BI427" s="38">
        <v>670</v>
      </c>
      <c r="BJ427" s="111">
        <v>15</v>
      </c>
      <c r="BK427" s="33">
        <v>87</v>
      </c>
      <c r="BL427" s="115">
        <v>726</v>
      </c>
      <c r="BM427" s="111">
        <v>703</v>
      </c>
      <c r="BN427" s="35">
        <v>94</v>
      </c>
      <c r="BO427" s="32">
        <v>20</v>
      </c>
      <c r="BP427" s="31">
        <v>110</v>
      </c>
      <c r="BQ427" s="32">
        <v>707</v>
      </c>
      <c r="BR427" s="31">
        <v>663</v>
      </c>
      <c r="BS427" s="32">
        <v>155</v>
      </c>
      <c r="BT427" s="31">
        <v>93</v>
      </c>
      <c r="BU427" s="33">
        <v>27</v>
      </c>
      <c r="BV427" s="115">
        <v>696</v>
      </c>
      <c r="BW427" s="111">
        <v>713</v>
      </c>
      <c r="BX427" s="32">
        <v>114</v>
      </c>
      <c r="BY427" s="31">
        <v>703</v>
      </c>
      <c r="BZ427" s="32">
        <v>103</v>
      </c>
      <c r="CA427" s="111">
        <v>105</v>
      </c>
      <c r="CB427" s="32">
        <v>708</v>
      </c>
      <c r="CC427" s="33">
        <v>315</v>
      </c>
      <c r="CD427" s="34">
        <v>761</v>
      </c>
      <c r="CE427" s="120">
        <v>254</v>
      </c>
      <c r="CF427" s="42">
        <v>457</v>
      </c>
      <c r="CG427" s="31">
        <v>158</v>
      </c>
      <c r="CH427" s="35">
        <v>51</v>
      </c>
      <c r="CI427" s="35">
        <v>419</v>
      </c>
      <c r="CJ427" s="35">
        <v>443</v>
      </c>
      <c r="CK427" s="32">
        <v>196</v>
      </c>
    </row>
    <row r="428" spans="1:89" ht="13" x14ac:dyDescent="0.25">
      <c r="A428" s="27">
        <v>7301</v>
      </c>
      <c r="B428" s="28" t="s">
        <v>451</v>
      </c>
      <c r="C428" s="29">
        <v>1191</v>
      </c>
      <c r="D428" s="30">
        <v>925</v>
      </c>
      <c r="E428" s="20">
        <f t="shared" si="6"/>
        <v>0.77665827036104118</v>
      </c>
      <c r="F428" s="31">
        <v>0</v>
      </c>
      <c r="G428" s="111">
        <v>0</v>
      </c>
      <c r="H428" s="111">
        <v>0</v>
      </c>
      <c r="I428" s="111">
        <v>0</v>
      </c>
      <c r="J428" s="111">
        <v>0</v>
      </c>
      <c r="K428" s="111">
        <v>0</v>
      </c>
      <c r="L428" s="111">
        <v>0</v>
      </c>
      <c r="M428" s="111">
        <v>293</v>
      </c>
      <c r="N428" s="111">
        <v>0</v>
      </c>
      <c r="O428" s="111">
        <v>0</v>
      </c>
      <c r="P428" s="35">
        <v>8</v>
      </c>
      <c r="Q428" s="35">
        <v>1</v>
      </c>
      <c r="R428" s="35">
        <v>614</v>
      </c>
      <c r="S428" s="32">
        <v>0</v>
      </c>
      <c r="T428" s="37">
        <v>291</v>
      </c>
      <c r="U428" s="38">
        <v>604</v>
      </c>
      <c r="V428" s="37">
        <v>642</v>
      </c>
      <c r="W428" s="32">
        <v>255</v>
      </c>
      <c r="X428" s="31">
        <v>302</v>
      </c>
      <c r="Y428" s="32">
        <v>583</v>
      </c>
      <c r="Z428" s="111">
        <v>319</v>
      </c>
      <c r="AA428" s="35">
        <v>0</v>
      </c>
      <c r="AB428" s="35">
        <v>36</v>
      </c>
      <c r="AC428" s="35">
        <v>552</v>
      </c>
      <c r="AD428" s="35">
        <v>0</v>
      </c>
      <c r="AE428" s="33">
        <v>0</v>
      </c>
      <c r="AF428" s="116">
        <v>0</v>
      </c>
      <c r="AG428" s="120"/>
      <c r="AH428" s="38"/>
      <c r="AI428" s="37">
        <v>593</v>
      </c>
      <c r="AJ428" s="36">
        <v>286</v>
      </c>
      <c r="AK428" s="37">
        <v>602</v>
      </c>
      <c r="AL428" s="38">
        <v>281</v>
      </c>
      <c r="AM428" s="37"/>
      <c r="AN428" s="116"/>
      <c r="AO428" s="120"/>
      <c r="AP428" s="38"/>
      <c r="AQ428" s="37"/>
      <c r="AR428" s="116"/>
      <c r="AS428" s="120"/>
      <c r="AT428" s="38"/>
      <c r="AU428" s="37"/>
      <c r="AV428" s="120"/>
      <c r="AW428" s="120"/>
      <c r="AX428" s="37"/>
      <c r="AY428" s="38"/>
      <c r="AZ428" s="37">
        <v>283</v>
      </c>
      <c r="BA428" s="116">
        <v>597</v>
      </c>
      <c r="BB428" s="31">
        <v>602</v>
      </c>
      <c r="BC428" s="32">
        <v>269</v>
      </c>
      <c r="BD428" s="31">
        <v>592</v>
      </c>
      <c r="BE428" s="116">
        <v>275</v>
      </c>
      <c r="BF428" s="120">
        <v>270</v>
      </c>
      <c r="BG428" s="38">
        <v>588</v>
      </c>
      <c r="BH428" s="37">
        <v>626</v>
      </c>
      <c r="BI428" s="38">
        <v>245</v>
      </c>
      <c r="BJ428" s="111">
        <v>43</v>
      </c>
      <c r="BK428" s="33">
        <v>536</v>
      </c>
      <c r="BL428" s="115">
        <v>289</v>
      </c>
      <c r="BM428" s="111">
        <v>316</v>
      </c>
      <c r="BN428" s="35">
        <v>537</v>
      </c>
      <c r="BO428" s="32">
        <v>29</v>
      </c>
      <c r="BP428" s="31">
        <v>595</v>
      </c>
      <c r="BQ428" s="32">
        <v>276</v>
      </c>
      <c r="BR428" s="31">
        <v>245</v>
      </c>
      <c r="BS428" s="32">
        <v>641</v>
      </c>
      <c r="BT428" s="31">
        <v>566</v>
      </c>
      <c r="BU428" s="33">
        <v>33</v>
      </c>
      <c r="BV428" s="115">
        <v>268</v>
      </c>
      <c r="BW428" s="111">
        <v>281</v>
      </c>
      <c r="BX428" s="32">
        <v>616</v>
      </c>
      <c r="BY428" s="31">
        <v>292</v>
      </c>
      <c r="BZ428" s="32">
        <v>572</v>
      </c>
      <c r="CA428" s="111">
        <v>568</v>
      </c>
      <c r="CB428" s="32">
        <v>300</v>
      </c>
      <c r="CC428" s="33">
        <v>704</v>
      </c>
      <c r="CD428" s="34">
        <v>595</v>
      </c>
      <c r="CE428" s="120">
        <v>473</v>
      </c>
      <c r="CF428" s="38">
        <v>265</v>
      </c>
      <c r="CG428" s="31">
        <v>231</v>
      </c>
      <c r="CH428" s="35">
        <v>336</v>
      </c>
      <c r="CI428" s="35">
        <v>130</v>
      </c>
      <c r="CJ428" s="35">
        <v>158</v>
      </c>
      <c r="CK428" s="32">
        <v>518</v>
      </c>
    </row>
    <row r="429" spans="1:89" ht="13" x14ac:dyDescent="0.25">
      <c r="A429" s="27">
        <v>7302</v>
      </c>
      <c r="B429" s="28" t="s">
        <v>452</v>
      </c>
      <c r="C429" s="29">
        <v>1240</v>
      </c>
      <c r="D429" s="30">
        <v>959</v>
      </c>
      <c r="E429" s="20">
        <f t="shared" si="6"/>
        <v>0.77338709677419359</v>
      </c>
      <c r="F429" s="31">
        <v>0</v>
      </c>
      <c r="G429" s="111">
        <v>0</v>
      </c>
      <c r="H429" s="111">
        <v>0</v>
      </c>
      <c r="I429" s="111">
        <v>0</v>
      </c>
      <c r="J429" s="111">
        <v>2</v>
      </c>
      <c r="K429" s="111">
        <v>0</v>
      </c>
      <c r="L429" s="111">
        <v>0</v>
      </c>
      <c r="M429" s="111">
        <v>420</v>
      </c>
      <c r="N429" s="111">
        <v>0</v>
      </c>
      <c r="O429" s="111">
        <v>0</v>
      </c>
      <c r="P429" s="35">
        <v>5</v>
      </c>
      <c r="Q429" s="35">
        <v>5</v>
      </c>
      <c r="R429" s="35">
        <v>514</v>
      </c>
      <c r="S429" s="32">
        <v>0</v>
      </c>
      <c r="T429" s="37">
        <v>421</v>
      </c>
      <c r="U429" s="38">
        <v>504</v>
      </c>
      <c r="V429" s="37">
        <v>544</v>
      </c>
      <c r="W429" s="32">
        <v>387</v>
      </c>
      <c r="X429" s="31">
        <v>416</v>
      </c>
      <c r="Y429" s="32">
        <v>494</v>
      </c>
      <c r="Z429" s="111">
        <v>424</v>
      </c>
      <c r="AA429" s="35">
        <v>0</v>
      </c>
      <c r="AB429" s="35">
        <v>40</v>
      </c>
      <c r="AC429" s="35">
        <v>468</v>
      </c>
      <c r="AD429" s="35">
        <v>0</v>
      </c>
      <c r="AE429" s="33">
        <v>0</v>
      </c>
      <c r="AF429" s="116">
        <v>0</v>
      </c>
      <c r="AG429" s="120"/>
      <c r="AH429" s="38"/>
      <c r="AI429" s="37">
        <v>491</v>
      </c>
      <c r="AJ429" s="36">
        <v>414</v>
      </c>
      <c r="AK429" s="37">
        <v>510</v>
      </c>
      <c r="AL429" s="38">
        <v>403</v>
      </c>
      <c r="AM429" s="37"/>
      <c r="AN429" s="116"/>
      <c r="AO429" s="120"/>
      <c r="AP429" s="38"/>
      <c r="AQ429" s="37"/>
      <c r="AR429" s="116"/>
      <c r="AS429" s="120"/>
      <c r="AT429" s="38"/>
      <c r="AU429" s="37"/>
      <c r="AV429" s="120"/>
      <c r="AW429" s="120"/>
      <c r="AX429" s="37"/>
      <c r="AY429" s="38"/>
      <c r="AZ429" s="37">
        <v>399</v>
      </c>
      <c r="BA429" s="116">
        <v>499</v>
      </c>
      <c r="BB429" s="31">
        <v>517</v>
      </c>
      <c r="BC429" s="32">
        <v>376</v>
      </c>
      <c r="BD429" s="31">
        <v>492</v>
      </c>
      <c r="BE429" s="116">
        <v>393</v>
      </c>
      <c r="BF429" s="120">
        <v>389</v>
      </c>
      <c r="BG429" s="38">
        <v>494</v>
      </c>
      <c r="BH429" s="37">
        <v>527</v>
      </c>
      <c r="BI429" s="38">
        <v>361</v>
      </c>
      <c r="BJ429" s="111">
        <v>34</v>
      </c>
      <c r="BK429" s="33">
        <v>466</v>
      </c>
      <c r="BL429" s="115">
        <v>405</v>
      </c>
      <c r="BM429" s="111">
        <v>425</v>
      </c>
      <c r="BN429" s="35">
        <v>454</v>
      </c>
      <c r="BO429" s="32">
        <v>25</v>
      </c>
      <c r="BP429" s="31">
        <v>512</v>
      </c>
      <c r="BQ429" s="32">
        <v>388</v>
      </c>
      <c r="BR429" s="31">
        <v>376</v>
      </c>
      <c r="BS429" s="32">
        <v>538</v>
      </c>
      <c r="BT429" s="31">
        <v>473</v>
      </c>
      <c r="BU429" s="33">
        <v>38</v>
      </c>
      <c r="BV429" s="115">
        <v>376</v>
      </c>
      <c r="BW429" s="111">
        <v>406</v>
      </c>
      <c r="BX429" s="32">
        <v>508</v>
      </c>
      <c r="BY429" s="31">
        <v>398</v>
      </c>
      <c r="BZ429" s="32">
        <v>483</v>
      </c>
      <c r="CA429" s="111">
        <v>485</v>
      </c>
      <c r="CB429" s="32">
        <v>405</v>
      </c>
      <c r="CC429" s="33">
        <v>656</v>
      </c>
      <c r="CD429" s="34">
        <v>641</v>
      </c>
      <c r="CE429" s="120">
        <v>462</v>
      </c>
      <c r="CF429" s="38">
        <v>324</v>
      </c>
      <c r="CG429" s="31">
        <v>178</v>
      </c>
      <c r="CH429" s="35">
        <v>307</v>
      </c>
      <c r="CI429" s="35">
        <v>240</v>
      </c>
      <c r="CJ429" s="35">
        <v>262</v>
      </c>
      <c r="CK429" s="32">
        <v>457</v>
      </c>
    </row>
    <row r="430" spans="1:89" ht="13" x14ac:dyDescent="0.25">
      <c r="A430" s="27">
        <v>7303</v>
      </c>
      <c r="B430" s="28" t="s">
        <v>453</v>
      </c>
      <c r="C430" s="29">
        <v>980</v>
      </c>
      <c r="D430" s="30">
        <v>750</v>
      </c>
      <c r="E430" s="20">
        <f t="shared" si="6"/>
        <v>0.76530612244897955</v>
      </c>
      <c r="F430" s="31">
        <v>0</v>
      </c>
      <c r="G430" s="111">
        <v>0</v>
      </c>
      <c r="H430" s="111">
        <v>0</v>
      </c>
      <c r="I430" s="111">
        <v>0</v>
      </c>
      <c r="J430" s="111">
        <v>1</v>
      </c>
      <c r="K430" s="111">
        <v>0</v>
      </c>
      <c r="L430" s="111">
        <v>0</v>
      </c>
      <c r="M430" s="111">
        <v>373</v>
      </c>
      <c r="N430" s="111">
        <v>0</v>
      </c>
      <c r="O430" s="111">
        <v>0</v>
      </c>
      <c r="P430" s="35">
        <v>4</v>
      </c>
      <c r="Q430" s="35">
        <v>3</v>
      </c>
      <c r="R430" s="35">
        <v>351</v>
      </c>
      <c r="S430" s="32">
        <v>0</v>
      </c>
      <c r="T430" s="37">
        <v>352</v>
      </c>
      <c r="U430" s="38">
        <v>367</v>
      </c>
      <c r="V430" s="37">
        <v>383</v>
      </c>
      <c r="W430" s="32">
        <v>342</v>
      </c>
      <c r="X430" s="31">
        <v>353</v>
      </c>
      <c r="Y430" s="32">
        <v>351</v>
      </c>
      <c r="Z430" s="111">
        <v>376</v>
      </c>
      <c r="AA430" s="35">
        <v>0</v>
      </c>
      <c r="AB430" s="35">
        <v>18</v>
      </c>
      <c r="AC430" s="35">
        <v>333</v>
      </c>
      <c r="AD430" s="35">
        <v>0</v>
      </c>
      <c r="AE430" s="33">
        <v>0</v>
      </c>
      <c r="AF430" s="116">
        <v>0</v>
      </c>
      <c r="AG430" s="120"/>
      <c r="AH430" s="38"/>
      <c r="AI430" s="37">
        <v>354</v>
      </c>
      <c r="AJ430" s="36">
        <v>353</v>
      </c>
      <c r="AK430" s="37">
        <v>360</v>
      </c>
      <c r="AL430" s="38">
        <v>350</v>
      </c>
      <c r="AM430" s="37"/>
      <c r="AN430" s="116"/>
      <c r="AO430" s="120"/>
      <c r="AP430" s="38"/>
      <c r="AQ430" s="37"/>
      <c r="AR430" s="116"/>
      <c r="AS430" s="120"/>
      <c r="AT430" s="38"/>
      <c r="AU430" s="37"/>
      <c r="AV430" s="120"/>
      <c r="AW430" s="120"/>
      <c r="AX430" s="37"/>
      <c r="AY430" s="38"/>
      <c r="AZ430" s="37">
        <v>352</v>
      </c>
      <c r="BA430" s="116">
        <v>349</v>
      </c>
      <c r="BB430" s="31">
        <v>346</v>
      </c>
      <c r="BC430" s="32">
        <v>345</v>
      </c>
      <c r="BD430" s="31">
        <v>344</v>
      </c>
      <c r="BE430" s="116">
        <v>344</v>
      </c>
      <c r="BF430" s="120">
        <v>342</v>
      </c>
      <c r="BG430" s="38">
        <v>347</v>
      </c>
      <c r="BH430" s="37">
        <v>373</v>
      </c>
      <c r="BI430" s="38">
        <v>319</v>
      </c>
      <c r="BJ430" s="111">
        <v>21</v>
      </c>
      <c r="BK430" s="33">
        <v>323</v>
      </c>
      <c r="BL430" s="115">
        <v>354</v>
      </c>
      <c r="BM430" s="111">
        <v>354</v>
      </c>
      <c r="BN430" s="35">
        <v>325</v>
      </c>
      <c r="BO430" s="32">
        <v>19</v>
      </c>
      <c r="BP430" s="31">
        <v>352</v>
      </c>
      <c r="BQ430" s="32">
        <v>342</v>
      </c>
      <c r="BR430" s="31">
        <v>318</v>
      </c>
      <c r="BS430" s="32">
        <v>382</v>
      </c>
      <c r="BT430" s="31">
        <v>328</v>
      </c>
      <c r="BU430" s="33">
        <v>27</v>
      </c>
      <c r="BV430" s="115">
        <v>336</v>
      </c>
      <c r="BW430" s="111">
        <v>354</v>
      </c>
      <c r="BX430" s="32">
        <v>355</v>
      </c>
      <c r="BY430" s="31">
        <v>346</v>
      </c>
      <c r="BZ430" s="32">
        <v>339</v>
      </c>
      <c r="CA430" s="111">
        <v>337</v>
      </c>
      <c r="CB430" s="32">
        <v>354</v>
      </c>
      <c r="CC430" s="33">
        <v>453</v>
      </c>
      <c r="CD430" s="34">
        <v>512</v>
      </c>
      <c r="CE430" s="120">
        <v>293</v>
      </c>
      <c r="CF430" s="38">
        <v>257</v>
      </c>
      <c r="CG430" s="31">
        <v>175</v>
      </c>
      <c r="CH430" s="35">
        <v>177</v>
      </c>
      <c r="CI430" s="35">
        <v>172</v>
      </c>
      <c r="CJ430" s="35">
        <v>191</v>
      </c>
      <c r="CK430" s="32">
        <v>351</v>
      </c>
    </row>
    <row r="431" spans="1:89" ht="13" x14ac:dyDescent="0.25">
      <c r="A431" s="27">
        <v>7304</v>
      </c>
      <c r="B431" s="28" t="s">
        <v>454</v>
      </c>
      <c r="C431" s="29">
        <v>1297</v>
      </c>
      <c r="D431" s="30">
        <v>1017</v>
      </c>
      <c r="E431" s="20">
        <f t="shared" si="6"/>
        <v>0.78411719352351583</v>
      </c>
      <c r="F431" s="31">
        <v>0</v>
      </c>
      <c r="G431" s="111">
        <v>0</v>
      </c>
      <c r="H431" s="111">
        <v>0</v>
      </c>
      <c r="I431" s="111">
        <v>0</v>
      </c>
      <c r="J431" s="111">
        <v>2</v>
      </c>
      <c r="K431" s="111">
        <v>0</v>
      </c>
      <c r="L431" s="111">
        <v>0</v>
      </c>
      <c r="M431" s="111">
        <v>348</v>
      </c>
      <c r="N431" s="111">
        <v>0</v>
      </c>
      <c r="O431" s="111">
        <v>0</v>
      </c>
      <c r="P431" s="35">
        <v>5</v>
      </c>
      <c r="Q431" s="35">
        <v>3</v>
      </c>
      <c r="R431" s="35">
        <v>646</v>
      </c>
      <c r="S431" s="32">
        <v>0</v>
      </c>
      <c r="T431" s="37">
        <v>323</v>
      </c>
      <c r="U431" s="38">
        <v>652</v>
      </c>
      <c r="V431" s="37">
        <v>697</v>
      </c>
      <c r="W431" s="32">
        <v>295</v>
      </c>
      <c r="X431" s="31">
        <v>323</v>
      </c>
      <c r="Y431" s="32">
        <v>631</v>
      </c>
      <c r="Z431" s="111">
        <v>364</v>
      </c>
      <c r="AA431" s="35">
        <v>0</v>
      </c>
      <c r="AB431" s="35">
        <v>30</v>
      </c>
      <c r="AC431" s="35">
        <v>595</v>
      </c>
      <c r="AD431" s="35">
        <v>0</v>
      </c>
      <c r="AE431" s="33">
        <v>0</v>
      </c>
      <c r="AF431" s="116">
        <v>0</v>
      </c>
      <c r="AG431" s="120"/>
      <c r="AH431" s="38"/>
      <c r="AI431" s="37">
        <v>649</v>
      </c>
      <c r="AJ431" s="36">
        <v>301</v>
      </c>
      <c r="AK431" s="37">
        <v>652</v>
      </c>
      <c r="AL431" s="38">
        <v>301</v>
      </c>
      <c r="AM431" s="37"/>
      <c r="AN431" s="116"/>
      <c r="AO431" s="120"/>
      <c r="AP431" s="38"/>
      <c r="AQ431" s="37"/>
      <c r="AR431" s="116"/>
      <c r="AS431" s="120"/>
      <c r="AT431" s="38"/>
      <c r="AU431" s="37"/>
      <c r="AV431" s="120"/>
      <c r="AW431" s="120"/>
      <c r="AX431" s="37"/>
      <c r="AY431" s="38"/>
      <c r="AZ431" s="37">
        <v>311</v>
      </c>
      <c r="BA431" s="116">
        <v>639</v>
      </c>
      <c r="BB431" s="31">
        <v>639</v>
      </c>
      <c r="BC431" s="32">
        <v>303</v>
      </c>
      <c r="BD431" s="31">
        <v>630</v>
      </c>
      <c r="BE431" s="116">
        <v>304</v>
      </c>
      <c r="BF431" s="120">
        <v>295</v>
      </c>
      <c r="BG431" s="38">
        <v>631</v>
      </c>
      <c r="BH431" s="37">
        <v>674</v>
      </c>
      <c r="BI431" s="38">
        <v>270</v>
      </c>
      <c r="BJ431" s="111">
        <v>51</v>
      </c>
      <c r="BK431" s="33">
        <v>586</v>
      </c>
      <c r="BL431" s="115">
        <v>307</v>
      </c>
      <c r="BM431" s="111">
        <v>346</v>
      </c>
      <c r="BN431" s="35">
        <v>563</v>
      </c>
      <c r="BO431" s="32">
        <v>39</v>
      </c>
      <c r="BP431" s="31">
        <v>639</v>
      </c>
      <c r="BQ431" s="32">
        <v>298</v>
      </c>
      <c r="BR431" s="31">
        <v>263</v>
      </c>
      <c r="BS431" s="32">
        <v>692</v>
      </c>
      <c r="BT431" s="31">
        <v>600</v>
      </c>
      <c r="BU431" s="33">
        <v>53</v>
      </c>
      <c r="BV431" s="115">
        <v>281</v>
      </c>
      <c r="BW431" s="111">
        <v>325</v>
      </c>
      <c r="BX431" s="32">
        <v>641</v>
      </c>
      <c r="BY431" s="31">
        <v>314</v>
      </c>
      <c r="BZ431" s="32">
        <v>611</v>
      </c>
      <c r="CA431" s="111">
        <v>604</v>
      </c>
      <c r="CB431" s="32">
        <v>332</v>
      </c>
      <c r="CC431" s="33">
        <v>733</v>
      </c>
      <c r="CD431" s="34">
        <v>621</v>
      </c>
      <c r="CE431" s="120">
        <v>624</v>
      </c>
      <c r="CF431" s="38">
        <v>218</v>
      </c>
      <c r="CG431" s="31">
        <v>200</v>
      </c>
      <c r="CH431" s="35">
        <v>416</v>
      </c>
      <c r="CI431" s="35">
        <v>133</v>
      </c>
      <c r="CJ431" s="35">
        <v>165</v>
      </c>
      <c r="CK431" s="32">
        <v>606</v>
      </c>
    </row>
    <row r="432" spans="1:89" ht="13" x14ac:dyDescent="0.25">
      <c r="A432" s="27">
        <v>7305</v>
      </c>
      <c r="B432" s="28" t="s">
        <v>455</v>
      </c>
      <c r="C432" s="29">
        <v>1300</v>
      </c>
      <c r="D432" s="30">
        <v>1097</v>
      </c>
      <c r="E432" s="20">
        <f t="shared" si="6"/>
        <v>0.8438461538461538</v>
      </c>
      <c r="F432" s="31">
        <v>0</v>
      </c>
      <c r="G432" s="111">
        <v>0</v>
      </c>
      <c r="H432" s="111">
        <v>0</v>
      </c>
      <c r="I432" s="111">
        <v>0</v>
      </c>
      <c r="J432" s="111">
        <v>2</v>
      </c>
      <c r="K432" s="111">
        <v>0</v>
      </c>
      <c r="L432" s="111">
        <v>0</v>
      </c>
      <c r="M432" s="111">
        <v>353</v>
      </c>
      <c r="N432" s="111">
        <v>0</v>
      </c>
      <c r="O432" s="111">
        <v>0</v>
      </c>
      <c r="P432" s="35">
        <v>4</v>
      </c>
      <c r="Q432" s="35">
        <v>2</v>
      </c>
      <c r="R432" s="35">
        <v>716</v>
      </c>
      <c r="S432" s="32">
        <v>0</v>
      </c>
      <c r="T432" s="37">
        <v>298</v>
      </c>
      <c r="U432" s="38">
        <v>758</v>
      </c>
      <c r="V432" s="37">
        <v>789</v>
      </c>
      <c r="W432" s="32">
        <v>274</v>
      </c>
      <c r="X432" s="31">
        <v>301</v>
      </c>
      <c r="Y432" s="32">
        <v>727</v>
      </c>
      <c r="Z432" s="111">
        <v>362</v>
      </c>
      <c r="AA432" s="35">
        <v>0</v>
      </c>
      <c r="AB432" s="35">
        <v>27</v>
      </c>
      <c r="AC432" s="35">
        <v>683</v>
      </c>
      <c r="AD432" s="35">
        <v>0</v>
      </c>
      <c r="AE432" s="33">
        <v>0</v>
      </c>
      <c r="AF432" s="116">
        <v>0</v>
      </c>
      <c r="AG432" s="120"/>
      <c r="AH432" s="38"/>
      <c r="AI432" s="37">
        <v>731</v>
      </c>
      <c r="AJ432" s="36">
        <v>303</v>
      </c>
      <c r="AK432" s="37">
        <v>744</v>
      </c>
      <c r="AL432" s="38">
        <v>297</v>
      </c>
      <c r="AM432" s="37"/>
      <c r="AN432" s="116"/>
      <c r="AO432" s="120"/>
      <c r="AP432" s="38"/>
      <c r="AQ432" s="37"/>
      <c r="AR432" s="116"/>
      <c r="AS432" s="120"/>
      <c r="AT432" s="38"/>
      <c r="AU432" s="37"/>
      <c r="AV432" s="120"/>
      <c r="AW432" s="120"/>
      <c r="AX432" s="37"/>
      <c r="AY432" s="38"/>
      <c r="AZ432" s="37">
        <v>284</v>
      </c>
      <c r="BA432" s="116">
        <v>749</v>
      </c>
      <c r="BB432" s="31">
        <v>741</v>
      </c>
      <c r="BC432" s="32">
        <v>283</v>
      </c>
      <c r="BD432" s="31">
        <v>728</v>
      </c>
      <c r="BE432" s="116">
        <v>285</v>
      </c>
      <c r="BF432" s="120">
        <v>274</v>
      </c>
      <c r="BG432" s="38">
        <v>732</v>
      </c>
      <c r="BH432" s="37">
        <v>786</v>
      </c>
      <c r="BI432" s="38">
        <v>241</v>
      </c>
      <c r="BJ432" s="111">
        <v>42</v>
      </c>
      <c r="BK432" s="33">
        <v>691</v>
      </c>
      <c r="BL432" s="115">
        <v>303</v>
      </c>
      <c r="BM432" s="111">
        <v>365</v>
      </c>
      <c r="BN432" s="35">
        <v>651</v>
      </c>
      <c r="BO432" s="32">
        <v>30</v>
      </c>
      <c r="BP432" s="31">
        <v>743</v>
      </c>
      <c r="BQ432" s="32">
        <v>278</v>
      </c>
      <c r="BR432" s="31">
        <v>240</v>
      </c>
      <c r="BS432" s="32">
        <v>802</v>
      </c>
      <c r="BT432" s="31">
        <v>694</v>
      </c>
      <c r="BU432" s="33">
        <v>48</v>
      </c>
      <c r="BV432" s="115">
        <v>272</v>
      </c>
      <c r="BW432" s="111">
        <v>319</v>
      </c>
      <c r="BX432" s="32">
        <v>723</v>
      </c>
      <c r="BY432" s="31">
        <v>316</v>
      </c>
      <c r="BZ432" s="32">
        <v>695</v>
      </c>
      <c r="CA432" s="111">
        <v>686</v>
      </c>
      <c r="CB432" s="32">
        <v>339</v>
      </c>
      <c r="CC432" s="33">
        <v>821</v>
      </c>
      <c r="CD432" s="34">
        <v>688</v>
      </c>
      <c r="CE432" s="120">
        <v>576</v>
      </c>
      <c r="CF432" s="38">
        <v>300</v>
      </c>
      <c r="CG432" s="31">
        <v>270</v>
      </c>
      <c r="CH432" s="35">
        <v>461</v>
      </c>
      <c r="CI432" s="35">
        <v>154</v>
      </c>
      <c r="CJ432" s="35">
        <v>177</v>
      </c>
      <c r="CK432" s="32">
        <v>702</v>
      </c>
    </row>
    <row r="433" spans="1:89" ht="13" x14ac:dyDescent="0.25">
      <c r="A433" s="27">
        <v>7306</v>
      </c>
      <c r="B433" s="28" t="s">
        <v>456</v>
      </c>
      <c r="C433" s="29">
        <v>1172</v>
      </c>
      <c r="D433" s="30">
        <v>886</v>
      </c>
      <c r="E433" s="20">
        <f t="shared" si="6"/>
        <v>0.75597269624573382</v>
      </c>
      <c r="F433" s="31">
        <v>0</v>
      </c>
      <c r="G433" s="111">
        <v>0</v>
      </c>
      <c r="H433" s="111">
        <v>0</v>
      </c>
      <c r="I433" s="111">
        <v>2</v>
      </c>
      <c r="J433" s="111">
        <v>0</v>
      </c>
      <c r="K433" s="111">
        <v>0</v>
      </c>
      <c r="L433" s="111">
        <v>0</v>
      </c>
      <c r="M433" s="111">
        <v>258</v>
      </c>
      <c r="N433" s="111">
        <v>0</v>
      </c>
      <c r="O433" s="111">
        <v>0</v>
      </c>
      <c r="P433" s="35">
        <v>7</v>
      </c>
      <c r="Q433" s="35">
        <v>0</v>
      </c>
      <c r="R433" s="35">
        <v>608</v>
      </c>
      <c r="S433" s="32">
        <v>0</v>
      </c>
      <c r="T433" s="37">
        <v>252</v>
      </c>
      <c r="U433" s="38">
        <v>587</v>
      </c>
      <c r="V433" s="37">
        <v>624</v>
      </c>
      <c r="W433" s="32">
        <v>227</v>
      </c>
      <c r="X433" s="31">
        <v>258</v>
      </c>
      <c r="Y433" s="32">
        <v>569</v>
      </c>
      <c r="Z433" s="111">
        <v>285</v>
      </c>
      <c r="AA433" s="35">
        <v>0</v>
      </c>
      <c r="AB433" s="35">
        <v>32</v>
      </c>
      <c r="AC433" s="35">
        <v>549</v>
      </c>
      <c r="AD433" s="35">
        <v>0</v>
      </c>
      <c r="AE433" s="33">
        <v>0</v>
      </c>
      <c r="AF433" s="116">
        <v>0</v>
      </c>
      <c r="AG433" s="120"/>
      <c r="AH433" s="38"/>
      <c r="AI433" s="37">
        <v>572</v>
      </c>
      <c r="AJ433" s="36">
        <v>246</v>
      </c>
      <c r="AK433" s="37">
        <v>569</v>
      </c>
      <c r="AL433" s="38">
        <v>246</v>
      </c>
      <c r="AM433" s="37"/>
      <c r="AN433" s="116"/>
      <c r="AO433" s="120"/>
      <c r="AP433" s="38"/>
      <c r="AQ433" s="37"/>
      <c r="AR433" s="116"/>
      <c r="AS433" s="120"/>
      <c r="AT433" s="38"/>
      <c r="AU433" s="37"/>
      <c r="AV433" s="120"/>
      <c r="AW433" s="120"/>
      <c r="AX433" s="37"/>
      <c r="AY433" s="38"/>
      <c r="AZ433" s="37">
        <v>246</v>
      </c>
      <c r="BA433" s="116">
        <v>572</v>
      </c>
      <c r="BB433" s="31">
        <v>574</v>
      </c>
      <c r="BC433" s="32">
        <v>239</v>
      </c>
      <c r="BD433" s="31">
        <v>569</v>
      </c>
      <c r="BE433" s="116">
        <v>240</v>
      </c>
      <c r="BF433" s="120">
        <v>253</v>
      </c>
      <c r="BG433" s="38">
        <v>553</v>
      </c>
      <c r="BH433" s="37">
        <v>588</v>
      </c>
      <c r="BI433" s="38">
        <v>226</v>
      </c>
      <c r="BJ433" s="111">
        <v>44</v>
      </c>
      <c r="BK433" s="33">
        <v>523</v>
      </c>
      <c r="BL433" s="115">
        <v>245</v>
      </c>
      <c r="BM433" s="111">
        <v>262</v>
      </c>
      <c r="BN433" s="35">
        <v>519</v>
      </c>
      <c r="BO433" s="32">
        <v>33</v>
      </c>
      <c r="BP433" s="31">
        <v>579</v>
      </c>
      <c r="BQ433" s="32">
        <v>233</v>
      </c>
      <c r="BR433" s="31">
        <v>219</v>
      </c>
      <c r="BS433" s="32">
        <v>600</v>
      </c>
      <c r="BT433" s="31">
        <v>520</v>
      </c>
      <c r="BU433" s="33">
        <v>51</v>
      </c>
      <c r="BV433" s="115">
        <v>232</v>
      </c>
      <c r="BW433" s="111">
        <v>243</v>
      </c>
      <c r="BX433" s="32">
        <v>594</v>
      </c>
      <c r="BY433" s="31">
        <v>252</v>
      </c>
      <c r="BZ433" s="32">
        <v>544</v>
      </c>
      <c r="CA433" s="111">
        <v>544</v>
      </c>
      <c r="CB433" s="32">
        <v>265</v>
      </c>
      <c r="CC433" s="33">
        <v>662</v>
      </c>
      <c r="CD433" s="34">
        <v>522</v>
      </c>
      <c r="CE433" s="120">
        <v>465</v>
      </c>
      <c r="CF433" s="38">
        <v>214</v>
      </c>
      <c r="CG433" s="31">
        <v>173</v>
      </c>
      <c r="CH433" s="35">
        <v>352</v>
      </c>
      <c r="CI433" s="35">
        <v>123</v>
      </c>
      <c r="CJ433" s="35">
        <v>148</v>
      </c>
      <c r="CK433" s="32">
        <v>490</v>
      </c>
    </row>
    <row r="434" spans="1:89" ht="13" x14ac:dyDescent="0.25">
      <c r="A434" s="27">
        <v>7307</v>
      </c>
      <c r="B434" s="28" t="s">
        <v>457</v>
      </c>
      <c r="C434" s="29">
        <v>836</v>
      </c>
      <c r="D434" s="30">
        <v>724</v>
      </c>
      <c r="E434" s="20">
        <f t="shared" si="6"/>
        <v>0.86602870813397126</v>
      </c>
      <c r="F434" s="31">
        <v>0</v>
      </c>
      <c r="G434" s="111">
        <v>0</v>
      </c>
      <c r="H434" s="111">
        <v>0</v>
      </c>
      <c r="I434" s="111">
        <v>0</v>
      </c>
      <c r="J434" s="111">
        <v>0</v>
      </c>
      <c r="K434" s="111">
        <v>0</v>
      </c>
      <c r="L434" s="111">
        <v>0</v>
      </c>
      <c r="M434" s="111">
        <v>159</v>
      </c>
      <c r="N434" s="111">
        <v>0</v>
      </c>
      <c r="O434" s="111">
        <v>0</v>
      </c>
      <c r="P434" s="35">
        <v>6</v>
      </c>
      <c r="Q434" s="35">
        <v>1</v>
      </c>
      <c r="R434" s="35">
        <v>550</v>
      </c>
      <c r="S434" s="32">
        <v>0</v>
      </c>
      <c r="T434" s="37">
        <v>137</v>
      </c>
      <c r="U434" s="38">
        <v>566</v>
      </c>
      <c r="V434" s="37">
        <v>578</v>
      </c>
      <c r="W434" s="32">
        <v>128</v>
      </c>
      <c r="X434" s="31">
        <v>141</v>
      </c>
      <c r="Y434" s="32">
        <v>552</v>
      </c>
      <c r="Z434" s="111">
        <v>173</v>
      </c>
      <c r="AA434" s="35">
        <v>0</v>
      </c>
      <c r="AB434" s="35">
        <v>12</v>
      </c>
      <c r="AC434" s="35">
        <v>524</v>
      </c>
      <c r="AD434" s="35">
        <v>0</v>
      </c>
      <c r="AE434" s="33">
        <v>0</v>
      </c>
      <c r="AF434" s="116">
        <v>0</v>
      </c>
      <c r="AG434" s="120"/>
      <c r="AH434" s="38"/>
      <c r="AI434" s="37">
        <v>548</v>
      </c>
      <c r="AJ434" s="36">
        <v>141</v>
      </c>
      <c r="AK434" s="37">
        <v>543</v>
      </c>
      <c r="AL434" s="38">
        <v>142</v>
      </c>
      <c r="AM434" s="37"/>
      <c r="AN434" s="116"/>
      <c r="AO434" s="120"/>
      <c r="AP434" s="38"/>
      <c r="AQ434" s="37"/>
      <c r="AR434" s="116"/>
      <c r="AS434" s="120"/>
      <c r="AT434" s="38"/>
      <c r="AU434" s="37"/>
      <c r="AV434" s="120"/>
      <c r="AW434" s="120"/>
      <c r="AX434" s="37"/>
      <c r="AY434" s="38"/>
      <c r="AZ434" s="37">
        <v>136</v>
      </c>
      <c r="BA434" s="116">
        <v>547</v>
      </c>
      <c r="BB434" s="31">
        <v>550</v>
      </c>
      <c r="BC434" s="32">
        <v>131</v>
      </c>
      <c r="BD434" s="31">
        <v>551</v>
      </c>
      <c r="BE434" s="116">
        <v>129</v>
      </c>
      <c r="BF434" s="120">
        <v>134</v>
      </c>
      <c r="BG434" s="38">
        <v>543</v>
      </c>
      <c r="BH434" s="37">
        <v>578</v>
      </c>
      <c r="BI434" s="38">
        <v>110</v>
      </c>
      <c r="BJ434" s="111">
        <v>18</v>
      </c>
      <c r="BK434" s="33">
        <v>520</v>
      </c>
      <c r="BL434" s="115">
        <v>142</v>
      </c>
      <c r="BM434" s="111">
        <v>170</v>
      </c>
      <c r="BN434" s="35">
        <v>498</v>
      </c>
      <c r="BO434" s="32">
        <v>14</v>
      </c>
      <c r="BP434" s="31">
        <v>545</v>
      </c>
      <c r="BQ434" s="32">
        <v>133</v>
      </c>
      <c r="BR434" s="31">
        <v>106</v>
      </c>
      <c r="BS434" s="32">
        <v>586</v>
      </c>
      <c r="BT434" s="31">
        <v>521</v>
      </c>
      <c r="BU434" s="33">
        <v>22</v>
      </c>
      <c r="BV434" s="115">
        <v>125</v>
      </c>
      <c r="BW434" s="111">
        <v>148</v>
      </c>
      <c r="BX434" s="32">
        <v>552</v>
      </c>
      <c r="BY434" s="31">
        <v>149</v>
      </c>
      <c r="BZ434" s="32">
        <v>519</v>
      </c>
      <c r="CA434" s="111">
        <v>531</v>
      </c>
      <c r="CB434" s="32">
        <v>145</v>
      </c>
      <c r="CC434" s="33">
        <v>582</v>
      </c>
      <c r="CD434" s="34">
        <v>417</v>
      </c>
      <c r="CE434" s="120">
        <v>415</v>
      </c>
      <c r="CF434" s="38">
        <v>148</v>
      </c>
      <c r="CG434" s="31">
        <v>152</v>
      </c>
      <c r="CH434" s="35">
        <v>396</v>
      </c>
      <c r="CI434" s="35">
        <v>46</v>
      </c>
      <c r="CJ434" s="35">
        <v>75</v>
      </c>
      <c r="CK434" s="32">
        <v>461</v>
      </c>
    </row>
    <row r="435" spans="1:89" ht="13" x14ac:dyDescent="0.25">
      <c r="A435" s="27">
        <v>7308</v>
      </c>
      <c r="B435" s="28" t="s">
        <v>458</v>
      </c>
      <c r="C435" s="29">
        <v>836</v>
      </c>
      <c r="D435" s="30">
        <v>617</v>
      </c>
      <c r="E435" s="20">
        <f t="shared" si="6"/>
        <v>0.73803827751196172</v>
      </c>
      <c r="F435" s="31">
        <v>0</v>
      </c>
      <c r="G435" s="111">
        <v>0</v>
      </c>
      <c r="H435" s="111">
        <v>0</v>
      </c>
      <c r="I435" s="111">
        <v>0</v>
      </c>
      <c r="J435" s="111">
        <v>0</v>
      </c>
      <c r="K435" s="111">
        <v>0</v>
      </c>
      <c r="L435" s="111">
        <v>0</v>
      </c>
      <c r="M435" s="111">
        <v>315</v>
      </c>
      <c r="N435" s="111">
        <v>0</v>
      </c>
      <c r="O435" s="111">
        <v>0</v>
      </c>
      <c r="P435" s="35">
        <v>1</v>
      </c>
      <c r="Q435" s="35">
        <v>1</v>
      </c>
      <c r="R435" s="35">
        <v>294</v>
      </c>
      <c r="S435" s="32">
        <v>0</v>
      </c>
      <c r="T435" s="37">
        <v>288</v>
      </c>
      <c r="U435" s="38">
        <v>307</v>
      </c>
      <c r="V435" s="37">
        <v>316</v>
      </c>
      <c r="W435" s="32">
        <v>284</v>
      </c>
      <c r="X435" s="31">
        <v>297</v>
      </c>
      <c r="Y435" s="32">
        <v>289</v>
      </c>
      <c r="Z435" s="111">
        <v>324</v>
      </c>
      <c r="AA435" s="35">
        <v>0</v>
      </c>
      <c r="AB435" s="35">
        <v>34</v>
      </c>
      <c r="AC435" s="35">
        <v>251</v>
      </c>
      <c r="AD435" s="35">
        <v>0</v>
      </c>
      <c r="AE435" s="33">
        <v>0</v>
      </c>
      <c r="AF435" s="116">
        <v>0</v>
      </c>
      <c r="AG435" s="120"/>
      <c r="AH435" s="38"/>
      <c r="AI435" s="37">
        <v>286</v>
      </c>
      <c r="AJ435" s="36">
        <v>295</v>
      </c>
      <c r="AK435" s="37">
        <v>299</v>
      </c>
      <c r="AL435" s="38">
        <v>289</v>
      </c>
      <c r="AM435" s="37"/>
      <c r="AN435" s="116"/>
      <c r="AO435" s="120"/>
      <c r="AP435" s="38"/>
      <c r="AQ435" s="37"/>
      <c r="AR435" s="116"/>
      <c r="AS435" s="120"/>
      <c r="AT435" s="38"/>
      <c r="AU435" s="37"/>
      <c r="AV435" s="120"/>
      <c r="AW435" s="120"/>
      <c r="AX435" s="37"/>
      <c r="AY435" s="38"/>
      <c r="AZ435" s="37">
        <v>297</v>
      </c>
      <c r="BA435" s="116">
        <v>285</v>
      </c>
      <c r="BB435" s="31">
        <v>300</v>
      </c>
      <c r="BC435" s="32">
        <v>281</v>
      </c>
      <c r="BD435" s="31">
        <v>287</v>
      </c>
      <c r="BE435" s="116">
        <v>296</v>
      </c>
      <c r="BF435" s="120">
        <v>287</v>
      </c>
      <c r="BG435" s="38">
        <v>292</v>
      </c>
      <c r="BH435" s="37">
        <v>320</v>
      </c>
      <c r="BI435" s="38">
        <v>265</v>
      </c>
      <c r="BJ435" s="111">
        <v>37</v>
      </c>
      <c r="BK435" s="33">
        <v>281</v>
      </c>
      <c r="BL435" s="115">
        <v>273</v>
      </c>
      <c r="BM435" s="111">
        <v>314</v>
      </c>
      <c r="BN435" s="35">
        <v>259</v>
      </c>
      <c r="BO435" s="32">
        <v>18</v>
      </c>
      <c r="BP435" s="31">
        <v>304</v>
      </c>
      <c r="BQ435" s="32">
        <v>279</v>
      </c>
      <c r="BR435" s="31">
        <v>255</v>
      </c>
      <c r="BS435" s="32">
        <v>335</v>
      </c>
      <c r="BT435" s="31">
        <v>285</v>
      </c>
      <c r="BU435" s="33">
        <v>26</v>
      </c>
      <c r="BV435" s="115">
        <v>274</v>
      </c>
      <c r="BW435" s="111">
        <v>294</v>
      </c>
      <c r="BX435" s="32">
        <v>303</v>
      </c>
      <c r="BY435" s="31">
        <v>298</v>
      </c>
      <c r="BZ435" s="32">
        <v>280</v>
      </c>
      <c r="CA435" s="111">
        <v>278</v>
      </c>
      <c r="CB435" s="32">
        <v>299</v>
      </c>
      <c r="CC435" s="33">
        <v>397</v>
      </c>
      <c r="CD435" s="34">
        <v>450</v>
      </c>
      <c r="CE435" s="120">
        <v>251</v>
      </c>
      <c r="CF435" s="38">
        <v>233</v>
      </c>
      <c r="CG435" s="31">
        <v>150</v>
      </c>
      <c r="CH435" s="35">
        <v>143</v>
      </c>
      <c r="CI435" s="35">
        <v>170</v>
      </c>
      <c r="CJ435" s="35">
        <v>192</v>
      </c>
      <c r="CK435" s="32">
        <v>272</v>
      </c>
    </row>
    <row r="436" spans="1:89" ht="13" x14ac:dyDescent="0.25">
      <c r="A436" s="27">
        <v>7309</v>
      </c>
      <c r="B436" s="28" t="s">
        <v>459</v>
      </c>
      <c r="C436" s="29">
        <v>1207</v>
      </c>
      <c r="D436" s="30">
        <v>872</v>
      </c>
      <c r="E436" s="20">
        <f t="shared" si="6"/>
        <v>0.72245236122618062</v>
      </c>
      <c r="F436" s="31">
        <v>0</v>
      </c>
      <c r="G436" s="111">
        <v>0</v>
      </c>
      <c r="H436" s="111">
        <v>0</v>
      </c>
      <c r="I436" s="111">
        <v>0</v>
      </c>
      <c r="J436" s="111">
        <v>2</v>
      </c>
      <c r="K436" s="111">
        <v>0</v>
      </c>
      <c r="L436" s="111">
        <v>0</v>
      </c>
      <c r="M436" s="111">
        <v>303</v>
      </c>
      <c r="N436" s="111">
        <v>0</v>
      </c>
      <c r="O436" s="111">
        <v>0</v>
      </c>
      <c r="P436" s="35">
        <v>7</v>
      </c>
      <c r="Q436" s="35">
        <v>0</v>
      </c>
      <c r="R436" s="35">
        <v>552</v>
      </c>
      <c r="S436" s="32">
        <v>0</v>
      </c>
      <c r="T436" s="37">
        <v>269</v>
      </c>
      <c r="U436" s="38">
        <v>561</v>
      </c>
      <c r="V436" s="37">
        <v>589</v>
      </c>
      <c r="W436" s="32">
        <v>253</v>
      </c>
      <c r="X436" s="31">
        <v>291</v>
      </c>
      <c r="Y436" s="32">
        <v>528</v>
      </c>
      <c r="Z436" s="111">
        <v>325</v>
      </c>
      <c r="AA436" s="35">
        <v>0</v>
      </c>
      <c r="AB436" s="35">
        <v>43</v>
      </c>
      <c r="AC436" s="35">
        <v>491</v>
      </c>
      <c r="AD436" s="35">
        <v>0</v>
      </c>
      <c r="AE436" s="33">
        <v>0</v>
      </c>
      <c r="AF436" s="116">
        <v>0</v>
      </c>
      <c r="AG436" s="120"/>
      <c r="AH436" s="38"/>
      <c r="AI436" s="37">
        <v>541</v>
      </c>
      <c r="AJ436" s="36">
        <v>281</v>
      </c>
      <c r="AK436" s="37">
        <v>545</v>
      </c>
      <c r="AL436" s="38">
        <v>276</v>
      </c>
      <c r="AM436" s="37"/>
      <c r="AN436" s="116"/>
      <c r="AO436" s="120"/>
      <c r="AP436" s="38"/>
      <c r="AQ436" s="37"/>
      <c r="AR436" s="116"/>
      <c r="AS436" s="120"/>
      <c r="AT436" s="38"/>
      <c r="AU436" s="37"/>
      <c r="AV436" s="120"/>
      <c r="AW436" s="120"/>
      <c r="AX436" s="37"/>
      <c r="AY436" s="38"/>
      <c r="AZ436" s="37">
        <v>286</v>
      </c>
      <c r="BA436" s="116">
        <v>529</v>
      </c>
      <c r="BB436" s="31">
        <v>546</v>
      </c>
      <c r="BC436" s="32">
        <v>268</v>
      </c>
      <c r="BD436" s="31">
        <v>533</v>
      </c>
      <c r="BE436" s="116">
        <v>277</v>
      </c>
      <c r="BF436" s="120">
        <v>277</v>
      </c>
      <c r="BG436" s="38">
        <v>525</v>
      </c>
      <c r="BH436" s="37">
        <v>561</v>
      </c>
      <c r="BI436" s="38">
        <v>253</v>
      </c>
      <c r="BJ436" s="111">
        <v>43</v>
      </c>
      <c r="BK436" s="33">
        <v>497</v>
      </c>
      <c r="BL436" s="115">
        <v>276</v>
      </c>
      <c r="BM436" s="111">
        <v>307</v>
      </c>
      <c r="BN436" s="35">
        <v>478</v>
      </c>
      <c r="BO436" s="32">
        <v>32</v>
      </c>
      <c r="BP436" s="31">
        <v>533</v>
      </c>
      <c r="BQ436" s="32">
        <v>274</v>
      </c>
      <c r="BR436" s="31">
        <v>236</v>
      </c>
      <c r="BS436" s="32">
        <v>586</v>
      </c>
      <c r="BT436" s="31">
        <v>508</v>
      </c>
      <c r="BU436" s="33">
        <v>43</v>
      </c>
      <c r="BV436" s="115">
        <v>262</v>
      </c>
      <c r="BW436" s="111">
        <v>286</v>
      </c>
      <c r="BX436" s="32">
        <v>544</v>
      </c>
      <c r="BY436" s="31">
        <v>292</v>
      </c>
      <c r="BZ436" s="32">
        <v>508</v>
      </c>
      <c r="CA436" s="111">
        <v>504</v>
      </c>
      <c r="CB436" s="32">
        <v>300</v>
      </c>
      <c r="CC436" s="33">
        <v>656</v>
      </c>
      <c r="CD436" s="34">
        <v>582</v>
      </c>
      <c r="CE436" s="120">
        <v>463</v>
      </c>
      <c r="CF436" s="38">
        <v>240</v>
      </c>
      <c r="CG436" s="31">
        <v>203</v>
      </c>
      <c r="CH436" s="35">
        <v>287</v>
      </c>
      <c r="CI436" s="35">
        <v>109</v>
      </c>
      <c r="CJ436" s="35">
        <v>156</v>
      </c>
      <c r="CK436" s="32">
        <v>504</v>
      </c>
    </row>
    <row r="437" spans="1:89" ht="13" x14ac:dyDescent="0.25">
      <c r="A437" s="27">
        <v>7310</v>
      </c>
      <c r="B437" s="28" t="s">
        <v>460</v>
      </c>
      <c r="C437" s="29">
        <v>920</v>
      </c>
      <c r="D437" s="30">
        <v>760</v>
      </c>
      <c r="E437" s="20">
        <f t="shared" si="6"/>
        <v>0.82608695652173914</v>
      </c>
      <c r="F437" s="31">
        <v>0</v>
      </c>
      <c r="G437" s="111">
        <v>0</v>
      </c>
      <c r="H437" s="111">
        <v>0</v>
      </c>
      <c r="I437" s="111">
        <v>0</v>
      </c>
      <c r="J437" s="111">
        <v>2</v>
      </c>
      <c r="K437" s="111">
        <v>0</v>
      </c>
      <c r="L437" s="111">
        <v>0</v>
      </c>
      <c r="M437" s="111">
        <v>249</v>
      </c>
      <c r="N437" s="111">
        <v>0</v>
      </c>
      <c r="O437" s="111">
        <v>0</v>
      </c>
      <c r="P437" s="35">
        <v>9</v>
      </c>
      <c r="Q437" s="35">
        <v>1</v>
      </c>
      <c r="R437" s="35">
        <v>488</v>
      </c>
      <c r="S437" s="32">
        <v>0</v>
      </c>
      <c r="T437" s="37">
        <v>221</v>
      </c>
      <c r="U437" s="38">
        <v>509</v>
      </c>
      <c r="V437" s="37">
        <v>525</v>
      </c>
      <c r="W437" s="32">
        <v>217</v>
      </c>
      <c r="X437" s="31">
        <v>228</v>
      </c>
      <c r="Y437" s="32">
        <v>500</v>
      </c>
      <c r="Z437" s="111">
        <v>263</v>
      </c>
      <c r="AA437" s="35">
        <v>0</v>
      </c>
      <c r="AB437" s="35">
        <v>27</v>
      </c>
      <c r="AC437" s="35">
        <v>459</v>
      </c>
      <c r="AD437" s="35">
        <v>0</v>
      </c>
      <c r="AE437" s="33">
        <v>0</v>
      </c>
      <c r="AF437" s="116">
        <v>0</v>
      </c>
      <c r="AG437" s="120"/>
      <c r="AH437" s="38"/>
      <c r="AI437" s="37">
        <v>507</v>
      </c>
      <c r="AJ437" s="36">
        <v>218</v>
      </c>
      <c r="AK437" s="37">
        <v>502</v>
      </c>
      <c r="AL437" s="38">
        <v>228</v>
      </c>
      <c r="AM437" s="37"/>
      <c r="AN437" s="116"/>
      <c r="AO437" s="120"/>
      <c r="AP437" s="38"/>
      <c r="AQ437" s="37"/>
      <c r="AR437" s="116"/>
      <c r="AS437" s="120"/>
      <c r="AT437" s="38"/>
      <c r="AU437" s="37"/>
      <c r="AV437" s="120"/>
      <c r="AW437" s="120"/>
      <c r="AX437" s="37"/>
      <c r="AY437" s="38"/>
      <c r="AZ437" s="37">
        <v>229</v>
      </c>
      <c r="BA437" s="116">
        <v>494</v>
      </c>
      <c r="BB437" s="31">
        <v>511</v>
      </c>
      <c r="BC437" s="32">
        <v>210</v>
      </c>
      <c r="BD437" s="31">
        <v>491</v>
      </c>
      <c r="BE437" s="116">
        <v>223</v>
      </c>
      <c r="BF437" s="120">
        <v>224</v>
      </c>
      <c r="BG437" s="38">
        <v>487</v>
      </c>
      <c r="BH437" s="37">
        <v>527</v>
      </c>
      <c r="BI437" s="38">
        <v>198</v>
      </c>
      <c r="BJ437" s="111">
        <v>38</v>
      </c>
      <c r="BK437" s="33">
        <v>464</v>
      </c>
      <c r="BL437" s="115">
        <v>222</v>
      </c>
      <c r="BM437" s="111">
        <v>247</v>
      </c>
      <c r="BN437" s="35">
        <v>447</v>
      </c>
      <c r="BO437" s="32">
        <v>22</v>
      </c>
      <c r="BP437" s="31">
        <v>500</v>
      </c>
      <c r="BQ437" s="32">
        <v>216</v>
      </c>
      <c r="BR437" s="31">
        <v>188</v>
      </c>
      <c r="BS437" s="32">
        <v>539</v>
      </c>
      <c r="BT437" s="31">
        <v>474</v>
      </c>
      <c r="BU437" s="33">
        <v>32</v>
      </c>
      <c r="BV437" s="115">
        <v>212</v>
      </c>
      <c r="BW437" s="111">
        <v>234</v>
      </c>
      <c r="BX437" s="32">
        <v>497</v>
      </c>
      <c r="BY437" s="31">
        <v>240</v>
      </c>
      <c r="BZ437" s="32">
        <v>466</v>
      </c>
      <c r="CA437" s="111">
        <v>491</v>
      </c>
      <c r="CB437" s="32">
        <v>229</v>
      </c>
      <c r="CC437" s="33">
        <v>574</v>
      </c>
      <c r="CD437" s="34">
        <v>461</v>
      </c>
      <c r="CE437" s="120">
        <v>399</v>
      </c>
      <c r="CF437" s="38">
        <v>202</v>
      </c>
      <c r="CG437" s="31">
        <v>188</v>
      </c>
      <c r="CH437" s="35">
        <v>284</v>
      </c>
      <c r="CI437" s="35">
        <v>113</v>
      </c>
      <c r="CJ437" s="35">
        <v>142</v>
      </c>
      <c r="CK437" s="32">
        <v>475</v>
      </c>
    </row>
    <row r="438" spans="1:89" ht="13" x14ac:dyDescent="0.25">
      <c r="A438" s="27">
        <v>7311</v>
      </c>
      <c r="B438" s="28" t="s">
        <v>461</v>
      </c>
      <c r="C438" s="29">
        <v>1239</v>
      </c>
      <c r="D438" s="30">
        <v>1033</v>
      </c>
      <c r="E438" s="20">
        <f t="shared" si="6"/>
        <v>0.83373688458434225</v>
      </c>
      <c r="F438" s="31">
        <v>0</v>
      </c>
      <c r="G438" s="111">
        <v>0</v>
      </c>
      <c r="H438" s="111">
        <v>0</v>
      </c>
      <c r="I438" s="111">
        <v>0</v>
      </c>
      <c r="J438" s="111">
        <v>4</v>
      </c>
      <c r="K438" s="111">
        <v>0</v>
      </c>
      <c r="L438" s="111">
        <v>0</v>
      </c>
      <c r="M438" s="111">
        <v>330</v>
      </c>
      <c r="N438" s="111">
        <v>0</v>
      </c>
      <c r="O438" s="111">
        <v>0</v>
      </c>
      <c r="P438" s="35">
        <v>3</v>
      </c>
      <c r="Q438" s="35">
        <v>11</v>
      </c>
      <c r="R438" s="35">
        <v>678</v>
      </c>
      <c r="S438" s="32">
        <v>0</v>
      </c>
      <c r="T438" s="37">
        <v>292</v>
      </c>
      <c r="U438" s="38">
        <v>692</v>
      </c>
      <c r="V438" s="37">
        <v>728</v>
      </c>
      <c r="W438" s="32">
        <v>273</v>
      </c>
      <c r="X438" s="31">
        <v>292</v>
      </c>
      <c r="Y438" s="32">
        <v>677</v>
      </c>
      <c r="Z438" s="111">
        <v>350</v>
      </c>
      <c r="AA438" s="35">
        <v>0</v>
      </c>
      <c r="AB438" s="35">
        <v>25</v>
      </c>
      <c r="AC438" s="35">
        <v>627</v>
      </c>
      <c r="AD438" s="35">
        <v>0</v>
      </c>
      <c r="AE438" s="33">
        <v>0</v>
      </c>
      <c r="AF438" s="116">
        <v>0</v>
      </c>
      <c r="AG438" s="120"/>
      <c r="AH438" s="38"/>
      <c r="AI438" s="37">
        <v>681</v>
      </c>
      <c r="AJ438" s="36">
        <v>294</v>
      </c>
      <c r="AK438" s="37">
        <v>695</v>
      </c>
      <c r="AL438" s="38">
        <v>293</v>
      </c>
      <c r="AM438" s="37"/>
      <c r="AN438" s="116"/>
      <c r="AO438" s="120"/>
      <c r="AP438" s="38"/>
      <c r="AQ438" s="37"/>
      <c r="AR438" s="116"/>
      <c r="AS438" s="120"/>
      <c r="AT438" s="38"/>
      <c r="AU438" s="37"/>
      <c r="AV438" s="120"/>
      <c r="AW438" s="120"/>
      <c r="AX438" s="37"/>
      <c r="AY438" s="38"/>
      <c r="AZ438" s="37">
        <v>296</v>
      </c>
      <c r="BA438" s="116">
        <v>685</v>
      </c>
      <c r="BB438" s="31">
        <v>691</v>
      </c>
      <c r="BC438" s="32">
        <v>267</v>
      </c>
      <c r="BD438" s="31">
        <v>686</v>
      </c>
      <c r="BE438" s="116">
        <v>274</v>
      </c>
      <c r="BF438" s="120">
        <v>271</v>
      </c>
      <c r="BG438" s="38">
        <v>673</v>
      </c>
      <c r="BH438" s="37">
        <v>723</v>
      </c>
      <c r="BI438" s="38">
        <v>245</v>
      </c>
      <c r="BJ438" s="111">
        <v>29</v>
      </c>
      <c r="BK438" s="33">
        <v>642</v>
      </c>
      <c r="BL438" s="115">
        <v>305</v>
      </c>
      <c r="BM438" s="111">
        <v>353</v>
      </c>
      <c r="BN438" s="35">
        <v>603</v>
      </c>
      <c r="BO438" s="32">
        <v>20</v>
      </c>
      <c r="BP438" s="31">
        <v>700</v>
      </c>
      <c r="BQ438" s="32">
        <v>276</v>
      </c>
      <c r="BR438" s="31">
        <v>241</v>
      </c>
      <c r="BS438" s="32">
        <v>747</v>
      </c>
      <c r="BT438" s="31">
        <v>652</v>
      </c>
      <c r="BU438" s="33">
        <v>25</v>
      </c>
      <c r="BV438" s="115">
        <v>273</v>
      </c>
      <c r="BW438" s="111">
        <v>293</v>
      </c>
      <c r="BX438" s="32">
        <v>699</v>
      </c>
      <c r="BY438" s="31">
        <v>300</v>
      </c>
      <c r="BZ438" s="32">
        <v>650</v>
      </c>
      <c r="CA438" s="111">
        <v>641</v>
      </c>
      <c r="CB438" s="32">
        <v>319</v>
      </c>
      <c r="CC438" s="33">
        <v>783</v>
      </c>
      <c r="CD438" s="34">
        <v>657</v>
      </c>
      <c r="CE438" s="120">
        <v>512</v>
      </c>
      <c r="CF438" s="38">
        <v>296</v>
      </c>
      <c r="CG438" s="31">
        <v>319</v>
      </c>
      <c r="CH438" s="35">
        <v>344</v>
      </c>
      <c r="CI438" s="35">
        <v>132</v>
      </c>
      <c r="CJ438" s="35">
        <v>192</v>
      </c>
      <c r="CK438" s="32">
        <v>610</v>
      </c>
    </row>
    <row r="439" spans="1:89" ht="13" x14ac:dyDescent="0.25">
      <c r="A439" s="27">
        <v>7312</v>
      </c>
      <c r="B439" s="28" t="s">
        <v>462</v>
      </c>
      <c r="C439" s="29">
        <v>1337</v>
      </c>
      <c r="D439" s="30">
        <v>1068</v>
      </c>
      <c r="E439" s="20">
        <f t="shared" si="6"/>
        <v>0.79880329094988778</v>
      </c>
      <c r="F439" s="31">
        <v>0</v>
      </c>
      <c r="G439" s="111">
        <v>0</v>
      </c>
      <c r="H439" s="111">
        <v>0</v>
      </c>
      <c r="I439" s="111">
        <v>0</v>
      </c>
      <c r="J439" s="111">
        <v>3</v>
      </c>
      <c r="K439" s="111">
        <v>0</v>
      </c>
      <c r="L439" s="111">
        <v>0</v>
      </c>
      <c r="M439" s="111">
        <v>369</v>
      </c>
      <c r="N439" s="111">
        <v>0</v>
      </c>
      <c r="O439" s="111">
        <v>0</v>
      </c>
      <c r="P439" s="35">
        <v>2</v>
      </c>
      <c r="Q439" s="35">
        <v>3</v>
      </c>
      <c r="R439" s="35">
        <v>683</v>
      </c>
      <c r="S439" s="32">
        <v>1</v>
      </c>
      <c r="T439" s="37">
        <v>332</v>
      </c>
      <c r="U439" s="38">
        <v>693</v>
      </c>
      <c r="V439" s="37">
        <v>739</v>
      </c>
      <c r="W439" s="32">
        <v>296</v>
      </c>
      <c r="X439" s="31">
        <v>333</v>
      </c>
      <c r="Y439" s="32">
        <v>678</v>
      </c>
      <c r="Z439" s="111">
        <v>382</v>
      </c>
      <c r="AA439" s="35">
        <v>0</v>
      </c>
      <c r="AB439" s="35">
        <v>43</v>
      </c>
      <c r="AC439" s="35">
        <v>622</v>
      </c>
      <c r="AD439" s="35">
        <v>0</v>
      </c>
      <c r="AE439" s="33">
        <v>0</v>
      </c>
      <c r="AF439" s="116">
        <v>0</v>
      </c>
      <c r="AG439" s="120"/>
      <c r="AH439" s="38"/>
      <c r="AI439" s="37">
        <v>677</v>
      </c>
      <c r="AJ439" s="36">
        <v>328</v>
      </c>
      <c r="AK439" s="37">
        <v>693</v>
      </c>
      <c r="AL439" s="38">
        <v>320</v>
      </c>
      <c r="AM439" s="37"/>
      <c r="AN439" s="116"/>
      <c r="AO439" s="120"/>
      <c r="AP439" s="38"/>
      <c r="AQ439" s="37"/>
      <c r="AR439" s="116"/>
      <c r="AS439" s="120"/>
      <c r="AT439" s="38"/>
      <c r="AU439" s="37"/>
      <c r="AV439" s="120"/>
      <c r="AW439" s="120"/>
      <c r="AX439" s="37"/>
      <c r="AY439" s="38"/>
      <c r="AZ439" s="37">
        <v>321</v>
      </c>
      <c r="BA439" s="116">
        <v>680</v>
      </c>
      <c r="BB439" s="31">
        <v>691</v>
      </c>
      <c r="BC439" s="32">
        <v>296</v>
      </c>
      <c r="BD439" s="31">
        <v>673</v>
      </c>
      <c r="BE439" s="116">
        <v>310</v>
      </c>
      <c r="BF439" s="120">
        <v>312</v>
      </c>
      <c r="BG439" s="38">
        <v>667</v>
      </c>
      <c r="BH439" s="37">
        <v>724</v>
      </c>
      <c r="BI439" s="38">
        <v>274</v>
      </c>
      <c r="BJ439" s="111">
        <v>28</v>
      </c>
      <c r="BK439" s="33">
        <v>649</v>
      </c>
      <c r="BL439" s="115">
        <v>329</v>
      </c>
      <c r="BM439" s="111">
        <v>358</v>
      </c>
      <c r="BN439" s="35">
        <v>621</v>
      </c>
      <c r="BO439" s="32">
        <v>27</v>
      </c>
      <c r="BP439" s="31">
        <v>698</v>
      </c>
      <c r="BQ439" s="32">
        <v>302</v>
      </c>
      <c r="BR439" s="31">
        <v>270</v>
      </c>
      <c r="BS439" s="32">
        <v>743</v>
      </c>
      <c r="BT439" s="31">
        <v>651</v>
      </c>
      <c r="BU439" s="33">
        <v>34</v>
      </c>
      <c r="BV439" s="115">
        <v>295</v>
      </c>
      <c r="BW439" s="111">
        <v>341</v>
      </c>
      <c r="BX439" s="32">
        <v>676</v>
      </c>
      <c r="BY439" s="31">
        <v>329</v>
      </c>
      <c r="BZ439" s="32">
        <v>650</v>
      </c>
      <c r="CA439" s="111">
        <v>653</v>
      </c>
      <c r="CB439" s="32">
        <v>341</v>
      </c>
      <c r="CC439" s="33">
        <v>808</v>
      </c>
      <c r="CD439" s="34">
        <v>724</v>
      </c>
      <c r="CE439" s="120">
        <v>577</v>
      </c>
      <c r="CF439" s="38">
        <v>259</v>
      </c>
      <c r="CG439" s="31">
        <v>273</v>
      </c>
      <c r="CH439" s="35">
        <v>357</v>
      </c>
      <c r="CI439" s="35">
        <v>138</v>
      </c>
      <c r="CJ439" s="35">
        <v>160</v>
      </c>
      <c r="CK439" s="32">
        <v>651</v>
      </c>
    </row>
    <row r="440" spans="1:89" ht="13" x14ac:dyDescent="0.25">
      <c r="A440" s="27">
        <v>7313</v>
      </c>
      <c r="B440" s="28" t="s">
        <v>463</v>
      </c>
      <c r="C440" s="29">
        <v>723</v>
      </c>
      <c r="D440" s="30">
        <v>608</v>
      </c>
      <c r="E440" s="20">
        <f t="shared" si="6"/>
        <v>0.8409405255878285</v>
      </c>
      <c r="F440" s="31">
        <v>0</v>
      </c>
      <c r="G440" s="111">
        <v>0</v>
      </c>
      <c r="H440" s="111">
        <v>0</v>
      </c>
      <c r="I440" s="111">
        <v>1</v>
      </c>
      <c r="J440" s="111">
        <v>3</v>
      </c>
      <c r="K440" s="111">
        <v>0</v>
      </c>
      <c r="L440" s="111">
        <v>0</v>
      </c>
      <c r="M440" s="111">
        <v>148</v>
      </c>
      <c r="N440" s="111">
        <v>0</v>
      </c>
      <c r="O440" s="111">
        <v>0</v>
      </c>
      <c r="P440" s="35">
        <v>10</v>
      </c>
      <c r="Q440" s="35">
        <v>0</v>
      </c>
      <c r="R440" s="35">
        <v>435</v>
      </c>
      <c r="S440" s="32">
        <v>0</v>
      </c>
      <c r="T440" s="37">
        <v>136</v>
      </c>
      <c r="U440" s="38">
        <v>453</v>
      </c>
      <c r="V440" s="37">
        <v>468</v>
      </c>
      <c r="W440" s="32">
        <v>119</v>
      </c>
      <c r="X440" s="31">
        <v>126</v>
      </c>
      <c r="Y440" s="32">
        <v>453</v>
      </c>
      <c r="Z440" s="111">
        <v>162</v>
      </c>
      <c r="AA440" s="35">
        <v>0</v>
      </c>
      <c r="AB440" s="35">
        <v>23</v>
      </c>
      <c r="AC440" s="35">
        <v>412</v>
      </c>
      <c r="AD440" s="35">
        <v>0</v>
      </c>
      <c r="AE440" s="33">
        <v>0</v>
      </c>
      <c r="AF440" s="116">
        <v>0</v>
      </c>
      <c r="AG440" s="120"/>
      <c r="AH440" s="38"/>
      <c r="AI440" s="37">
        <v>449</v>
      </c>
      <c r="AJ440" s="36">
        <v>132</v>
      </c>
      <c r="AK440" s="37">
        <v>448</v>
      </c>
      <c r="AL440" s="38">
        <v>126</v>
      </c>
      <c r="AM440" s="37"/>
      <c r="AN440" s="116"/>
      <c r="AO440" s="120"/>
      <c r="AP440" s="38"/>
      <c r="AQ440" s="37"/>
      <c r="AR440" s="116"/>
      <c r="AS440" s="120"/>
      <c r="AT440" s="38"/>
      <c r="AU440" s="37"/>
      <c r="AV440" s="120"/>
      <c r="AW440" s="120"/>
      <c r="AX440" s="37"/>
      <c r="AY440" s="38"/>
      <c r="AZ440" s="37">
        <v>123</v>
      </c>
      <c r="BA440" s="116">
        <v>449</v>
      </c>
      <c r="BB440" s="31">
        <v>449</v>
      </c>
      <c r="BC440" s="32">
        <v>118</v>
      </c>
      <c r="BD440" s="31">
        <v>436</v>
      </c>
      <c r="BE440" s="116">
        <v>123</v>
      </c>
      <c r="BF440" s="120">
        <v>130</v>
      </c>
      <c r="BG440" s="38">
        <v>429</v>
      </c>
      <c r="BH440" s="37">
        <v>462</v>
      </c>
      <c r="BI440" s="38">
        <v>106</v>
      </c>
      <c r="BJ440" s="111">
        <v>25</v>
      </c>
      <c r="BK440" s="33">
        <v>410</v>
      </c>
      <c r="BL440" s="115">
        <v>134</v>
      </c>
      <c r="BM440" s="111">
        <v>163</v>
      </c>
      <c r="BN440" s="35">
        <v>393</v>
      </c>
      <c r="BO440" s="32">
        <v>17</v>
      </c>
      <c r="BP440" s="31">
        <v>457</v>
      </c>
      <c r="BQ440" s="32">
        <v>115</v>
      </c>
      <c r="BR440" s="31">
        <v>110</v>
      </c>
      <c r="BS440" s="32">
        <v>472</v>
      </c>
      <c r="BT440" s="31">
        <v>422</v>
      </c>
      <c r="BU440" s="33">
        <v>27</v>
      </c>
      <c r="BV440" s="115">
        <v>114</v>
      </c>
      <c r="BW440" s="111">
        <v>141</v>
      </c>
      <c r="BX440" s="32">
        <v>445</v>
      </c>
      <c r="BY440" s="31">
        <v>130</v>
      </c>
      <c r="BZ440" s="32">
        <v>432</v>
      </c>
      <c r="CA440" s="111">
        <v>429</v>
      </c>
      <c r="CB440" s="32">
        <v>137</v>
      </c>
      <c r="CC440" s="33">
        <v>470</v>
      </c>
      <c r="CD440" s="34">
        <v>351</v>
      </c>
      <c r="CE440" s="120">
        <v>349</v>
      </c>
      <c r="CF440" s="38">
        <v>123</v>
      </c>
      <c r="CG440" s="31">
        <v>143</v>
      </c>
      <c r="CH440" s="35">
        <v>273</v>
      </c>
      <c r="CI440" s="35">
        <v>65</v>
      </c>
      <c r="CJ440" s="35">
        <v>72</v>
      </c>
      <c r="CK440" s="32">
        <v>388</v>
      </c>
    </row>
    <row r="441" spans="1:89" ht="13" x14ac:dyDescent="0.25">
      <c r="A441" s="27">
        <v>7314</v>
      </c>
      <c r="B441" s="28" t="s">
        <v>464</v>
      </c>
      <c r="C441" s="29">
        <v>1371</v>
      </c>
      <c r="D441" s="30">
        <v>1000</v>
      </c>
      <c r="E441" s="20">
        <f t="shared" si="6"/>
        <v>0.7293946024799417</v>
      </c>
      <c r="F441" s="31">
        <v>0</v>
      </c>
      <c r="G441" s="111">
        <v>0</v>
      </c>
      <c r="H441" s="111">
        <v>0</v>
      </c>
      <c r="I441" s="111">
        <v>0</v>
      </c>
      <c r="J441" s="111">
        <v>3</v>
      </c>
      <c r="K441" s="111">
        <v>0</v>
      </c>
      <c r="L441" s="111">
        <v>0</v>
      </c>
      <c r="M441" s="111">
        <v>311</v>
      </c>
      <c r="N441" s="111">
        <v>0</v>
      </c>
      <c r="O441" s="111">
        <v>0</v>
      </c>
      <c r="P441" s="35">
        <v>5</v>
      </c>
      <c r="Q441" s="35">
        <v>1</v>
      </c>
      <c r="R441" s="35">
        <v>666</v>
      </c>
      <c r="S441" s="32">
        <v>0</v>
      </c>
      <c r="T441" s="37">
        <v>310</v>
      </c>
      <c r="U441" s="38">
        <v>641</v>
      </c>
      <c r="V441" s="37">
        <v>691</v>
      </c>
      <c r="W441" s="32">
        <v>268</v>
      </c>
      <c r="X441" s="31">
        <v>308</v>
      </c>
      <c r="Y441" s="32">
        <v>623</v>
      </c>
      <c r="Z441" s="111">
        <v>331</v>
      </c>
      <c r="AA441" s="35">
        <v>0</v>
      </c>
      <c r="AB441" s="35">
        <v>42</v>
      </c>
      <c r="AC441" s="35">
        <v>592</v>
      </c>
      <c r="AD441" s="35">
        <v>0</v>
      </c>
      <c r="AE441" s="33">
        <v>0</v>
      </c>
      <c r="AF441" s="116">
        <v>0</v>
      </c>
      <c r="AG441" s="120"/>
      <c r="AH441" s="38"/>
      <c r="AI441" s="37">
        <v>626</v>
      </c>
      <c r="AJ441" s="36">
        <v>300</v>
      </c>
      <c r="AK441" s="37">
        <v>618</v>
      </c>
      <c r="AL441" s="38">
        <v>302</v>
      </c>
      <c r="AM441" s="37"/>
      <c r="AN441" s="116"/>
      <c r="AO441" s="120"/>
      <c r="AP441" s="38"/>
      <c r="AQ441" s="37"/>
      <c r="AR441" s="116"/>
      <c r="AS441" s="120"/>
      <c r="AT441" s="38"/>
      <c r="AU441" s="37"/>
      <c r="AV441" s="120"/>
      <c r="AW441" s="120"/>
      <c r="AX441" s="37"/>
      <c r="AY441" s="38"/>
      <c r="AZ441" s="37">
        <v>293</v>
      </c>
      <c r="BA441" s="116">
        <v>632</v>
      </c>
      <c r="BB441" s="31">
        <v>649</v>
      </c>
      <c r="BC441" s="32">
        <v>275</v>
      </c>
      <c r="BD441" s="31">
        <v>631</v>
      </c>
      <c r="BE441" s="116">
        <v>286</v>
      </c>
      <c r="BF441" s="120">
        <v>291</v>
      </c>
      <c r="BG441" s="38">
        <v>622</v>
      </c>
      <c r="BH441" s="37">
        <v>672</v>
      </c>
      <c r="BI441" s="38">
        <v>251</v>
      </c>
      <c r="BJ441" s="111">
        <v>57</v>
      </c>
      <c r="BK441" s="33">
        <v>580</v>
      </c>
      <c r="BL441" s="115">
        <v>282</v>
      </c>
      <c r="BM441" s="111">
        <v>309</v>
      </c>
      <c r="BN441" s="35">
        <v>581</v>
      </c>
      <c r="BO441" s="32">
        <v>37</v>
      </c>
      <c r="BP441" s="31">
        <v>631</v>
      </c>
      <c r="BQ441" s="32">
        <v>281</v>
      </c>
      <c r="BR441" s="31">
        <v>253</v>
      </c>
      <c r="BS441" s="32">
        <v>671</v>
      </c>
      <c r="BT441" s="31">
        <v>598</v>
      </c>
      <c r="BU441" s="33">
        <v>59</v>
      </c>
      <c r="BV441" s="115">
        <v>253</v>
      </c>
      <c r="BW441" s="111">
        <v>285</v>
      </c>
      <c r="BX441" s="32">
        <v>664</v>
      </c>
      <c r="BY441" s="31">
        <v>294</v>
      </c>
      <c r="BZ441" s="32">
        <v>606</v>
      </c>
      <c r="CA441" s="111">
        <v>606</v>
      </c>
      <c r="CB441" s="32">
        <v>292</v>
      </c>
      <c r="CC441" s="33">
        <v>746</v>
      </c>
      <c r="CD441" s="34">
        <v>617</v>
      </c>
      <c r="CE441" s="120">
        <v>499</v>
      </c>
      <c r="CF441" s="38">
        <v>285</v>
      </c>
      <c r="CG441" s="31">
        <v>246</v>
      </c>
      <c r="CH441" s="35">
        <v>331</v>
      </c>
      <c r="CI441" s="35">
        <v>133</v>
      </c>
      <c r="CJ441" s="35">
        <v>161</v>
      </c>
      <c r="CK441" s="32">
        <v>565</v>
      </c>
    </row>
    <row r="442" spans="1:89" ht="13" x14ac:dyDescent="0.25">
      <c r="A442" s="27">
        <v>7315</v>
      </c>
      <c r="B442" s="28" t="s">
        <v>465</v>
      </c>
      <c r="C442" s="29">
        <v>1367</v>
      </c>
      <c r="D442" s="30">
        <v>994</v>
      </c>
      <c r="E442" s="20">
        <f t="shared" si="6"/>
        <v>0.72713972201901977</v>
      </c>
      <c r="F442" s="31">
        <v>0</v>
      </c>
      <c r="G442" s="111">
        <v>0</v>
      </c>
      <c r="H442" s="111">
        <v>0</v>
      </c>
      <c r="I442" s="111">
        <v>0</v>
      </c>
      <c r="J442" s="111">
        <v>3</v>
      </c>
      <c r="K442" s="111">
        <v>0</v>
      </c>
      <c r="L442" s="111">
        <v>0</v>
      </c>
      <c r="M442" s="111">
        <v>457</v>
      </c>
      <c r="N442" s="111">
        <v>0</v>
      </c>
      <c r="O442" s="111">
        <v>0</v>
      </c>
      <c r="P442" s="35">
        <v>3</v>
      </c>
      <c r="Q442" s="35">
        <v>2</v>
      </c>
      <c r="R442" s="35">
        <v>516</v>
      </c>
      <c r="S442" s="32">
        <v>0</v>
      </c>
      <c r="T442" s="37">
        <v>440</v>
      </c>
      <c r="U442" s="38">
        <v>508</v>
      </c>
      <c r="V442" s="37">
        <v>539</v>
      </c>
      <c r="W442" s="32">
        <v>414</v>
      </c>
      <c r="X442" s="31">
        <v>442</v>
      </c>
      <c r="Y442" s="32">
        <v>491</v>
      </c>
      <c r="Z442" s="111">
        <v>478</v>
      </c>
      <c r="AA442" s="35">
        <v>0</v>
      </c>
      <c r="AB442" s="35">
        <v>38</v>
      </c>
      <c r="AC442" s="35">
        <v>446</v>
      </c>
      <c r="AD442" s="35">
        <v>0</v>
      </c>
      <c r="AE442" s="33">
        <v>0</v>
      </c>
      <c r="AF442" s="116">
        <v>0</v>
      </c>
      <c r="AG442" s="120"/>
      <c r="AH442" s="38"/>
      <c r="AI442" s="37">
        <v>487</v>
      </c>
      <c r="AJ442" s="36">
        <v>435</v>
      </c>
      <c r="AK442" s="37">
        <v>501</v>
      </c>
      <c r="AL442" s="38">
        <v>432</v>
      </c>
      <c r="AM442" s="37"/>
      <c r="AN442" s="116"/>
      <c r="AO442" s="120"/>
      <c r="AP442" s="38"/>
      <c r="AQ442" s="37"/>
      <c r="AR442" s="116"/>
      <c r="AS442" s="120"/>
      <c r="AT442" s="38"/>
      <c r="AU442" s="37"/>
      <c r="AV442" s="120"/>
      <c r="AW442" s="120"/>
      <c r="AX442" s="37"/>
      <c r="AY442" s="38"/>
      <c r="AZ442" s="37">
        <v>438</v>
      </c>
      <c r="BA442" s="116">
        <v>482</v>
      </c>
      <c r="BB442" s="31">
        <v>498</v>
      </c>
      <c r="BC442" s="32">
        <v>409</v>
      </c>
      <c r="BD442" s="31">
        <v>477</v>
      </c>
      <c r="BE442" s="116">
        <v>433</v>
      </c>
      <c r="BF442" s="120">
        <v>418</v>
      </c>
      <c r="BG442" s="38">
        <v>485</v>
      </c>
      <c r="BH442" s="37">
        <v>514</v>
      </c>
      <c r="BI442" s="38">
        <v>404</v>
      </c>
      <c r="BJ442" s="111">
        <v>54</v>
      </c>
      <c r="BK442" s="33">
        <v>440</v>
      </c>
      <c r="BL442" s="115">
        <v>433</v>
      </c>
      <c r="BM442" s="111">
        <v>434</v>
      </c>
      <c r="BN442" s="35">
        <v>441</v>
      </c>
      <c r="BO442" s="32">
        <v>48</v>
      </c>
      <c r="BP442" s="31">
        <v>474</v>
      </c>
      <c r="BQ442" s="32">
        <v>433</v>
      </c>
      <c r="BR442" s="31">
        <v>379</v>
      </c>
      <c r="BS442" s="32">
        <v>547</v>
      </c>
      <c r="BT442" s="31">
        <v>454</v>
      </c>
      <c r="BU442" s="33">
        <v>52</v>
      </c>
      <c r="BV442" s="115">
        <v>407</v>
      </c>
      <c r="BW442" s="111">
        <v>450</v>
      </c>
      <c r="BX442" s="32">
        <v>493</v>
      </c>
      <c r="BY442" s="31">
        <v>444</v>
      </c>
      <c r="BZ442" s="32">
        <v>458</v>
      </c>
      <c r="CA442" s="111">
        <v>461</v>
      </c>
      <c r="CB442" s="32">
        <v>452</v>
      </c>
      <c r="CC442" s="33">
        <v>637</v>
      </c>
      <c r="CD442" s="34">
        <v>686</v>
      </c>
      <c r="CE442" s="120">
        <v>427</v>
      </c>
      <c r="CF442" s="38">
        <v>356</v>
      </c>
      <c r="CG442" s="31">
        <v>243</v>
      </c>
      <c r="CH442" s="35">
        <v>231</v>
      </c>
      <c r="CI442" s="35">
        <v>214</v>
      </c>
      <c r="CJ442" s="35">
        <v>251</v>
      </c>
      <c r="CK442" s="32">
        <v>503</v>
      </c>
    </row>
    <row r="443" spans="1:89" ht="13" x14ac:dyDescent="0.25">
      <c r="A443" s="27">
        <v>7316</v>
      </c>
      <c r="B443" s="28" t="s">
        <v>466</v>
      </c>
      <c r="C443" s="29">
        <v>1074</v>
      </c>
      <c r="D443" s="30">
        <v>879</v>
      </c>
      <c r="E443" s="20">
        <f t="shared" si="6"/>
        <v>0.81843575418994419</v>
      </c>
      <c r="F443" s="31">
        <v>0</v>
      </c>
      <c r="G443" s="111">
        <v>0</v>
      </c>
      <c r="H443" s="111">
        <v>0</v>
      </c>
      <c r="I443" s="111">
        <v>0</v>
      </c>
      <c r="J443" s="111">
        <v>0</v>
      </c>
      <c r="K443" s="111">
        <v>0</v>
      </c>
      <c r="L443" s="111">
        <v>0</v>
      </c>
      <c r="M443" s="111">
        <v>231</v>
      </c>
      <c r="N443" s="111">
        <v>0</v>
      </c>
      <c r="O443" s="111">
        <v>0</v>
      </c>
      <c r="P443" s="35">
        <v>5</v>
      </c>
      <c r="Q443" s="35">
        <v>0</v>
      </c>
      <c r="R443" s="35">
        <v>623</v>
      </c>
      <c r="S443" s="32">
        <v>0</v>
      </c>
      <c r="T443" s="37">
        <v>203</v>
      </c>
      <c r="U443" s="38">
        <v>644</v>
      </c>
      <c r="V443" s="37">
        <v>668</v>
      </c>
      <c r="W443" s="32">
        <v>183</v>
      </c>
      <c r="X443" s="31">
        <v>212</v>
      </c>
      <c r="Y443" s="32">
        <v>610</v>
      </c>
      <c r="Z443" s="111">
        <v>256</v>
      </c>
      <c r="AA443" s="35">
        <v>0</v>
      </c>
      <c r="AB443" s="35">
        <v>28</v>
      </c>
      <c r="AC443" s="35">
        <v>585</v>
      </c>
      <c r="AD443" s="35">
        <v>0</v>
      </c>
      <c r="AE443" s="33">
        <v>0</v>
      </c>
      <c r="AF443" s="116">
        <v>0</v>
      </c>
      <c r="AG443" s="120"/>
      <c r="AH443" s="38"/>
      <c r="AI443" s="37">
        <v>624</v>
      </c>
      <c r="AJ443" s="36">
        <v>195</v>
      </c>
      <c r="AK443" s="37">
        <v>625</v>
      </c>
      <c r="AL443" s="38">
        <v>203</v>
      </c>
      <c r="AM443" s="37"/>
      <c r="AN443" s="116"/>
      <c r="AO443" s="120"/>
      <c r="AP443" s="38"/>
      <c r="AQ443" s="37"/>
      <c r="AR443" s="116"/>
      <c r="AS443" s="120"/>
      <c r="AT443" s="38"/>
      <c r="AU443" s="37"/>
      <c r="AV443" s="120"/>
      <c r="AW443" s="120"/>
      <c r="AX443" s="37"/>
      <c r="AY443" s="38"/>
      <c r="AZ443" s="37">
        <v>186</v>
      </c>
      <c r="BA443" s="116">
        <v>635</v>
      </c>
      <c r="BB443" s="31">
        <v>618</v>
      </c>
      <c r="BC443" s="32">
        <v>184</v>
      </c>
      <c r="BD443" s="31">
        <v>603</v>
      </c>
      <c r="BE443" s="116">
        <v>191</v>
      </c>
      <c r="BF443" s="120">
        <v>184</v>
      </c>
      <c r="BG443" s="38">
        <v>606</v>
      </c>
      <c r="BH443" s="37">
        <v>645</v>
      </c>
      <c r="BI443" s="38">
        <v>163</v>
      </c>
      <c r="BJ443" s="111">
        <v>32</v>
      </c>
      <c r="BK443" s="33">
        <v>576</v>
      </c>
      <c r="BL443" s="115">
        <v>209</v>
      </c>
      <c r="BM443" s="111">
        <v>229</v>
      </c>
      <c r="BN443" s="35">
        <v>571</v>
      </c>
      <c r="BO443" s="32">
        <v>20</v>
      </c>
      <c r="BP443" s="31">
        <v>613</v>
      </c>
      <c r="BQ443" s="32">
        <v>194</v>
      </c>
      <c r="BR443" s="31">
        <v>147</v>
      </c>
      <c r="BS443" s="32">
        <v>671</v>
      </c>
      <c r="BT443" s="31">
        <v>575</v>
      </c>
      <c r="BU443" s="33">
        <v>41</v>
      </c>
      <c r="BV443" s="115">
        <v>181</v>
      </c>
      <c r="BW443" s="111">
        <v>210</v>
      </c>
      <c r="BX443" s="32">
        <v>622</v>
      </c>
      <c r="BY443" s="31">
        <v>198</v>
      </c>
      <c r="BZ443" s="32">
        <v>599</v>
      </c>
      <c r="CA443" s="111">
        <v>592</v>
      </c>
      <c r="CB443" s="32">
        <v>208</v>
      </c>
      <c r="CC443" s="33">
        <v>681</v>
      </c>
      <c r="CD443" s="34">
        <v>493</v>
      </c>
      <c r="CE443" s="120">
        <v>475</v>
      </c>
      <c r="CF443" s="38">
        <v>207</v>
      </c>
      <c r="CG443" s="31">
        <v>237</v>
      </c>
      <c r="CH443" s="35">
        <v>313</v>
      </c>
      <c r="CI443" s="35">
        <v>70</v>
      </c>
      <c r="CJ443" s="35">
        <v>93</v>
      </c>
      <c r="CK443" s="32">
        <v>591</v>
      </c>
    </row>
    <row r="444" spans="1:89" ht="13" x14ac:dyDescent="0.25">
      <c r="A444" s="27">
        <v>7317</v>
      </c>
      <c r="B444" s="28" t="s">
        <v>467</v>
      </c>
      <c r="C444" s="29">
        <v>1225</v>
      </c>
      <c r="D444" s="30">
        <v>1014</v>
      </c>
      <c r="E444" s="20">
        <f t="shared" si="6"/>
        <v>0.82775510204081637</v>
      </c>
      <c r="F444" s="31">
        <v>0</v>
      </c>
      <c r="G444" s="111">
        <v>0</v>
      </c>
      <c r="H444" s="111">
        <v>0</v>
      </c>
      <c r="I444" s="111">
        <v>0</v>
      </c>
      <c r="J444" s="111">
        <v>0</v>
      </c>
      <c r="K444" s="111">
        <v>0</v>
      </c>
      <c r="L444" s="111">
        <v>0</v>
      </c>
      <c r="M444" s="111">
        <v>267</v>
      </c>
      <c r="N444" s="111">
        <v>0</v>
      </c>
      <c r="O444" s="111">
        <v>0</v>
      </c>
      <c r="P444" s="35">
        <v>5</v>
      </c>
      <c r="Q444" s="35">
        <v>3</v>
      </c>
      <c r="R444" s="35">
        <v>725</v>
      </c>
      <c r="S444" s="32">
        <v>0</v>
      </c>
      <c r="T444" s="37">
        <v>224</v>
      </c>
      <c r="U444" s="38">
        <v>759</v>
      </c>
      <c r="V444" s="37">
        <v>787</v>
      </c>
      <c r="W444" s="32">
        <v>206</v>
      </c>
      <c r="X444" s="31">
        <v>227</v>
      </c>
      <c r="Y444" s="32">
        <v>742</v>
      </c>
      <c r="Z444" s="111">
        <v>271</v>
      </c>
      <c r="AA444" s="35">
        <v>0</v>
      </c>
      <c r="AB444" s="35">
        <v>30</v>
      </c>
      <c r="AC444" s="35">
        <v>705</v>
      </c>
      <c r="AD444" s="35">
        <v>0</v>
      </c>
      <c r="AE444" s="33">
        <v>0</v>
      </c>
      <c r="AF444" s="116">
        <v>0</v>
      </c>
      <c r="AG444" s="120"/>
      <c r="AH444" s="38"/>
      <c r="AI444" s="37">
        <v>735</v>
      </c>
      <c r="AJ444" s="36">
        <v>231</v>
      </c>
      <c r="AK444" s="37">
        <v>740</v>
      </c>
      <c r="AL444" s="38">
        <v>223</v>
      </c>
      <c r="AM444" s="37"/>
      <c r="AN444" s="116"/>
      <c r="AO444" s="120"/>
      <c r="AP444" s="38"/>
      <c r="AQ444" s="37"/>
      <c r="AR444" s="116"/>
      <c r="AS444" s="120"/>
      <c r="AT444" s="38"/>
      <c r="AU444" s="37"/>
      <c r="AV444" s="120"/>
      <c r="AW444" s="120"/>
      <c r="AX444" s="37"/>
      <c r="AY444" s="38"/>
      <c r="AZ444" s="37">
        <v>218</v>
      </c>
      <c r="BA444" s="116">
        <v>750</v>
      </c>
      <c r="BB444" s="31">
        <v>751</v>
      </c>
      <c r="BC444" s="32">
        <v>209</v>
      </c>
      <c r="BD444" s="31">
        <v>737</v>
      </c>
      <c r="BE444" s="116">
        <v>212</v>
      </c>
      <c r="BF444" s="120">
        <v>213</v>
      </c>
      <c r="BG444" s="38">
        <v>733</v>
      </c>
      <c r="BH444" s="37">
        <v>781</v>
      </c>
      <c r="BI444" s="38">
        <v>186</v>
      </c>
      <c r="BJ444" s="111">
        <v>38</v>
      </c>
      <c r="BK444" s="33">
        <v>688</v>
      </c>
      <c r="BL444" s="115">
        <v>239</v>
      </c>
      <c r="BM444" s="111">
        <v>277</v>
      </c>
      <c r="BN444" s="35">
        <v>674</v>
      </c>
      <c r="BO444" s="32">
        <v>20</v>
      </c>
      <c r="BP444" s="31">
        <v>749</v>
      </c>
      <c r="BQ444" s="32">
        <v>219</v>
      </c>
      <c r="BR444" s="31">
        <v>174</v>
      </c>
      <c r="BS444" s="32">
        <v>803</v>
      </c>
      <c r="BT444" s="31">
        <v>704</v>
      </c>
      <c r="BU444" s="33">
        <v>41</v>
      </c>
      <c r="BV444" s="115">
        <v>204</v>
      </c>
      <c r="BW444" s="111">
        <v>245</v>
      </c>
      <c r="BX444" s="32">
        <v>743</v>
      </c>
      <c r="BY444" s="31">
        <v>233</v>
      </c>
      <c r="BZ444" s="32">
        <v>711</v>
      </c>
      <c r="CA444" s="111">
        <v>710</v>
      </c>
      <c r="CB444" s="32">
        <v>241</v>
      </c>
      <c r="CC444" s="33">
        <v>779</v>
      </c>
      <c r="CD444" s="34">
        <v>554</v>
      </c>
      <c r="CE444" s="120">
        <v>566</v>
      </c>
      <c r="CF444" s="38">
        <v>247</v>
      </c>
      <c r="CG444" s="31">
        <v>242</v>
      </c>
      <c r="CH444" s="35">
        <v>482</v>
      </c>
      <c r="CI444" s="35">
        <v>107</v>
      </c>
      <c r="CJ444" s="35">
        <v>118</v>
      </c>
      <c r="CK444" s="32">
        <v>660</v>
      </c>
    </row>
    <row r="445" spans="1:89" ht="13" x14ac:dyDescent="0.25">
      <c r="A445" s="27">
        <v>7318</v>
      </c>
      <c r="B445" s="28" t="s">
        <v>468</v>
      </c>
      <c r="C445" s="29">
        <v>747</v>
      </c>
      <c r="D445" s="30">
        <v>602</v>
      </c>
      <c r="E445" s="20">
        <f t="shared" si="6"/>
        <v>0.80589022757697459</v>
      </c>
      <c r="F445" s="31">
        <v>0</v>
      </c>
      <c r="G445" s="111">
        <v>0</v>
      </c>
      <c r="H445" s="111">
        <v>0</v>
      </c>
      <c r="I445" s="111">
        <v>0</v>
      </c>
      <c r="J445" s="111">
        <v>0</v>
      </c>
      <c r="K445" s="111">
        <v>0</v>
      </c>
      <c r="L445" s="111">
        <v>0</v>
      </c>
      <c r="M445" s="111">
        <v>138</v>
      </c>
      <c r="N445" s="111">
        <v>0</v>
      </c>
      <c r="O445" s="111">
        <v>0</v>
      </c>
      <c r="P445" s="35">
        <v>1</v>
      </c>
      <c r="Q445" s="35">
        <v>1</v>
      </c>
      <c r="R445" s="35">
        <v>456</v>
      </c>
      <c r="S445" s="32">
        <v>0</v>
      </c>
      <c r="T445" s="37">
        <v>121</v>
      </c>
      <c r="U445" s="38">
        <v>457</v>
      </c>
      <c r="V445" s="37">
        <v>473</v>
      </c>
      <c r="W445" s="32">
        <v>106</v>
      </c>
      <c r="X445" s="31">
        <v>135</v>
      </c>
      <c r="Y445" s="32">
        <v>435</v>
      </c>
      <c r="Z445" s="111">
        <v>150</v>
      </c>
      <c r="AA445" s="35">
        <v>0</v>
      </c>
      <c r="AB445" s="35">
        <v>13</v>
      </c>
      <c r="AC445" s="35">
        <v>431</v>
      </c>
      <c r="AD445" s="35">
        <v>0</v>
      </c>
      <c r="AE445" s="33">
        <v>0</v>
      </c>
      <c r="AF445" s="116">
        <v>0</v>
      </c>
      <c r="AG445" s="120"/>
      <c r="AH445" s="38"/>
      <c r="AI445" s="37">
        <v>433</v>
      </c>
      <c r="AJ445" s="36">
        <v>126</v>
      </c>
      <c r="AK445" s="37">
        <v>443</v>
      </c>
      <c r="AL445" s="38">
        <v>128</v>
      </c>
      <c r="AM445" s="37"/>
      <c r="AN445" s="116"/>
      <c r="AO445" s="120"/>
      <c r="AP445" s="38"/>
      <c r="AQ445" s="37"/>
      <c r="AR445" s="116"/>
      <c r="AS445" s="120"/>
      <c r="AT445" s="38"/>
      <c r="AU445" s="37"/>
      <c r="AV445" s="120"/>
      <c r="AW445" s="120"/>
      <c r="AX445" s="37"/>
      <c r="AY445" s="38"/>
      <c r="AZ445" s="37">
        <v>119</v>
      </c>
      <c r="BA445" s="116">
        <v>448</v>
      </c>
      <c r="BB445" s="31">
        <v>450</v>
      </c>
      <c r="BC445" s="32">
        <v>115</v>
      </c>
      <c r="BD445" s="31">
        <v>449</v>
      </c>
      <c r="BE445" s="116">
        <v>112</v>
      </c>
      <c r="BF445" s="120">
        <v>119</v>
      </c>
      <c r="BG445" s="38">
        <v>440</v>
      </c>
      <c r="BH445" s="37">
        <v>473</v>
      </c>
      <c r="BI445" s="38">
        <v>97</v>
      </c>
      <c r="BJ445" s="111">
        <v>18</v>
      </c>
      <c r="BK445" s="33">
        <v>425</v>
      </c>
      <c r="BL445" s="115">
        <v>125</v>
      </c>
      <c r="BM445" s="111">
        <v>136</v>
      </c>
      <c r="BN445" s="35">
        <v>421</v>
      </c>
      <c r="BO445" s="32">
        <v>12</v>
      </c>
      <c r="BP445" s="31">
        <v>449</v>
      </c>
      <c r="BQ445" s="32">
        <v>124</v>
      </c>
      <c r="BR445" s="31">
        <v>94</v>
      </c>
      <c r="BS445" s="32">
        <v>476</v>
      </c>
      <c r="BT445" s="31">
        <v>419</v>
      </c>
      <c r="BU445" s="33">
        <v>24</v>
      </c>
      <c r="BV445" s="115">
        <v>110</v>
      </c>
      <c r="BW445" s="111">
        <v>123</v>
      </c>
      <c r="BX445" s="32">
        <v>460</v>
      </c>
      <c r="BY445" s="31">
        <v>124</v>
      </c>
      <c r="BZ445" s="32">
        <v>427</v>
      </c>
      <c r="CA445" s="111">
        <v>426</v>
      </c>
      <c r="CB445" s="32">
        <v>134</v>
      </c>
      <c r="CC445" s="33">
        <v>480</v>
      </c>
      <c r="CD445" s="34">
        <v>322</v>
      </c>
      <c r="CE445" s="120">
        <v>388</v>
      </c>
      <c r="CF445" s="38">
        <v>98</v>
      </c>
      <c r="CG445" s="31">
        <v>125</v>
      </c>
      <c r="CH445" s="35">
        <v>265</v>
      </c>
      <c r="CI445" s="35">
        <v>43</v>
      </c>
      <c r="CJ445" s="35">
        <v>62</v>
      </c>
      <c r="CK445" s="32">
        <v>380</v>
      </c>
    </row>
    <row r="446" spans="1:89" ht="13" x14ac:dyDescent="0.25">
      <c r="A446" s="27">
        <v>7319</v>
      </c>
      <c r="B446" s="28" t="s">
        <v>469</v>
      </c>
      <c r="C446" s="29">
        <v>1292</v>
      </c>
      <c r="D446" s="30">
        <v>903</v>
      </c>
      <c r="E446" s="20">
        <f t="shared" si="6"/>
        <v>0.69891640866873062</v>
      </c>
      <c r="F446" s="31">
        <v>0</v>
      </c>
      <c r="G446" s="111">
        <v>0</v>
      </c>
      <c r="H446" s="111">
        <v>0</v>
      </c>
      <c r="I446" s="111">
        <v>0</v>
      </c>
      <c r="J446" s="111">
        <v>1</v>
      </c>
      <c r="K446" s="111">
        <v>0</v>
      </c>
      <c r="L446" s="111">
        <v>0</v>
      </c>
      <c r="M446" s="111">
        <v>322</v>
      </c>
      <c r="N446" s="111">
        <v>0</v>
      </c>
      <c r="O446" s="111">
        <v>0</v>
      </c>
      <c r="P446" s="35">
        <v>4</v>
      </c>
      <c r="Q446" s="35">
        <v>0</v>
      </c>
      <c r="R446" s="35">
        <v>565</v>
      </c>
      <c r="S446" s="32">
        <v>0</v>
      </c>
      <c r="T446" s="37">
        <v>313</v>
      </c>
      <c r="U446" s="38">
        <v>555</v>
      </c>
      <c r="V446" s="37">
        <v>595</v>
      </c>
      <c r="W446" s="32">
        <v>282</v>
      </c>
      <c r="X446" s="31">
        <v>310</v>
      </c>
      <c r="Y446" s="32">
        <v>544</v>
      </c>
      <c r="Z446" s="111">
        <v>336</v>
      </c>
      <c r="AA446" s="35">
        <v>0</v>
      </c>
      <c r="AB446" s="35">
        <v>45</v>
      </c>
      <c r="AC446" s="35">
        <v>501</v>
      </c>
      <c r="AD446" s="35">
        <v>0</v>
      </c>
      <c r="AE446" s="33">
        <v>0</v>
      </c>
      <c r="AF446" s="116">
        <v>0</v>
      </c>
      <c r="AG446" s="120"/>
      <c r="AH446" s="38"/>
      <c r="AI446" s="37">
        <v>543</v>
      </c>
      <c r="AJ446" s="36">
        <v>305</v>
      </c>
      <c r="AK446" s="37">
        <v>539</v>
      </c>
      <c r="AL446" s="38">
        <v>308</v>
      </c>
      <c r="AM446" s="37"/>
      <c r="AN446" s="116"/>
      <c r="AO446" s="120"/>
      <c r="AP446" s="38"/>
      <c r="AQ446" s="37"/>
      <c r="AR446" s="116"/>
      <c r="AS446" s="120"/>
      <c r="AT446" s="38"/>
      <c r="AU446" s="37"/>
      <c r="AV446" s="120"/>
      <c r="AW446" s="120"/>
      <c r="AX446" s="37"/>
      <c r="AY446" s="38"/>
      <c r="AZ446" s="37">
        <v>302</v>
      </c>
      <c r="BA446" s="116">
        <v>546</v>
      </c>
      <c r="BB446" s="31">
        <v>547</v>
      </c>
      <c r="BC446" s="32">
        <v>285</v>
      </c>
      <c r="BD446" s="31">
        <v>527</v>
      </c>
      <c r="BE446" s="116">
        <v>301</v>
      </c>
      <c r="BF446" s="120">
        <v>291</v>
      </c>
      <c r="BG446" s="38">
        <v>532</v>
      </c>
      <c r="BH446" s="37">
        <v>577</v>
      </c>
      <c r="BI446" s="38">
        <v>263</v>
      </c>
      <c r="BJ446" s="111">
        <v>60</v>
      </c>
      <c r="BK446" s="33">
        <v>489</v>
      </c>
      <c r="BL446" s="115">
        <v>295</v>
      </c>
      <c r="BM446" s="111">
        <v>312</v>
      </c>
      <c r="BN446" s="35">
        <v>488</v>
      </c>
      <c r="BO446" s="32">
        <v>42</v>
      </c>
      <c r="BP446" s="31">
        <v>554</v>
      </c>
      <c r="BQ446" s="32">
        <v>283</v>
      </c>
      <c r="BR446" s="31">
        <v>260</v>
      </c>
      <c r="BS446" s="32">
        <v>593</v>
      </c>
      <c r="BT446" s="31">
        <v>520</v>
      </c>
      <c r="BU446" s="33">
        <v>42</v>
      </c>
      <c r="BV446" s="115">
        <v>275</v>
      </c>
      <c r="BW446" s="111">
        <v>298</v>
      </c>
      <c r="BX446" s="32">
        <v>560</v>
      </c>
      <c r="BY446" s="31">
        <v>306</v>
      </c>
      <c r="BZ446" s="32">
        <v>515</v>
      </c>
      <c r="CA446" s="111">
        <v>521</v>
      </c>
      <c r="CB446" s="32">
        <v>317</v>
      </c>
      <c r="CC446" s="33">
        <v>659</v>
      </c>
      <c r="CD446" s="34">
        <v>566</v>
      </c>
      <c r="CE446" s="120">
        <v>454</v>
      </c>
      <c r="CF446" s="38">
        <v>264</v>
      </c>
      <c r="CG446" s="31">
        <v>218</v>
      </c>
      <c r="CH446" s="35">
        <v>319</v>
      </c>
      <c r="CI446" s="35">
        <v>120</v>
      </c>
      <c r="CJ446" s="35">
        <v>153</v>
      </c>
      <c r="CK446" s="32">
        <v>501</v>
      </c>
    </row>
    <row r="447" spans="1:89" ht="13" x14ac:dyDescent="0.25">
      <c r="A447" s="27">
        <v>7320</v>
      </c>
      <c r="B447" s="28" t="s">
        <v>470</v>
      </c>
      <c r="C447" s="29">
        <v>550</v>
      </c>
      <c r="D447" s="30">
        <v>408</v>
      </c>
      <c r="E447" s="20">
        <f t="shared" si="6"/>
        <v>0.74181818181818182</v>
      </c>
      <c r="F447" s="31">
        <v>0</v>
      </c>
      <c r="G447" s="111">
        <v>0</v>
      </c>
      <c r="H447" s="111">
        <v>0</v>
      </c>
      <c r="I447" s="111">
        <v>0</v>
      </c>
      <c r="J447" s="111">
        <v>4</v>
      </c>
      <c r="K447" s="111">
        <v>0</v>
      </c>
      <c r="L447" s="111">
        <v>0</v>
      </c>
      <c r="M447" s="111">
        <v>143</v>
      </c>
      <c r="N447" s="111">
        <v>0</v>
      </c>
      <c r="O447" s="111">
        <v>0</v>
      </c>
      <c r="P447" s="35">
        <v>4</v>
      </c>
      <c r="Q447" s="35">
        <v>0</v>
      </c>
      <c r="R447" s="35">
        <v>254</v>
      </c>
      <c r="S447" s="32">
        <v>0</v>
      </c>
      <c r="T447" s="37">
        <v>138</v>
      </c>
      <c r="U447" s="38">
        <v>248</v>
      </c>
      <c r="V447" s="37">
        <v>268</v>
      </c>
      <c r="W447" s="32">
        <v>120</v>
      </c>
      <c r="X447" s="31">
        <v>138</v>
      </c>
      <c r="Y447" s="32">
        <v>241</v>
      </c>
      <c r="Z447" s="111">
        <v>151</v>
      </c>
      <c r="AA447" s="35">
        <v>0</v>
      </c>
      <c r="AB447" s="35">
        <v>24</v>
      </c>
      <c r="AC447" s="35">
        <v>216</v>
      </c>
      <c r="AD447" s="35">
        <v>0</v>
      </c>
      <c r="AE447" s="33">
        <v>0</v>
      </c>
      <c r="AF447" s="116">
        <v>0</v>
      </c>
      <c r="AG447" s="120"/>
      <c r="AH447" s="38"/>
      <c r="AI447" s="37">
        <v>236</v>
      </c>
      <c r="AJ447" s="36">
        <v>132</v>
      </c>
      <c r="AK447" s="37">
        <v>240</v>
      </c>
      <c r="AL447" s="38">
        <v>132</v>
      </c>
      <c r="AM447" s="37"/>
      <c r="AN447" s="116"/>
      <c r="AO447" s="120"/>
      <c r="AP447" s="38"/>
      <c r="AQ447" s="37"/>
      <c r="AR447" s="116"/>
      <c r="AS447" s="120"/>
      <c r="AT447" s="38"/>
      <c r="AU447" s="37"/>
      <c r="AV447" s="120"/>
      <c r="AW447" s="120"/>
      <c r="AX447" s="37"/>
      <c r="AY447" s="38"/>
      <c r="AZ447" s="37">
        <v>132</v>
      </c>
      <c r="BA447" s="116">
        <v>241</v>
      </c>
      <c r="BB447" s="31">
        <v>248</v>
      </c>
      <c r="BC447" s="32">
        <v>122</v>
      </c>
      <c r="BD447" s="31">
        <v>238</v>
      </c>
      <c r="BE447" s="116">
        <v>129</v>
      </c>
      <c r="BF447" s="120">
        <v>126</v>
      </c>
      <c r="BG447" s="38">
        <v>240</v>
      </c>
      <c r="BH447" s="37">
        <v>258</v>
      </c>
      <c r="BI447" s="38">
        <v>114</v>
      </c>
      <c r="BJ447" s="111">
        <v>24</v>
      </c>
      <c r="BK447" s="33">
        <v>226</v>
      </c>
      <c r="BL447" s="115">
        <v>127</v>
      </c>
      <c r="BM447" s="111">
        <v>142</v>
      </c>
      <c r="BN447" s="35">
        <v>214</v>
      </c>
      <c r="BO447" s="32">
        <v>20</v>
      </c>
      <c r="BP447" s="31">
        <v>244</v>
      </c>
      <c r="BQ447" s="32">
        <v>126</v>
      </c>
      <c r="BR447" s="31">
        <v>116</v>
      </c>
      <c r="BS447" s="32">
        <v>261</v>
      </c>
      <c r="BT447" s="31">
        <v>225</v>
      </c>
      <c r="BU447" s="33">
        <v>26</v>
      </c>
      <c r="BV447" s="115">
        <v>114</v>
      </c>
      <c r="BW447" s="111">
        <v>134</v>
      </c>
      <c r="BX447" s="32">
        <v>249</v>
      </c>
      <c r="BY447" s="31">
        <v>135</v>
      </c>
      <c r="BZ447" s="32">
        <v>228</v>
      </c>
      <c r="CA447" s="111">
        <v>240</v>
      </c>
      <c r="CB447" s="32">
        <v>130</v>
      </c>
      <c r="CC447" s="33">
        <v>300</v>
      </c>
      <c r="CD447" s="34">
        <v>256</v>
      </c>
      <c r="CE447" s="120">
        <v>223</v>
      </c>
      <c r="CF447" s="38">
        <v>100</v>
      </c>
      <c r="CG447" s="31">
        <v>95</v>
      </c>
      <c r="CH447" s="35">
        <v>135</v>
      </c>
      <c r="CI447" s="35">
        <v>56</v>
      </c>
      <c r="CJ447" s="35">
        <v>81</v>
      </c>
      <c r="CK447" s="32">
        <v>232</v>
      </c>
    </row>
    <row r="448" spans="1:89" ht="13" x14ac:dyDescent="0.25">
      <c r="A448" s="27">
        <v>7321</v>
      </c>
      <c r="B448" s="28" t="s">
        <v>471</v>
      </c>
      <c r="C448" s="29">
        <v>712</v>
      </c>
      <c r="D448" s="30">
        <v>588</v>
      </c>
      <c r="E448" s="20">
        <f t="shared" si="6"/>
        <v>0.8258426966292135</v>
      </c>
      <c r="F448" s="31">
        <v>0</v>
      </c>
      <c r="G448" s="111">
        <v>0</v>
      </c>
      <c r="H448" s="111">
        <v>0</v>
      </c>
      <c r="I448" s="111">
        <v>0</v>
      </c>
      <c r="J448" s="111">
        <v>0</v>
      </c>
      <c r="K448" s="111">
        <v>0</v>
      </c>
      <c r="L448" s="111">
        <v>0</v>
      </c>
      <c r="M448" s="111">
        <v>156</v>
      </c>
      <c r="N448" s="111">
        <v>0</v>
      </c>
      <c r="O448" s="111">
        <v>0</v>
      </c>
      <c r="P448" s="35">
        <v>0</v>
      </c>
      <c r="Q448" s="35">
        <v>0</v>
      </c>
      <c r="R448" s="35">
        <v>425</v>
      </c>
      <c r="S448" s="32">
        <v>0</v>
      </c>
      <c r="T448" s="37">
        <v>136</v>
      </c>
      <c r="U448" s="38">
        <v>422</v>
      </c>
      <c r="V448" s="37">
        <v>431</v>
      </c>
      <c r="W448" s="32">
        <v>133</v>
      </c>
      <c r="X448" s="31">
        <v>147</v>
      </c>
      <c r="Y448" s="32">
        <v>405</v>
      </c>
      <c r="Z448" s="111">
        <v>163</v>
      </c>
      <c r="AA448" s="35">
        <v>0</v>
      </c>
      <c r="AB448" s="35">
        <v>22</v>
      </c>
      <c r="AC448" s="35">
        <v>384</v>
      </c>
      <c r="AD448" s="35">
        <v>0</v>
      </c>
      <c r="AE448" s="33">
        <v>0</v>
      </c>
      <c r="AF448" s="116">
        <v>0</v>
      </c>
      <c r="AG448" s="120"/>
      <c r="AH448" s="38"/>
      <c r="AI448" s="37">
        <v>408</v>
      </c>
      <c r="AJ448" s="36">
        <v>145</v>
      </c>
      <c r="AK448" s="37">
        <v>420</v>
      </c>
      <c r="AL448" s="38">
        <v>129</v>
      </c>
      <c r="AM448" s="37"/>
      <c r="AN448" s="116"/>
      <c r="AO448" s="120"/>
      <c r="AP448" s="38"/>
      <c r="AQ448" s="37"/>
      <c r="AR448" s="116"/>
      <c r="AS448" s="120"/>
      <c r="AT448" s="38"/>
      <c r="AU448" s="37"/>
      <c r="AV448" s="120"/>
      <c r="AW448" s="120"/>
      <c r="AX448" s="37"/>
      <c r="AY448" s="38"/>
      <c r="AZ448" s="37">
        <v>139</v>
      </c>
      <c r="BA448" s="116">
        <v>415</v>
      </c>
      <c r="BB448" s="31">
        <v>406</v>
      </c>
      <c r="BC448" s="32">
        <v>135</v>
      </c>
      <c r="BD448" s="31">
        <v>400</v>
      </c>
      <c r="BE448" s="116">
        <v>137</v>
      </c>
      <c r="BF448" s="120">
        <v>132</v>
      </c>
      <c r="BG448" s="38">
        <v>398</v>
      </c>
      <c r="BH448" s="37">
        <v>420</v>
      </c>
      <c r="BI448" s="38">
        <v>120</v>
      </c>
      <c r="BJ448" s="111">
        <v>18</v>
      </c>
      <c r="BK448" s="33">
        <v>383</v>
      </c>
      <c r="BL448" s="115">
        <v>146</v>
      </c>
      <c r="BM448" s="111">
        <v>155</v>
      </c>
      <c r="BN448" s="35">
        <v>378</v>
      </c>
      <c r="BO448" s="32">
        <v>13</v>
      </c>
      <c r="BP448" s="31">
        <v>412</v>
      </c>
      <c r="BQ448" s="32">
        <v>126</v>
      </c>
      <c r="BR448" s="31">
        <v>112</v>
      </c>
      <c r="BS448" s="32">
        <v>438</v>
      </c>
      <c r="BT448" s="31">
        <v>385</v>
      </c>
      <c r="BU448" s="33">
        <v>24</v>
      </c>
      <c r="BV448" s="115">
        <v>125</v>
      </c>
      <c r="BW448" s="111">
        <v>144</v>
      </c>
      <c r="BX448" s="32">
        <v>418</v>
      </c>
      <c r="BY448" s="31">
        <v>142</v>
      </c>
      <c r="BZ448" s="32">
        <v>388</v>
      </c>
      <c r="CA448" s="111">
        <v>392</v>
      </c>
      <c r="CB448" s="32">
        <v>145</v>
      </c>
      <c r="CC448" s="33">
        <v>446</v>
      </c>
      <c r="CD448" s="34">
        <v>309</v>
      </c>
      <c r="CE448" s="120">
        <v>351</v>
      </c>
      <c r="CF448" s="38">
        <v>125</v>
      </c>
      <c r="CG448" s="31">
        <v>124</v>
      </c>
      <c r="CH448" s="35">
        <v>251</v>
      </c>
      <c r="CI448" s="35">
        <v>76</v>
      </c>
      <c r="CJ448" s="35">
        <v>83</v>
      </c>
      <c r="CK448" s="32">
        <v>370</v>
      </c>
    </row>
    <row r="449" spans="1:89" ht="13" x14ac:dyDescent="0.25">
      <c r="A449" s="27">
        <v>7322</v>
      </c>
      <c r="B449" s="28" t="s">
        <v>472</v>
      </c>
      <c r="C449" s="29">
        <v>1097</v>
      </c>
      <c r="D449" s="30">
        <v>817</v>
      </c>
      <c r="E449" s="20">
        <f t="shared" si="6"/>
        <v>0.74475843208751136</v>
      </c>
      <c r="F449" s="31">
        <v>0</v>
      </c>
      <c r="G449" s="111">
        <v>0</v>
      </c>
      <c r="H449" s="111">
        <v>0</v>
      </c>
      <c r="I449" s="111">
        <v>0</v>
      </c>
      <c r="J449" s="111">
        <v>4</v>
      </c>
      <c r="K449" s="111">
        <v>0</v>
      </c>
      <c r="L449" s="111">
        <v>0</v>
      </c>
      <c r="M449" s="111">
        <v>307</v>
      </c>
      <c r="N449" s="111">
        <v>0</v>
      </c>
      <c r="O449" s="111">
        <v>0</v>
      </c>
      <c r="P449" s="35">
        <v>7</v>
      </c>
      <c r="Q449" s="35">
        <v>0</v>
      </c>
      <c r="R449" s="35">
        <v>487</v>
      </c>
      <c r="S449" s="32">
        <v>0</v>
      </c>
      <c r="T449" s="37">
        <v>291</v>
      </c>
      <c r="U449" s="38">
        <v>492</v>
      </c>
      <c r="V449" s="37">
        <v>533</v>
      </c>
      <c r="W449" s="32">
        <v>254</v>
      </c>
      <c r="X449" s="31">
        <v>289</v>
      </c>
      <c r="Y449" s="32">
        <v>476</v>
      </c>
      <c r="Z449" s="111">
        <v>320</v>
      </c>
      <c r="AA449" s="35">
        <v>0</v>
      </c>
      <c r="AB449" s="35">
        <v>32</v>
      </c>
      <c r="AC449" s="35">
        <v>441</v>
      </c>
      <c r="AD449" s="35">
        <v>0</v>
      </c>
      <c r="AE449" s="33">
        <v>0</v>
      </c>
      <c r="AF449" s="116">
        <v>0</v>
      </c>
      <c r="AG449" s="120"/>
      <c r="AH449" s="38"/>
      <c r="AI449" s="37">
        <v>482</v>
      </c>
      <c r="AJ449" s="36">
        <v>273</v>
      </c>
      <c r="AK449" s="37">
        <v>485</v>
      </c>
      <c r="AL449" s="38">
        <v>281</v>
      </c>
      <c r="AM449" s="37"/>
      <c r="AN449" s="116"/>
      <c r="AO449" s="120"/>
      <c r="AP449" s="38"/>
      <c r="AQ449" s="37"/>
      <c r="AR449" s="116"/>
      <c r="AS449" s="120"/>
      <c r="AT449" s="38"/>
      <c r="AU449" s="37"/>
      <c r="AV449" s="120"/>
      <c r="AW449" s="120"/>
      <c r="AX449" s="37"/>
      <c r="AY449" s="38"/>
      <c r="AZ449" s="37">
        <v>268</v>
      </c>
      <c r="BA449" s="116">
        <v>487</v>
      </c>
      <c r="BB449" s="31">
        <v>490</v>
      </c>
      <c r="BC449" s="32">
        <v>263</v>
      </c>
      <c r="BD449" s="31">
        <v>474</v>
      </c>
      <c r="BE449" s="116">
        <v>273</v>
      </c>
      <c r="BF449" s="120">
        <v>282</v>
      </c>
      <c r="BG449" s="38">
        <v>462</v>
      </c>
      <c r="BH449" s="37">
        <v>509</v>
      </c>
      <c r="BI449" s="38">
        <v>247</v>
      </c>
      <c r="BJ449" s="111">
        <v>37</v>
      </c>
      <c r="BK449" s="33">
        <v>443</v>
      </c>
      <c r="BL449" s="115">
        <v>283</v>
      </c>
      <c r="BM449" s="111">
        <v>290</v>
      </c>
      <c r="BN449" s="35">
        <v>440</v>
      </c>
      <c r="BO449" s="32">
        <v>27</v>
      </c>
      <c r="BP449" s="31">
        <v>493</v>
      </c>
      <c r="BQ449" s="32">
        <v>262</v>
      </c>
      <c r="BR449" s="31">
        <v>233</v>
      </c>
      <c r="BS449" s="32">
        <v>541</v>
      </c>
      <c r="BT449" s="31">
        <v>470</v>
      </c>
      <c r="BU449" s="33">
        <v>31</v>
      </c>
      <c r="BV449" s="115">
        <v>246</v>
      </c>
      <c r="BW449" s="111">
        <v>283</v>
      </c>
      <c r="BX449" s="32">
        <v>490</v>
      </c>
      <c r="BY449" s="31">
        <v>280</v>
      </c>
      <c r="BZ449" s="32">
        <v>452</v>
      </c>
      <c r="CA449" s="111">
        <v>463</v>
      </c>
      <c r="CB449" s="32">
        <v>283</v>
      </c>
      <c r="CC449" s="33">
        <v>573</v>
      </c>
      <c r="CD449" s="34">
        <v>536</v>
      </c>
      <c r="CE449" s="120">
        <v>386</v>
      </c>
      <c r="CF449" s="38">
        <v>239</v>
      </c>
      <c r="CG449" s="31">
        <v>183</v>
      </c>
      <c r="CH449" s="35">
        <v>238</v>
      </c>
      <c r="CI449" s="35">
        <v>131</v>
      </c>
      <c r="CJ449" s="35">
        <v>170</v>
      </c>
      <c r="CK449" s="32">
        <v>442</v>
      </c>
    </row>
    <row r="450" spans="1:89" ht="13" x14ac:dyDescent="0.25">
      <c r="A450" s="27">
        <v>7323</v>
      </c>
      <c r="B450" s="28" t="s">
        <v>473</v>
      </c>
      <c r="C450" s="29">
        <v>1348</v>
      </c>
      <c r="D450" s="30">
        <v>1183</v>
      </c>
      <c r="E450" s="20">
        <f t="shared" si="6"/>
        <v>0.87759643916913943</v>
      </c>
      <c r="F450" s="31">
        <v>0</v>
      </c>
      <c r="G450" s="111">
        <v>0</v>
      </c>
      <c r="H450" s="111">
        <v>0</v>
      </c>
      <c r="I450" s="111">
        <v>1</v>
      </c>
      <c r="J450" s="111">
        <v>2</v>
      </c>
      <c r="K450" s="111">
        <v>0</v>
      </c>
      <c r="L450" s="111">
        <v>0</v>
      </c>
      <c r="M450" s="111">
        <v>284</v>
      </c>
      <c r="N450" s="111">
        <v>0</v>
      </c>
      <c r="O450" s="111">
        <v>0</v>
      </c>
      <c r="P450" s="35">
        <v>7</v>
      </c>
      <c r="Q450" s="35">
        <v>4</v>
      </c>
      <c r="R450" s="35">
        <v>867</v>
      </c>
      <c r="S450" s="32">
        <v>0</v>
      </c>
      <c r="T450" s="37">
        <v>235</v>
      </c>
      <c r="U450" s="38">
        <v>920</v>
      </c>
      <c r="V450" s="37">
        <v>950</v>
      </c>
      <c r="W450" s="32">
        <v>207</v>
      </c>
      <c r="X450" s="31">
        <v>237</v>
      </c>
      <c r="Y450" s="32">
        <v>901</v>
      </c>
      <c r="Z450" s="111">
        <v>298</v>
      </c>
      <c r="AA450" s="35">
        <v>0</v>
      </c>
      <c r="AB450" s="35">
        <v>30</v>
      </c>
      <c r="AC450" s="35">
        <v>841</v>
      </c>
      <c r="AD450" s="35">
        <v>0</v>
      </c>
      <c r="AE450" s="33">
        <v>0</v>
      </c>
      <c r="AF450" s="116">
        <v>0</v>
      </c>
      <c r="AG450" s="120"/>
      <c r="AH450" s="38"/>
      <c r="AI450" s="37">
        <v>897</v>
      </c>
      <c r="AJ450" s="36">
        <v>240</v>
      </c>
      <c r="AK450" s="37">
        <v>900</v>
      </c>
      <c r="AL450" s="38">
        <v>238</v>
      </c>
      <c r="AM450" s="37"/>
      <c r="AN450" s="116"/>
      <c r="AO450" s="120"/>
      <c r="AP450" s="38"/>
      <c r="AQ450" s="37"/>
      <c r="AR450" s="116"/>
      <c r="AS450" s="120"/>
      <c r="AT450" s="38"/>
      <c r="AU450" s="37"/>
      <c r="AV450" s="120"/>
      <c r="AW450" s="120"/>
      <c r="AX450" s="37"/>
      <c r="AY450" s="38"/>
      <c r="AZ450" s="37">
        <v>238</v>
      </c>
      <c r="BA450" s="116">
        <v>907</v>
      </c>
      <c r="BB450" s="31">
        <v>918</v>
      </c>
      <c r="BC450" s="32">
        <v>214</v>
      </c>
      <c r="BD450" s="31">
        <v>889</v>
      </c>
      <c r="BE450" s="116">
        <v>232</v>
      </c>
      <c r="BF450" s="120">
        <v>225</v>
      </c>
      <c r="BG450" s="38">
        <v>893</v>
      </c>
      <c r="BH450" s="37">
        <v>938</v>
      </c>
      <c r="BI450" s="38">
        <v>196</v>
      </c>
      <c r="BJ450" s="111">
        <v>30</v>
      </c>
      <c r="BK450" s="33">
        <v>859</v>
      </c>
      <c r="BL450" s="115">
        <v>241</v>
      </c>
      <c r="BM450" s="111">
        <v>311</v>
      </c>
      <c r="BN450" s="35">
        <v>803</v>
      </c>
      <c r="BO450" s="32">
        <v>26</v>
      </c>
      <c r="BP450" s="31">
        <v>903</v>
      </c>
      <c r="BQ450" s="32">
        <v>226</v>
      </c>
      <c r="BR450" s="31">
        <v>190</v>
      </c>
      <c r="BS450" s="32">
        <v>955</v>
      </c>
      <c r="BT450" s="31">
        <v>880</v>
      </c>
      <c r="BU450" s="33">
        <v>31</v>
      </c>
      <c r="BV450" s="115">
        <v>210</v>
      </c>
      <c r="BW450" s="111">
        <v>237</v>
      </c>
      <c r="BX450" s="32">
        <v>915</v>
      </c>
      <c r="BY450" s="31">
        <v>258</v>
      </c>
      <c r="BZ450" s="32">
        <v>854</v>
      </c>
      <c r="CA450" s="111">
        <v>864</v>
      </c>
      <c r="CB450" s="32">
        <v>259</v>
      </c>
      <c r="CC450" s="33">
        <v>942</v>
      </c>
      <c r="CD450" s="34">
        <v>670</v>
      </c>
      <c r="CE450" s="120">
        <v>687</v>
      </c>
      <c r="CF450" s="38">
        <v>276</v>
      </c>
      <c r="CG450" s="31">
        <v>218</v>
      </c>
      <c r="CH450" s="35">
        <v>594</v>
      </c>
      <c r="CI450" s="35">
        <v>129</v>
      </c>
      <c r="CJ450" s="35">
        <v>151</v>
      </c>
      <c r="CK450" s="32">
        <v>796</v>
      </c>
    </row>
    <row r="451" spans="1:89" ht="13" x14ac:dyDescent="0.25">
      <c r="A451" s="27">
        <v>7324</v>
      </c>
      <c r="B451" s="28" t="s">
        <v>474</v>
      </c>
      <c r="C451" s="29">
        <v>1364</v>
      </c>
      <c r="D451" s="30">
        <v>1097</v>
      </c>
      <c r="E451" s="20">
        <f t="shared" si="6"/>
        <v>0.80425219941348969</v>
      </c>
      <c r="F451" s="31">
        <v>0</v>
      </c>
      <c r="G451" s="111">
        <v>0</v>
      </c>
      <c r="H451" s="111">
        <v>0</v>
      </c>
      <c r="I451" s="111">
        <v>0</v>
      </c>
      <c r="J451" s="111">
        <v>4</v>
      </c>
      <c r="K451" s="111">
        <v>0</v>
      </c>
      <c r="L451" s="111">
        <v>0</v>
      </c>
      <c r="M451" s="111">
        <v>360</v>
      </c>
      <c r="N451" s="111">
        <v>0</v>
      </c>
      <c r="O451" s="111">
        <v>0</v>
      </c>
      <c r="P451" s="35">
        <v>10</v>
      </c>
      <c r="Q451" s="35">
        <v>1</v>
      </c>
      <c r="R451" s="35">
        <v>706</v>
      </c>
      <c r="S451" s="32">
        <v>0</v>
      </c>
      <c r="T451" s="37">
        <v>332</v>
      </c>
      <c r="U451" s="38">
        <v>728</v>
      </c>
      <c r="V451" s="37">
        <v>760</v>
      </c>
      <c r="W451" s="32">
        <v>302</v>
      </c>
      <c r="X451" s="31">
        <v>341</v>
      </c>
      <c r="Y451" s="32">
        <v>705</v>
      </c>
      <c r="Z451" s="111">
        <v>379</v>
      </c>
      <c r="AA451" s="35">
        <v>0</v>
      </c>
      <c r="AB451" s="35">
        <v>45</v>
      </c>
      <c r="AC451" s="35">
        <v>657</v>
      </c>
      <c r="AD451" s="35">
        <v>0</v>
      </c>
      <c r="AE451" s="33">
        <v>0</v>
      </c>
      <c r="AF451" s="116">
        <v>0</v>
      </c>
      <c r="AG451" s="120"/>
      <c r="AH451" s="38"/>
      <c r="AI451" s="37">
        <v>711</v>
      </c>
      <c r="AJ451" s="36">
        <v>325</v>
      </c>
      <c r="AK451" s="37">
        <v>722</v>
      </c>
      <c r="AL451" s="38">
        <v>328</v>
      </c>
      <c r="AM451" s="37"/>
      <c r="AN451" s="116"/>
      <c r="AO451" s="120"/>
      <c r="AP451" s="38"/>
      <c r="AQ451" s="37"/>
      <c r="AR451" s="116"/>
      <c r="AS451" s="120"/>
      <c r="AT451" s="38"/>
      <c r="AU451" s="37"/>
      <c r="AV451" s="120"/>
      <c r="AW451" s="120"/>
      <c r="AX451" s="37"/>
      <c r="AY451" s="38"/>
      <c r="AZ451" s="37">
        <v>325</v>
      </c>
      <c r="BA451" s="116">
        <v>715</v>
      </c>
      <c r="BB451" s="31">
        <v>717</v>
      </c>
      <c r="BC451" s="32">
        <v>317</v>
      </c>
      <c r="BD451" s="31">
        <v>702</v>
      </c>
      <c r="BE451" s="116">
        <v>329</v>
      </c>
      <c r="BF451" s="120">
        <v>321</v>
      </c>
      <c r="BG451" s="38">
        <v>698</v>
      </c>
      <c r="BH451" s="37">
        <v>745</v>
      </c>
      <c r="BI451" s="38">
        <v>295</v>
      </c>
      <c r="BJ451" s="111">
        <v>50</v>
      </c>
      <c r="BK451" s="33">
        <v>677</v>
      </c>
      <c r="BL451" s="115">
        <v>315</v>
      </c>
      <c r="BM451" s="111">
        <v>368</v>
      </c>
      <c r="BN451" s="35">
        <v>644</v>
      </c>
      <c r="BO451" s="32">
        <v>35</v>
      </c>
      <c r="BP451" s="31">
        <v>724</v>
      </c>
      <c r="BQ451" s="32">
        <v>309</v>
      </c>
      <c r="BR451" s="31">
        <v>275</v>
      </c>
      <c r="BS451" s="32">
        <v>773</v>
      </c>
      <c r="BT451" s="31">
        <v>661</v>
      </c>
      <c r="BU451" s="33">
        <v>58</v>
      </c>
      <c r="BV451" s="115">
        <v>301</v>
      </c>
      <c r="BW451" s="111">
        <v>335</v>
      </c>
      <c r="BX451" s="32">
        <v>724</v>
      </c>
      <c r="BY451" s="31">
        <v>333</v>
      </c>
      <c r="BZ451" s="32">
        <v>683</v>
      </c>
      <c r="CA451" s="111">
        <v>684</v>
      </c>
      <c r="CB451" s="32">
        <v>341</v>
      </c>
      <c r="CC451" s="33">
        <v>818</v>
      </c>
      <c r="CD451" s="34">
        <v>692</v>
      </c>
      <c r="CE451" s="120">
        <v>635</v>
      </c>
      <c r="CF451" s="38">
        <v>267</v>
      </c>
      <c r="CG451" s="31">
        <v>260</v>
      </c>
      <c r="CH451" s="35">
        <v>415</v>
      </c>
      <c r="CI451" s="35">
        <v>151</v>
      </c>
      <c r="CJ451" s="35">
        <v>194</v>
      </c>
      <c r="CK451" s="32">
        <v>661</v>
      </c>
    </row>
    <row r="452" spans="1:89" ht="13" x14ac:dyDescent="0.25">
      <c r="A452" s="27">
        <v>7325</v>
      </c>
      <c r="B452" s="28" t="s">
        <v>475</v>
      </c>
      <c r="C452" s="29">
        <v>967</v>
      </c>
      <c r="D452" s="30">
        <v>826</v>
      </c>
      <c r="E452" s="20">
        <f t="shared" ref="E452:E515" si="7">SUM(D452/C452)</f>
        <v>0.85418821096173736</v>
      </c>
      <c r="F452" s="31">
        <v>0</v>
      </c>
      <c r="G452" s="111">
        <v>0</v>
      </c>
      <c r="H452" s="111">
        <v>0</v>
      </c>
      <c r="I452" s="111">
        <v>0</v>
      </c>
      <c r="J452" s="111">
        <v>0</v>
      </c>
      <c r="K452" s="111">
        <v>0</v>
      </c>
      <c r="L452" s="111">
        <v>0</v>
      </c>
      <c r="M452" s="111">
        <v>257</v>
      </c>
      <c r="N452" s="111">
        <v>0</v>
      </c>
      <c r="O452" s="111">
        <v>0</v>
      </c>
      <c r="P452" s="35">
        <v>6</v>
      </c>
      <c r="Q452" s="35">
        <v>1</v>
      </c>
      <c r="R452" s="35">
        <v>553</v>
      </c>
      <c r="S452" s="32">
        <v>0</v>
      </c>
      <c r="T452" s="31">
        <v>223</v>
      </c>
      <c r="U452" s="32">
        <v>572</v>
      </c>
      <c r="V452" s="31">
        <v>596</v>
      </c>
      <c r="W452" s="32">
        <v>209</v>
      </c>
      <c r="X452" s="31">
        <v>229</v>
      </c>
      <c r="Y452" s="32">
        <v>552</v>
      </c>
      <c r="Z452" s="111">
        <v>272</v>
      </c>
      <c r="AA452" s="35">
        <v>0</v>
      </c>
      <c r="AB452" s="35">
        <v>19</v>
      </c>
      <c r="AC452" s="35">
        <v>520</v>
      </c>
      <c r="AD452" s="35">
        <v>0</v>
      </c>
      <c r="AE452" s="33">
        <v>0</v>
      </c>
      <c r="AF452" s="115">
        <v>0</v>
      </c>
      <c r="AG452" s="111"/>
      <c r="AH452" s="32"/>
      <c r="AI452" s="31">
        <v>551</v>
      </c>
      <c r="AJ452" s="33">
        <v>232</v>
      </c>
      <c r="AK452" s="31">
        <v>569</v>
      </c>
      <c r="AL452" s="32">
        <v>218</v>
      </c>
      <c r="AM452" s="31"/>
      <c r="AN452" s="115"/>
      <c r="AO452" s="111"/>
      <c r="AP452" s="32"/>
      <c r="AQ452" s="31"/>
      <c r="AR452" s="115"/>
      <c r="AS452" s="111"/>
      <c r="AT452" s="32"/>
      <c r="AU452" s="31"/>
      <c r="AV452" s="111"/>
      <c r="AW452" s="111"/>
      <c r="AX452" s="31"/>
      <c r="AY452" s="32"/>
      <c r="AZ452" s="31">
        <v>224</v>
      </c>
      <c r="BA452" s="115">
        <v>550</v>
      </c>
      <c r="BB452" s="31">
        <v>554</v>
      </c>
      <c r="BC452" s="32">
        <v>215</v>
      </c>
      <c r="BD452" s="31">
        <v>549</v>
      </c>
      <c r="BE452" s="115">
        <v>213</v>
      </c>
      <c r="BF452" s="111">
        <v>215</v>
      </c>
      <c r="BG452" s="32">
        <v>542</v>
      </c>
      <c r="BH452" s="31">
        <v>578</v>
      </c>
      <c r="BI452" s="32">
        <v>194</v>
      </c>
      <c r="BJ452" s="111">
        <v>31</v>
      </c>
      <c r="BK452" s="33">
        <v>518</v>
      </c>
      <c r="BL452" s="115">
        <v>234</v>
      </c>
      <c r="BM452" s="111">
        <v>246</v>
      </c>
      <c r="BN452" s="35">
        <v>518</v>
      </c>
      <c r="BO452" s="32">
        <v>26</v>
      </c>
      <c r="BP452" s="31">
        <v>563</v>
      </c>
      <c r="BQ452" s="32">
        <v>214</v>
      </c>
      <c r="BR452" s="31">
        <v>188</v>
      </c>
      <c r="BS452" s="32">
        <v>607</v>
      </c>
      <c r="BT452" s="31">
        <v>538</v>
      </c>
      <c r="BU452" s="33">
        <v>27</v>
      </c>
      <c r="BV452" s="115">
        <v>205</v>
      </c>
      <c r="BW452" s="111">
        <v>218</v>
      </c>
      <c r="BX452" s="32">
        <v>578</v>
      </c>
      <c r="BY452" s="31">
        <v>245</v>
      </c>
      <c r="BZ452" s="32">
        <v>519</v>
      </c>
      <c r="CA452" s="111">
        <v>534</v>
      </c>
      <c r="CB452" s="32">
        <v>237</v>
      </c>
      <c r="CC452" s="33">
        <v>620</v>
      </c>
      <c r="CD452" s="34">
        <v>495</v>
      </c>
      <c r="CE452" s="111">
        <v>389</v>
      </c>
      <c r="CF452" s="38">
        <v>249</v>
      </c>
      <c r="CG452" s="31">
        <v>179</v>
      </c>
      <c r="CH452" s="35">
        <v>305</v>
      </c>
      <c r="CI452" s="35">
        <v>104</v>
      </c>
      <c r="CJ452" s="35">
        <v>139</v>
      </c>
      <c r="CK452" s="32">
        <v>532</v>
      </c>
    </row>
    <row r="453" spans="1:89" ht="13" x14ac:dyDescent="0.25">
      <c r="A453" s="27">
        <v>7326</v>
      </c>
      <c r="B453" s="28" t="s">
        <v>476</v>
      </c>
      <c r="C453" s="29">
        <v>1408</v>
      </c>
      <c r="D453" s="30">
        <v>1180</v>
      </c>
      <c r="E453" s="20">
        <f t="shared" si="7"/>
        <v>0.83806818181818177</v>
      </c>
      <c r="F453" s="31">
        <v>0</v>
      </c>
      <c r="G453" s="111">
        <v>0</v>
      </c>
      <c r="H453" s="111">
        <v>0</v>
      </c>
      <c r="I453" s="111">
        <v>2</v>
      </c>
      <c r="J453" s="111">
        <v>8</v>
      </c>
      <c r="K453" s="111">
        <v>0</v>
      </c>
      <c r="L453" s="111">
        <v>0</v>
      </c>
      <c r="M453" s="111">
        <v>384</v>
      </c>
      <c r="N453" s="111">
        <v>0</v>
      </c>
      <c r="O453" s="111">
        <v>0</v>
      </c>
      <c r="P453" s="35">
        <v>3</v>
      </c>
      <c r="Q453" s="35">
        <v>5</v>
      </c>
      <c r="R453" s="35">
        <v>762</v>
      </c>
      <c r="S453" s="32">
        <v>0</v>
      </c>
      <c r="T453" s="31">
        <v>336</v>
      </c>
      <c r="U453" s="32">
        <v>787</v>
      </c>
      <c r="V453" s="31">
        <v>824</v>
      </c>
      <c r="W453" s="32">
        <v>316</v>
      </c>
      <c r="X453" s="31">
        <v>350</v>
      </c>
      <c r="Y453" s="32">
        <v>756</v>
      </c>
      <c r="Z453" s="111">
        <v>411</v>
      </c>
      <c r="AA453" s="35">
        <v>0</v>
      </c>
      <c r="AB453" s="35">
        <v>34</v>
      </c>
      <c r="AC453" s="35">
        <v>709</v>
      </c>
      <c r="AD453" s="35">
        <v>0</v>
      </c>
      <c r="AE453" s="33">
        <v>0</v>
      </c>
      <c r="AF453" s="115">
        <v>0</v>
      </c>
      <c r="AG453" s="111"/>
      <c r="AH453" s="32"/>
      <c r="AI453" s="31">
        <v>771</v>
      </c>
      <c r="AJ453" s="33">
        <v>338</v>
      </c>
      <c r="AK453" s="31">
        <v>777</v>
      </c>
      <c r="AL453" s="32">
        <v>328</v>
      </c>
      <c r="AM453" s="31"/>
      <c r="AN453" s="115"/>
      <c r="AO453" s="111"/>
      <c r="AP453" s="32"/>
      <c r="AQ453" s="31"/>
      <c r="AR453" s="115"/>
      <c r="AS453" s="111"/>
      <c r="AT453" s="32"/>
      <c r="AU453" s="31"/>
      <c r="AV453" s="111"/>
      <c r="AW453" s="111"/>
      <c r="AX453" s="31"/>
      <c r="AY453" s="32"/>
      <c r="AZ453" s="31">
        <v>320</v>
      </c>
      <c r="BA453" s="115">
        <v>782</v>
      </c>
      <c r="BB453" s="31">
        <v>784</v>
      </c>
      <c r="BC453" s="32">
        <v>303</v>
      </c>
      <c r="BD453" s="31">
        <v>754</v>
      </c>
      <c r="BE453" s="115">
        <v>326</v>
      </c>
      <c r="BF453" s="111">
        <v>325</v>
      </c>
      <c r="BG453" s="32">
        <v>754</v>
      </c>
      <c r="BH453" s="31">
        <v>824</v>
      </c>
      <c r="BI453" s="32">
        <v>271</v>
      </c>
      <c r="BJ453" s="111">
        <v>64</v>
      </c>
      <c r="BK453" s="33">
        <v>726</v>
      </c>
      <c r="BL453" s="115">
        <v>318</v>
      </c>
      <c r="BM453" s="111">
        <v>379</v>
      </c>
      <c r="BN453" s="35">
        <v>694</v>
      </c>
      <c r="BO453" s="32">
        <v>34</v>
      </c>
      <c r="BP453" s="31">
        <v>769</v>
      </c>
      <c r="BQ453" s="32">
        <v>327</v>
      </c>
      <c r="BR453" s="31">
        <v>275</v>
      </c>
      <c r="BS453" s="32">
        <v>841</v>
      </c>
      <c r="BT453" s="31">
        <v>725</v>
      </c>
      <c r="BU453" s="33">
        <v>54</v>
      </c>
      <c r="BV453" s="115">
        <v>307</v>
      </c>
      <c r="BW453" s="111">
        <v>331</v>
      </c>
      <c r="BX453" s="32">
        <v>788</v>
      </c>
      <c r="BY453" s="31">
        <v>349</v>
      </c>
      <c r="BZ453" s="32">
        <v>727</v>
      </c>
      <c r="CA453" s="111">
        <v>743</v>
      </c>
      <c r="CB453" s="32">
        <v>341</v>
      </c>
      <c r="CC453" s="33">
        <v>885</v>
      </c>
      <c r="CD453" s="34">
        <v>712</v>
      </c>
      <c r="CE453" s="111">
        <v>747</v>
      </c>
      <c r="CF453" s="38">
        <v>247</v>
      </c>
      <c r="CG453" s="31">
        <v>279</v>
      </c>
      <c r="CH453" s="35">
        <v>523</v>
      </c>
      <c r="CI453" s="35">
        <v>148</v>
      </c>
      <c r="CJ453" s="35">
        <v>200</v>
      </c>
      <c r="CK453" s="32">
        <v>670</v>
      </c>
    </row>
    <row r="454" spans="1:89" ht="13" x14ac:dyDescent="0.25">
      <c r="A454" s="27">
        <v>7327</v>
      </c>
      <c r="B454" s="28" t="s">
        <v>477</v>
      </c>
      <c r="C454" s="29">
        <v>967</v>
      </c>
      <c r="D454" s="30">
        <v>816</v>
      </c>
      <c r="E454" s="20">
        <f t="shared" si="7"/>
        <v>0.84384694932781801</v>
      </c>
      <c r="F454" s="31">
        <v>0</v>
      </c>
      <c r="G454" s="111">
        <v>0</v>
      </c>
      <c r="H454" s="111">
        <v>0</v>
      </c>
      <c r="I454" s="111">
        <v>0</v>
      </c>
      <c r="J454" s="111">
        <v>1</v>
      </c>
      <c r="K454" s="111">
        <v>0</v>
      </c>
      <c r="L454" s="111">
        <v>0</v>
      </c>
      <c r="M454" s="111">
        <v>260</v>
      </c>
      <c r="N454" s="111">
        <v>0</v>
      </c>
      <c r="O454" s="111">
        <v>0</v>
      </c>
      <c r="P454" s="35">
        <v>4</v>
      </c>
      <c r="Q454" s="35">
        <v>1</v>
      </c>
      <c r="R454" s="35">
        <v>538</v>
      </c>
      <c r="S454" s="32">
        <v>0</v>
      </c>
      <c r="T454" s="31">
        <v>231</v>
      </c>
      <c r="U454" s="32">
        <v>551</v>
      </c>
      <c r="V454" s="31">
        <v>584</v>
      </c>
      <c r="W454" s="32">
        <v>206</v>
      </c>
      <c r="X454" s="31">
        <v>231</v>
      </c>
      <c r="Y454" s="32">
        <v>543</v>
      </c>
      <c r="Z454" s="111">
        <v>270</v>
      </c>
      <c r="AA454" s="35">
        <v>0</v>
      </c>
      <c r="AB454" s="35">
        <v>29</v>
      </c>
      <c r="AC454" s="35">
        <v>499</v>
      </c>
      <c r="AD454" s="35">
        <v>0</v>
      </c>
      <c r="AE454" s="33">
        <v>0</v>
      </c>
      <c r="AF454" s="115">
        <v>0</v>
      </c>
      <c r="AG454" s="111"/>
      <c r="AH454" s="32"/>
      <c r="AI454" s="31">
        <v>546</v>
      </c>
      <c r="AJ454" s="33">
        <v>225</v>
      </c>
      <c r="AK454" s="31">
        <v>547</v>
      </c>
      <c r="AL454" s="32">
        <v>226</v>
      </c>
      <c r="AM454" s="31"/>
      <c r="AN454" s="115"/>
      <c r="AO454" s="111"/>
      <c r="AP454" s="32"/>
      <c r="AQ454" s="31"/>
      <c r="AR454" s="115"/>
      <c r="AS454" s="111"/>
      <c r="AT454" s="32"/>
      <c r="AU454" s="31"/>
      <c r="AV454" s="111"/>
      <c r="AW454" s="111"/>
      <c r="AX454" s="31"/>
      <c r="AY454" s="32"/>
      <c r="AZ454" s="31">
        <v>233</v>
      </c>
      <c r="BA454" s="115">
        <v>544</v>
      </c>
      <c r="BB454" s="31">
        <v>548</v>
      </c>
      <c r="BC454" s="32">
        <v>217</v>
      </c>
      <c r="BD454" s="31">
        <v>519</v>
      </c>
      <c r="BE454" s="115">
        <v>242</v>
      </c>
      <c r="BF454" s="111">
        <v>213</v>
      </c>
      <c r="BG454" s="32">
        <v>539</v>
      </c>
      <c r="BH454" s="31">
        <v>564</v>
      </c>
      <c r="BI454" s="32">
        <v>204</v>
      </c>
      <c r="BJ454" s="111">
        <v>32</v>
      </c>
      <c r="BK454" s="33">
        <v>512</v>
      </c>
      <c r="BL454" s="115">
        <v>223</v>
      </c>
      <c r="BM454" s="111">
        <v>275</v>
      </c>
      <c r="BN454" s="35">
        <v>477</v>
      </c>
      <c r="BO454" s="32">
        <v>20</v>
      </c>
      <c r="BP454" s="31">
        <v>548</v>
      </c>
      <c r="BQ454" s="32">
        <v>211</v>
      </c>
      <c r="BR454" s="31">
        <v>187</v>
      </c>
      <c r="BS454" s="32">
        <v>585</v>
      </c>
      <c r="BT454" s="31">
        <v>500</v>
      </c>
      <c r="BU454" s="33">
        <v>46</v>
      </c>
      <c r="BV454" s="115">
        <v>210</v>
      </c>
      <c r="BW454" s="111">
        <v>247</v>
      </c>
      <c r="BX454" s="32">
        <v>539</v>
      </c>
      <c r="BY454" s="31">
        <v>240</v>
      </c>
      <c r="BZ454" s="32">
        <v>505</v>
      </c>
      <c r="CA454" s="111">
        <v>519</v>
      </c>
      <c r="CB454" s="32">
        <v>236</v>
      </c>
      <c r="CC454" s="33">
        <v>588</v>
      </c>
      <c r="CD454" s="34">
        <v>488</v>
      </c>
      <c r="CE454" s="111">
        <v>393</v>
      </c>
      <c r="CF454" s="38">
        <v>241</v>
      </c>
      <c r="CG454" s="31">
        <v>182</v>
      </c>
      <c r="CH454" s="35">
        <v>342</v>
      </c>
      <c r="CI454" s="35">
        <v>115</v>
      </c>
      <c r="CJ454" s="35">
        <v>120</v>
      </c>
      <c r="CK454" s="32">
        <v>491</v>
      </c>
    </row>
    <row r="455" spans="1:89" ht="13" x14ac:dyDescent="0.25">
      <c r="A455" s="27">
        <v>7328</v>
      </c>
      <c r="B455" s="28" t="s">
        <v>478</v>
      </c>
      <c r="C455" s="29">
        <v>1068</v>
      </c>
      <c r="D455" s="30">
        <v>786</v>
      </c>
      <c r="E455" s="20">
        <f t="shared" si="7"/>
        <v>0.7359550561797753</v>
      </c>
      <c r="F455" s="31">
        <v>0</v>
      </c>
      <c r="G455" s="111">
        <v>0</v>
      </c>
      <c r="H455" s="111">
        <v>0</v>
      </c>
      <c r="I455" s="111">
        <v>0</v>
      </c>
      <c r="J455" s="111">
        <v>1</v>
      </c>
      <c r="K455" s="111">
        <v>0</v>
      </c>
      <c r="L455" s="111">
        <v>0</v>
      </c>
      <c r="M455" s="111">
        <v>247</v>
      </c>
      <c r="N455" s="111">
        <v>0</v>
      </c>
      <c r="O455" s="111">
        <v>0</v>
      </c>
      <c r="P455" s="35">
        <v>5</v>
      </c>
      <c r="Q455" s="35">
        <v>1</v>
      </c>
      <c r="R455" s="35">
        <v>523</v>
      </c>
      <c r="S455" s="32">
        <v>0</v>
      </c>
      <c r="T455" s="37">
        <v>233</v>
      </c>
      <c r="U455" s="38">
        <v>527</v>
      </c>
      <c r="V455" s="37">
        <v>536</v>
      </c>
      <c r="W455" s="32">
        <v>220</v>
      </c>
      <c r="X455" s="31">
        <v>241</v>
      </c>
      <c r="Y455" s="32">
        <v>514</v>
      </c>
      <c r="Z455" s="111">
        <v>255</v>
      </c>
      <c r="AA455" s="35">
        <v>0</v>
      </c>
      <c r="AB455" s="35">
        <v>40</v>
      </c>
      <c r="AC455" s="35">
        <v>475</v>
      </c>
      <c r="AD455" s="35">
        <v>0</v>
      </c>
      <c r="AE455" s="33">
        <v>0</v>
      </c>
      <c r="AF455" s="116">
        <v>0</v>
      </c>
      <c r="AG455" s="120"/>
      <c r="AH455" s="38"/>
      <c r="AI455" s="37">
        <v>513</v>
      </c>
      <c r="AJ455" s="36">
        <v>235</v>
      </c>
      <c r="AK455" s="37">
        <v>517</v>
      </c>
      <c r="AL455" s="38">
        <v>237</v>
      </c>
      <c r="AM455" s="37"/>
      <c r="AN455" s="116"/>
      <c r="AO455" s="120"/>
      <c r="AP455" s="38"/>
      <c r="AQ455" s="37"/>
      <c r="AR455" s="116"/>
      <c r="AS455" s="120"/>
      <c r="AT455" s="38"/>
      <c r="AU455" s="37"/>
      <c r="AV455" s="120"/>
      <c r="AW455" s="120"/>
      <c r="AX455" s="37"/>
      <c r="AY455" s="38"/>
      <c r="AZ455" s="37">
        <v>239</v>
      </c>
      <c r="BA455" s="116">
        <v>515</v>
      </c>
      <c r="BB455" s="31">
        <v>528</v>
      </c>
      <c r="BC455" s="32">
        <v>221</v>
      </c>
      <c r="BD455" s="31">
        <v>512</v>
      </c>
      <c r="BE455" s="116">
        <v>230</v>
      </c>
      <c r="BF455" s="120">
        <v>228</v>
      </c>
      <c r="BG455" s="38">
        <v>511</v>
      </c>
      <c r="BH455" s="37">
        <v>531</v>
      </c>
      <c r="BI455" s="38">
        <v>210</v>
      </c>
      <c r="BJ455" s="111">
        <v>46</v>
      </c>
      <c r="BK455" s="33">
        <v>468</v>
      </c>
      <c r="BL455" s="115">
        <v>237</v>
      </c>
      <c r="BM455" s="111">
        <v>264</v>
      </c>
      <c r="BN455" s="35">
        <v>460</v>
      </c>
      <c r="BO455" s="32">
        <v>27</v>
      </c>
      <c r="BP455" s="31">
        <v>505</v>
      </c>
      <c r="BQ455" s="32">
        <v>238</v>
      </c>
      <c r="BR455" s="31">
        <v>198</v>
      </c>
      <c r="BS455" s="32">
        <v>558</v>
      </c>
      <c r="BT455" s="31">
        <v>484</v>
      </c>
      <c r="BU455" s="33">
        <v>37</v>
      </c>
      <c r="BV455" s="115">
        <v>219</v>
      </c>
      <c r="BW455" s="111">
        <v>247</v>
      </c>
      <c r="BX455" s="32">
        <v>515</v>
      </c>
      <c r="BY455" s="31">
        <v>239</v>
      </c>
      <c r="BZ455" s="32">
        <v>500</v>
      </c>
      <c r="CA455" s="111">
        <v>502</v>
      </c>
      <c r="CB455" s="32">
        <v>248</v>
      </c>
      <c r="CC455" s="33">
        <v>594</v>
      </c>
      <c r="CD455" s="34">
        <v>492</v>
      </c>
      <c r="CE455" s="120">
        <v>396</v>
      </c>
      <c r="CF455" s="38">
        <v>242</v>
      </c>
      <c r="CG455" s="31">
        <v>182</v>
      </c>
      <c r="CH455" s="35">
        <v>302</v>
      </c>
      <c r="CI455" s="35">
        <v>113</v>
      </c>
      <c r="CJ455" s="35">
        <v>141</v>
      </c>
      <c r="CK455" s="32">
        <v>452</v>
      </c>
    </row>
    <row r="456" spans="1:89" ht="13" x14ac:dyDescent="0.25">
      <c r="A456" s="27">
        <v>7329</v>
      </c>
      <c r="B456" s="28" t="s">
        <v>479</v>
      </c>
      <c r="C456" s="29">
        <v>1158</v>
      </c>
      <c r="D456" s="30">
        <v>814</v>
      </c>
      <c r="E456" s="20">
        <f t="shared" si="7"/>
        <v>0.70293609671848012</v>
      </c>
      <c r="F456" s="31">
        <v>0</v>
      </c>
      <c r="G456" s="111">
        <v>0</v>
      </c>
      <c r="H456" s="111">
        <v>0</v>
      </c>
      <c r="I456" s="111">
        <v>2</v>
      </c>
      <c r="J456" s="111">
        <v>1</v>
      </c>
      <c r="K456" s="111">
        <v>0</v>
      </c>
      <c r="L456" s="111">
        <v>1</v>
      </c>
      <c r="M456" s="111">
        <v>273</v>
      </c>
      <c r="N456" s="111">
        <v>0</v>
      </c>
      <c r="O456" s="111">
        <v>0</v>
      </c>
      <c r="P456" s="35">
        <v>4</v>
      </c>
      <c r="Q456" s="35">
        <v>1</v>
      </c>
      <c r="R456" s="35">
        <v>526</v>
      </c>
      <c r="S456" s="32">
        <v>0</v>
      </c>
      <c r="T456" s="37">
        <v>262</v>
      </c>
      <c r="U456" s="38">
        <v>524</v>
      </c>
      <c r="V456" s="37">
        <v>540</v>
      </c>
      <c r="W456" s="32">
        <v>248</v>
      </c>
      <c r="X456" s="31">
        <v>269</v>
      </c>
      <c r="Y456" s="32">
        <v>504</v>
      </c>
      <c r="Z456" s="111">
        <v>279</v>
      </c>
      <c r="AA456" s="35">
        <v>0</v>
      </c>
      <c r="AB456" s="35">
        <v>34</v>
      </c>
      <c r="AC456" s="35">
        <v>484</v>
      </c>
      <c r="AD456" s="35">
        <v>0</v>
      </c>
      <c r="AE456" s="33">
        <v>0</v>
      </c>
      <c r="AF456" s="116">
        <v>1</v>
      </c>
      <c r="AG456" s="120"/>
      <c r="AH456" s="38"/>
      <c r="AI456" s="37">
        <v>500</v>
      </c>
      <c r="AJ456" s="36">
        <v>268</v>
      </c>
      <c r="AK456" s="37">
        <v>524</v>
      </c>
      <c r="AL456" s="38">
        <v>250</v>
      </c>
      <c r="AM456" s="37"/>
      <c r="AN456" s="116"/>
      <c r="AO456" s="120"/>
      <c r="AP456" s="38"/>
      <c r="AQ456" s="37"/>
      <c r="AR456" s="116"/>
      <c r="AS456" s="120"/>
      <c r="AT456" s="38"/>
      <c r="AU456" s="37"/>
      <c r="AV456" s="120"/>
      <c r="AW456" s="120"/>
      <c r="AX456" s="37"/>
      <c r="AY456" s="38"/>
      <c r="AZ456" s="37">
        <v>264</v>
      </c>
      <c r="BA456" s="116">
        <v>507</v>
      </c>
      <c r="BB456" s="31">
        <v>527</v>
      </c>
      <c r="BC456" s="32">
        <v>242</v>
      </c>
      <c r="BD456" s="31">
        <v>506</v>
      </c>
      <c r="BE456" s="116">
        <v>256</v>
      </c>
      <c r="BF456" s="120">
        <v>253</v>
      </c>
      <c r="BG456" s="38">
        <v>505</v>
      </c>
      <c r="BH456" s="37">
        <v>534</v>
      </c>
      <c r="BI456" s="38">
        <v>237</v>
      </c>
      <c r="BJ456" s="111">
        <v>32</v>
      </c>
      <c r="BK456" s="33">
        <v>479</v>
      </c>
      <c r="BL456" s="115">
        <v>258</v>
      </c>
      <c r="BM456" s="111">
        <v>271</v>
      </c>
      <c r="BN456" s="35">
        <v>480</v>
      </c>
      <c r="BO456" s="32">
        <v>19</v>
      </c>
      <c r="BP456" s="31">
        <v>506</v>
      </c>
      <c r="BQ456" s="32">
        <v>257</v>
      </c>
      <c r="BR456" s="31">
        <v>220</v>
      </c>
      <c r="BS456" s="32">
        <v>559</v>
      </c>
      <c r="BT456" s="31">
        <v>496</v>
      </c>
      <c r="BU456" s="33">
        <v>28</v>
      </c>
      <c r="BV456" s="115">
        <v>239</v>
      </c>
      <c r="BW456" s="111">
        <v>270</v>
      </c>
      <c r="BX456" s="32">
        <v>510</v>
      </c>
      <c r="BY456" s="31">
        <v>269</v>
      </c>
      <c r="BZ456" s="32">
        <v>486</v>
      </c>
      <c r="CA456" s="111">
        <v>493</v>
      </c>
      <c r="CB456" s="32">
        <v>272</v>
      </c>
      <c r="CC456" s="33">
        <v>614</v>
      </c>
      <c r="CD456" s="34">
        <v>504</v>
      </c>
      <c r="CE456" s="120">
        <v>504</v>
      </c>
      <c r="CF456" s="38">
        <v>193</v>
      </c>
      <c r="CG456" s="31">
        <v>172</v>
      </c>
      <c r="CH456" s="35">
        <v>296</v>
      </c>
      <c r="CI456" s="35">
        <v>121</v>
      </c>
      <c r="CJ456" s="35">
        <v>142</v>
      </c>
      <c r="CK456" s="32">
        <v>471</v>
      </c>
    </row>
    <row r="457" spans="1:89" ht="13" x14ac:dyDescent="0.25">
      <c r="A457" s="27">
        <v>7330</v>
      </c>
      <c r="B457" s="28" t="s">
        <v>480</v>
      </c>
      <c r="C457" s="29">
        <v>934</v>
      </c>
      <c r="D457" s="30">
        <v>740</v>
      </c>
      <c r="E457" s="20">
        <f t="shared" si="7"/>
        <v>0.79229122055674517</v>
      </c>
      <c r="F457" s="31">
        <v>0</v>
      </c>
      <c r="G457" s="111">
        <v>0</v>
      </c>
      <c r="H457" s="111">
        <v>0</v>
      </c>
      <c r="I457" s="111">
        <v>0</v>
      </c>
      <c r="J457" s="111">
        <v>2</v>
      </c>
      <c r="K457" s="111">
        <v>0</v>
      </c>
      <c r="L457" s="111">
        <v>0</v>
      </c>
      <c r="M457" s="111">
        <v>246</v>
      </c>
      <c r="N457" s="111">
        <v>0</v>
      </c>
      <c r="O457" s="111">
        <v>0</v>
      </c>
      <c r="P457" s="35">
        <v>5</v>
      </c>
      <c r="Q457" s="35">
        <v>0</v>
      </c>
      <c r="R457" s="35">
        <v>477</v>
      </c>
      <c r="S457" s="32">
        <v>0</v>
      </c>
      <c r="T457" s="37">
        <v>237</v>
      </c>
      <c r="U457" s="38">
        <v>476</v>
      </c>
      <c r="V457" s="37">
        <v>514</v>
      </c>
      <c r="W457" s="32">
        <v>209</v>
      </c>
      <c r="X457" s="31">
        <v>226</v>
      </c>
      <c r="Y457" s="32">
        <v>471</v>
      </c>
      <c r="Z457" s="111">
        <v>272</v>
      </c>
      <c r="AA457" s="35">
        <v>0</v>
      </c>
      <c r="AB457" s="35">
        <v>21</v>
      </c>
      <c r="AC457" s="35">
        <v>433</v>
      </c>
      <c r="AD457" s="35">
        <v>0</v>
      </c>
      <c r="AE457" s="33">
        <v>0</v>
      </c>
      <c r="AF457" s="116">
        <v>0</v>
      </c>
      <c r="AG457" s="120"/>
      <c r="AH457" s="38"/>
      <c r="AI457" s="37">
        <v>475</v>
      </c>
      <c r="AJ457" s="36">
        <v>220</v>
      </c>
      <c r="AK457" s="37">
        <v>490</v>
      </c>
      <c r="AL457" s="38">
        <v>213</v>
      </c>
      <c r="AM457" s="37"/>
      <c r="AN457" s="116"/>
      <c r="AO457" s="120"/>
      <c r="AP457" s="38"/>
      <c r="AQ457" s="37"/>
      <c r="AR457" s="116"/>
      <c r="AS457" s="120"/>
      <c r="AT457" s="38"/>
      <c r="AU457" s="37"/>
      <c r="AV457" s="120"/>
      <c r="AW457" s="120"/>
      <c r="AX457" s="37"/>
      <c r="AY457" s="38"/>
      <c r="AZ457" s="37">
        <v>229</v>
      </c>
      <c r="BA457" s="116">
        <v>474</v>
      </c>
      <c r="BB457" s="31">
        <v>493</v>
      </c>
      <c r="BC457" s="32">
        <v>209</v>
      </c>
      <c r="BD457" s="31">
        <v>480</v>
      </c>
      <c r="BE457" s="116">
        <v>214</v>
      </c>
      <c r="BF457" s="120">
        <v>218</v>
      </c>
      <c r="BG457" s="38">
        <v>473</v>
      </c>
      <c r="BH457" s="37">
        <v>513</v>
      </c>
      <c r="BI457" s="38">
        <v>192</v>
      </c>
      <c r="BJ457" s="111">
        <v>18</v>
      </c>
      <c r="BK457" s="33">
        <v>442</v>
      </c>
      <c r="BL457" s="115">
        <v>239</v>
      </c>
      <c r="BM457" s="111">
        <v>264</v>
      </c>
      <c r="BN457" s="35">
        <v>428</v>
      </c>
      <c r="BO457" s="32">
        <v>12</v>
      </c>
      <c r="BP457" s="31">
        <v>493</v>
      </c>
      <c r="BQ457" s="32">
        <v>206</v>
      </c>
      <c r="BR457" s="31">
        <v>183</v>
      </c>
      <c r="BS457" s="32">
        <v>529</v>
      </c>
      <c r="BT457" s="31">
        <v>462</v>
      </c>
      <c r="BU457" s="33">
        <v>20</v>
      </c>
      <c r="BV457" s="115">
        <v>213</v>
      </c>
      <c r="BW457" s="111">
        <v>227</v>
      </c>
      <c r="BX457" s="32">
        <v>485</v>
      </c>
      <c r="BY457" s="31">
        <v>233</v>
      </c>
      <c r="BZ457" s="32">
        <v>458</v>
      </c>
      <c r="CA457" s="111">
        <v>448</v>
      </c>
      <c r="CB457" s="32">
        <v>251</v>
      </c>
      <c r="CC457" s="33">
        <v>554</v>
      </c>
      <c r="CD457" s="34">
        <v>495</v>
      </c>
      <c r="CE457" s="120">
        <v>396</v>
      </c>
      <c r="CF457" s="38">
        <v>204</v>
      </c>
      <c r="CG457" s="31">
        <v>201</v>
      </c>
      <c r="CH457" s="35">
        <v>246</v>
      </c>
      <c r="CI457" s="35">
        <v>106</v>
      </c>
      <c r="CJ457" s="35">
        <v>134</v>
      </c>
      <c r="CK457" s="32">
        <v>465</v>
      </c>
    </row>
    <row r="458" spans="1:89" ht="13" x14ac:dyDescent="0.25">
      <c r="A458" s="27">
        <v>7331</v>
      </c>
      <c r="B458" s="28" t="s">
        <v>481</v>
      </c>
      <c r="C458" s="29">
        <v>1084</v>
      </c>
      <c r="D458" s="30">
        <v>831</v>
      </c>
      <c r="E458" s="20">
        <f t="shared" si="7"/>
        <v>0.76660516605166051</v>
      </c>
      <c r="F458" s="31">
        <v>0</v>
      </c>
      <c r="G458" s="111">
        <v>0</v>
      </c>
      <c r="H458" s="111">
        <v>0</v>
      </c>
      <c r="I458" s="111">
        <v>0</v>
      </c>
      <c r="J458" s="111">
        <v>3</v>
      </c>
      <c r="K458" s="111">
        <v>0</v>
      </c>
      <c r="L458" s="111">
        <v>0</v>
      </c>
      <c r="M458" s="111">
        <v>352</v>
      </c>
      <c r="N458" s="111">
        <v>0</v>
      </c>
      <c r="O458" s="111">
        <v>0</v>
      </c>
      <c r="P458" s="35">
        <v>6</v>
      </c>
      <c r="Q458" s="35">
        <v>0</v>
      </c>
      <c r="R458" s="35">
        <v>463</v>
      </c>
      <c r="S458" s="32">
        <v>0</v>
      </c>
      <c r="T458" s="37">
        <v>327</v>
      </c>
      <c r="U458" s="38">
        <v>470</v>
      </c>
      <c r="V458" s="37">
        <v>481</v>
      </c>
      <c r="W458" s="32">
        <v>324</v>
      </c>
      <c r="X458" s="31">
        <v>332</v>
      </c>
      <c r="Y458" s="32">
        <v>460</v>
      </c>
      <c r="Z458" s="111">
        <v>365</v>
      </c>
      <c r="AA458" s="35">
        <v>0</v>
      </c>
      <c r="AB458" s="35">
        <v>19</v>
      </c>
      <c r="AC458" s="35">
        <v>430</v>
      </c>
      <c r="AD458" s="35">
        <v>0</v>
      </c>
      <c r="AE458" s="33">
        <v>0</v>
      </c>
      <c r="AF458" s="116">
        <v>0</v>
      </c>
      <c r="AG458" s="120"/>
      <c r="AH458" s="38"/>
      <c r="AI458" s="37">
        <v>455</v>
      </c>
      <c r="AJ458" s="36">
        <v>324</v>
      </c>
      <c r="AK458" s="37">
        <v>472</v>
      </c>
      <c r="AL458" s="38">
        <v>317</v>
      </c>
      <c r="AM458" s="37"/>
      <c r="AN458" s="116"/>
      <c r="AO458" s="120"/>
      <c r="AP458" s="38"/>
      <c r="AQ458" s="37"/>
      <c r="AR458" s="116"/>
      <c r="AS458" s="120"/>
      <c r="AT458" s="38"/>
      <c r="AU458" s="37"/>
      <c r="AV458" s="120"/>
      <c r="AW458" s="120"/>
      <c r="AX458" s="37"/>
      <c r="AY458" s="38"/>
      <c r="AZ458" s="37">
        <v>322</v>
      </c>
      <c r="BA458" s="116">
        <v>457</v>
      </c>
      <c r="BB458" s="31">
        <v>453</v>
      </c>
      <c r="BC458" s="32">
        <v>311</v>
      </c>
      <c r="BD458" s="31">
        <v>445</v>
      </c>
      <c r="BE458" s="116">
        <v>322</v>
      </c>
      <c r="BF458" s="120">
        <v>314</v>
      </c>
      <c r="BG458" s="38">
        <v>443</v>
      </c>
      <c r="BH458" s="37">
        <v>488</v>
      </c>
      <c r="BI458" s="38">
        <v>285</v>
      </c>
      <c r="BJ458" s="111">
        <v>36</v>
      </c>
      <c r="BK458" s="33">
        <v>423</v>
      </c>
      <c r="BL458" s="115">
        <v>324</v>
      </c>
      <c r="BM458" s="111">
        <v>339</v>
      </c>
      <c r="BN458" s="35">
        <v>419</v>
      </c>
      <c r="BO458" s="32">
        <v>25</v>
      </c>
      <c r="BP458" s="31">
        <v>468</v>
      </c>
      <c r="BQ458" s="32">
        <v>304</v>
      </c>
      <c r="BR458" s="31">
        <v>277</v>
      </c>
      <c r="BS458" s="32">
        <v>510</v>
      </c>
      <c r="BT458" s="31">
        <v>433</v>
      </c>
      <c r="BU458" s="33">
        <v>35</v>
      </c>
      <c r="BV458" s="115">
        <v>298</v>
      </c>
      <c r="BW458" s="111">
        <v>324</v>
      </c>
      <c r="BX458" s="32">
        <v>471</v>
      </c>
      <c r="BY458" s="31">
        <v>327</v>
      </c>
      <c r="BZ458" s="32">
        <v>433</v>
      </c>
      <c r="CA458" s="111">
        <v>443</v>
      </c>
      <c r="CB458" s="32">
        <v>331</v>
      </c>
      <c r="CC458" s="33">
        <v>589</v>
      </c>
      <c r="CD458" s="34">
        <v>562</v>
      </c>
      <c r="CE458" s="120">
        <v>382</v>
      </c>
      <c r="CF458" s="38">
        <v>264</v>
      </c>
      <c r="CG458" s="31">
        <v>201</v>
      </c>
      <c r="CH458" s="35">
        <v>253</v>
      </c>
      <c r="CI458" s="35">
        <v>140</v>
      </c>
      <c r="CJ458" s="35">
        <v>191</v>
      </c>
      <c r="CK458" s="32">
        <v>459</v>
      </c>
    </row>
    <row r="459" spans="1:89" ht="13" x14ac:dyDescent="0.25">
      <c r="A459" s="27">
        <v>7332</v>
      </c>
      <c r="B459" s="28" t="s">
        <v>482</v>
      </c>
      <c r="C459" s="29">
        <v>1011</v>
      </c>
      <c r="D459" s="30">
        <v>790</v>
      </c>
      <c r="E459" s="20">
        <f t="shared" si="7"/>
        <v>0.78140454995054398</v>
      </c>
      <c r="F459" s="31">
        <v>0</v>
      </c>
      <c r="G459" s="111">
        <v>0</v>
      </c>
      <c r="H459" s="111">
        <v>0</v>
      </c>
      <c r="I459" s="111">
        <v>1</v>
      </c>
      <c r="J459" s="111">
        <v>1</v>
      </c>
      <c r="K459" s="111">
        <v>0</v>
      </c>
      <c r="L459" s="111">
        <v>0</v>
      </c>
      <c r="M459" s="111">
        <v>317</v>
      </c>
      <c r="N459" s="111">
        <v>0</v>
      </c>
      <c r="O459" s="111">
        <v>0</v>
      </c>
      <c r="P459" s="35">
        <v>8</v>
      </c>
      <c r="Q459" s="35">
        <v>2</v>
      </c>
      <c r="R459" s="35">
        <v>446</v>
      </c>
      <c r="S459" s="32">
        <v>0</v>
      </c>
      <c r="T459" s="37">
        <v>295</v>
      </c>
      <c r="U459" s="38">
        <v>466</v>
      </c>
      <c r="V459" s="37">
        <v>502</v>
      </c>
      <c r="W459" s="32">
        <v>271</v>
      </c>
      <c r="X459" s="31">
        <v>304</v>
      </c>
      <c r="Y459" s="32">
        <v>453</v>
      </c>
      <c r="Z459" s="111">
        <v>333</v>
      </c>
      <c r="AA459" s="35">
        <v>0</v>
      </c>
      <c r="AB459" s="35">
        <v>25</v>
      </c>
      <c r="AC459" s="35">
        <v>423</v>
      </c>
      <c r="AD459" s="35">
        <v>0</v>
      </c>
      <c r="AE459" s="33">
        <v>0</v>
      </c>
      <c r="AF459" s="116">
        <v>0</v>
      </c>
      <c r="AG459" s="120"/>
      <c r="AH459" s="38"/>
      <c r="AI459" s="37">
        <v>445</v>
      </c>
      <c r="AJ459" s="36">
        <v>304</v>
      </c>
      <c r="AK459" s="37">
        <v>455</v>
      </c>
      <c r="AL459" s="38">
        <v>293</v>
      </c>
      <c r="AM459" s="37"/>
      <c r="AN459" s="116"/>
      <c r="AO459" s="120"/>
      <c r="AP459" s="38"/>
      <c r="AQ459" s="37"/>
      <c r="AR459" s="116"/>
      <c r="AS459" s="120"/>
      <c r="AT459" s="38"/>
      <c r="AU459" s="37"/>
      <c r="AV459" s="120"/>
      <c r="AW459" s="120"/>
      <c r="AX459" s="37"/>
      <c r="AY459" s="38"/>
      <c r="AZ459" s="37">
        <v>292</v>
      </c>
      <c r="BA459" s="116">
        <v>452</v>
      </c>
      <c r="BB459" s="31">
        <v>459</v>
      </c>
      <c r="BC459" s="32">
        <v>274</v>
      </c>
      <c r="BD459" s="31">
        <v>450</v>
      </c>
      <c r="BE459" s="116">
        <v>281</v>
      </c>
      <c r="BF459" s="120">
        <v>281</v>
      </c>
      <c r="BG459" s="38">
        <v>444</v>
      </c>
      <c r="BH459" s="37">
        <v>469</v>
      </c>
      <c r="BI459" s="38">
        <v>268</v>
      </c>
      <c r="BJ459" s="111">
        <v>33</v>
      </c>
      <c r="BK459" s="33">
        <v>411</v>
      </c>
      <c r="BL459" s="115">
        <v>297</v>
      </c>
      <c r="BM459" s="111">
        <v>332</v>
      </c>
      <c r="BN459" s="35">
        <v>399</v>
      </c>
      <c r="BO459" s="32">
        <v>19</v>
      </c>
      <c r="BP459" s="31">
        <v>460</v>
      </c>
      <c r="BQ459" s="32">
        <v>282</v>
      </c>
      <c r="BR459" s="31">
        <v>272</v>
      </c>
      <c r="BS459" s="32">
        <v>481</v>
      </c>
      <c r="BT459" s="31">
        <v>430</v>
      </c>
      <c r="BU459" s="33">
        <v>26</v>
      </c>
      <c r="BV459" s="115">
        <v>280</v>
      </c>
      <c r="BW459" s="111">
        <v>292</v>
      </c>
      <c r="BX459" s="32">
        <v>474</v>
      </c>
      <c r="BY459" s="31">
        <v>297</v>
      </c>
      <c r="BZ459" s="32">
        <v>434</v>
      </c>
      <c r="CA459" s="111">
        <v>433</v>
      </c>
      <c r="CB459" s="32">
        <v>305</v>
      </c>
      <c r="CC459" s="33">
        <v>556</v>
      </c>
      <c r="CD459" s="34">
        <v>514</v>
      </c>
      <c r="CE459" s="120">
        <v>394</v>
      </c>
      <c r="CF459" s="38">
        <v>235</v>
      </c>
      <c r="CG459" s="31">
        <v>177</v>
      </c>
      <c r="CH459" s="35">
        <v>280</v>
      </c>
      <c r="CI459" s="35">
        <v>137</v>
      </c>
      <c r="CJ459" s="35">
        <v>185</v>
      </c>
      <c r="CK459" s="32">
        <v>421</v>
      </c>
    </row>
    <row r="460" spans="1:89" ht="13" x14ac:dyDescent="0.25">
      <c r="A460" s="27">
        <v>7333</v>
      </c>
      <c r="B460" s="28" t="s">
        <v>483</v>
      </c>
      <c r="C460" s="29">
        <v>1260</v>
      </c>
      <c r="D460" s="30">
        <v>1034</v>
      </c>
      <c r="E460" s="20">
        <f t="shared" si="7"/>
        <v>0.82063492063492061</v>
      </c>
      <c r="F460" s="31">
        <v>0</v>
      </c>
      <c r="G460" s="111">
        <v>0</v>
      </c>
      <c r="H460" s="111">
        <v>0</v>
      </c>
      <c r="I460" s="111">
        <v>0</v>
      </c>
      <c r="J460" s="111">
        <v>0</v>
      </c>
      <c r="K460" s="111">
        <v>0</v>
      </c>
      <c r="L460" s="111">
        <v>0</v>
      </c>
      <c r="M460" s="111">
        <v>304</v>
      </c>
      <c r="N460" s="111">
        <v>0</v>
      </c>
      <c r="O460" s="111">
        <v>0</v>
      </c>
      <c r="P460" s="35">
        <v>5</v>
      </c>
      <c r="Q460" s="35">
        <v>2</v>
      </c>
      <c r="R460" s="35">
        <v>708</v>
      </c>
      <c r="S460" s="32">
        <v>0</v>
      </c>
      <c r="T460" s="31">
        <v>269</v>
      </c>
      <c r="U460" s="32">
        <v>718</v>
      </c>
      <c r="V460" s="31">
        <v>745</v>
      </c>
      <c r="W460" s="32">
        <v>258</v>
      </c>
      <c r="X460" s="31">
        <v>277</v>
      </c>
      <c r="Y460" s="32">
        <v>700</v>
      </c>
      <c r="Z460" s="111">
        <v>310</v>
      </c>
      <c r="AA460" s="35">
        <v>0</v>
      </c>
      <c r="AB460" s="35">
        <v>37</v>
      </c>
      <c r="AC460" s="35">
        <v>658</v>
      </c>
      <c r="AD460" s="35">
        <v>0</v>
      </c>
      <c r="AE460" s="33">
        <v>0</v>
      </c>
      <c r="AF460" s="115">
        <v>0</v>
      </c>
      <c r="AG460" s="111"/>
      <c r="AH460" s="32"/>
      <c r="AI460" s="31">
        <v>704</v>
      </c>
      <c r="AJ460" s="33">
        <v>271</v>
      </c>
      <c r="AK460" s="31">
        <v>709</v>
      </c>
      <c r="AL460" s="32">
        <v>260</v>
      </c>
      <c r="AM460" s="31"/>
      <c r="AN460" s="115"/>
      <c r="AO460" s="111"/>
      <c r="AP460" s="32"/>
      <c r="AQ460" s="31"/>
      <c r="AR460" s="115"/>
      <c r="AS460" s="111"/>
      <c r="AT460" s="32"/>
      <c r="AU460" s="31"/>
      <c r="AV460" s="111"/>
      <c r="AW460" s="111"/>
      <c r="AX460" s="31"/>
      <c r="AY460" s="32"/>
      <c r="AZ460" s="31">
        <v>267</v>
      </c>
      <c r="BA460" s="115">
        <v>703</v>
      </c>
      <c r="BB460" s="31">
        <v>708</v>
      </c>
      <c r="BC460" s="32">
        <v>252</v>
      </c>
      <c r="BD460" s="31">
        <v>692</v>
      </c>
      <c r="BE460" s="115">
        <v>261</v>
      </c>
      <c r="BF460" s="111">
        <v>256</v>
      </c>
      <c r="BG460" s="32">
        <v>693</v>
      </c>
      <c r="BH460" s="31">
        <v>736</v>
      </c>
      <c r="BI460" s="32">
        <v>234</v>
      </c>
      <c r="BJ460" s="111">
        <v>29</v>
      </c>
      <c r="BK460" s="33">
        <v>675</v>
      </c>
      <c r="BL460" s="115">
        <v>258</v>
      </c>
      <c r="BM460" s="111">
        <v>295</v>
      </c>
      <c r="BN460" s="35">
        <v>653</v>
      </c>
      <c r="BO460" s="32">
        <v>29</v>
      </c>
      <c r="BP460" s="31">
        <v>702</v>
      </c>
      <c r="BQ460" s="32">
        <v>261</v>
      </c>
      <c r="BR460" s="31">
        <v>225</v>
      </c>
      <c r="BS460" s="32">
        <v>765</v>
      </c>
      <c r="BT460" s="31">
        <v>671</v>
      </c>
      <c r="BU460" s="33">
        <v>45</v>
      </c>
      <c r="BV460" s="115">
        <v>238</v>
      </c>
      <c r="BW460" s="111">
        <v>271</v>
      </c>
      <c r="BX460" s="32">
        <v>717</v>
      </c>
      <c r="BY460" s="31">
        <v>268</v>
      </c>
      <c r="BZ460" s="32">
        <v>677</v>
      </c>
      <c r="CA460" s="111">
        <v>677</v>
      </c>
      <c r="CB460" s="32">
        <v>276</v>
      </c>
      <c r="CC460" s="33">
        <v>804</v>
      </c>
      <c r="CD460" s="34">
        <v>611</v>
      </c>
      <c r="CE460" s="111">
        <v>576</v>
      </c>
      <c r="CF460" s="38">
        <v>258</v>
      </c>
      <c r="CG460" s="31">
        <v>254</v>
      </c>
      <c r="CH460" s="35">
        <v>452</v>
      </c>
      <c r="CI460" s="35">
        <v>135</v>
      </c>
      <c r="CJ460" s="35">
        <v>146</v>
      </c>
      <c r="CK460" s="32">
        <v>623</v>
      </c>
    </row>
    <row r="461" spans="1:89" ht="13" x14ac:dyDescent="0.25">
      <c r="A461" s="27">
        <v>7334</v>
      </c>
      <c r="B461" s="28" t="s">
        <v>484</v>
      </c>
      <c r="C461" s="29">
        <v>1276</v>
      </c>
      <c r="D461" s="30">
        <v>995</v>
      </c>
      <c r="E461" s="20">
        <f t="shared" si="7"/>
        <v>0.77978056426332287</v>
      </c>
      <c r="F461" s="31">
        <v>0</v>
      </c>
      <c r="G461" s="111">
        <v>0</v>
      </c>
      <c r="H461" s="111">
        <v>0</v>
      </c>
      <c r="I461" s="111">
        <v>2</v>
      </c>
      <c r="J461" s="111">
        <v>1</v>
      </c>
      <c r="K461" s="111">
        <v>0</v>
      </c>
      <c r="L461" s="111">
        <v>0</v>
      </c>
      <c r="M461" s="111">
        <v>329</v>
      </c>
      <c r="N461" s="111">
        <v>0</v>
      </c>
      <c r="O461" s="111">
        <v>0</v>
      </c>
      <c r="P461" s="35">
        <v>7</v>
      </c>
      <c r="Q461" s="35">
        <v>2</v>
      </c>
      <c r="R461" s="35">
        <v>641</v>
      </c>
      <c r="S461" s="32">
        <v>0</v>
      </c>
      <c r="T461" s="31">
        <v>322</v>
      </c>
      <c r="U461" s="32">
        <v>623</v>
      </c>
      <c r="V461" s="31">
        <v>679</v>
      </c>
      <c r="W461" s="32">
        <v>280</v>
      </c>
      <c r="X461" s="31">
        <v>317</v>
      </c>
      <c r="Y461" s="32">
        <v>611</v>
      </c>
      <c r="Z461" s="111">
        <v>349</v>
      </c>
      <c r="AA461" s="35">
        <v>0</v>
      </c>
      <c r="AB461" s="35">
        <v>34</v>
      </c>
      <c r="AC461" s="35">
        <v>583</v>
      </c>
      <c r="AD461" s="35">
        <v>0</v>
      </c>
      <c r="AE461" s="33">
        <v>0</v>
      </c>
      <c r="AF461" s="115">
        <v>0</v>
      </c>
      <c r="AG461" s="111"/>
      <c r="AH461" s="32"/>
      <c r="AI461" s="31">
        <v>611</v>
      </c>
      <c r="AJ461" s="33">
        <v>309</v>
      </c>
      <c r="AK461" s="31">
        <v>629</v>
      </c>
      <c r="AL461" s="32">
        <v>304</v>
      </c>
      <c r="AM461" s="31"/>
      <c r="AN461" s="115"/>
      <c r="AO461" s="111"/>
      <c r="AP461" s="32"/>
      <c r="AQ461" s="31"/>
      <c r="AR461" s="115"/>
      <c r="AS461" s="111"/>
      <c r="AT461" s="32"/>
      <c r="AU461" s="31"/>
      <c r="AV461" s="111"/>
      <c r="AW461" s="111"/>
      <c r="AX461" s="31"/>
      <c r="AY461" s="32"/>
      <c r="AZ461" s="31">
        <v>304</v>
      </c>
      <c r="BA461" s="115">
        <v>609</v>
      </c>
      <c r="BB461" s="31">
        <v>618</v>
      </c>
      <c r="BC461" s="32">
        <v>299</v>
      </c>
      <c r="BD461" s="31">
        <v>609</v>
      </c>
      <c r="BE461" s="115">
        <v>301</v>
      </c>
      <c r="BF461" s="111">
        <v>303</v>
      </c>
      <c r="BG461" s="32">
        <v>601</v>
      </c>
      <c r="BH461" s="31">
        <v>650</v>
      </c>
      <c r="BI461" s="32">
        <v>273</v>
      </c>
      <c r="BJ461" s="111">
        <v>47</v>
      </c>
      <c r="BK461" s="33">
        <v>568</v>
      </c>
      <c r="BL461" s="115">
        <v>312</v>
      </c>
      <c r="BM461" s="111">
        <v>320</v>
      </c>
      <c r="BN461" s="35">
        <v>570</v>
      </c>
      <c r="BO461" s="32">
        <v>35</v>
      </c>
      <c r="BP461" s="31">
        <v>620</v>
      </c>
      <c r="BQ461" s="32">
        <v>291</v>
      </c>
      <c r="BR461" s="31">
        <v>265</v>
      </c>
      <c r="BS461" s="32">
        <v>680</v>
      </c>
      <c r="BT461" s="31">
        <v>589</v>
      </c>
      <c r="BU461" s="33">
        <v>42</v>
      </c>
      <c r="BV461" s="115">
        <v>280</v>
      </c>
      <c r="BW461" s="111">
        <v>297</v>
      </c>
      <c r="BX461" s="32">
        <v>661</v>
      </c>
      <c r="BY461" s="31">
        <v>319</v>
      </c>
      <c r="BZ461" s="32">
        <v>584</v>
      </c>
      <c r="CA461" s="111">
        <v>612</v>
      </c>
      <c r="CB461" s="32">
        <v>308</v>
      </c>
      <c r="CC461" s="33">
        <v>731</v>
      </c>
      <c r="CD461" s="34">
        <v>618</v>
      </c>
      <c r="CE461" s="111">
        <v>465</v>
      </c>
      <c r="CF461" s="38">
        <v>283</v>
      </c>
      <c r="CG461" s="31">
        <v>214</v>
      </c>
      <c r="CH461" s="35">
        <v>287</v>
      </c>
      <c r="CI461" s="35">
        <v>152</v>
      </c>
      <c r="CJ461" s="35">
        <v>184</v>
      </c>
      <c r="CK461" s="32">
        <v>565</v>
      </c>
    </row>
    <row r="462" spans="1:89" ht="13" x14ac:dyDescent="0.25">
      <c r="A462" s="27">
        <v>7335</v>
      </c>
      <c r="B462" s="28" t="s">
        <v>485</v>
      </c>
      <c r="C462" s="29">
        <v>713</v>
      </c>
      <c r="D462" s="30">
        <v>496</v>
      </c>
      <c r="E462" s="20">
        <f t="shared" si="7"/>
        <v>0.69565217391304346</v>
      </c>
      <c r="F462" s="31">
        <v>0</v>
      </c>
      <c r="G462" s="111">
        <v>0</v>
      </c>
      <c r="H462" s="111">
        <v>0</v>
      </c>
      <c r="I462" s="111">
        <v>0</v>
      </c>
      <c r="J462" s="111">
        <v>1</v>
      </c>
      <c r="K462" s="111">
        <v>0</v>
      </c>
      <c r="L462" s="111">
        <v>0</v>
      </c>
      <c r="M462" s="111">
        <v>283</v>
      </c>
      <c r="N462" s="111">
        <v>0</v>
      </c>
      <c r="O462" s="111">
        <v>0</v>
      </c>
      <c r="P462" s="35">
        <v>3</v>
      </c>
      <c r="Q462" s="35">
        <v>1</v>
      </c>
      <c r="R462" s="35">
        <v>204</v>
      </c>
      <c r="S462" s="32">
        <v>0</v>
      </c>
      <c r="T462" s="31">
        <v>262</v>
      </c>
      <c r="U462" s="32">
        <v>213</v>
      </c>
      <c r="V462" s="31">
        <v>228</v>
      </c>
      <c r="W462" s="32">
        <v>254</v>
      </c>
      <c r="X462" s="31">
        <v>281</v>
      </c>
      <c r="Y462" s="32">
        <v>189</v>
      </c>
      <c r="Z462" s="111">
        <v>288</v>
      </c>
      <c r="AA462" s="35">
        <v>0</v>
      </c>
      <c r="AB462" s="35">
        <v>13</v>
      </c>
      <c r="AC462" s="35">
        <v>184</v>
      </c>
      <c r="AD462" s="35">
        <v>0</v>
      </c>
      <c r="AE462" s="33">
        <v>0</v>
      </c>
      <c r="AF462" s="115">
        <v>0</v>
      </c>
      <c r="AG462" s="111"/>
      <c r="AH462" s="32"/>
      <c r="AI462" s="31">
        <v>193</v>
      </c>
      <c r="AJ462" s="33">
        <v>280</v>
      </c>
      <c r="AK462" s="31">
        <v>196</v>
      </c>
      <c r="AL462" s="32">
        <v>270</v>
      </c>
      <c r="AM462" s="31"/>
      <c r="AN462" s="115"/>
      <c r="AO462" s="111"/>
      <c r="AP462" s="32"/>
      <c r="AQ462" s="31"/>
      <c r="AR462" s="115"/>
      <c r="AS462" s="111"/>
      <c r="AT462" s="32"/>
      <c r="AU462" s="31"/>
      <c r="AV462" s="111"/>
      <c r="AW462" s="111"/>
      <c r="AX462" s="31"/>
      <c r="AY462" s="32"/>
      <c r="AZ462" s="31">
        <v>273</v>
      </c>
      <c r="BA462" s="115">
        <v>197</v>
      </c>
      <c r="BB462" s="31">
        <v>204</v>
      </c>
      <c r="BC462" s="32">
        <v>264</v>
      </c>
      <c r="BD462" s="31">
        <v>200</v>
      </c>
      <c r="BE462" s="115">
        <v>268</v>
      </c>
      <c r="BF462" s="111">
        <v>265</v>
      </c>
      <c r="BG462" s="32">
        <v>197</v>
      </c>
      <c r="BH462" s="31">
        <v>218</v>
      </c>
      <c r="BI462" s="32">
        <v>253</v>
      </c>
      <c r="BJ462" s="111">
        <v>16</v>
      </c>
      <c r="BK462" s="33">
        <v>179</v>
      </c>
      <c r="BL462" s="115">
        <v>280</v>
      </c>
      <c r="BM462" s="111">
        <v>283</v>
      </c>
      <c r="BN462" s="35">
        <v>180</v>
      </c>
      <c r="BO462" s="32">
        <v>13</v>
      </c>
      <c r="BP462" s="31">
        <v>208</v>
      </c>
      <c r="BQ462" s="32">
        <v>263</v>
      </c>
      <c r="BR462" s="31">
        <v>248</v>
      </c>
      <c r="BS462" s="32">
        <v>224</v>
      </c>
      <c r="BT462" s="31">
        <v>195</v>
      </c>
      <c r="BU462" s="33">
        <v>13</v>
      </c>
      <c r="BV462" s="115">
        <v>260</v>
      </c>
      <c r="BW462" s="111">
        <v>271</v>
      </c>
      <c r="BX462" s="32">
        <v>200</v>
      </c>
      <c r="BY462" s="31">
        <v>276</v>
      </c>
      <c r="BZ462" s="32">
        <v>185</v>
      </c>
      <c r="CA462" s="111">
        <v>194</v>
      </c>
      <c r="CB462" s="32">
        <v>279</v>
      </c>
      <c r="CC462" s="33">
        <v>282</v>
      </c>
      <c r="CD462" s="34">
        <v>376</v>
      </c>
      <c r="CE462" s="111">
        <v>193</v>
      </c>
      <c r="CF462" s="38">
        <v>196</v>
      </c>
      <c r="CG462" s="31">
        <v>97</v>
      </c>
      <c r="CH462" s="35">
        <v>103</v>
      </c>
      <c r="CI462" s="35">
        <v>151</v>
      </c>
      <c r="CJ462" s="35">
        <v>162</v>
      </c>
      <c r="CK462" s="32">
        <v>219</v>
      </c>
    </row>
    <row r="463" spans="1:89" ht="13" x14ac:dyDescent="0.25">
      <c r="A463" s="27">
        <v>7336</v>
      </c>
      <c r="B463" s="28" t="s">
        <v>486</v>
      </c>
      <c r="C463" s="29">
        <v>1217</v>
      </c>
      <c r="D463" s="30">
        <v>903</v>
      </c>
      <c r="E463" s="20">
        <f t="shared" si="7"/>
        <v>0.74198849630238295</v>
      </c>
      <c r="F463" s="31">
        <v>0</v>
      </c>
      <c r="G463" s="111">
        <v>0</v>
      </c>
      <c r="H463" s="111">
        <v>0</v>
      </c>
      <c r="I463" s="111">
        <v>0</v>
      </c>
      <c r="J463" s="111">
        <v>0</v>
      </c>
      <c r="K463" s="111">
        <v>0</v>
      </c>
      <c r="L463" s="111">
        <v>0</v>
      </c>
      <c r="M463" s="111">
        <v>351</v>
      </c>
      <c r="N463" s="111">
        <v>0</v>
      </c>
      <c r="O463" s="111">
        <v>0</v>
      </c>
      <c r="P463" s="35">
        <v>9</v>
      </c>
      <c r="Q463" s="35">
        <v>0</v>
      </c>
      <c r="R463" s="35">
        <v>532</v>
      </c>
      <c r="S463" s="32">
        <v>0</v>
      </c>
      <c r="T463" s="31">
        <v>334</v>
      </c>
      <c r="U463" s="32">
        <v>538</v>
      </c>
      <c r="V463" s="31">
        <v>562</v>
      </c>
      <c r="W463" s="32">
        <v>311</v>
      </c>
      <c r="X463" s="31">
        <v>336</v>
      </c>
      <c r="Y463" s="32">
        <v>516</v>
      </c>
      <c r="Z463" s="111">
        <v>375</v>
      </c>
      <c r="AA463" s="35">
        <v>0</v>
      </c>
      <c r="AB463" s="35">
        <v>39</v>
      </c>
      <c r="AC463" s="35">
        <v>471</v>
      </c>
      <c r="AD463" s="35">
        <v>0</v>
      </c>
      <c r="AE463" s="33">
        <v>0</v>
      </c>
      <c r="AF463" s="115">
        <v>0</v>
      </c>
      <c r="AG463" s="111"/>
      <c r="AH463" s="32"/>
      <c r="AI463" s="31">
        <v>526</v>
      </c>
      <c r="AJ463" s="33">
        <v>324</v>
      </c>
      <c r="AK463" s="31">
        <v>522</v>
      </c>
      <c r="AL463" s="32">
        <v>332</v>
      </c>
      <c r="AM463" s="31"/>
      <c r="AN463" s="115"/>
      <c r="AO463" s="111"/>
      <c r="AP463" s="32"/>
      <c r="AQ463" s="31"/>
      <c r="AR463" s="115"/>
      <c r="AS463" s="111"/>
      <c r="AT463" s="32"/>
      <c r="AU463" s="31"/>
      <c r="AV463" s="111"/>
      <c r="AW463" s="111"/>
      <c r="AX463" s="31"/>
      <c r="AY463" s="32"/>
      <c r="AZ463" s="31">
        <v>333</v>
      </c>
      <c r="BA463" s="115">
        <v>523</v>
      </c>
      <c r="BB463" s="31">
        <v>531</v>
      </c>
      <c r="BC463" s="32">
        <v>309</v>
      </c>
      <c r="BD463" s="31">
        <v>513</v>
      </c>
      <c r="BE463" s="115">
        <v>325</v>
      </c>
      <c r="BF463" s="111">
        <v>323</v>
      </c>
      <c r="BG463" s="32">
        <v>510</v>
      </c>
      <c r="BH463" s="31">
        <v>563</v>
      </c>
      <c r="BI463" s="32">
        <v>289</v>
      </c>
      <c r="BJ463" s="111">
        <v>37</v>
      </c>
      <c r="BK463" s="33">
        <v>497</v>
      </c>
      <c r="BL463" s="115">
        <v>323</v>
      </c>
      <c r="BM463" s="111">
        <v>355</v>
      </c>
      <c r="BN463" s="35">
        <v>472</v>
      </c>
      <c r="BO463" s="32">
        <v>34</v>
      </c>
      <c r="BP463" s="31">
        <v>535</v>
      </c>
      <c r="BQ463" s="32">
        <v>317</v>
      </c>
      <c r="BR463" s="31">
        <v>285</v>
      </c>
      <c r="BS463" s="32">
        <v>580</v>
      </c>
      <c r="BT463" s="31">
        <v>512</v>
      </c>
      <c r="BU463" s="33">
        <v>43</v>
      </c>
      <c r="BV463" s="115">
        <v>294</v>
      </c>
      <c r="BW463" s="111">
        <v>329</v>
      </c>
      <c r="BX463" s="32">
        <v>539</v>
      </c>
      <c r="BY463" s="31">
        <v>328</v>
      </c>
      <c r="BZ463" s="32">
        <v>502</v>
      </c>
      <c r="CA463" s="111">
        <v>497</v>
      </c>
      <c r="CB463" s="32">
        <v>347</v>
      </c>
      <c r="CC463" s="33">
        <v>645</v>
      </c>
      <c r="CD463" s="34">
        <v>591</v>
      </c>
      <c r="CE463" s="111">
        <v>443</v>
      </c>
      <c r="CF463" s="38">
        <v>260</v>
      </c>
      <c r="CG463" s="31">
        <v>246</v>
      </c>
      <c r="CH463" s="35">
        <v>296</v>
      </c>
      <c r="CI463" s="35">
        <v>149</v>
      </c>
      <c r="CJ463" s="35">
        <v>171</v>
      </c>
      <c r="CK463" s="32">
        <v>474</v>
      </c>
    </row>
    <row r="464" spans="1:89" ht="13" x14ac:dyDescent="0.25">
      <c r="A464" s="27">
        <v>7337</v>
      </c>
      <c r="B464" s="28" t="s">
        <v>487</v>
      </c>
      <c r="C464" s="29">
        <v>1130</v>
      </c>
      <c r="D464" s="30">
        <v>940</v>
      </c>
      <c r="E464" s="20">
        <f t="shared" si="7"/>
        <v>0.83185840707964598</v>
      </c>
      <c r="F464" s="31">
        <v>0</v>
      </c>
      <c r="G464" s="111">
        <v>0</v>
      </c>
      <c r="H464" s="111">
        <v>0</v>
      </c>
      <c r="I464" s="111">
        <v>0</v>
      </c>
      <c r="J464" s="111">
        <v>2</v>
      </c>
      <c r="K464" s="111">
        <v>0</v>
      </c>
      <c r="L464" s="111">
        <v>0</v>
      </c>
      <c r="M464" s="111">
        <v>241</v>
      </c>
      <c r="N464" s="111">
        <v>0</v>
      </c>
      <c r="O464" s="111">
        <v>0</v>
      </c>
      <c r="P464" s="35">
        <v>11</v>
      </c>
      <c r="Q464" s="35">
        <v>0</v>
      </c>
      <c r="R464" s="35">
        <v>679</v>
      </c>
      <c r="S464" s="32">
        <v>0</v>
      </c>
      <c r="T464" s="37">
        <v>206</v>
      </c>
      <c r="U464" s="38">
        <v>698</v>
      </c>
      <c r="V464" s="37">
        <v>701</v>
      </c>
      <c r="W464" s="32">
        <v>211</v>
      </c>
      <c r="X464" s="31">
        <v>214</v>
      </c>
      <c r="Y464" s="32">
        <v>670</v>
      </c>
      <c r="Z464" s="111">
        <v>256</v>
      </c>
      <c r="AA464" s="35">
        <v>0</v>
      </c>
      <c r="AB464" s="35">
        <v>32</v>
      </c>
      <c r="AC464" s="35">
        <v>639</v>
      </c>
      <c r="AD464" s="35">
        <v>0</v>
      </c>
      <c r="AE464" s="33">
        <v>0</v>
      </c>
      <c r="AF464" s="116">
        <v>0</v>
      </c>
      <c r="AG464" s="120"/>
      <c r="AH464" s="38"/>
      <c r="AI464" s="37">
        <v>684</v>
      </c>
      <c r="AJ464" s="36">
        <v>209</v>
      </c>
      <c r="AK464" s="37">
        <v>679</v>
      </c>
      <c r="AL464" s="38">
        <v>202</v>
      </c>
      <c r="AM464" s="37"/>
      <c r="AN464" s="116"/>
      <c r="AO464" s="120"/>
      <c r="AP464" s="38"/>
      <c r="AQ464" s="37"/>
      <c r="AR464" s="116"/>
      <c r="AS464" s="120"/>
      <c r="AT464" s="38"/>
      <c r="AU464" s="37"/>
      <c r="AV464" s="120"/>
      <c r="AW464" s="120"/>
      <c r="AX464" s="37"/>
      <c r="AY464" s="38"/>
      <c r="AZ464" s="37">
        <v>204</v>
      </c>
      <c r="BA464" s="116">
        <v>674</v>
      </c>
      <c r="BB464" s="31">
        <v>684</v>
      </c>
      <c r="BC464" s="32">
        <v>184</v>
      </c>
      <c r="BD464" s="31">
        <v>660</v>
      </c>
      <c r="BE464" s="116">
        <v>202</v>
      </c>
      <c r="BF464" s="120">
        <v>189</v>
      </c>
      <c r="BG464" s="38">
        <v>668</v>
      </c>
      <c r="BH464" s="37">
        <v>693</v>
      </c>
      <c r="BI464" s="38">
        <v>174</v>
      </c>
      <c r="BJ464" s="111">
        <v>35</v>
      </c>
      <c r="BK464" s="33">
        <v>633</v>
      </c>
      <c r="BL464" s="115">
        <v>204</v>
      </c>
      <c r="BM464" s="111">
        <v>232</v>
      </c>
      <c r="BN464" s="35">
        <v>615</v>
      </c>
      <c r="BO464" s="32">
        <v>25</v>
      </c>
      <c r="BP464" s="31">
        <v>675</v>
      </c>
      <c r="BQ464" s="32">
        <v>187</v>
      </c>
      <c r="BR464" s="31">
        <v>177</v>
      </c>
      <c r="BS464" s="32">
        <v>707</v>
      </c>
      <c r="BT464" s="31">
        <v>639</v>
      </c>
      <c r="BU464" s="33">
        <v>37</v>
      </c>
      <c r="BV464" s="115">
        <v>188</v>
      </c>
      <c r="BW464" s="111">
        <v>206</v>
      </c>
      <c r="BX464" s="32">
        <v>683</v>
      </c>
      <c r="BY464" s="31">
        <v>201</v>
      </c>
      <c r="BZ464" s="32">
        <v>649</v>
      </c>
      <c r="CA464" s="111">
        <v>659</v>
      </c>
      <c r="CB464" s="32">
        <v>206</v>
      </c>
      <c r="CC464" s="33">
        <v>736</v>
      </c>
      <c r="CD464" s="34">
        <v>527</v>
      </c>
      <c r="CE464" s="120">
        <v>568</v>
      </c>
      <c r="CF464" s="38">
        <v>192</v>
      </c>
      <c r="CG464" s="31">
        <v>205</v>
      </c>
      <c r="CH464" s="35">
        <v>428</v>
      </c>
      <c r="CI464" s="35">
        <v>90</v>
      </c>
      <c r="CJ464" s="35">
        <v>125</v>
      </c>
      <c r="CK464" s="32">
        <v>558</v>
      </c>
    </row>
    <row r="465" spans="1:89" ht="13" x14ac:dyDescent="0.25">
      <c r="A465" s="27">
        <v>7338</v>
      </c>
      <c r="B465" s="28" t="s">
        <v>488</v>
      </c>
      <c r="C465" s="29">
        <v>973</v>
      </c>
      <c r="D465" s="30">
        <v>813</v>
      </c>
      <c r="E465" s="20">
        <f t="shared" si="7"/>
        <v>0.83556012332990748</v>
      </c>
      <c r="F465" s="31">
        <v>0</v>
      </c>
      <c r="G465" s="111">
        <v>0</v>
      </c>
      <c r="H465" s="111">
        <v>0</v>
      </c>
      <c r="I465" s="111">
        <v>0</v>
      </c>
      <c r="J465" s="111">
        <v>1</v>
      </c>
      <c r="K465" s="111">
        <v>0</v>
      </c>
      <c r="L465" s="111">
        <v>0</v>
      </c>
      <c r="M465" s="111">
        <v>210</v>
      </c>
      <c r="N465" s="111">
        <v>0</v>
      </c>
      <c r="O465" s="111">
        <v>0</v>
      </c>
      <c r="P465" s="35">
        <v>6</v>
      </c>
      <c r="Q465" s="35">
        <v>1</v>
      </c>
      <c r="R465" s="35">
        <v>576</v>
      </c>
      <c r="S465" s="32">
        <v>0</v>
      </c>
      <c r="T465" s="37">
        <v>186</v>
      </c>
      <c r="U465" s="38">
        <v>599</v>
      </c>
      <c r="V465" s="37">
        <v>613</v>
      </c>
      <c r="W465" s="32">
        <v>179</v>
      </c>
      <c r="X465" s="31">
        <v>198</v>
      </c>
      <c r="Y465" s="32">
        <v>578</v>
      </c>
      <c r="Z465" s="111">
        <v>223</v>
      </c>
      <c r="AA465" s="35">
        <v>0</v>
      </c>
      <c r="AB465" s="35">
        <v>28</v>
      </c>
      <c r="AC465" s="35">
        <v>544</v>
      </c>
      <c r="AD465" s="35">
        <v>0</v>
      </c>
      <c r="AE465" s="33">
        <v>0</v>
      </c>
      <c r="AF465" s="116">
        <v>0</v>
      </c>
      <c r="AG465" s="120"/>
      <c r="AH465" s="38"/>
      <c r="AI465" s="37">
        <v>591</v>
      </c>
      <c r="AJ465" s="36">
        <v>177</v>
      </c>
      <c r="AK465" s="37">
        <v>592</v>
      </c>
      <c r="AL465" s="38">
        <v>183</v>
      </c>
      <c r="AM465" s="37"/>
      <c r="AN465" s="116"/>
      <c r="AO465" s="120"/>
      <c r="AP465" s="38"/>
      <c r="AQ465" s="37"/>
      <c r="AR465" s="116"/>
      <c r="AS465" s="120"/>
      <c r="AT465" s="38"/>
      <c r="AU465" s="37"/>
      <c r="AV465" s="120"/>
      <c r="AW465" s="120"/>
      <c r="AX465" s="37"/>
      <c r="AY465" s="38"/>
      <c r="AZ465" s="37">
        <v>179</v>
      </c>
      <c r="BA465" s="116">
        <v>600</v>
      </c>
      <c r="BB465" s="31">
        <v>593</v>
      </c>
      <c r="BC465" s="32">
        <v>167</v>
      </c>
      <c r="BD465" s="31">
        <v>578</v>
      </c>
      <c r="BE465" s="116">
        <v>174</v>
      </c>
      <c r="BF465" s="120">
        <v>171</v>
      </c>
      <c r="BG465" s="38">
        <v>578</v>
      </c>
      <c r="BH465" s="37">
        <v>613</v>
      </c>
      <c r="BI465" s="38">
        <v>148</v>
      </c>
      <c r="BJ465" s="111">
        <v>47</v>
      </c>
      <c r="BK465" s="33">
        <v>539</v>
      </c>
      <c r="BL465" s="115">
        <v>178</v>
      </c>
      <c r="BM465" s="111">
        <v>207</v>
      </c>
      <c r="BN465" s="35">
        <v>535</v>
      </c>
      <c r="BO465" s="32">
        <v>27</v>
      </c>
      <c r="BP465" s="31">
        <v>593</v>
      </c>
      <c r="BQ465" s="32">
        <v>168</v>
      </c>
      <c r="BR465" s="31">
        <v>153</v>
      </c>
      <c r="BS465" s="32">
        <v>620</v>
      </c>
      <c r="BT465" s="31">
        <v>545</v>
      </c>
      <c r="BU465" s="33">
        <v>41</v>
      </c>
      <c r="BV465" s="115">
        <v>163</v>
      </c>
      <c r="BW465" s="111">
        <v>186</v>
      </c>
      <c r="BX465" s="32">
        <v>578</v>
      </c>
      <c r="BY465" s="31">
        <v>192</v>
      </c>
      <c r="BZ465" s="32">
        <v>548</v>
      </c>
      <c r="CA465" s="111">
        <v>557</v>
      </c>
      <c r="CB465" s="32">
        <v>188</v>
      </c>
      <c r="CC465" s="33">
        <v>644</v>
      </c>
      <c r="CD465" s="34">
        <v>479</v>
      </c>
      <c r="CE465" s="120">
        <v>426</v>
      </c>
      <c r="CF465" s="38">
        <v>182</v>
      </c>
      <c r="CG465" s="31">
        <v>205</v>
      </c>
      <c r="CH465" s="35">
        <v>309</v>
      </c>
      <c r="CI465" s="35">
        <v>90</v>
      </c>
      <c r="CJ465" s="35">
        <v>119</v>
      </c>
      <c r="CK465" s="32">
        <v>494</v>
      </c>
    </row>
    <row r="466" spans="1:89" ht="13" x14ac:dyDescent="0.25">
      <c r="A466" s="27">
        <v>7339</v>
      </c>
      <c r="B466" s="28" t="s">
        <v>489</v>
      </c>
      <c r="C466" s="29">
        <v>704</v>
      </c>
      <c r="D466" s="30">
        <v>599</v>
      </c>
      <c r="E466" s="20">
        <f t="shared" si="7"/>
        <v>0.85085227272727271</v>
      </c>
      <c r="F466" s="31">
        <v>0</v>
      </c>
      <c r="G466" s="111">
        <v>0</v>
      </c>
      <c r="H466" s="111">
        <v>0</v>
      </c>
      <c r="I466" s="111">
        <v>0</v>
      </c>
      <c r="J466" s="111">
        <v>0</v>
      </c>
      <c r="K466" s="111">
        <v>0</v>
      </c>
      <c r="L466" s="111">
        <v>0</v>
      </c>
      <c r="M466" s="111">
        <v>167</v>
      </c>
      <c r="N466" s="111">
        <v>0</v>
      </c>
      <c r="O466" s="111">
        <v>0</v>
      </c>
      <c r="P466" s="35">
        <v>2</v>
      </c>
      <c r="Q466" s="35">
        <v>0</v>
      </c>
      <c r="R466" s="35">
        <v>418</v>
      </c>
      <c r="S466" s="32">
        <v>0</v>
      </c>
      <c r="T466" s="37">
        <v>141</v>
      </c>
      <c r="U466" s="38">
        <v>437</v>
      </c>
      <c r="V466" s="37">
        <v>460</v>
      </c>
      <c r="W466" s="32">
        <v>123</v>
      </c>
      <c r="X466" s="31">
        <v>137</v>
      </c>
      <c r="Y466" s="32">
        <v>433</v>
      </c>
      <c r="Z466" s="111">
        <v>166</v>
      </c>
      <c r="AA466" s="35">
        <v>0</v>
      </c>
      <c r="AB466" s="35">
        <v>26</v>
      </c>
      <c r="AC466" s="35">
        <v>398</v>
      </c>
      <c r="AD466" s="35">
        <v>0</v>
      </c>
      <c r="AE466" s="33">
        <v>0</v>
      </c>
      <c r="AF466" s="116">
        <v>0</v>
      </c>
      <c r="AG466" s="120"/>
      <c r="AH466" s="38"/>
      <c r="AI466" s="37">
        <v>428</v>
      </c>
      <c r="AJ466" s="36">
        <v>133</v>
      </c>
      <c r="AK466" s="37">
        <v>426</v>
      </c>
      <c r="AL466" s="38">
        <v>143</v>
      </c>
      <c r="AM466" s="37"/>
      <c r="AN466" s="116"/>
      <c r="AO466" s="120"/>
      <c r="AP466" s="38"/>
      <c r="AQ466" s="37"/>
      <c r="AR466" s="116"/>
      <c r="AS466" s="120"/>
      <c r="AT466" s="38"/>
      <c r="AU466" s="37"/>
      <c r="AV466" s="120"/>
      <c r="AW466" s="120"/>
      <c r="AX466" s="37"/>
      <c r="AY466" s="38"/>
      <c r="AZ466" s="37">
        <v>134</v>
      </c>
      <c r="BA466" s="116">
        <v>434</v>
      </c>
      <c r="BB466" s="31">
        <v>435</v>
      </c>
      <c r="BC466" s="32">
        <v>124</v>
      </c>
      <c r="BD466" s="31">
        <v>437</v>
      </c>
      <c r="BE466" s="116">
        <v>124</v>
      </c>
      <c r="BF466" s="120">
        <v>126</v>
      </c>
      <c r="BG466" s="38">
        <v>429</v>
      </c>
      <c r="BH466" s="37">
        <v>459</v>
      </c>
      <c r="BI466" s="38">
        <v>106</v>
      </c>
      <c r="BJ466" s="111">
        <v>16</v>
      </c>
      <c r="BK466" s="33">
        <v>416</v>
      </c>
      <c r="BL466" s="115">
        <v>135</v>
      </c>
      <c r="BM466" s="111">
        <v>161</v>
      </c>
      <c r="BN466" s="35">
        <v>389</v>
      </c>
      <c r="BO466" s="32">
        <v>19</v>
      </c>
      <c r="BP466" s="31">
        <v>427</v>
      </c>
      <c r="BQ466" s="32">
        <v>135</v>
      </c>
      <c r="BR466" s="31">
        <v>101</v>
      </c>
      <c r="BS466" s="32">
        <v>463</v>
      </c>
      <c r="BT466" s="31">
        <v>397</v>
      </c>
      <c r="BU466" s="33">
        <v>27</v>
      </c>
      <c r="BV466" s="115">
        <v>128</v>
      </c>
      <c r="BW466" s="111">
        <v>125</v>
      </c>
      <c r="BX466" s="32">
        <v>450</v>
      </c>
      <c r="BY466" s="31">
        <v>143</v>
      </c>
      <c r="BZ466" s="32">
        <v>408</v>
      </c>
      <c r="CA466" s="111">
        <v>412</v>
      </c>
      <c r="CB466" s="32">
        <v>147</v>
      </c>
      <c r="CC466" s="33">
        <v>464</v>
      </c>
      <c r="CD466" s="34">
        <v>328</v>
      </c>
      <c r="CE466" s="120">
        <v>319</v>
      </c>
      <c r="CF466" s="38">
        <v>133</v>
      </c>
      <c r="CG466" s="31">
        <v>140</v>
      </c>
      <c r="CH466" s="35">
        <v>261</v>
      </c>
      <c r="CI466" s="35">
        <v>52</v>
      </c>
      <c r="CJ466" s="35">
        <v>56</v>
      </c>
      <c r="CK466" s="32">
        <v>380</v>
      </c>
    </row>
    <row r="467" spans="1:89" ht="13" x14ac:dyDescent="0.25">
      <c r="A467" s="27">
        <v>7340</v>
      </c>
      <c r="B467" s="28" t="s">
        <v>490</v>
      </c>
      <c r="C467" s="29">
        <v>677</v>
      </c>
      <c r="D467" s="30">
        <v>568</v>
      </c>
      <c r="E467" s="20">
        <f t="shared" si="7"/>
        <v>0.83899556868537661</v>
      </c>
      <c r="F467" s="31">
        <v>0</v>
      </c>
      <c r="G467" s="111">
        <v>0</v>
      </c>
      <c r="H467" s="111">
        <v>0</v>
      </c>
      <c r="I467" s="111">
        <v>0</v>
      </c>
      <c r="J467" s="111">
        <v>1</v>
      </c>
      <c r="K467" s="111">
        <v>0</v>
      </c>
      <c r="L467" s="111">
        <v>0</v>
      </c>
      <c r="M467" s="111">
        <v>135</v>
      </c>
      <c r="N467" s="111">
        <v>0</v>
      </c>
      <c r="O467" s="111">
        <v>0</v>
      </c>
      <c r="P467" s="35">
        <v>5</v>
      </c>
      <c r="Q467" s="35">
        <v>0</v>
      </c>
      <c r="R467" s="35">
        <v>421</v>
      </c>
      <c r="S467" s="32">
        <v>0</v>
      </c>
      <c r="T467" s="37">
        <v>123</v>
      </c>
      <c r="U467" s="38">
        <v>424</v>
      </c>
      <c r="V467" s="37">
        <v>437</v>
      </c>
      <c r="W467" s="32">
        <v>114</v>
      </c>
      <c r="X467" s="31">
        <v>131</v>
      </c>
      <c r="Y467" s="32">
        <v>410</v>
      </c>
      <c r="Z467" s="111">
        <v>147</v>
      </c>
      <c r="AA467" s="35">
        <v>0</v>
      </c>
      <c r="AB467" s="35">
        <v>23</v>
      </c>
      <c r="AC467" s="35">
        <v>388</v>
      </c>
      <c r="AD467" s="35">
        <v>0</v>
      </c>
      <c r="AE467" s="33">
        <v>0</v>
      </c>
      <c r="AF467" s="116">
        <v>0</v>
      </c>
      <c r="AG467" s="120"/>
      <c r="AH467" s="38"/>
      <c r="AI467" s="37">
        <v>419</v>
      </c>
      <c r="AJ467" s="36">
        <v>121</v>
      </c>
      <c r="AK467" s="37">
        <v>415</v>
      </c>
      <c r="AL467" s="38">
        <v>128</v>
      </c>
      <c r="AM467" s="37"/>
      <c r="AN467" s="116"/>
      <c r="AO467" s="120"/>
      <c r="AP467" s="38"/>
      <c r="AQ467" s="37"/>
      <c r="AR467" s="116"/>
      <c r="AS467" s="120"/>
      <c r="AT467" s="38"/>
      <c r="AU467" s="37"/>
      <c r="AV467" s="120"/>
      <c r="AW467" s="120"/>
      <c r="AX467" s="37"/>
      <c r="AY467" s="38"/>
      <c r="AZ467" s="37">
        <v>122</v>
      </c>
      <c r="BA467" s="116">
        <v>416</v>
      </c>
      <c r="BB467" s="31">
        <v>420</v>
      </c>
      <c r="BC467" s="32">
        <v>110</v>
      </c>
      <c r="BD467" s="31">
        <v>414</v>
      </c>
      <c r="BE467" s="116">
        <v>116</v>
      </c>
      <c r="BF467" s="120">
        <v>118</v>
      </c>
      <c r="BG467" s="38">
        <v>405</v>
      </c>
      <c r="BH467" s="37">
        <v>429</v>
      </c>
      <c r="BI467" s="38">
        <v>110</v>
      </c>
      <c r="BJ467" s="111">
        <v>24</v>
      </c>
      <c r="BK467" s="33">
        <v>392</v>
      </c>
      <c r="BL467" s="115">
        <v>116</v>
      </c>
      <c r="BM467" s="111">
        <v>146</v>
      </c>
      <c r="BN467" s="35">
        <v>382</v>
      </c>
      <c r="BO467" s="32">
        <v>11</v>
      </c>
      <c r="BP467" s="31">
        <v>423</v>
      </c>
      <c r="BQ467" s="32">
        <v>114</v>
      </c>
      <c r="BR467" s="31">
        <v>108</v>
      </c>
      <c r="BS467" s="32">
        <v>430</v>
      </c>
      <c r="BT467" s="31">
        <v>391</v>
      </c>
      <c r="BU467" s="33">
        <v>25</v>
      </c>
      <c r="BV467" s="115">
        <v>114</v>
      </c>
      <c r="BW467" s="111">
        <v>132</v>
      </c>
      <c r="BX467" s="32">
        <v>414</v>
      </c>
      <c r="BY467" s="31">
        <v>131</v>
      </c>
      <c r="BZ467" s="32">
        <v>393</v>
      </c>
      <c r="CA467" s="111">
        <v>408</v>
      </c>
      <c r="CB467" s="32">
        <v>121</v>
      </c>
      <c r="CC467" s="33">
        <v>446</v>
      </c>
      <c r="CD467" s="34">
        <v>318</v>
      </c>
      <c r="CE467" s="120">
        <v>350</v>
      </c>
      <c r="CF467" s="38">
        <v>111</v>
      </c>
      <c r="CG467" s="31">
        <v>120</v>
      </c>
      <c r="CH467" s="35">
        <v>261</v>
      </c>
      <c r="CI467" s="35">
        <v>55</v>
      </c>
      <c r="CJ467" s="35">
        <v>65</v>
      </c>
      <c r="CK467" s="32">
        <v>374</v>
      </c>
    </row>
    <row r="468" spans="1:89" ht="13" x14ac:dyDescent="0.25">
      <c r="A468" s="27">
        <v>7341</v>
      </c>
      <c r="B468" s="28" t="s">
        <v>491</v>
      </c>
      <c r="C468" s="29">
        <v>628</v>
      </c>
      <c r="D468" s="30">
        <v>510</v>
      </c>
      <c r="E468" s="20">
        <f t="shared" si="7"/>
        <v>0.81210191082802552</v>
      </c>
      <c r="F468" s="31">
        <v>0</v>
      </c>
      <c r="G468" s="111">
        <v>0</v>
      </c>
      <c r="H468" s="111">
        <v>0</v>
      </c>
      <c r="I468" s="111">
        <v>0</v>
      </c>
      <c r="J468" s="111">
        <v>0</v>
      </c>
      <c r="K468" s="111">
        <v>0</v>
      </c>
      <c r="L468" s="111">
        <v>0</v>
      </c>
      <c r="M468" s="111">
        <v>126</v>
      </c>
      <c r="N468" s="111">
        <v>0</v>
      </c>
      <c r="O468" s="111">
        <v>0</v>
      </c>
      <c r="P468" s="35">
        <v>0</v>
      </c>
      <c r="Q468" s="35">
        <v>0</v>
      </c>
      <c r="R468" s="35">
        <v>379</v>
      </c>
      <c r="S468" s="32">
        <v>0</v>
      </c>
      <c r="T468" s="37">
        <v>116</v>
      </c>
      <c r="U468" s="38">
        <v>370</v>
      </c>
      <c r="V468" s="37">
        <v>384</v>
      </c>
      <c r="W468" s="32">
        <v>106</v>
      </c>
      <c r="X468" s="31">
        <v>113</v>
      </c>
      <c r="Y468" s="32">
        <v>363</v>
      </c>
      <c r="Z468" s="111">
        <v>140</v>
      </c>
      <c r="AA468" s="35">
        <v>0</v>
      </c>
      <c r="AB468" s="35">
        <v>18</v>
      </c>
      <c r="AC468" s="35">
        <v>337</v>
      </c>
      <c r="AD468" s="35">
        <v>0</v>
      </c>
      <c r="AE468" s="33">
        <v>0</v>
      </c>
      <c r="AF468" s="116">
        <v>0</v>
      </c>
      <c r="AG468" s="120"/>
      <c r="AH468" s="38"/>
      <c r="AI468" s="37">
        <v>356</v>
      </c>
      <c r="AJ468" s="36">
        <v>117</v>
      </c>
      <c r="AK468" s="37">
        <v>354</v>
      </c>
      <c r="AL468" s="38">
        <v>117</v>
      </c>
      <c r="AM468" s="37"/>
      <c r="AN468" s="116"/>
      <c r="AO468" s="120"/>
      <c r="AP468" s="38"/>
      <c r="AQ468" s="37"/>
      <c r="AR468" s="116"/>
      <c r="AS468" s="120"/>
      <c r="AT468" s="38"/>
      <c r="AU468" s="37"/>
      <c r="AV468" s="120"/>
      <c r="AW468" s="120"/>
      <c r="AX468" s="37"/>
      <c r="AY468" s="38"/>
      <c r="AZ468" s="37">
        <v>111</v>
      </c>
      <c r="BA468" s="116">
        <v>360</v>
      </c>
      <c r="BB468" s="31">
        <v>353</v>
      </c>
      <c r="BC468" s="32">
        <v>110</v>
      </c>
      <c r="BD468" s="31">
        <v>354</v>
      </c>
      <c r="BE468" s="116">
        <v>110</v>
      </c>
      <c r="BF468" s="120">
        <v>110</v>
      </c>
      <c r="BG468" s="38">
        <v>353</v>
      </c>
      <c r="BH468" s="37">
        <v>363</v>
      </c>
      <c r="BI468" s="38">
        <v>99</v>
      </c>
      <c r="BJ468" s="111">
        <v>18</v>
      </c>
      <c r="BK468" s="33">
        <v>339</v>
      </c>
      <c r="BL468" s="115">
        <v>111</v>
      </c>
      <c r="BM468" s="111">
        <v>123</v>
      </c>
      <c r="BN468" s="35">
        <v>329</v>
      </c>
      <c r="BO468" s="32">
        <v>15</v>
      </c>
      <c r="BP468" s="31">
        <v>350</v>
      </c>
      <c r="BQ468" s="32">
        <v>108</v>
      </c>
      <c r="BR468" s="31">
        <v>97</v>
      </c>
      <c r="BS468" s="32">
        <v>374</v>
      </c>
      <c r="BT468" s="31">
        <v>335</v>
      </c>
      <c r="BU468" s="33">
        <v>22</v>
      </c>
      <c r="BV468" s="115">
        <v>105</v>
      </c>
      <c r="BW468" s="111">
        <v>110</v>
      </c>
      <c r="BX468" s="32">
        <v>369</v>
      </c>
      <c r="BY468" s="31">
        <v>119</v>
      </c>
      <c r="BZ468" s="32">
        <v>340</v>
      </c>
      <c r="CA468" s="111">
        <v>341</v>
      </c>
      <c r="CB468" s="32">
        <v>119</v>
      </c>
      <c r="CC468" s="33">
        <v>371</v>
      </c>
      <c r="CD468" s="34">
        <v>294</v>
      </c>
      <c r="CE468" s="120">
        <v>282</v>
      </c>
      <c r="CF468" s="38">
        <v>109</v>
      </c>
      <c r="CG468" s="31">
        <v>114</v>
      </c>
      <c r="CH468" s="35">
        <v>224</v>
      </c>
      <c r="CI468" s="35">
        <v>41</v>
      </c>
      <c r="CJ468" s="35">
        <v>67</v>
      </c>
      <c r="CK468" s="32">
        <v>319</v>
      </c>
    </row>
    <row r="469" spans="1:89" ht="13" x14ac:dyDescent="0.25">
      <c r="A469" s="27">
        <v>7342</v>
      </c>
      <c r="B469" s="28" t="s">
        <v>492</v>
      </c>
      <c r="C469" s="29">
        <v>1344</v>
      </c>
      <c r="D469" s="30">
        <v>1113</v>
      </c>
      <c r="E469" s="20">
        <f t="shared" si="7"/>
        <v>0.828125</v>
      </c>
      <c r="F469" s="31">
        <v>0</v>
      </c>
      <c r="G469" s="111">
        <v>0</v>
      </c>
      <c r="H469" s="111">
        <v>0</v>
      </c>
      <c r="I469" s="111">
        <v>0</v>
      </c>
      <c r="J469" s="111">
        <v>0</v>
      </c>
      <c r="K469" s="111">
        <v>0</v>
      </c>
      <c r="L469" s="111">
        <v>0</v>
      </c>
      <c r="M469" s="111">
        <v>304</v>
      </c>
      <c r="N469" s="111">
        <v>0</v>
      </c>
      <c r="O469" s="111">
        <v>0</v>
      </c>
      <c r="P469" s="35">
        <v>7</v>
      </c>
      <c r="Q469" s="35">
        <v>4</v>
      </c>
      <c r="R469" s="35">
        <v>787</v>
      </c>
      <c r="S469" s="32">
        <v>0</v>
      </c>
      <c r="T469" s="37">
        <v>264</v>
      </c>
      <c r="U469" s="38">
        <v>813</v>
      </c>
      <c r="V469" s="37">
        <v>835</v>
      </c>
      <c r="W469" s="32">
        <v>248</v>
      </c>
      <c r="X469" s="31">
        <v>277</v>
      </c>
      <c r="Y469" s="32">
        <v>780</v>
      </c>
      <c r="Z469" s="111">
        <v>319</v>
      </c>
      <c r="AA469" s="35">
        <v>0</v>
      </c>
      <c r="AB469" s="35">
        <v>31</v>
      </c>
      <c r="AC469" s="35">
        <v>736</v>
      </c>
      <c r="AD469" s="35">
        <v>0</v>
      </c>
      <c r="AE469" s="33">
        <v>0</v>
      </c>
      <c r="AF469" s="116">
        <v>0</v>
      </c>
      <c r="AG469" s="120"/>
      <c r="AH469" s="38"/>
      <c r="AI469" s="37">
        <v>790</v>
      </c>
      <c r="AJ469" s="36">
        <v>273</v>
      </c>
      <c r="AK469" s="37">
        <v>778</v>
      </c>
      <c r="AL469" s="38">
        <v>274</v>
      </c>
      <c r="AM469" s="37"/>
      <c r="AN469" s="116"/>
      <c r="AO469" s="120"/>
      <c r="AP469" s="38"/>
      <c r="AQ469" s="37"/>
      <c r="AR469" s="116"/>
      <c r="AS469" s="120"/>
      <c r="AT469" s="38"/>
      <c r="AU469" s="37"/>
      <c r="AV469" s="120"/>
      <c r="AW469" s="120"/>
      <c r="AX469" s="37"/>
      <c r="AY469" s="38"/>
      <c r="AZ469" s="37">
        <v>254</v>
      </c>
      <c r="BA469" s="116">
        <v>802</v>
      </c>
      <c r="BB469" s="31">
        <v>793</v>
      </c>
      <c r="BC469" s="32">
        <v>243</v>
      </c>
      <c r="BD469" s="31">
        <v>782</v>
      </c>
      <c r="BE469" s="116">
        <v>254</v>
      </c>
      <c r="BF469" s="120">
        <v>254</v>
      </c>
      <c r="BG469" s="38">
        <v>778</v>
      </c>
      <c r="BH469" s="37">
        <v>820</v>
      </c>
      <c r="BI469" s="38">
        <v>223</v>
      </c>
      <c r="BJ469" s="111">
        <v>39</v>
      </c>
      <c r="BK469" s="33">
        <v>746</v>
      </c>
      <c r="BL469" s="115">
        <v>260</v>
      </c>
      <c r="BM469" s="111">
        <v>291</v>
      </c>
      <c r="BN469" s="35">
        <v>724</v>
      </c>
      <c r="BO469" s="32">
        <v>29</v>
      </c>
      <c r="BP469" s="31">
        <v>800</v>
      </c>
      <c r="BQ469" s="32">
        <v>239</v>
      </c>
      <c r="BR469" s="31">
        <v>203</v>
      </c>
      <c r="BS469" s="32">
        <v>861</v>
      </c>
      <c r="BT469" s="31">
        <v>753</v>
      </c>
      <c r="BU469" s="33">
        <v>38</v>
      </c>
      <c r="BV469" s="115">
        <v>237</v>
      </c>
      <c r="BW469" s="111">
        <v>268</v>
      </c>
      <c r="BX469" s="32">
        <v>797</v>
      </c>
      <c r="BY469" s="31">
        <v>270</v>
      </c>
      <c r="BZ469" s="32">
        <v>758</v>
      </c>
      <c r="CA469" s="111">
        <v>760</v>
      </c>
      <c r="CB469" s="32">
        <v>273</v>
      </c>
      <c r="CC469" s="33">
        <v>850</v>
      </c>
      <c r="CD469" s="34">
        <v>634</v>
      </c>
      <c r="CE469" s="120">
        <v>798</v>
      </c>
      <c r="CF469" s="38">
        <v>183</v>
      </c>
      <c r="CG469" s="31">
        <v>218</v>
      </c>
      <c r="CH469" s="35">
        <v>583</v>
      </c>
      <c r="CI469" s="35">
        <v>106</v>
      </c>
      <c r="CJ469" s="35">
        <v>154</v>
      </c>
      <c r="CK469" s="32">
        <v>675</v>
      </c>
    </row>
    <row r="470" spans="1:89" ht="13" x14ac:dyDescent="0.25">
      <c r="A470" s="27">
        <v>7343</v>
      </c>
      <c r="B470" s="28" t="s">
        <v>493</v>
      </c>
      <c r="C470" s="29">
        <v>1177</v>
      </c>
      <c r="D470" s="30">
        <v>1016</v>
      </c>
      <c r="E470" s="20">
        <f t="shared" si="7"/>
        <v>0.86321155480033984</v>
      </c>
      <c r="F470" s="31">
        <v>0</v>
      </c>
      <c r="G470" s="111">
        <v>0</v>
      </c>
      <c r="H470" s="111">
        <v>0</v>
      </c>
      <c r="I470" s="111">
        <v>0</v>
      </c>
      <c r="J470" s="111">
        <v>2</v>
      </c>
      <c r="K470" s="111">
        <v>0</v>
      </c>
      <c r="L470" s="111">
        <v>0</v>
      </c>
      <c r="M470" s="111">
        <v>243</v>
      </c>
      <c r="N470" s="111">
        <v>0</v>
      </c>
      <c r="O470" s="111">
        <v>0</v>
      </c>
      <c r="P470" s="35">
        <v>4</v>
      </c>
      <c r="Q470" s="35">
        <v>6</v>
      </c>
      <c r="R470" s="35">
        <v>740</v>
      </c>
      <c r="S470" s="32">
        <v>0</v>
      </c>
      <c r="T470" s="37">
        <v>221</v>
      </c>
      <c r="U470" s="38">
        <v>769</v>
      </c>
      <c r="V470" s="37">
        <v>782</v>
      </c>
      <c r="W470" s="32">
        <v>206</v>
      </c>
      <c r="X470" s="31">
        <v>218</v>
      </c>
      <c r="Y470" s="32">
        <v>741</v>
      </c>
      <c r="Z470" s="111">
        <v>265</v>
      </c>
      <c r="AA470" s="35">
        <v>0</v>
      </c>
      <c r="AB470" s="35">
        <v>25</v>
      </c>
      <c r="AC470" s="35">
        <v>710</v>
      </c>
      <c r="AD470" s="35">
        <v>0</v>
      </c>
      <c r="AE470" s="33">
        <v>0</v>
      </c>
      <c r="AF470" s="116">
        <v>0</v>
      </c>
      <c r="AG470" s="120"/>
      <c r="AH470" s="38"/>
      <c r="AI470" s="37">
        <v>765</v>
      </c>
      <c r="AJ470" s="36">
        <v>205</v>
      </c>
      <c r="AK470" s="37">
        <v>759</v>
      </c>
      <c r="AL470" s="38">
        <v>221</v>
      </c>
      <c r="AM470" s="37"/>
      <c r="AN470" s="116"/>
      <c r="AO470" s="120"/>
      <c r="AP470" s="38"/>
      <c r="AQ470" s="37"/>
      <c r="AR470" s="116"/>
      <c r="AS470" s="120"/>
      <c r="AT470" s="38"/>
      <c r="AU470" s="37"/>
      <c r="AV470" s="120"/>
      <c r="AW470" s="120"/>
      <c r="AX470" s="37"/>
      <c r="AY470" s="38"/>
      <c r="AZ470" s="37">
        <v>215</v>
      </c>
      <c r="BA470" s="116">
        <v>758</v>
      </c>
      <c r="BB470" s="31">
        <v>761</v>
      </c>
      <c r="BC470" s="32">
        <v>199</v>
      </c>
      <c r="BD470" s="31">
        <v>742</v>
      </c>
      <c r="BE470" s="116">
        <v>209</v>
      </c>
      <c r="BF470" s="120">
        <v>205</v>
      </c>
      <c r="BG470" s="38">
        <v>748</v>
      </c>
      <c r="BH470" s="37">
        <v>791</v>
      </c>
      <c r="BI470" s="38">
        <v>182</v>
      </c>
      <c r="BJ470" s="111">
        <v>40</v>
      </c>
      <c r="BK470" s="33">
        <v>712</v>
      </c>
      <c r="BL470" s="115">
        <v>219</v>
      </c>
      <c r="BM470" s="111">
        <v>262</v>
      </c>
      <c r="BN470" s="35">
        <v>692</v>
      </c>
      <c r="BO470" s="32">
        <v>25</v>
      </c>
      <c r="BP470" s="31">
        <v>763</v>
      </c>
      <c r="BQ470" s="32">
        <v>205</v>
      </c>
      <c r="BR470" s="31">
        <v>180</v>
      </c>
      <c r="BS470" s="32">
        <v>802</v>
      </c>
      <c r="BT470" s="31">
        <v>728</v>
      </c>
      <c r="BU470" s="33">
        <v>39</v>
      </c>
      <c r="BV470" s="115">
        <v>192</v>
      </c>
      <c r="BW470" s="111">
        <v>220</v>
      </c>
      <c r="BX470" s="32">
        <v>770</v>
      </c>
      <c r="BY470" s="31">
        <v>228</v>
      </c>
      <c r="BZ470" s="32">
        <v>719</v>
      </c>
      <c r="CA470" s="111">
        <v>731</v>
      </c>
      <c r="CB470" s="32">
        <v>231</v>
      </c>
      <c r="CC470" s="33">
        <v>800</v>
      </c>
      <c r="CD470" s="34">
        <v>592</v>
      </c>
      <c r="CE470" s="120">
        <v>590</v>
      </c>
      <c r="CF470" s="38">
        <v>238</v>
      </c>
      <c r="CG470" s="31">
        <v>213</v>
      </c>
      <c r="CH470" s="35">
        <v>475</v>
      </c>
      <c r="CI470" s="35">
        <v>114</v>
      </c>
      <c r="CJ470" s="35">
        <v>127</v>
      </c>
      <c r="CK470" s="32">
        <v>661</v>
      </c>
    </row>
    <row r="471" spans="1:89" ht="13" x14ac:dyDescent="0.25">
      <c r="A471" s="27">
        <v>7401</v>
      </c>
      <c r="B471" s="28" t="s">
        <v>494</v>
      </c>
      <c r="C471" s="29">
        <v>592</v>
      </c>
      <c r="D471" s="30">
        <v>396</v>
      </c>
      <c r="E471" s="20">
        <f t="shared" si="7"/>
        <v>0.66891891891891897</v>
      </c>
      <c r="F471" s="31">
        <v>0</v>
      </c>
      <c r="G471" s="111">
        <v>0</v>
      </c>
      <c r="H471" s="111">
        <v>0</v>
      </c>
      <c r="I471" s="111">
        <v>0</v>
      </c>
      <c r="J471" s="111">
        <v>1</v>
      </c>
      <c r="K471" s="111">
        <v>0</v>
      </c>
      <c r="L471" s="111">
        <v>0</v>
      </c>
      <c r="M471" s="111">
        <v>220</v>
      </c>
      <c r="N471" s="111">
        <v>0</v>
      </c>
      <c r="O471" s="111">
        <v>0</v>
      </c>
      <c r="P471" s="35">
        <v>3</v>
      </c>
      <c r="Q471" s="35">
        <v>1</v>
      </c>
      <c r="R471" s="35">
        <v>169</v>
      </c>
      <c r="S471" s="32">
        <v>0</v>
      </c>
      <c r="T471" s="37">
        <v>213</v>
      </c>
      <c r="U471" s="38">
        <v>168</v>
      </c>
      <c r="V471" s="37">
        <v>172</v>
      </c>
      <c r="W471" s="32">
        <v>207</v>
      </c>
      <c r="X471" s="31">
        <v>209</v>
      </c>
      <c r="Y471" s="32">
        <v>165</v>
      </c>
      <c r="Z471" s="111">
        <v>217</v>
      </c>
      <c r="AA471" s="35">
        <v>0</v>
      </c>
      <c r="AB471" s="35">
        <v>13</v>
      </c>
      <c r="AC471" s="35">
        <v>161</v>
      </c>
      <c r="AD471" s="35">
        <v>0</v>
      </c>
      <c r="AE471" s="33">
        <v>0</v>
      </c>
      <c r="AF471" s="116">
        <v>0</v>
      </c>
      <c r="AG471" s="120"/>
      <c r="AH471" s="38"/>
      <c r="AI471" s="37">
        <v>165</v>
      </c>
      <c r="AJ471" s="36">
        <v>217</v>
      </c>
      <c r="AK471" s="37">
        <v>162</v>
      </c>
      <c r="AL471" s="38">
        <v>216</v>
      </c>
      <c r="AM471" s="37"/>
      <c r="AN471" s="116"/>
      <c r="AO471" s="120"/>
      <c r="AP471" s="38"/>
      <c r="AQ471" s="37"/>
      <c r="AR471" s="116"/>
      <c r="AS471" s="120"/>
      <c r="AT471" s="38"/>
      <c r="AU471" s="37"/>
      <c r="AV471" s="120"/>
      <c r="AW471" s="120"/>
      <c r="AX471" s="37">
        <v>178</v>
      </c>
      <c r="AY471" s="38">
        <v>196</v>
      </c>
      <c r="AZ471" s="37"/>
      <c r="BA471" s="116"/>
      <c r="BB471" s="31">
        <v>167</v>
      </c>
      <c r="BC471" s="32">
        <v>203</v>
      </c>
      <c r="BD471" s="31">
        <v>161</v>
      </c>
      <c r="BE471" s="116">
        <v>211</v>
      </c>
      <c r="BF471" s="120">
        <v>211</v>
      </c>
      <c r="BG471" s="38">
        <v>157</v>
      </c>
      <c r="BH471" s="37">
        <v>172</v>
      </c>
      <c r="BI471" s="38">
        <v>198</v>
      </c>
      <c r="BJ471" s="111">
        <v>13</v>
      </c>
      <c r="BK471" s="33">
        <v>153</v>
      </c>
      <c r="BL471" s="115">
        <v>211</v>
      </c>
      <c r="BM471" s="111">
        <v>215</v>
      </c>
      <c r="BN471" s="35">
        <v>149</v>
      </c>
      <c r="BO471" s="32">
        <v>9</v>
      </c>
      <c r="BP471" s="31">
        <v>155</v>
      </c>
      <c r="BQ471" s="32">
        <v>218</v>
      </c>
      <c r="BR471" s="31">
        <v>195</v>
      </c>
      <c r="BS471" s="32">
        <v>185</v>
      </c>
      <c r="BT471" s="31">
        <v>155</v>
      </c>
      <c r="BU471" s="33">
        <v>19</v>
      </c>
      <c r="BV471" s="115">
        <v>197</v>
      </c>
      <c r="BW471" s="111">
        <v>230</v>
      </c>
      <c r="BX471" s="32">
        <v>151</v>
      </c>
      <c r="BY471" s="31">
        <v>210</v>
      </c>
      <c r="BZ471" s="32">
        <v>156</v>
      </c>
      <c r="CA471" s="111">
        <v>159</v>
      </c>
      <c r="CB471" s="32">
        <v>212</v>
      </c>
      <c r="CC471" s="33">
        <v>230</v>
      </c>
      <c r="CD471" s="34">
        <v>280</v>
      </c>
      <c r="CE471" s="120">
        <v>159</v>
      </c>
      <c r="CF471" s="42">
        <v>150</v>
      </c>
      <c r="CG471" s="31">
        <v>87</v>
      </c>
      <c r="CH471" s="35">
        <v>78</v>
      </c>
      <c r="CI471" s="35">
        <v>120</v>
      </c>
      <c r="CJ471" s="35">
        <v>139</v>
      </c>
      <c r="CK471" s="32">
        <v>151</v>
      </c>
    </row>
    <row r="472" spans="1:89" ht="13" x14ac:dyDescent="0.25">
      <c r="A472" s="27">
        <v>7402</v>
      </c>
      <c r="B472" s="28" t="s">
        <v>495</v>
      </c>
      <c r="C472" s="29">
        <v>1043</v>
      </c>
      <c r="D472" s="30">
        <v>816</v>
      </c>
      <c r="E472" s="20">
        <f t="shared" si="7"/>
        <v>0.78235858101629918</v>
      </c>
      <c r="F472" s="31">
        <v>0</v>
      </c>
      <c r="G472" s="111">
        <v>0</v>
      </c>
      <c r="H472" s="111">
        <v>0</v>
      </c>
      <c r="I472" s="111">
        <v>0</v>
      </c>
      <c r="J472" s="111">
        <v>2</v>
      </c>
      <c r="K472" s="111">
        <v>0</v>
      </c>
      <c r="L472" s="111">
        <v>0</v>
      </c>
      <c r="M472" s="111">
        <v>406</v>
      </c>
      <c r="N472" s="111">
        <v>0</v>
      </c>
      <c r="O472" s="111">
        <v>0</v>
      </c>
      <c r="P472" s="35">
        <v>6</v>
      </c>
      <c r="Q472" s="35">
        <v>1</v>
      </c>
      <c r="R472" s="35">
        <v>393</v>
      </c>
      <c r="S472" s="32">
        <v>0</v>
      </c>
      <c r="T472" s="37">
        <v>378</v>
      </c>
      <c r="U472" s="38">
        <v>413</v>
      </c>
      <c r="V472" s="37">
        <v>420</v>
      </c>
      <c r="W472" s="32">
        <v>371</v>
      </c>
      <c r="X472" s="31">
        <v>386</v>
      </c>
      <c r="Y472" s="32">
        <v>398</v>
      </c>
      <c r="Z472" s="111">
        <v>411</v>
      </c>
      <c r="AA472" s="35">
        <v>0</v>
      </c>
      <c r="AB472" s="35">
        <v>35</v>
      </c>
      <c r="AC472" s="35">
        <v>356</v>
      </c>
      <c r="AD472" s="35">
        <v>0</v>
      </c>
      <c r="AE472" s="33">
        <v>0</v>
      </c>
      <c r="AF472" s="116">
        <v>0</v>
      </c>
      <c r="AG472" s="120"/>
      <c r="AH472" s="38"/>
      <c r="AI472" s="37">
        <v>392</v>
      </c>
      <c r="AJ472" s="36">
        <v>390</v>
      </c>
      <c r="AK472" s="37">
        <v>399</v>
      </c>
      <c r="AL472" s="38">
        <v>379</v>
      </c>
      <c r="AM472" s="37"/>
      <c r="AN472" s="116"/>
      <c r="AO472" s="120"/>
      <c r="AP472" s="38"/>
      <c r="AQ472" s="37"/>
      <c r="AR472" s="116"/>
      <c r="AS472" s="120"/>
      <c r="AT472" s="38"/>
      <c r="AU472" s="37"/>
      <c r="AV472" s="120"/>
      <c r="AW472" s="120"/>
      <c r="AX472" s="37">
        <v>403</v>
      </c>
      <c r="AY472" s="38">
        <v>371</v>
      </c>
      <c r="AZ472" s="37"/>
      <c r="BA472" s="116"/>
      <c r="BB472" s="31">
        <v>385</v>
      </c>
      <c r="BC472" s="32">
        <v>378</v>
      </c>
      <c r="BD472" s="31">
        <v>377</v>
      </c>
      <c r="BE472" s="116">
        <v>381</v>
      </c>
      <c r="BF472" s="120">
        <v>366</v>
      </c>
      <c r="BG472" s="38">
        <v>386</v>
      </c>
      <c r="BH472" s="37">
        <v>403</v>
      </c>
      <c r="BI472" s="38">
        <v>359</v>
      </c>
      <c r="BJ472" s="111">
        <v>43</v>
      </c>
      <c r="BK472" s="33">
        <v>354</v>
      </c>
      <c r="BL472" s="115">
        <v>374</v>
      </c>
      <c r="BM472" s="111">
        <v>384</v>
      </c>
      <c r="BN472" s="35">
        <v>350</v>
      </c>
      <c r="BO472" s="32">
        <v>33</v>
      </c>
      <c r="BP472" s="31">
        <v>391</v>
      </c>
      <c r="BQ472" s="32">
        <v>379</v>
      </c>
      <c r="BR472" s="31">
        <v>346</v>
      </c>
      <c r="BS472" s="32">
        <v>427</v>
      </c>
      <c r="BT472" s="31">
        <v>365</v>
      </c>
      <c r="BU472" s="33">
        <v>39</v>
      </c>
      <c r="BV472" s="115">
        <v>353</v>
      </c>
      <c r="BW472" s="111">
        <v>394</v>
      </c>
      <c r="BX472" s="32">
        <v>384</v>
      </c>
      <c r="BY472" s="31">
        <v>374</v>
      </c>
      <c r="BZ472" s="32">
        <v>371</v>
      </c>
      <c r="CA472" s="111">
        <v>376</v>
      </c>
      <c r="CB472" s="32">
        <v>376</v>
      </c>
      <c r="CC472" s="33">
        <v>510</v>
      </c>
      <c r="CD472" s="34">
        <v>556</v>
      </c>
      <c r="CE472" s="120">
        <v>336</v>
      </c>
      <c r="CF472" s="42">
        <v>312</v>
      </c>
      <c r="CG472" s="31">
        <v>166</v>
      </c>
      <c r="CH472" s="35">
        <v>196</v>
      </c>
      <c r="CI472" s="35">
        <v>230</v>
      </c>
      <c r="CJ472" s="35">
        <v>265</v>
      </c>
      <c r="CK472" s="32">
        <v>359</v>
      </c>
    </row>
    <row r="473" spans="1:89" ht="13" x14ac:dyDescent="0.25">
      <c r="A473" s="27">
        <v>7403</v>
      </c>
      <c r="B473" s="28" t="s">
        <v>496</v>
      </c>
      <c r="C473" s="29">
        <v>1018</v>
      </c>
      <c r="D473" s="30">
        <v>743</v>
      </c>
      <c r="E473" s="20">
        <f t="shared" si="7"/>
        <v>0.72986247544204319</v>
      </c>
      <c r="F473" s="31">
        <v>0</v>
      </c>
      <c r="G473" s="111">
        <v>0</v>
      </c>
      <c r="H473" s="111">
        <v>0</v>
      </c>
      <c r="I473" s="111">
        <v>1</v>
      </c>
      <c r="J473" s="111">
        <v>4</v>
      </c>
      <c r="K473" s="111">
        <v>0</v>
      </c>
      <c r="L473" s="111">
        <v>0</v>
      </c>
      <c r="M473" s="111">
        <v>369</v>
      </c>
      <c r="N473" s="111">
        <v>0</v>
      </c>
      <c r="O473" s="111">
        <v>0</v>
      </c>
      <c r="P473" s="35">
        <v>5</v>
      </c>
      <c r="Q473" s="35">
        <v>3</v>
      </c>
      <c r="R473" s="35">
        <v>345</v>
      </c>
      <c r="S473" s="32">
        <v>0</v>
      </c>
      <c r="T473" s="37">
        <v>363</v>
      </c>
      <c r="U473" s="38">
        <v>354</v>
      </c>
      <c r="V473" s="37">
        <v>362</v>
      </c>
      <c r="W473" s="32">
        <v>358</v>
      </c>
      <c r="X473" s="31">
        <v>370</v>
      </c>
      <c r="Y473" s="32">
        <v>338</v>
      </c>
      <c r="Z473" s="111">
        <v>375</v>
      </c>
      <c r="AA473" s="35">
        <v>0</v>
      </c>
      <c r="AB473" s="35">
        <v>36</v>
      </c>
      <c r="AC473" s="35">
        <v>319</v>
      </c>
      <c r="AD473" s="35">
        <v>0</v>
      </c>
      <c r="AE473" s="33">
        <v>0</v>
      </c>
      <c r="AF473" s="116">
        <v>0</v>
      </c>
      <c r="AG473" s="120"/>
      <c r="AH473" s="38"/>
      <c r="AI473" s="37">
        <v>342</v>
      </c>
      <c r="AJ473" s="36">
        <v>365</v>
      </c>
      <c r="AK473" s="37">
        <v>345</v>
      </c>
      <c r="AL473" s="38">
        <v>367</v>
      </c>
      <c r="AM473" s="37"/>
      <c r="AN473" s="116"/>
      <c r="AO473" s="120"/>
      <c r="AP473" s="38"/>
      <c r="AQ473" s="37"/>
      <c r="AR473" s="116"/>
      <c r="AS473" s="120"/>
      <c r="AT473" s="38"/>
      <c r="AU473" s="37"/>
      <c r="AV473" s="120"/>
      <c r="AW473" s="120"/>
      <c r="AX473" s="37">
        <v>357</v>
      </c>
      <c r="AY473" s="38">
        <v>350</v>
      </c>
      <c r="AZ473" s="37"/>
      <c r="BA473" s="116"/>
      <c r="BB473" s="31">
        <v>352</v>
      </c>
      <c r="BC473" s="32">
        <v>355</v>
      </c>
      <c r="BD473" s="31">
        <v>335</v>
      </c>
      <c r="BE473" s="116">
        <v>362</v>
      </c>
      <c r="BF473" s="120">
        <v>355</v>
      </c>
      <c r="BG473" s="38">
        <v>345</v>
      </c>
      <c r="BH473" s="37">
        <v>360</v>
      </c>
      <c r="BI473" s="38">
        <v>346</v>
      </c>
      <c r="BJ473" s="111">
        <v>40</v>
      </c>
      <c r="BK473" s="33">
        <v>308</v>
      </c>
      <c r="BL473" s="115">
        <v>366</v>
      </c>
      <c r="BM473" s="111">
        <v>360</v>
      </c>
      <c r="BN473" s="35">
        <v>313</v>
      </c>
      <c r="BO473" s="32">
        <v>31</v>
      </c>
      <c r="BP473" s="31">
        <v>343</v>
      </c>
      <c r="BQ473" s="32">
        <v>363</v>
      </c>
      <c r="BR473" s="31">
        <v>338</v>
      </c>
      <c r="BS473" s="32">
        <v>374</v>
      </c>
      <c r="BT473" s="31">
        <v>321</v>
      </c>
      <c r="BU473" s="33">
        <v>36</v>
      </c>
      <c r="BV473" s="115">
        <v>342</v>
      </c>
      <c r="BW473" s="111">
        <v>371</v>
      </c>
      <c r="BX473" s="32">
        <v>342</v>
      </c>
      <c r="BY473" s="31">
        <v>365</v>
      </c>
      <c r="BZ473" s="32">
        <v>326</v>
      </c>
      <c r="CA473" s="111">
        <v>334</v>
      </c>
      <c r="CB473" s="32">
        <v>362</v>
      </c>
      <c r="CC473" s="33">
        <v>450</v>
      </c>
      <c r="CD473" s="34">
        <v>503</v>
      </c>
      <c r="CE473" s="120">
        <v>318</v>
      </c>
      <c r="CF473" s="42">
        <v>265</v>
      </c>
      <c r="CG473" s="31">
        <v>146</v>
      </c>
      <c r="CH473" s="35">
        <v>145</v>
      </c>
      <c r="CI473" s="35">
        <v>194</v>
      </c>
      <c r="CJ473" s="35">
        <v>229</v>
      </c>
      <c r="CK473" s="32">
        <v>305</v>
      </c>
    </row>
    <row r="474" spans="1:89" ht="13" x14ac:dyDescent="0.25">
      <c r="A474" s="27">
        <v>7601</v>
      </c>
      <c r="B474" s="28" t="s">
        <v>497</v>
      </c>
      <c r="C474" s="29">
        <v>757</v>
      </c>
      <c r="D474" s="30">
        <v>631</v>
      </c>
      <c r="E474" s="20">
        <f t="shared" si="7"/>
        <v>0.83355350066050193</v>
      </c>
      <c r="F474" s="31">
        <v>0</v>
      </c>
      <c r="G474" s="111">
        <v>0</v>
      </c>
      <c r="H474" s="111">
        <v>0</v>
      </c>
      <c r="I474" s="111">
        <v>0</v>
      </c>
      <c r="J474" s="111">
        <v>0</v>
      </c>
      <c r="K474" s="111">
        <v>0</v>
      </c>
      <c r="L474" s="111">
        <v>0</v>
      </c>
      <c r="M474" s="111">
        <v>118</v>
      </c>
      <c r="N474" s="111">
        <v>0</v>
      </c>
      <c r="O474" s="111">
        <v>0</v>
      </c>
      <c r="P474" s="35">
        <v>5</v>
      </c>
      <c r="Q474" s="35">
        <v>0</v>
      </c>
      <c r="R474" s="35">
        <v>507</v>
      </c>
      <c r="S474" s="32">
        <v>0</v>
      </c>
      <c r="T474" s="37">
        <v>101</v>
      </c>
      <c r="U474" s="38">
        <v>504</v>
      </c>
      <c r="V474" s="37">
        <v>521</v>
      </c>
      <c r="W474" s="32">
        <v>90</v>
      </c>
      <c r="X474" s="31">
        <v>103</v>
      </c>
      <c r="Y474" s="32">
        <v>482</v>
      </c>
      <c r="Z474" s="111">
        <v>131</v>
      </c>
      <c r="AA474" s="35">
        <v>0</v>
      </c>
      <c r="AB474" s="35">
        <v>23</v>
      </c>
      <c r="AC474" s="35">
        <v>460</v>
      </c>
      <c r="AD474" s="35">
        <v>0</v>
      </c>
      <c r="AE474" s="33">
        <v>0</v>
      </c>
      <c r="AF474" s="116">
        <v>0</v>
      </c>
      <c r="AG474" s="120"/>
      <c r="AH474" s="38"/>
      <c r="AI474" s="37">
        <v>486</v>
      </c>
      <c r="AJ474" s="36">
        <v>99</v>
      </c>
      <c r="AK474" s="37">
        <v>497</v>
      </c>
      <c r="AL474" s="38">
        <v>99</v>
      </c>
      <c r="AM474" s="37"/>
      <c r="AN474" s="116"/>
      <c r="AO474" s="120"/>
      <c r="AP474" s="38"/>
      <c r="AQ474" s="37"/>
      <c r="AR474" s="116"/>
      <c r="AS474" s="120"/>
      <c r="AT474" s="38"/>
      <c r="AU474" s="37"/>
      <c r="AV474" s="120"/>
      <c r="AW474" s="120"/>
      <c r="AX474" s="37">
        <v>480</v>
      </c>
      <c r="AY474" s="38">
        <v>113</v>
      </c>
      <c r="AZ474" s="37"/>
      <c r="BA474" s="116"/>
      <c r="BB474" s="31">
        <v>486</v>
      </c>
      <c r="BC474" s="32">
        <v>98</v>
      </c>
      <c r="BD474" s="31">
        <v>470</v>
      </c>
      <c r="BE474" s="116">
        <v>99</v>
      </c>
      <c r="BF474" s="120">
        <v>97</v>
      </c>
      <c r="BG474" s="38">
        <v>473</v>
      </c>
      <c r="BH474" s="37">
        <v>503</v>
      </c>
      <c r="BI474" s="38">
        <v>86</v>
      </c>
      <c r="BJ474" s="111">
        <v>21</v>
      </c>
      <c r="BK474" s="33">
        <v>455</v>
      </c>
      <c r="BL474" s="115">
        <v>114</v>
      </c>
      <c r="BM474" s="111">
        <v>117</v>
      </c>
      <c r="BN474" s="35">
        <v>453</v>
      </c>
      <c r="BO474" s="32">
        <v>12</v>
      </c>
      <c r="BP474" s="31">
        <v>485</v>
      </c>
      <c r="BQ474" s="32">
        <v>97</v>
      </c>
      <c r="BR474" s="31">
        <v>86</v>
      </c>
      <c r="BS474" s="32">
        <v>506</v>
      </c>
      <c r="BT474" s="31">
        <v>463</v>
      </c>
      <c r="BU474" s="33">
        <v>21</v>
      </c>
      <c r="BV474" s="115">
        <v>84</v>
      </c>
      <c r="BW474" s="111">
        <v>121</v>
      </c>
      <c r="BX474" s="32">
        <v>484</v>
      </c>
      <c r="BY474" s="31">
        <v>96</v>
      </c>
      <c r="BZ474" s="32">
        <v>465</v>
      </c>
      <c r="CA474" s="111">
        <v>464</v>
      </c>
      <c r="CB474" s="32">
        <v>113</v>
      </c>
      <c r="CC474" s="33">
        <v>478</v>
      </c>
      <c r="CD474" s="34">
        <v>329</v>
      </c>
      <c r="CE474" s="120">
        <v>258</v>
      </c>
      <c r="CF474" s="38">
        <v>183</v>
      </c>
      <c r="CG474" s="31">
        <v>180</v>
      </c>
      <c r="CH474" s="35">
        <v>192</v>
      </c>
      <c r="CI474" s="35">
        <v>61</v>
      </c>
      <c r="CJ474" s="35">
        <v>78</v>
      </c>
      <c r="CK474" s="32">
        <v>357</v>
      </c>
    </row>
    <row r="475" spans="1:89" ht="13" x14ac:dyDescent="0.25">
      <c r="A475" s="27">
        <v>7602</v>
      </c>
      <c r="B475" s="28" t="s">
        <v>498</v>
      </c>
      <c r="C475" s="29">
        <v>1329</v>
      </c>
      <c r="D475" s="30">
        <v>1048</v>
      </c>
      <c r="E475" s="20">
        <f t="shared" si="7"/>
        <v>0.78856282919488341</v>
      </c>
      <c r="F475" s="31">
        <v>0</v>
      </c>
      <c r="G475" s="111">
        <v>0</v>
      </c>
      <c r="H475" s="111">
        <v>0</v>
      </c>
      <c r="I475" s="111">
        <v>0</v>
      </c>
      <c r="J475" s="111">
        <v>1</v>
      </c>
      <c r="K475" s="111">
        <v>0</v>
      </c>
      <c r="L475" s="111">
        <v>0</v>
      </c>
      <c r="M475" s="111">
        <v>217</v>
      </c>
      <c r="N475" s="111">
        <v>0</v>
      </c>
      <c r="O475" s="111">
        <v>0</v>
      </c>
      <c r="P475" s="35">
        <v>12</v>
      </c>
      <c r="Q475" s="35">
        <v>0</v>
      </c>
      <c r="R475" s="35">
        <v>807</v>
      </c>
      <c r="S475" s="32">
        <v>0</v>
      </c>
      <c r="T475" s="37">
        <v>190</v>
      </c>
      <c r="U475" s="38">
        <v>816</v>
      </c>
      <c r="V475" s="37">
        <v>819</v>
      </c>
      <c r="W475" s="32">
        <v>193</v>
      </c>
      <c r="X475" s="31">
        <v>202</v>
      </c>
      <c r="Y475" s="32">
        <v>784</v>
      </c>
      <c r="Z475" s="111">
        <v>245</v>
      </c>
      <c r="AA475" s="35">
        <v>0</v>
      </c>
      <c r="AB475" s="35">
        <v>40</v>
      </c>
      <c r="AC475" s="35">
        <v>742</v>
      </c>
      <c r="AD475" s="35">
        <v>0</v>
      </c>
      <c r="AE475" s="33">
        <v>0</v>
      </c>
      <c r="AF475" s="116">
        <v>0</v>
      </c>
      <c r="AG475" s="120"/>
      <c r="AH475" s="38"/>
      <c r="AI475" s="37">
        <v>794</v>
      </c>
      <c r="AJ475" s="36">
        <v>197</v>
      </c>
      <c r="AK475" s="37">
        <v>800</v>
      </c>
      <c r="AL475" s="38">
        <v>196</v>
      </c>
      <c r="AM475" s="37"/>
      <c r="AN475" s="116"/>
      <c r="AO475" s="120"/>
      <c r="AP475" s="38"/>
      <c r="AQ475" s="37"/>
      <c r="AR475" s="116"/>
      <c r="AS475" s="120"/>
      <c r="AT475" s="38"/>
      <c r="AU475" s="37"/>
      <c r="AV475" s="120"/>
      <c r="AW475" s="120"/>
      <c r="AX475" s="37">
        <v>794</v>
      </c>
      <c r="AY475" s="38">
        <v>197</v>
      </c>
      <c r="AZ475" s="37"/>
      <c r="BA475" s="116"/>
      <c r="BB475" s="31">
        <v>795</v>
      </c>
      <c r="BC475" s="32">
        <v>181</v>
      </c>
      <c r="BD475" s="31">
        <v>778</v>
      </c>
      <c r="BE475" s="116">
        <v>183</v>
      </c>
      <c r="BF475" s="120">
        <v>177</v>
      </c>
      <c r="BG475" s="38">
        <v>777</v>
      </c>
      <c r="BH475" s="37">
        <v>806</v>
      </c>
      <c r="BI475" s="38">
        <v>170</v>
      </c>
      <c r="BJ475" s="111">
        <v>50</v>
      </c>
      <c r="BK475" s="33">
        <v>744</v>
      </c>
      <c r="BL475" s="115">
        <v>194</v>
      </c>
      <c r="BM475" s="111">
        <v>197</v>
      </c>
      <c r="BN475" s="35">
        <v>749</v>
      </c>
      <c r="BO475" s="32">
        <v>35</v>
      </c>
      <c r="BP475" s="31">
        <v>783</v>
      </c>
      <c r="BQ475" s="32">
        <v>193</v>
      </c>
      <c r="BR475" s="31">
        <v>158</v>
      </c>
      <c r="BS475" s="32">
        <v>830</v>
      </c>
      <c r="BT475" s="31">
        <v>746</v>
      </c>
      <c r="BU475" s="33">
        <v>41</v>
      </c>
      <c r="BV475" s="115">
        <v>165</v>
      </c>
      <c r="BW475" s="111">
        <v>210</v>
      </c>
      <c r="BX475" s="32">
        <v>802</v>
      </c>
      <c r="BY475" s="31">
        <v>194</v>
      </c>
      <c r="BZ475" s="32">
        <v>760</v>
      </c>
      <c r="CA475" s="111">
        <v>763</v>
      </c>
      <c r="CB475" s="32">
        <v>200</v>
      </c>
      <c r="CC475" s="33">
        <v>804</v>
      </c>
      <c r="CD475" s="34">
        <v>539</v>
      </c>
      <c r="CE475" s="120">
        <v>528</v>
      </c>
      <c r="CF475" s="38">
        <v>226</v>
      </c>
      <c r="CG475" s="31">
        <v>215</v>
      </c>
      <c r="CH475" s="35">
        <v>335</v>
      </c>
      <c r="CI475" s="35">
        <v>83</v>
      </c>
      <c r="CJ475" s="35">
        <v>113</v>
      </c>
      <c r="CK475" s="32">
        <v>633</v>
      </c>
    </row>
    <row r="476" spans="1:89" ht="13" x14ac:dyDescent="0.25">
      <c r="A476" s="27">
        <v>7603</v>
      </c>
      <c r="B476" s="28" t="s">
        <v>499</v>
      </c>
      <c r="C476" s="29">
        <v>925</v>
      </c>
      <c r="D476" s="30">
        <v>580</v>
      </c>
      <c r="E476" s="20">
        <f t="shared" si="7"/>
        <v>0.62702702702702706</v>
      </c>
      <c r="F476" s="31">
        <v>0</v>
      </c>
      <c r="G476" s="111">
        <v>0</v>
      </c>
      <c r="H476" s="111">
        <v>0</v>
      </c>
      <c r="I476" s="111">
        <v>0</v>
      </c>
      <c r="J476" s="111">
        <v>3</v>
      </c>
      <c r="K476" s="111">
        <v>0</v>
      </c>
      <c r="L476" s="111">
        <v>0</v>
      </c>
      <c r="M476" s="111">
        <v>118</v>
      </c>
      <c r="N476" s="111">
        <v>0</v>
      </c>
      <c r="O476" s="111">
        <v>0</v>
      </c>
      <c r="P476" s="35">
        <v>1</v>
      </c>
      <c r="Q476" s="35">
        <v>2</v>
      </c>
      <c r="R476" s="35">
        <v>452</v>
      </c>
      <c r="S476" s="32">
        <v>0</v>
      </c>
      <c r="T476" s="31">
        <v>109</v>
      </c>
      <c r="U476" s="32">
        <v>449</v>
      </c>
      <c r="V476" s="31">
        <v>456</v>
      </c>
      <c r="W476" s="32">
        <v>105</v>
      </c>
      <c r="X476" s="31">
        <v>119</v>
      </c>
      <c r="Y476" s="32">
        <v>429</v>
      </c>
      <c r="Z476" s="111">
        <v>146</v>
      </c>
      <c r="AA476" s="35">
        <v>0</v>
      </c>
      <c r="AB476" s="35">
        <v>29</v>
      </c>
      <c r="AC476" s="35">
        <v>388</v>
      </c>
      <c r="AD476" s="35">
        <v>0</v>
      </c>
      <c r="AE476" s="33">
        <v>0</v>
      </c>
      <c r="AF476" s="115">
        <v>0</v>
      </c>
      <c r="AG476" s="111"/>
      <c r="AH476" s="32"/>
      <c r="AI476" s="31">
        <v>439</v>
      </c>
      <c r="AJ476" s="33">
        <v>112</v>
      </c>
      <c r="AK476" s="31">
        <v>432</v>
      </c>
      <c r="AL476" s="32">
        <v>119</v>
      </c>
      <c r="AM476" s="31"/>
      <c r="AN476" s="115"/>
      <c r="AO476" s="111"/>
      <c r="AP476" s="32"/>
      <c r="AQ476" s="31"/>
      <c r="AR476" s="115"/>
      <c r="AS476" s="111"/>
      <c r="AT476" s="32"/>
      <c r="AU476" s="31"/>
      <c r="AV476" s="111"/>
      <c r="AW476" s="111"/>
      <c r="AX476" s="31">
        <v>435</v>
      </c>
      <c r="AY476" s="32">
        <v>117</v>
      </c>
      <c r="AZ476" s="31"/>
      <c r="BA476" s="115"/>
      <c r="BB476" s="31">
        <v>436</v>
      </c>
      <c r="BC476" s="32">
        <v>109</v>
      </c>
      <c r="BD476" s="31">
        <v>424</v>
      </c>
      <c r="BE476" s="115">
        <v>111</v>
      </c>
      <c r="BF476" s="111">
        <v>111</v>
      </c>
      <c r="BG476" s="32">
        <v>423</v>
      </c>
      <c r="BH476" s="31">
        <v>449</v>
      </c>
      <c r="BI476" s="32">
        <v>99</v>
      </c>
      <c r="BJ476" s="111">
        <v>23</v>
      </c>
      <c r="BK476" s="33">
        <v>405</v>
      </c>
      <c r="BL476" s="115">
        <v>121</v>
      </c>
      <c r="BM476" s="111">
        <v>127</v>
      </c>
      <c r="BN476" s="35">
        <v>410</v>
      </c>
      <c r="BO476" s="32">
        <v>11</v>
      </c>
      <c r="BP476" s="31">
        <v>433</v>
      </c>
      <c r="BQ476" s="32">
        <v>111</v>
      </c>
      <c r="BR476" s="31">
        <v>103</v>
      </c>
      <c r="BS476" s="32">
        <v>453</v>
      </c>
      <c r="BT476" s="31">
        <v>415</v>
      </c>
      <c r="BU476" s="33">
        <v>20</v>
      </c>
      <c r="BV476" s="115">
        <v>106</v>
      </c>
      <c r="BW476" s="111">
        <v>116</v>
      </c>
      <c r="BX476" s="32">
        <v>444</v>
      </c>
      <c r="BY476" s="31">
        <v>118</v>
      </c>
      <c r="BZ476" s="32">
        <v>417</v>
      </c>
      <c r="CA476" s="111">
        <v>419</v>
      </c>
      <c r="CB476" s="32">
        <v>121</v>
      </c>
      <c r="CC476" s="33">
        <v>474</v>
      </c>
      <c r="CD476" s="34">
        <v>351</v>
      </c>
      <c r="CE476" s="111">
        <v>289</v>
      </c>
      <c r="CF476" s="38">
        <v>173</v>
      </c>
      <c r="CG476" s="31">
        <v>119</v>
      </c>
      <c r="CH476" s="35">
        <v>192</v>
      </c>
      <c r="CI476" s="35">
        <v>58</v>
      </c>
      <c r="CJ476" s="35">
        <v>85</v>
      </c>
      <c r="CK476" s="32">
        <v>372</v>
      </c>
    </row>
    <row r="477" spans="1:89" ht="13" x14ac:dyDescent="0.25">
      <c r="A477" s="27">
        <v>7701</v>
      </c>
      <c r="B477" s="28" t="s">
        <v>500</v>
      </c>
      <c r="C477" s="29">
        <v>1267</v>
      </c>
      <c r="D477" s="30">
        <v>761</v>
      </c>
      <c r="E477" s="20">
        <f t="shared" si="7"/>
        <v>0.60063141278610888</v>
      </c>
      <c r="F477" s="31">
        <v>0</v>
      </c>
      <c r="G477" s="111">
        <v>0</v>
      </c>
      <c r="H477" s="111">
        <v>0</v>
      </c>
      <c r="I477" s="111">
        <v>0</v>
      </c>
      <c r="J477" s="111">
        <v>4</v>
      </c>
      <c r="K477" s="111">
        <v>0</v>
      </c>
      <c r="L477" s="111">
        <v>0</v>
      </c>
      <c r="M477" s="111">
        <v>693</v>
      </c>
      <c r="N477" s="111">
        <v>0</v>
      </c>
      <c r="O477" s="111">
        <v>0</v>
      </c>
      <c r="P477" s="35">
        <v>2</v>
      </c>
      <c r="Q477" s="35">
        <v>2</v>
      </c>
      <c r="R477" s="35">
        <v>43</v>
      </c>
      <c r="S477" s="32">
        <v>0</v>
      </c>
      <c r="T477" s="31">
        <v>685</v>
      </c>
      <c r="U477" s="32">
        <v>44</v>
      </c>
      <c r="V477" s="31">
        <v>52</v>
      </c>
      <c r="W477" s="32">
        <v>678</v>
      </c>
      <c r="X477" s="31">
        <v>693</v>
      </c>
      <c r="Y477" s="32">
        <v>31</v>
      </c>
      <c r="Z477" s="111">
        <v>683</v>
      </c>
      <c r="AA477" s="35">
        <v>0</v>
      </c>
      <c r="AB477" s="35">
        <v>19</v>
      </c>
      <c r="AC477" s="35">
        <v>36</v>
      </c>
      <c r="AD477" s="35">
        <v>0</v>
      </c>
      <c r="AE477" s="33">
        <v>0</v>
      </c>
      <c r="AF477" s="115">
        <v>0</v>
      </c>
      <c r="AG477" s="111"/>
      <c r="AH477" s="32"/>
      <c r="AI477" s="31">
        <v>29</v>
      </c>
      <c r="AJ477" s="33">
        <v>693</v>
      </c>
      <c r="AK477" s="31">
        <v>34</v>
      </c>
      <c r="AL477" s="32">
        <v>685</v>
      </c>
      <c r="AM477" s="31"/>
      <c r="AN477" s="115"/>
      <c r="AO477" s="111"/>
      <c r="AP477" s="32"/>
      <c r="AQ477" s="31"/>
      <c r="AR477" s="115"/>
      <c r="AS477" s="111">
        <v>696</v>
      </c>
      <c r="AT477" s="32">
        <v>30</v>
      </c>
      <c r="AU477" s="31"/>
      <c r="AV477" s="111"/>
      <c r="AW477" s="111"/>
      <c r="AX477" s="31"/>
      <c r="AY477" s="32"/>
      <c r="AZ477" s="31"/>
      <c r="BA477" s="115"/>
      <c r="BB477" s="31">
        <v>45</v>
      </c>
      <c r="BC477" s="32">
        <v>677</v>
      </c>
      <c r="BD477" s="31">
        <v>42</v>
      </c>
      <c r="BE477" s="115">
        <v>680</v>
      </c>
      <c r="BF477" s="111">
        <v>678</v>
      </c>
      <c r="BG477" s="32">
        <v>35</v>
      </c>
      <c r="BH477" s="31">
        <v>49</v>
      </c>
      <c r="BI477" s="32">
        <v>667</v>
      </c>
      <c r="BJ477" s="111">
        <v>12</v>
      </c>
      <c r="BK477" s="33">
        <v>26</v>
      </c>
      <c r="BL477" s="115">
        <v>692</v>
      </c>
      <c r="BM477" s="111">
        <v>684</v>
      </c>
      <c r="BN477" s="35">
        <v>24</v>
      </c>
      <c r="BO477" s="32">
        <v>15</v>
      </c>
      <c r="BP477" s="31">
        <v>34</v>
      </c>
      <c r="BQ477" s="32">
        <v>687</v>
      </c>
      <c r="BR477" s="31">
        <v>669</v>
      </c>
      <c r="BS477" s="32">
        <v>51</v>
      </c>
      <c r="BT477" s="31">
        <v>53</v>
      </c>
      <c r="BU477" s="33">
        <v>17</v>
      </c>
      <c r="BV477" s="115">
        <v>655</v>
      </c>
      <c r="BW477" s="111">
        <v>683</v>
      </c>
      <c r="BX477" s="32">
        <v>41</v>
      </c>
      <c r="BY477" s="31">
        <v>678</v>
      </c>
      <c r="BZ477" s="32">
        <v>33</v>
      </c>
      <c r="CA477" s="111">
        <v>41</v>
      </c>
      <c r="CB477" s="32">
        <v>679</v>
      </c>
      <c r="CC477" s="33">
        <v>183</v>
      </c>
      <c r="CD477" s="34">
        <v>693</v>
      </c>
      <c r="CE477" s="111">
        <v>196</v>
      </c>
      <c r="CF477" s="38">
        <v>392</v>
      </c>
      <c r="CG477" s="31">
        <v>101</v>
      </c>
      <c r="CH477" s="35">
        <v>38</v>
      </c>
      <c r="CI477" s="35">
        <v>405</v>
      </c>
      <c r="CJ477" s="35">
        <v>391</v>
      </c>
      <c r="CK477" s="32">
        <v>139</v>
      </c>
    </row>
    <row r="478" spans="1:89" ht="13" x14ac:dyDescent="0.25">
      <c r="A478" s="27">
        <v>7702</v>
      </c>
      <c r="B478" s="28" t="s">
        <v>501</v>
      </c>
      <c r="C478" s="29">
        <v>778</v>
      </c>
      <c r="D478" s="30">
        <v>389</v>
      </c>
      <c r="E478" s="20">
        <f t="shared" si="7"/>
        <v>0.5</v>
      </c>
      <c r="F478" s="31">
        <v>0</v>
      </c>
      <c r="G478" s="111">
        <v>0</v>
      </c>
      <c r="H478" s="111">
        <v>0</v>
      </c>
      <c r="I478" s="111">
        <v>0</v>
      </c>
      <c r="J478" s="111">
        <v>1</v>
      </c>
      <c r="K478" s="111">
        <v>0</v>
      </c>
      <c r="L478" s="111">
        <v>0</v>
      </c>
      <c r="M478" s="111">
        <v>360</v>
      </c>
      <c r="N478" s="111">
        <v>0</v>
      </c>
      <c r="O478" s="111">
        <v>0</v>
      </c>
      <c r="P478" s="35">
        <v>2</v>
      </c>
      <c r="Q478" s="35">
        <v>1</v>
      </c>
      <c r="R478" s="35">
        <v>21</v>
      </c>
      <c r="S478" s="32">
        <v>0</v>
      </c>
      <c r="T478" s="37">
        <v>353</v>
      </c>
      <c r="U478" s="38">
        <v>23</v>
      </c>
      <c r="V478" s="37">
        <v>36</v>
      </c>
      <c r="W478" s="32">
        <v>338</v>
      </c>
      <c r="X478" s="31">
        <v>348</v>
      </c>
      <c r="Y478" s="32">
        <v>22</v>
      </c>
      <c r="Z478" s="111">
        <v>344</v>
      </c>
      <c r="AA478" s="35">
        <v>0</v>
      </c>
      <c r="AB478" s="35">
        <v>16</v>
      </c>
      <c r="AC478" s="35">
        <v>15</v>
      </c>
      <c r="AD478" s="35">
        <v>0</v>
      </c>
      <c r="AE478" s="33">
        <v>0</v>
      </c>
      <c r="AF478" s="116">
        <v>0</v>
      </c>
      <c r="AG478" s="120"/>
      <c r="AH478" s="38"/>
      <c r="AI478" s="37">
        <v>21</v>
      </c>
      <c r="AJ478" s="36">
        <v>349</v>
      </c>
      <c r="AK478" s="37">
        <v>24</v>
      </c>
      <c r="AL478" s="38">
        <v>350</v>
      </c>
      <c r="AM478" s="37"/>
      <c r="AN478" s="116"/>
      <c r="AO478" s="120"/>
      <c r="AP478" s="38"/>
      <c r="AQ478" s="37"/>
      <c r="AR478" s="116"/>
      <c r="AS478" s="120">
        <v>348</v>
      </c>
      <c r="AT478" s="38">
        <v>27</v>
      </c>
      <c r="AU478" s="37"/>
      <c r="AV478" s="120"/>
      <c r="AW478" s="120"/>
      <c r="AX478" s="37"/>
      <c r="AY478" s="38"/>
      <c r="AZ478" s="37"/>
      <c r="BA478" s="116"/>
      <c r="BB478" s="31">
        <v>27</v>
      </c>
      <c r="BC478" s="32">
        <v>348</v>
      </c>
      <c r="BD478" s="31">
        <v>24</v>
      </c>
      <c r="BE478" s="116">
        <v>349</v>
      </c>
      <c r="BF478" s="120">
        <v>349</v>
      </c>
      <c r="BG478" s="38">
        <v>25</v>
      </c>
      <c r="BH478" s="37">
        <v>28</v>
      </c>
      <c r="BI478" s="38">
        <v>346</v>
      </c>
      <c r="BJ478" s="111">
        <v>9</v>
      </c>
      <c r="BK478" s="33">
        <v>9</v>
      </c>
      <c r="BL478" s="115">
        <v>363</v>
      </c>
      <c r="BM478" s="111">
        <v>347</v>
      </c>
      <c r="BN478" s="35">
        <v>17</v>
      </c>
      <c r="BO478" s="32">
        <v>11</v>
      </c>
      <c r="BP478" s="31">
        <v>18</v>
      </c>
      <c r="BQ478" s="32">
        <v>354</v>
      </c>
      <c r="BR478" s="31">
        <v>337</v>
      </c>
      <c r="BS478" s="32">
        <v>35</v>
      </c>
      <c r="BT478" s="31">
        <v>29</v>
      </c>
      <c r="BU478" s="33">
        <v>15</v>
      </c>
      <c r="BV478" s="115">
        <v>332</v>
      </c>
      <c r="BW478" s="111">
        <v>355</v>
      </c>
      <c r="BX478" s="32">
        <v>24</v>
      </c>
      <c r="BY478" s="31">
        <v>346</v>
      </c>
      <c r="BZ478" s="32">
        <v>23</v>
      </c>
      <c r="CA478" s="111">
        <v>23</v>
      </c>
      <c r="CB478" s="32">
        <v>349</v>
      </c>
      <c r="CC478" s="33">
        <v>99</v>
      </c>
      <c r="CD478" s="34">
        <v>357</v>
      </c>
      <c r="CE478" s="120">
        <v>105</v>
      </c>
      <c r="CF478" s="38">
        <v>201</v>
      </c>
      <c r="CG478" s="31">
        <v>67</v>
      </c>
      <c r="CH478" s="35">
        <v>17</v>
      </c>
      <c r="CI478" s="35">
        <v>197</v>
      </c>
      <c r="CJ478" s="35">
        <v>179</v>
      </c>
      <c r="CK478" s="32">
        <v>77</v>
      </c>
    </row>
    <row r="479" spans="1:89" ht="13" x14ac:dyDescent="0.25">
      <c r="A479" s="27">
        <v>7901</v>
      </c>
      <c r="B479" s="28" t="s">
        <v>502</v>
      </c>
      <c r="C479" s="29">
        <v>795</v>
      </c>
      <c r="D479" s="30">
        <v>489</v>
      </c>
      <c r="E479" s="20">
        <f t="shared" si="7"/>
        <v>0.61509433962264148</v>
      </c>
      <c r="F479" s="31">
        <v>0</v>
      </c>
      <c r="G479" s="111">
        <v>0</v>
      </c>
      <c r="H479" s="111">
        <v>0</v>
      </c>
      <c r="I479" s="111">
        <v>0</v>
      </c>
      <c r="J479" s="111">
        <v>2</v>
      </c>
      <c r="K479" s="111">
        <v>0</v>
      </c>
      <c r="L479" s="111">
        <v>0</v>
      </c>
      <c r="M479" s="111">
        <v>193</v>
      </c>
      <c r="N479" s="111">
        <v>0</v>
      </c>
      <c r="O479" s="111">
        <v>0</v>
      </c>
      <c r="P479" s="35">
        <v>2</v>
      </c>
      <c r="Q479" s="35">
        <v>0</v>
      </c>
      <c r="R479" s="35">
        <v>289</v>
      </c>
      <c r="S479" s="32">
        <v>0</v>
      </c>
      <c r="T479" s="37">
        <v>204</v>
      </c>
      <c r="U479" s="38">
        <v>262</v>
      </c>
      <c r="V479" s="37">
        <v>281</v>
      </c>
      <c r="W479" s="32">
        <v>192</v>
      </c>
      <c r="X479" s="31">
        <v>207</v>
      </c>
      <c r="Y479" s="32">
        <v>248</v>
      </c>
      <c r="Z479" s="111">
        <v>204</v>
      </c>
      <c r="AA479" s="35">
        <v>0</v>
      </c>
      <c r="AB479" s="35">
        <v>23</v>
      </c>
      <c r="AC479" s="35">
        <v>254</v>
      </c>
      <c r="AD479" s="35">
        <v>0</v>
      </c>
      <c r="AE479" s="33">
        <v>0</v>
      </c>
      <c r="AF479" s="116">
        <v>0</v>
      </c>
      <c r="AG479" s="120"/>
      <c r="AH479" s="38"/>
      <c r="AI479" s="37">
        <v>252</v>
      </c>
      <c r="AJ479" s="36">
        <v>204</v>
      </c>
      <c r="AK479" s="37">
        <v>251</v>
      </c>
      <c r="AL479" s="38">
        <v>204</v>
      </c>
      <c r="AM479" s="37"/>
      <c r="AN479" s="116"/>
      <c r="AO479" s="120"/>
      <c r="AP479" s="38"/>
      <c r="AQ479" s="37"/>
      <c r="AR479" s="116"/>
      <c r="AS479" s="120">
        <v>208</v>
      </c>
      <c r="AT479" s="38">
        <v>248</v>
      </c>
      <c r="AU479" s="37"/>
      <c r="AV479" s="120"/>
      <c r="AW479" s="120"/>
      <c r="AX479" s="37"/>
      <c r="AY479" s="38"/>
      <c r="AZ479" s="37"/>
      <c r="BA479" s="116"/>
      <c r="BB479" s="31">
        <v>254</v>
      </c>
      <c r="BC479" s="32">
        <v>199</v>
      </c>
      <c r="BD479" s="31">
        <v>254</v>
      </c>
      <c r="BE479" s="116">
        <v>195</v>
      </c>
      <c r="BF479" s="120">
        <v>200</v>
      </c>
      <c r="BG479" s="38">
        <v>246</v>
      </c>
      <c r="BH479" s="37">
        <v>261</v>
      </c>
      <c r="BI479" s="38">
        <v>190</v>
      </c>
      <c r="BJ479" s="111">
        <v>25</v>
      </c>
      <c r="BK479" s="33">
        <v>236</v>
      </c>
      <c r="BL479" s="115">
        <v>199</v>
      </c>
      <c r="BM479" s="111">
        <v>201</v>
      </c>
      <c r="BN479" s="35">
        <v>236</v>
      </c>
      <c r="BO479" s="32">
        <v>21</v>
      </c>
      <c r="BP479" s="31">
        <v>258</v>
      </c>
      <c r="BQ479" s="32">
        <v>195</v>
      </c>
      <c r="BR479" s="31">
        <v>189</v>
      </c>
      <c r="BS479" s="32">
        <v>271</v>
      </c>
      <c r="BT479" s="31">
        <v>246</v>
      </c>
      <c r="BU479" s="33">
        <v>18</v>
      </c>
      <c r="BV479" s="115">
        <v>189</v>
      </c>
      <c r="BW479" s="111">
        <v>214</v>
      </c>
      <c r="BX479" s="32">
        <v>249</v>
      </c>
      <c r="BY479" s="31">
        <v>200</v>
      </c>
      <c r="BZ479" s="32">
        <v>250</v>
      </c>
      <c r="CA479" s="111">
        <v>248</v>
      </c>
      <c r="CB479" s="32">
        <v>200</v>
      </c>
      <c r="CC479" s="33">
        <v>327</v>
      </c>
      <c r="CD479" s="34">
        <v>313</v>
      </c>
      <c r="CE479" s="120">
        <v>202</v>
      </c>
      <c r="CF479" s="42">
        <v>156</v>
      </c>
      <c r="CG479" s="31">
        <v>102</v>
      </c>
      <c r="CH479" s="35">
        <v>81</v>
      </c>
      <c r="CI479" s="35">
        <v>106</v>
      </c>
      <c r="CJ479" s="35">
        <v>127</v>
      </c>
      <c r="CK479" s="32">
        <v>194</v>
      </c>
    </row>
    <row r="480" spans="1:89" ht="13" x14ac:dyDescent="0.25">
      <c r="A480" s="27">
        <v>7902</v>
      </c>
      <c r="B480" s="28" t="s">
        <v>503</v>
      </c>
      <c r="C480" s="29">
        <v>1325</v>
      </c>
      <c r="D480" s="30">
        <v>726</v>
      </c>
      <c r="E480" s="20">
        <f t="shared" si="7"/>
        <v>0.54792452830188676</v>
      </c>
      <c r="F480" s="31">
        <v>0</v>
      </c>
      <c r="G480" s="111">
        <v>0</v>
      </c>
      <c r="H480" s="111">
        <v>0</v>
      </c>
      <c r="I480" s="111">
        <v>0</v>
      </c>
      <c r="J480" s="111">
        <v>1</v>
      </c>
      <c r="K480" s="111">
        <v>0</v>
      </c>
      <c r="L480" s="111">
        <v>0</v>
      </c>
      <c r="M480" s="111">
        <v>440</v>
      </c>
      <c r="N480" s="111">
        <v>0</v>
      </c>
      <c r="O480" s="111">
        <v>0</v>
      </c>
      <c r="P480" s="35">
        <v>6</v>
      </c>
      <c r="Q480" s="35">
        <v>2</v>
      </c>
      <c r="R480" s="35">
        <v>267</v>
      </c>
      <c r="S480" s="32">
        <v>1</v>
      </c>
      <c r="T480" s="37">
        <v>429</v>
      </c>
      <c r="U480" s="38">
        <v>255</v>
      </c>
      <c r="V480" s="37">
        <v>267</v>
      </c>
      <c r="W480" s="32">
        <v>420</v>
      </c>
      <c r="X480" s="31">
        <v>430</v>
      </c>
      <c r="Y480" s="32">
        <v>239</v>
      </c>
      <c r="Z480" s="111">
        <v>436</v>
      </c>
      <c r="AA480" s="35">
        <v>0</v>
      </c>
      <c r="AB480" s="35">
        <v>29</v>
      </c>
      <c r="AC480" s="35">
        <v>228</v>
      </c>
      <c r="AD480" s="35">
        <v>0</v>
      </c>
      <c r="AE480" s="33">
        <v>0</v>
      </c>
      <c r="AF480" s="116">
        <v>0</v>
      </c>
      <c r="AG480" s="120"/>
      <c r="AH480" s="38"/>
      <c r="AI480" s="37">
        <v>244</v>
      </c>
      <c r="AJ480" s="36">
        <v>422</v>
      </c>
      <c r="AK480" s="37">
        <v>251</v>
      </c>
      <c r="AL480" s="38">
        <v>418</v>
      </c>
      <c r="AM480" s="37"/>
      <c r="AN480" s="116"/>
      <c r="AO480" s="120"/>
      <c r="AP480" s="38"/>
      <c r="AQ480" s="37"/>
      <c r="AR480" s="116"/>
      <c r="AS480" s="120">
        <v>430</v>
      </c>
      <c r="AT480" s="38">
        <v>242</v>
      </c>
      <c r="AU480" s="37"/>
      <c r="AV480" s="120"/>
      <c r="AW480" s="120"/>
      <c r="AX480" s="37"/>
      <c r="AY480" s="38"/>
      <c r="AZ480" s="37"/>
      <c r="BA480" s="116"/>
      <c r="BB480" s="31">
        <v>244</v>
      </c>
      <c r="BC480" s="32">
        <v>416</v>
      </c>
      <c r="BD480" s="31">
        <v>240</v>
      </c>
      <c r="BE480" s="116">
        <v>422</v>
      </c>
      <c r="BF480" s="120">
        <v>421</v>
      </c>
      <c r="BG480" s="38">
        <v>233</v>
      </c>
      <c r="BH480" s="37">
        <v>237</v>
      </c>
      <c r="BI480" s="38">
        <v>428</v>
      </c>
      <c r="BJ480" s="111">
        <v>27</v>
      </c>
      <c r="BK480" s="33">
        <v>215</v>
      </c>
      <c r="BL480" s="115">
        <v>420</v>
      </c>
      <c r="BM480" s="111">
        <v>412</v>
      </c>
      <c r="BN480" s="35">
        <v>217</v>
      </c>
      <c r="BO480" s="32">
        <v>28</v>
      </c>
      <c r="BP480" s="31">
        <v>238</v>
      </c>
      <c r="BQ480" s="32">
        <v>414</v>
      </c>
      <c r="BR480" s="31">
        <v>412</v>
      </c>
      <c r="BS480" s="32">
        <v>261</v>
      </c>
      <c r="BT480" s="31">
        <v>240</v>
      </c>
      <c r="BU480" s="33">
        <v>28</v>
      </c>
      <c r="BV480" s="115">
        <v>398</v>
      </c>
      <c r="BW480" s="111">
        <v>431</v>
      </c>
      <c r="BX480" s="32">
        <v>242</v>
      </c>
      <c r="BY480" s="31">
        <v>421</v>
      </c>
      <c r="BZ480" s="32">
        <v>232</v>
      </c>
      <c r="CA480" s="111">
        <v>229</v>
      </c>
      <c r="CB480" s="32">
        <v>430</v>
      </c>
      <c r="CC480" s="33">
        <v>356</v>
      </c>
      <c r="CD480" s="34">
        <v>520</v>
      </c>
      <c r="CE480" s="120">
        <v>283</v>
      </c>
      <c r="CF480" s="42">
        <v>263</v>
      </c>
      <c r="CG480" s="31">
        <v>156</v>
      </c>
      <c r="CH480" s="35">
        <v>133</v>
      </c>
      <c r="CI480" s="35">
        <v>207</v>
      </c>
      <c r="CJ480" s="35">
        <v>235</v>
      </c>
      <c r="CK480" s="32">
        <v>242</v>
      </c>
    </row>
    <row r="481" spans="1:89" ht="13" x14ac:dyDescent="0.25">
      <c r="A481" s="27">
        <v>8001</v>
      </c>
      <c r="B481" s="28" t="s">
        <v>504</v>
      </c>
      <c r="C481" s="29">
        <v>1452</v>
      </c>
      <c r="D481" s="30">
        <v>1164</v>
      </c>
      <c r="E481" s="20">
        <f t="shared" si="7"/>
        <v>0.80165289256198347</v>
      </c>
      <c r="F481" s="31">
        <v>0</v>
      </c>
      <c r="G481" s="111">
        <v>0</v>
      </c>
      <c r="H481" s="111">
        <v>0</v>
      </c>
      <c r="I481" s="111">
        <v>1</v>
      </c>
      <c r="J481" s="111">
        <v>2</v>
      </c>
      <c r="K481" s="111">
        <v>0</v>
      </c>
      <c r="L481" s="111">
        <v>0</v>
      </c>
      <c r="M481" s="111">
        <v>711</v>
      </c>
      <c r="N481" s="111">
        <v>0</v>
      </c>
      <c r="O481" s="111">
        <v>0</v>
      </c>
      <c r="P481" s="35">
        <v>4</v>
      </c>
      <c r="Q481" s="35">
        <v>4</v>
      </c>
      <c r="R481" s="35">
        <v>415</v>
      </c>
      <c r="S481" s="32">
        <v>0</v>
      </c>
      <c r="T481" s="37">
        <v>647</v>
      </c>
      <c r="U481" s="38">
        <v>476</v>
      </c>
      <c r="V481" s="37">
        <v>499</v>
      </c>
      <c r="W481" s="32">
        <v>631</v>
      </c>
      <c r="X481" s="31">
        <v>652</v>
      </c>
      <c r="Y481" s="32">
        <v>456</v>
      </c>
      <c r="Z481" s="111">
        <v>715</v>
      </c>
      <c r="AA481" s="35">
        <v>0</v>
      </c>
      <c r="AB481" s="35">
        <v>27</v>
      </c>
      <c r="AC481" s="35">
        <v>406</v>
      </c>
      <c r="AD481" s="35">
        <v>0</v>
      </c>
      <c r="AE481" s="33">
        <v>0</v>
      </c>
      <c r="AF481" s="116">
        <v>0</v>
      </c>
      <c r="AG481" s="120">
        <v>714</v>
      </c>
      <c r="AH481" s="38">
        <v>408</v>
      </c>
      <c r="AI481" s="37"/>
      <c r="AJ481" s="36"/>
      <c r="AK481" s="37"/>
      <c r="AL481" s="38"/>
      <c r="AM481" s="37"/>
      <c r="AN481" s="116"/>
      <c r="AO481" s="120"/>
      <c r="AP481" s="38"/>
      <c r="AQ481" s="37">
        <v>455</v>
      </c>
      <c r="AR481" s="116">
        <v>635</v>
      </c>
      <c r="AS481" s="120"/>
      <c r="AT481" s="38"/>
      <c r="AU481" s="37"/>
      <c r="AV481" s="120"/>
      <c r="AW481" s="120"/>
      <c r="AX481" s="37"/>
      <c r="AY481" s="38"/>
      <c r="AZ481" s="37"/>
      <c r="BA481" s="116"/>
      <c r="BB481" s="31">
        <v>463</v>
      </c>
      <c r="BC481" s="32">
        <v>633</v>
      </c>
      <c r="BD481" s="31">
        <v>458</v>
      </c>
      <c r="BE481" s="116">
        <v>638</v>
      </c>
      <c r="BF481" s="120">
        <v>629</v>
      </c>
      <c r="BG481" s="38">
        <v>458</v>
      </c>
      <c r="BH481" s="37">
        <v>502</v>
      </c>
      <c r="BI481" s="38">
        <v>597</v>
      </c>
      <c r="BJ481" s="111">
        <v>33</v>
      </c>
      <c r="BK481" s="33">
        <v>436</v>
      </c>
      <c r="BL481" s="115">
        <v>625</v>
      </c>
      <c r="BM481" s="111">
        <v>635</v>
      </c>
      <c r="BN481" s="35">
        <v>433</v>
      </c>
      <c r="BO481" s="32">
        <v>32</v>
      </c>
      <c r="BP481" s="31">
        <v>473</v>
      </c>
      <c r="BQ481" s="32">
        <v>621</v>
      </c>
      <c r="BR481" s="31">
        <v>589</v>
      </c>
      <c r="BS481" s="32">
        <v>513</v>
      </c>
      <c r="BT481" s="31">
        <v>435</v>
      </c>
      <c r="BU481" s="33">
        <v>42</v>
      </c>
      <c r="BV481" s="115">
        <v>610</v>
      </c>
      <c r="BW481" s="111">
        <v>656</v>
      </c>
      <c r="BX481" s="32">
        <v>462</v>
      </c>
      <c r="BY481" s="31">
        <v>636</v>
      </c>
      <c r="BZ481" s="32">
        <v>434</v>
      </c>
      <c r="CA481" s="111">
        <v>452</v>
      </c>
      <c r="CB481" s="32">
        <v>633</v>
      </c>
      <c r="CC481" s="33">
        <v>696</v>
      </c>
      <c r="CD481" s="34">
        <v>841</v>
      </c>
      <c r="CE481" s="120">
        <v>484</v>
      </c>
      <c r="CF481" s="42">
        <v>454</v>
      </c>
      <c r="CG481" s="31">
        <v>293</v>
      </c>
      <c r="CH481" s="35">
        <v>242</v>
      </c>
      <c r="CI481" s="35">
        <v>378</v>
      </c>
      <c r="CJ481" s="35">
        <v>473</v>
      </c>
      <c r="CK481" s="32">
        <v>398</v>
      </c>
    </row>
    <row r="482" spans="1:89" ht="13" x14ac:dyDescent="0.25">
      <c r="A482" s="27">
        <v>8002</v>
      </c>
      <c r="B482" s="28" t="s">
        <v>505</v>
      </c>
      <c r="C482" s="29">
        <v>1400</v>
      </c>
      <c r="D482" s="30">
        <v>1139</v>
      </c>
      <c r="E482" s="20">
        <f t="shared" si="7"/>
        <v>0.81357142857142861</v>
      </c>
      <c r="F482" s="31">
        <v>0</v>
      </c>
      <c r="G482" s="111">
        <v>0</v>
      </c>
      <c r="H482" s="111">
        <v>0</v>
      </c>
      <c r="I482" s="111">
        <v>0</v>
      </c>
      <c r="J482" s="111">
        <v>1</v>
      </c>
      <c r="K482" s="111">
        <v>0</v>
      </c>
      <c r="L482" s="111">
        <v>0</v>
      </c>
      <c r="M482" s="111">
        <v>707</v>
      </c>
      <c r="N482" s="111">
        <v>0</v>
      </c>
      <c r="O482" s="111">
        <v>0</v>
      </c>
      <c r="P482" s="35">
        <v>8</v>
      </c>
      <c r="Q482" s="35">
        <v>7</v>
      </c>
      <c r="R482" s="35">
        <v>391</v>
      </c>
      <c r="S482" s="32">
        <v>0</v>
      </c>
      <c r="T482" s="31">
        <v>625</v>
      </c>
      <c r="U482" s="32">
        <v>451</v>
      </c>
      <c r="V482" s="31">
        <v>471</v>
      </c>
      <c r="W482" s="32">
        <v>611</v>
      </c>
      <c r="X482" s="31">
        <v>630</v>
      </c>
      <c r="Y482" s="32">
        <v>426</v>
      </c>
      <c r="Z482" s="111">
        <v>705</v>
      </c>
      <c r="AA482" s="35">
        <v>0</v>
      </c>
      <c r="AB482" s="35">
        <v>22</v>
      </c>
      <c r="AC482" s="35">
        <v>385</v>
      </c>
      <c r="AD482" s="35">
        <v>0</v>
      </c>
      <c r="AE482" s="33">
        <v>0</v>
      </c>
      <c r="AF482" s="115">
        <v>0</v>
      </c>
      <c r="AG482" s="111">
        <v>688</v>
      </c>
      <c r="AH482" s="32">
        <v>400</v>
      </c>
      <c r="AI482" s="31"/>
      <c r="AJ482" s="33"/>
      <c r="AK482" s="31"/>
      <c r="AL482" s="32"/>
      <c r="AM482" s="31"/>
      <c r="AN482" s="115"/>
      <c r="AO482" s="111"/>
      <c r="AP482" s="32"/>
      <c r="AQ482" s="31">
        <v>416</v>
      </c>
      <c r="AR482" s="115">
        <v>609</v>
      </c>
      <c r="AS482" s="111"/>
      <c r="AT482" s="32"/>
      <c r="AU482" s="31"/>
      <c r="AV482" s="111"/>
      <c r="AW482" s="111"/>
      <c r="AX482" s="31"/>
      <c r="AY482" s="32"/>
      <c r="AZ482" s="31"/>
      <c r="BA482" s="115"/>
      <c r="BB482" s="31">
        <v>441</v>
      </c>
      <c r="BC482" s="32">
        <v>593</v>
      </c>
      <c r="BD482" s="31">
        <v>422</v>
      </c>
      <c r="BE482" s="115">
        <v>603</v>
      </c>
      <c r="BF482" s="111">
        <v>596</v>
      </c>
      <c r="BG482" s="32">
        <v>423</v>
      </c>
      <c r="BH482" s="31">
        <v>483</v>
      </c>
      <c r="BI482" s="32">
        <v>543</v>
      </c>
      <c r="BJ482" s="111">
        <v>47</v>
      </c>
      <c r="BK482" s="33">
        <v>404</v>
      </c>
      <c r="BL482" s="115">
        <v>597</v>
      </c>
      <c r="BM482" s="111">
        <v>613</v>
      </c>
      <c r="BN482" s="35">
        <v>402</v>
      </c>
      <c r="BO482" s="32">
        <v>29</v>
      </c>
      <c r="BP482" s="31">
        <v>448</v>
      </c>
      <c r="BQ482" s="32">
        <v>585</v>
      </c>
      <c r="BR482" s="31">
        <v>537</v>
      </c>
      <c r="BS482" s="32">
        <v>512</v>
      </c>
      <c r="BT482" s="31">
        <v>412</v>
      </c>
      <c r="BU482" s="33">
        <v>36</v>
      </c>
      <c r="BV482" s="115">
        <v>566</v>
      </c>
      <c r="BW482" s="111">
        <v>628</v>
      </c>
      <c r="BX482" s="32">
        <v>426</v>
      </c>
      <c r="BY482" s="31">
        <v>600</v>
      </c>
      <c r="BZ482" s="32">
        <v>399</v>
      </c>
      <c r="CA482" s="111">
        <v>397</v>
      </c>
      <c r="CB482" s="32">
        <v>626</v>
      </c>
      <c r="CC482" s="33">
        <v>626</v>
      </c>
      <c r="CD482" s="34">
        <v>765</v>
      </c>
      <c r="CE482" s="111">
        <v>425</v>
      </c>
      <c r="CF482" s="42">
        <v>419</v>
      </c>
      <c r="CG482" s="31">
        <v>304</v>
      </c>
      <c r="CH482" s="35">
        <v>211</v>
      </c>
      <c r="CI482" s="35">
        <v>329</v>
      </c>
      <c r="CJ482" s="35">
        <v>425</v>
      </c>
      <c r="CK482" s="32">
        <v>394</v>
      </c>
    </row>
    <row r="483" spans="1:89" ht="13" x14ac:dyDescent="0.25">
      <c r="A483" s="27">
        <v>8211</v>
      </c>
      <c r="B483" s="28" t="s">
        <v>506</v>
      </c>
      <c r="C483" s="29">
        <v>523</v>
      </c>
      <c r="D483" s="30">
        <v>310</v>
      </c>
      <c r="E483" s="20">
        <f t="shared" si="7"/>
        <v>0.59273422562141487</v>
      </c>
      <c r="F483" s="31">
        <v>0</v>
      </c>
      <c r="G483" s="111">
        <v>0</v>
      </c>
      <c r="H483" s="111">
        <v>0</v>
      </c>
      <c r="I483" s="111">
        <v>0</v>
      </c>
      <c r="J483" s="111">
        <v>0</v>
      </c>
      <c r="K483" s="111">
        <v>0</v>
      </c>
      <c r="L483" s="111">
        <v>0</v>
      </c>
      <c r="M483" s="111">
        <v>77</v>
      </c>
      <c r="N483" s="111">
        <v>0</v>
      </c>
      <c r="O483" s="111">
        <v>0</v>
      </c>
      <c r="P483" s="35">
        <v>2</v>
      </c>
      <c r="Q483" s="35">
        <v>0</v>
      </c>
      <c r="R483" s="35">
        <v>228</v>
      </c>
      <c r="S483" s="32">
        <v>0</v>
      </c>
      <c r="T483" s="31">
        <v>85</v>
      </c>
      <c r="U483" s="32">
        <v>211</v>
      </c>
      <c r="V483" s="31">
        <v>219</v>
      </c>
      <c r="W483" s="32">
        <v>82</v>
      </c>
      <c r="X483" s="31">
        <v>84</v>
      </c>
      <c r="Y483" s="32">
        <v>207</v>
      </c>
      <c r="Z483" s="111">
        <v>88</v>
      </c>
      <c r="AA483" s="35">
        <v>0</v>
      </c>
      <c r="AB483" s="35">
        <v>13</v>
      </c>
      <c r="AC483" s="35">
        <v>198</v>
      </c>
      <c r="AD483" s="35">
        <v>0</v>
      </c>
      <c r="AE483" s="33">
        <v>0</v>
      </c>
      <c r="AF483" s="115">
        <v>0</v>
      </c>
      <c r="AG483" s="111"/>
      <c r="AH483" s="32"/>
      <c r="AI483" s="31">
        <v>206</v>
      </c>
      <c r="AJ483" s="33">
        <v>83</v>
      </c>
      <c r="AK483" s="31">
        <v>207</v>
      </c>
      <c r="AL483" s="32">
        <v>84</v>
      </c>
      <c r="AM483" s="31"/>
      <c r="AN483" s="115"/>
      <c r="AO483" s="111"/>
      <c r="AP483" s="32"/>
      <c r="AQ483" s="31"/>
      <c r="AR483" s="115"/>
      <c r="AS483" s="111"/>
      <c r="AT483" s="32"/>
      <c r="AU483" s="31"/>
      <c r="AV483" s="111"/>
      <c r="AW483" s="111"/>
      <c r="AX483" s="31"/>
      <c r="AY483" s="32"/>
      <c r="AZ483" s="31">
        <v>80</v>
      </c>
      <c r="BA483" s="115">
        <v>208</v>
      </c>
      <c r="BB483" s="31">
        <v>211</v>
      </c>
      <c r="BC483" s="32">
        <v>75</v>
      </c>
      <c r="BD483" s="31">
        <v>203</v>
      </c>
      <c r="BE483" s="115">
        <v>78</v>
      </c>
      <c r="BF483" s="111">
        <v>75</v>
      </c>
      <c r="BG483" s="32">
        <v>205</v>
      </c>
      <c r="BH483" s="31">
        <v>213</v>
      </c>
      <c r="BI483" s="32">
        <v>72</v>
      </c>
      <c r="BJ483" s="111">
        <v>17</v>
      </c>
      <c r="BK483" s="33">
        <v>188</v>
      </c>
      <c r="BL483" s="115">
        <v>79</v>
      </c>
      <c r="BM483" s="111">
        <v>85</v>
      </c>
      <c r="BN483" s="35">
        <v>189</v>
      </c>
      <c r="BO483" s="32">
        <v>12</v>
      </c>
      <c r="BP483" s="31">
        <v>210</v>
      </c>
      <c r="BQ483" s="32">
        <v>74</v>
      </c>
      <c r="BR483" s="31">
        <v>67</v>
      </c>
      <c r="BS483" s="32">
        <v>219</v>
      </c>
      <c r="BT483" s="31">
        <v>195</v>
      </c>
      <c r="BU483" s="33">
        <v>14</v>
      </c>
      <c r="BV483" s="115">
        <v>72</v>
      </c>
      <c r="BW483" s="111">
        <v>72</v>
      </c>
      <c r="BX483" s="32">
        <v>222</v>
      </c>
      <c r="BY483" s="31">
        <v>85</v>
      </c>
      <c r="BZ483" s="32">
        <v>195</v>
      </c>
      <c r="CA483" s="111">
        <v>202</v>
      </c>
      <c r="CB483" s="32">
        <v>81</v>
      </c>
      <c r="CC483" s="33">
        <v>241</v>
      </c>
      <c r="CD483" s="34">
        <v>176</v>
      </c>
      <c r="CE483" s="111">
        <v>172</v>
      </c>
      <c r="CF483" s="38">
        <v>71</v>
      </c>
      <c r="CG483" s="31">
        <v>60</v>
      </c>
      <c r="CH483" s="35">
        <v>109</v>
      </c>
      <c r="CI483" s="35">
        <v>31</v>
      </c>
      <c r="CJ483" s="35">
        <v>42</v>
      </c>
      <c r="CK483" s="32">
        <v>180</v>
      </c>
    </row>
    <row r="484" spans="1:89" ht="13" x14ac:dyDescent="0.25">
      <c r="A484" s="27">
        <v>8221</v>
      </c>
      <c r="B484" s="28" t="s">
        <v>507</v>
      </c>
      <c r="C484" s="29">
        <v>928</v>
      </c>
      <c r="D484" s="30">
        <v>562</v>
      </c>
      <c r="E484" s="20">
        <f t="shared" si="7"/>
        <v>0.6056034482758621</v>
      </c>
      <c r="F484" s="31">
        <v>0</v>
      </c>
      <c r="G484" s="111">
        <v>0</v>
      </c>
      <c r="H484" s="111">
        <v>0</v>
      </c>
      <c r="I484" s="111">
        <v>0</v>
      </c>
      <c r="J484" s="111">
        <v>3</v>
      </c>
      <c r="K484" s="111">
        <v>0</v>
      </c>
      <c r="L484" s="111">
        <v>0</v>
      </c>
      <c r="M484" s="111">
        <v>152</v>
      </c>
      <c r="N484" s="111">
        <v>0</v>
      </c>
      <c r="O484" s="111">
        <v>0</v>
      </c>
      <c r="P484" s="35">
        <v>2</v>
      </c>
      <c r="Q484" s="35">
        <v>1</v>
      </c>
      <c r="R484" s="35">
        <v>397</v>
      </c>
      <c r="S484" s="32">
        <v>0</v>
      </c>
      <c r="T484" s="31">
        <v>154</v>
      </c>
      <c r="U484" s="32">
        <v>375</v>
      </c>
      <c r="V484" s="31">
        <v>381</v>
      </c>
      <c r="W484" s="32">
        <v>153</v>
      </c>
      <c r="X484" s="31">
        <v>161</v>
      </c>
      <c r="Y484" s="32">
        <v>354</v>
      </c>
      <c r="Z484" s="111">
        <v>165</v>
      </c>
      <c r="AA484" s="35">
        <v>0</v>
      </c>
      <c r="AB484" s="35">
        <v>34</v>
      </c>
      <c r="AC484" s="35">
        <v>340</v>
      </c>
      <c r="AD484" s="35">
        <v>0</v>
      </c>
      <c r="AE484" s="33">
        <v>0</v>
      </c>
      <c r="AF484" s="115">
        <v>0</v>
      </c>
      <c r="AG484" s="111"/>
      <c r="AH484" s="32"/>
      <c r="AI484" s="31">
        <v>359</v>
      </c>
      <c r="AJ484" s="33">
        <v>154</v>
      </c>
      <c r="AK484" s="31">
        <v>354</v>
      </c>
      <c r="AL484" s="32">
        <v>160</v>
      </c>
      <c r="AM484" s="31"/>
      <c r="AN484" s="115"/>
      <c r="AO484" s="111"/>
      <c r="AP484" s="32"/>
      <c r="AQ484" s="31"/>
      <c r="AR484" s="115"/>
      <c r="AS484" s="111"/>
      <c r="AT484" s="32"/>
      <c r="AU484" s="31"/>
      <c r="AV484" s="111"/>
      <c r="AW484" s="111"/>
      <c r="AX484" s="31"/>
      <c r="AY484" s="32"/>
      <c r="AZ484" s="31">
        <v>159</v>
      </c>
      <c r="BA484" s="115">
        <v>355</v>
      </c>
      <c r="BB484" s="31">
        <v>363</v>
      </c>
      <c r="BC484" s="32">
        <v>149</v>
      </c>
      <c r="BD484" s="31">
        <v>351</v>
      </c>
      <c r="BE484" s="115">
        <v>156</v>
      </c>
      <c r="BF484" s="111">
        <v>151</v>
      </c>
      <c r="BG484" s="32">
        <v>354</v>
      </c>
      <c r="BH484" s="31">
        <v>375</v>
      </c>
      <c r="BI484" s="32">
        <v>139</v>
      </c>
      <c r="BJ484" s="111">
        <v>22</v>
      </c>
      <c r="BK484" s="33">
        <v>341</v>
      </c>
      <c r="BL484" s="115">
        <v>152</v>
      </c>
      <c r="BM484" s="111">
        <v>163</v>
      </c>
      <c r="BN484" s="35">
        <v>334</v>
      </c>
      <c r="BO484" s="32">
        <v>16</v>
      </c>
      <c r="BP484" s="31">
        <v>356</v>
      </c>
      <c r="BQ484" s="32">
        <v>157</v>
      </c>
      <c r="BR484" s="31">
        <v>144</v>
      </c>
      <c r="BS484" s="32">
        <v>382</v>
      </c>
      <c r="BT484" s="31">
        <v>347</v>
      </c>
      <c r="BU484" s="33">
        <v>24</v>
      </c>
      <c r="BV484" s="115">
        <v>141</v>
      </c>
      <c r="BW484" s="111">
        <v>147</v>
      </c>
      <c r="BX484" s="32">
        <v>387</v>
      </c>
      <c r="BY484" s="31">
        <v>152</v>
      </c>
      <c r="BZ484" s="32">
        <v>352</v>
      </c>
      <c r="CA484" s="111">
        <v>352</v>
      </c>
      <c r="CB484" s="32">
        <v>161</v>
      </c>
      <c r="CC484" s="33">
        <v>422</v>
      </c>
      <c r="CD484" s="34">
        <v>338</v>
      </c>
      <c r="CE484" s="111">
        <v>258</v>
      </c>
      <c r="CF484" s="38">
        <v>177</v>
      </c>
      <c r="CG484" s="31">
        <v>114</v>
      </c>
      <c r="CH484" s="35">
        <v>169</v>
      </c>
      <c r="CI484" s="35">
        <v>69</v>
      </c>
      <c r="CJ484" s="35">
        <v>103</v>
      </c>
      <c r="CK484" s="32">
        <v>305</v>
      </c>
    </row>
    <row r="485" spans="1:89" ht="13" x14ac:dyDescent="0.25">
      <c r="A485" s="27">
        <v>8222</v>
      </c>
      <c r="B485" s="28" t="s">
        <v>508</v>
      </c>
      <c r="C485" s="29">
        <v>1442</v>
      </c>
      <c r="D485" s="30">
        <v>1185</v>
      </c>
      <c r="E485" s="20">
        <f t="shared" si="7"/>
        <v>0.82177531206657417</v>
      </c>
      <c r="F485" s="31">
        <v>0</v>
      </c>
      <c r="G485" s="111">
        <v>0</v>
      </c>
      <c r="H485" s="111">
        <v>0</v>
      </c>
      <c r="I485" s="111">
        <v>0</v>
      </c>
      <c r="J485" s="111">
        <v>1</v>
      </c>
      <c r="K485" s="111">
        <v>0</v>
      </c>
      <c r="L485" s="111">
        <v>0</v>
      </c>
      <c r="M485" s="111">
        <v>264</v>
      </c>
      <c r="N485" s="111">
        <v>0</v>
      </c>
      <c r="O485" s="111">
        <v>0</v>
      </c>
      <c r="P485" s="35">
        <v>13</v>
      </c>
      <c r="Q485" s="35">
        <v>0</v>
      </c>
      <c r="R485" s="35">
        <v>902</v>
      </c>
      <c r="S485" s="32">
        <v>0</v>
      </c>
      <c r="T485" s="31">
        <v>261</v>
      </c>
      <c r="U485" s="32">
        <v>885</v>
      </c>
      <c r="V485" s="31">
        <v>903</v>
      </c>
      <c r="W485" s="32">
        <v>245</v>
      </c>
      <c r="X485" s="31">
        <v>265</v>
      </c>
      <c r="Y485" s="32">
        <v>861</v>
      </c>
      <c r="Z485" s="111">
        <v>280</v>
      </c>
      <c r="AA485" s="35">
        <v>0</v>
      </c>
      <c r="AB485" s="35">
        <v>52</v>
      </c>
      <c r="AC485" s="35">
        <v>823</v>
      </c>
      <c r="AD485" s="35">
        <v>0</v>
      </c>
      <c r="AE485" s="33">
        <v>0</v>
      </c>
      <c r="AF485" s="115">
        <v>0</v>
      </c>
      <c r="AG485" s="111"/>
      <c r="AH485" s="32"/>
      <c r="AI485" s="31">
        <v>870</v>
      </c>
      <c r="AJ485" s="33">
        <v>254</v>
      </c>
      <c r="AK485" s="31">
        <v>869</v>
      </c>
      <c r="AL485" s="32">
        <v>257</v>
      </c>
      <c r="AM485" s="31"/>
      <c r="AN485" s="115"/>
      <c r="AO485" s="111"/>
      <c r="AP485" s="32"/>
      <c r="AQ485" s="31"/>
      <c r="AR485" s="115"/>
      <c r="AS485" s="111"/>
      <c r="AT485" s="32"/>
      <c r="AU485" s="31"/>
      <c r="AV485" s="111"/>
      <c r="AW485" s="111"/>
      <c r="AX485" s="31"/>
      <c r="AY485" s="32"/>
      <c r="AZ485" s="31">
        <v>247</v>
      </c>
      <c r="BA485" s="115">
        <v>868</v>
      </c>
      <c r="BB485" s="31">
        <v>879</v>
      </c>
      <c r="BC485" s="32">
        <v>237</v>
      </c>
      <c r="BD485" s="31">
        <v>866</v>
      </c>
      <c r="BE485" s="115">
        <v>244</v>
      </c>
      <c r="BF485" s="111">
        <v>244</v>
      </c>
      <c r="BG485" s="32">
        <v>859</v>
      </c>
      <c r="BH485" s="31">
        <v>904</v>
      </c>
      <c r="BI485" s="32">
        <v>210</v>
      </c>
      <c r="BJ485" s="111">
        <v>59</v>
      </c>
      <c r="BK485" s="33">
        <v>803</v>
      </c>
      <c r="BL485" s="115">
        <v>253</v>
      </c>
      <c r="BM485" s="111">
        <v>282</v>
      </c>
      <c r="BN485" s="35">
        <v>804</v>
      </c>
      <c r="BO485" s="32">
        <v>37</v>
      </c>
      <c r="BP485" s="31">
        <v>875</v>
      </c>
      <c r="BQ485" s="32">
        <v>237</v>
      </c>
      <c r="BR485" s="31">
        <v>212</v>
      </c>
      <c r="BS485" s="32">
        <v>906</v>
      </c>
      <c r="BT485" s="31">
        <v>825</v>
      </c>
      <c r="BU485" s="33">
        <v>45</v>
      </c>
      <c r="BV485" s="115">
        <v>237</v>
      </c>
      <c r="BW485" s="111">
        <v>265</v>
      </c>
      <c r="BX485" s="32">
        <v>872</v>
      </c>
      <c r="BY485" s="31">
        <v>247</v>
      </c>
      <c r="BZ485" s="32">
        <v>856</v>
      </c>
      <c r="CA485" s="111">
        <v>858</v>
      </c>
      <c r="CB485" s="32">
        <v>254</v>
      </c>
      <c r="CC485" s="33">
        <v>919</v>
      </c>
      <c r="CD485" s="34">
        <v>641</v>
      </c>
      <c r="CE485" s="111">
        <v>732</v>
      </c>
      <c r="CF485" s="38">
        <v>231</v>
      </c>
      <c r="CG485" s="31">
        <v>228</v>
      </c>
      <c r="CH485" s="35">
        <v>526</v>
      </c>
      <c r="CI485" s="35">
        <v>114</v>
      </c>
      <c r="CJ485" s="35">
        <v>166</v>
      </c>
      <c r="CK485" s="32">
        <v>727</v>
      </c>
    </row>
    <row r="486" spans="1:89" ht="13" x14ac:dyDescent="0.25">
      <c r="A486" s="27">
        <v>8231</v>
      </c>
      <c r="B486" s="28" t="s">
        <v>509</v>
      </c>
      <c r="C486" s="29">
        <v>771</v>
      </c>
      <c r="D486" s="30">
        <v>618</v>
      </c>
      <c r="E486" s="20">
        <f t="shared" si="7"/>
        <v>0.80155642023346307</v>
      </c>
      <c r="F486" s="31">
        <v>0</v>
      </c>
      <c r="G486" s="111">
        <v>0</v>
      </c>
      <c r="H486" s="111">
        <v>0</v>
      </c>
      <c r="I486" s="111">
        <v>0</v>
      </c>
      <c r="J486" s="111">
        <v>1</v>
      </c>
      <c r="K486" s="111">
        <v>0</v>
      </c>
      <c r="L486" s="111">
        <v>0</v>
      </c>
      <c r="M486" s="111">
        <v>123</v>
      </c>
      <c r="N486" s="111">
        <v>0</v>
      </c>
      <c r="O486" s="111">
        <v>0</v>
      </c>
      <c r="P486" s="35">
        <v>3</v>
      </c>
      <c r="Q486" s="35">
        <v>0</v>
      </c>
      <c r="R486" s="35">
        <v>480</v>
      </c>
      <c r="S486" s="32">
        <v>0</v>
      </c>
      <c r="T486" s="31">
        <v>105</v>
      </c>
      <c r="U486" s="32">
        <v>494</v>
      </c>
      <c r="V486" s="31">
        <v>500</v>
      </c>
      <c r="W486" s="32">
        <v>103</v>
      </c>
      <c r="X486" s="31">
        <v>108</v>
      </c>
      <c r="Y486" s="32">
        <v>482</v>
      </c>
      <c r="Z486" s="111">
        <v>138</v>
      </c>
      <c r="AA486" s="35">
        <v>0</v>
      </c>
      <c r="AB486" s="35">
        <v>16</v>
      </c>
      <c r="AC486" s="35">
        <v>452</v>
      </c>
      <c r="AD486" s="35">
        <v>0</v>
      </c>
      <c r="AE486" s="33">
        <v>0</v>
      </c>
      <c r="AF486" s="115">
        <v>0</v>
      </c>
      <c r="AG486" s="111"/>
      <c r="AH486" s="32"/>
      <c r="AI486" s="31">
        <v>482</v>
      </c>
      <c r="AJ486" s="33">
        <v>109</v>
      </c>
      <c r="AK486" s="31">
        <v>483</v>
      </c>
      <c r="AL486" s="32">
        <v>105</v>
      </c>
      <c r="AM486" s="31"/>
      <c r="AN486" s="115"/>
      <c r="AO486" s="111"/>
      <c r="AP486" s="32"/>
      <c r="AQ486" s="31"/>
      <c r="AR486" s="115"/>
      <c r="AS486" s="111"/>
      <c r="AT486" s="32"/>
      <c r="AU486" s="31"/>
      <c r="AV486" s="111"/>
      <c r="AW486" s="111"/>
      <c r="AX486" s="31"/>
      <c r="AY486" s="32"/>
      <c r="AZ486" s="31">
        <v>108</v>
      </c>
      <c r="BA486" s="115">
        <v>480</v>
      </c>
      <c r="BB486" s="31">
        <v>484</v>
      </c>
      <c r="BC486" s="32">
        <v>103</v>
      </c>
      <c r="BD486" s="31">
        <v>477</v>
      </c>
      <c r="BE486" s="115">
        <v>102</v>
      </c>
      <c r="BF486" s="111">
        <v>100</v>
      </c>
      <c r="BG486" s="32">
        <v>476</v>
      </c>
      <c r="BH486" s="31">
        <v>495</v>
      </c>
      <c r="BI486" s="32">
        <v>90</v>
      </c>
      <c r="BJ486" s="111">
        <v>20</v>
      </c>
      <c r="BK486" s="33">
        <v>455</v>
      </c>
      <c r="BL486" s="115">
        <v>114</v>
      </c>
      <c r="BM486" s="111">
        <v>154</v>
      </c>
      <c r="BN486" s="35">
        <v>425</v>
      </c>
      <c r="BO486" s="32">
        <v>12</v>
      </c>
      <c r="BP486" s="31">
        <v>477</v>
      </c>
      <c r="BQ486" s="32">
        <v>109</v>
      </c>
      <c r="BR486" s="31">
        <v>87</v>
      </c>
      <c r="BS486" s="32">
        <v>502</v>
      </c>
      <c r="BT486" s="31">
        <v>467</v>
      </c>
      <c r="BU486" s="33">
        <v>21</v>
      </c>
      <c r="BV486" s="115">
        <v>95</v>
      </c>
      <c r="BW486" s="111">
        <v>123</v>
      </c>
      <c r="BX486" s="32">
        <v>480</v>
      </c>
      <c r="BY486" s="31">
        <v>119</v>
      </c>
      <c r="BZ486" s="32">
        <v>462</v>
      </c>
      <c r="CA486" s="111">
        <v>448</v>
      </c>
      <c r="CB486" s="32">
        <v>131</v>
      </c>
      <c r="CC486" s="33">
        <v>497</v>
      </c>
      <c r="CD486" s="34">
        <v>354</v>
      </c>
      <c r="CE486" s="111">
        <v>399</v>
      </c>
      <c r="CF486" s="38">
        <v>116</v>
      </c>
      <c r="CG486" s="31">
        <v>153</v>
      </c>
      <c r="CH486" s="35">
        <v>264</v>
      </c>
      <c r="CI486" s="35">
        <v>45</v>
      </c>
      <c r="CJ486" s="35">
        <v>69</v>
      </c>
      <c r="CK486" s="32">
        <v>436</v>
      </c>
    </row>
    <row r="487" spans="1:89" ht="13" x14ac:dyDescent="0.25">
      <c r="A487" s="27">
        <v>8301</v>
      </c>
      <c r="B487" s="28" t="s">
        <v>510</v>
      </c>
      <c r="C487" s="29">
        <v>1268</v>
      </c>
      <c r="D487" s="30">
        <v>1068</v>
      </c>
      <c r="E487" s="20">
        <f t="shared" si="7"/>
        <v>0.8422712933753943</v>
      </c>
      <c r="F487" s="31">
        <v>0</v>
      </c>
      <c r="G487" s="111">
        <v>0</v>
      </c>
      <c r="H487" s="111">
        <v>0</v>
      </c>
      <c r="I487" s="111">
        <v>0</v>
      </c>
      <c r="J487" s="111">
        <v>5</v>
      </c>
      <c r="K487" s="111">
        <v>0</v>
      </c>
      <c r="L487" s="111">
        <v>0</v>
      </c>
      <c r="M487" s="111">
        <v>260</v>
      </c>
      <c r="N487" s="111">
        <v>0</v>
      </c>
      <c r="O487" s="111">
        <v>0</v>
      </c>
      <c r="P487" s="35">
        <v>4</v>
      </c>
      <c r="Q487" s="35">
        <v>4</v>
      </c>
      <c r="R487" s="35">
        <v>780</v>
      </c>
      <c r="S487" s="32">
        <v>0</v>
      </c>
      <c r="T487" s="31">
        <v>225</v>
      </c>
      <c r="U487" s="32">
        <v>782</v>
      </c>
      <c r="V487" s="31">
        <v>815</v>
      </c>
      <c r="W487" s="32">
        <v>214</v>
      </c>
      <c r="X487" s="31">
        <v>233</v>
      </c>
      <c r="Y487" s="32">
        <v>764</v>
      </c>
      <c r="Z487" s="111">
        <v>286</v>
      </c>
      <c r="AA487" s="35">
        <v>0</v>
      </c>
      <c r="AB487" s="35">
        <v>33</v>
      </c>
      <c r="AC487" s="35">
        <v>723</v>
      </c>
      <c r="AD487" s="35">
        <v>0</v>
      </c>
      <c r="AE487" s="33">
        <v>0</v>
      </c>
      <c r="AF487" s="115">
        <v>0</v>
      </c>
      <c r="AG487" s="111"/>
      <c r="AH487" s="32"/>
      <c r="AI487" s="31">
        <v>765</v>
      </c>
      <c r="AJ487" s="33">
        <v>231</v>
      </c>
      <c r="AK487" s="31">
        <v>762</v>
      </c>
      <c r="AL487" s="32">
        <v>228</v>
      </c>
      <c r="AM487" s="31"/>
      <c r="AN487" s="115"/>
      <c r="AO487" s="111"/>
      <c r="AP487" s="32"/>
      <c r="AQ487" s="31"/>
      <c r="AR487" s="115"/>
      <c r="AS487" s="111"/>
      <c r="AT487" s="32"/>
      <c r="AU487" s="31"/>
      <c r="AV487" s="111"/>
      <c r="AW487" s="111"/>
      <c r="AX487" s="31"/>
      <c r="AY487" s="32"/>
      <c r="AZ487" s="31">
        <v>220</v>
      </c>
      <c r="BA487" s="115">
        <v>767</v>
      </c>
      <c r="BB487" s="31">
        <v>766</v>
      </c>
      <c r="BC487" s="32">
        <v>205</v>
      </c>
      <c r="BD487" s="31">
        <v>757</v>
      </c>
      <c r="BE487" s="115">
        <v>215</v>
      </c>
      <c r="BF487" s="111">
        <v>221</v>
      </c>
      <c r="BG487" s="32">
        <v>748</v>
      </c>
      <c r="BH487" s="31">
        <v>806</v>
      </c>
      <c r="BI487" s="32">
        <v>189</v>
      </c>
      <c r="BJ487" s="111">
        <v>39</v>
      </c>
      <c r="BK487" s="33">
        <v>722</v>
      </c>
      <c r="BL487" s="115">
        <v>230</v>
      </c>
      <c r="BM487" s="111">
        <v>272</v>
      </c>
      <c r="BN487" s="35">
        <v>697</v>
      </c>
      <c r="BO487" s="32">
        <v>28</v>
      </c>
      <c r="BP487" s="31">
        <v>777</v>
      </c>
      <c r="BQ487" s="32">
        <v>215</v>
      </c>
      <c r="BR487" s="31">
        <v>182</v>
      </c>
      <c r="BS487" s="32">
        <v>816</v>
      </c>
      <c r="BT487" s="31">
        <v>731</v>
      </c>
      <c r="BU487" s="33">
        <v>41</v>
      </c>
      <c r="BV487" s="115">
        <v>198</v>
      </c>
      <c r="BW487" s="111">
        <v>229</v>
      </c>
      <c r="BX487" s="32">
        <v>796</v>
      </c>
      <c r="BY487" s="31">
        <v>234</v>
      </c>
      <c r="BZ487" s="32">
        <v>733</v>
      </c>
      <c r="CA487" s="111">
        <v>749</v>
      </c>
      <c r="CB487" s="32">
        <v>235</v>
      </c>
      <c r="CC487" s="33">
        <v>826</v>
      </c>
      <c r="CD487" s="34">
        <v>602</v>
      </c>
      <c r="CE487" s="111">
        <v>614</v>
      </c>
      <c r="CF487" s="38">
        <v>212</v>
      </c>
      <c r="CG487" s="31">
        <v>223</v>
      </c>
      <c r="CH487" s="35">
        <v>427</v>
      </c>
      <c r="CI487" s="35">
        <v>106</v>
      </c>
      <c r="CJ487" s="35">
        <v>127</v>
      </c>
      <c r="CK487" s="32">
        <v>680</v>
      </c>
    </row>
    <row r="488" spans="1:89" ht="13" x14ac:dyDescent="0.25">
      <c r="A488" s="27">
        <v>8302</v>
      </c>
      <c r="B488" s="28" t="s">
        <v>511</v>
      </c>
      <c r="C488" s="29">
        <v>1562</v>
      </c>
      <c r="D488" s="30">
        <v>1358</v>
      </c>
      <c r="E488" s="20">
        <f t="shared" si="7"/>
        <v>0.86939820742637641</v>
      </c>
      <c r="F488" s="31">
        <v>0</v>
      </c>
      <c r="G488" s="111">
        <v>0</v>
      </c>
      <c r="H488" s="111">
        <v>0</v>
      </c>
      <c r="I488" s="111">
        <v>0</v>
      </c>
      <c r="J488" s="111">
        <v>7</v>
      </c>
      <c r="K488" s="111">
        <v>0</v>
      </c>
      <c r="L488" s="111">
        <v>0</v>
      </c>
      <c r="M488" s="111">
        <v>270</v>
      </c>
      <c r="N488" s="111">
        <v>0</v>
      </c>
      <c r="O488" s="111">
        <v>0</v>
      </c>
      <c r="P488" s="35">
        <v>6</v>
      </c>
      <c r="Q488" s="35">
        <v>1</v>
      </c>
      <c r="R488" s="35">
        <v>1053</v>
      </c>
      <c r="S488" s="32">
        <v>0</v>
      </c>
      <c r="T488" s="37">
        <v>219</v>
      </c>
      <c r="U488" s="38">
        <v>1091</v>
      </c>
      <c r="V488" s="37">
        <v>1125</v>
      </c>
      <c r="W488" s="32">
        <v>197</v>
      </c>
      <c r="X488" s="31">
        <v>233</v>
      </c>
      <c r="Y488" s="32">
        <v>1054</v>
      </c>
      <c r="Z488" s="111">
        <v>295</v>
      </c>
      <c r="AA488" s="35">
        <v>0</v>
      </c>
      <c r="AB488" s="35">
        <v>19</v>
      </c>
      <c r="AC488" s="35">
        <v>1004</v>
      </c>
      <c r="AD488" s="35">
        <v>0</v>
      </c>
      <c r="AE488" s="33">
        <v>0</v>
      </c>
      <c r="AF488" s="116">
        <v>0</v>
      </c>
      <c r="AG488" s="120"/>
      <c r="AH488" s="38"/>
      <c r="AI488" s="37">
        <v>1059</v>
      </c>
      <c r="AJ488" s="36">
        <v>222</v>
      </c>
      <c r="AK488" s="37">
        <v>1069</v>
      </c>
      <c r="AL488" s="38">
        <v>216</v>
      </c>
      <c r="AM488" s="37"/>
      <c r="AN488" s="116"/>
      <c r="AO488" s="120"/>
      <c r="AP488" s="38"/>
      <c r="AQ488" s="37"/>
      <c r="AR488" s="116"/>
      <c r="AS488" s="120"/>
      <c r="AT488" s="38"/>
      <c r="AU488" s="37"/>
      <c r="AV488" s="120"/>
      <c r="AW488" s="120"/>
      <c r="AX488" s="37"/>
      <c r="AY488" s="38"/>
      <c r="AZ488" s="37">
        <v>220</v>
      </c>
      <c r="BA488" s="116">
        <v>1063</v>
      </c>
      <c r="BB488" s="31">
        <v>1064</v>
      </c>
      <c r="BC488" s="32">
        <v>206</v>
      </c>
      <c r="BD488" s="31">
        <v>1057</v>
      </c>
      <c r="BE488" s="116">
        <v>208</v>
      </c>
      <c r="BF488" s="120">
        <v>203</v>
      </c>
      <c r="BG488" s="38">
        <v>1057</v>
      </c>
      <c r="BH488" s="37">
        <v>1103</v>
      </c>
      <c r="BI488" s="38">
        <v>180</v>
      </c>
      <c r="BJ488" s="111">
        <v>44</v>
      </c>
      <c r="BK488" s="33">
        <v>1004</v>
      </c>
      <c r="BL488" s="115">
        <v>231</v>
      </c>
      <c r="BM488" s="111">
        <v>286</v>
      </c>
      <c r="BN488" s="35">
        <v>968</v>
      </c>
      <c r="BO488" s="32">
        <v>25</v>
      </c>
      <c r="BP488" s="31">
        <v>1070</v>
      </c>
      <c r="BQ488" s="32">
        <v>208</v>
      </c>
      <c r="BR488" s="31">
        <v>176</v>
      </c>
      <c r="BS488" s="32">
        <v>1131</v>
      </c>
      <c r="BT488" s="31">
        <v>1027</v>
      </c>
      <c r="BU488" s="33">
        <v>38</v>
      </c>
      <c r="BV488" s="115">
        <v>193</v>
      </c>
      <c r="BW488" s="111">
        <v>227</v>
      </c>
      <c r="BX488" s="32">
        <v>1081</v>
      </c>
      <c r="BY488" s="31">
        <v>222</v>
      </c>
      <c r="BZ488" s="32">
        <v>1032</v>
      </c>
      <c r="CA488" s="111">
        <v>1029</v>
      </c>
      <c r="CB488" s="32">
        <v>238</v>
      </c>
      <c r="CC488" s="33">
        <v>1098</v>
      </c>
      <c r="CD488" s="34">
        <v>752</v>
      </c>
      <c r="CE488" s="120">
        <v>889</v>
      </c>
      <c r="CF488" s="38">
        <v>227</v>
      </c>
      <c r="CG488" s="31">
        <v>341</v>
      </c>
      <c r="CH488" s="35">
        <v>677</v>
      </c>
      <c r="CI488" s="35">
        <v>84</v>
      </c>
      <c r="CJ488" s="35">
        <v>119</v>
      </c>
      <c r="CK488" s="32">
        <v>933</v>
      </c>
    </row>
    <row r="489" spans="1:89" ht="13" x14ac:dyDescent="0.25">
      <c r="A489" s="27">
        <v>8303</v>
      </c>
      <c r="B489" s="28" t="s">
        <v>512</v>
      </c>
      <c r="C489" s="29">
        <v>1257</v>
      </c>
      <c r="D489" s="30">
        <v>972</v>
      </c>
      <c r="E489" s="20">
        <f t="shared" si="7"/>
        <v>0.77326968973747012</v>
      </c>
      <c r="F489" s="31">
        <v>0</v>
      </c>
      <c r="G489" s="111">
        <v>0</v>
      </c>
      <c r="H489" s="111">
        <v>0</v>
      </c>
      <c r="I489" s="111">
        <v>0</v>
      </c>
      <c r="J489" s="111">
        <v>5</v>
      </c>
      <c r="K489" s="111">
        <v>0</v>
      </c>
      <c r="L489" s="111">
        <v>0</v>
      </c>
      <c r="M489" s="111">
        <v>213</v>
      </c>
      <c r="N489" s="111">
        <v>0</v>
      </c>
      <c r="O489" s="111">
        <v>0</v>
      </c>
      <c r="P489" s="35">
        <v>5</v>
      </c>
      <c r="Q489" s="35">
        <v>1</v>
      </c>
      <c r="R489" s="35">
        <v>739</v>
      </c>
      <c r="S489" s="32">
        <v>0</v>
      </c>
      <c r="T489" s="31">
        <v>196</v>
      </c>
      <c r="U489" s="32">
        <v>724</v>
      </c>
      <c r="V489" s="31">
        <v>763</v>
      </c>
      <c r="W489" s="32">
        <v>173</v>
      </c>
      <c r="X489" s="31">
        <v>191</v>
      </c>
      <c r="Y489" s="32">
        <v>718</v>
      </c>
      <c r="Z489" s="111">
        <v>229</v>
      </c>
      <c r="AA489" s="35">
        <v>0</v>
      </c>
      <c r="AB489" s="35">
        <v>27</v>
      </c>
      <c r="AC489" s="35">
        <v>695</v>
      </c>
      <c r="AD489" s="35">
        <v>0</v>
      </c>
      <c r="AE489" s="33">
        <v>0</v>
      </c>
      <c r="AF489" s="115">
        <v>0</v>
      </c>
      <c r="AG489" s="111"/>
      <c r="AH489" s="32"/>
      <c r="AI489" s="31">
        <v>714</v>
      </c>
      <c r="AJ489" s="33">
        <v>190</v>
      </c>
      <c r="AK489" s="31">
        <v>712</v>
      </c>
      <c r="AL489" s="32">
        <v>187</v>
      </c>
      <c r="AM489" s="31"/>
      <c r="AN489" s="115"/>
      <c r="AO489" s="111"/>
      <c r="AP489" s="32"/>
      <c r="AQ489" s="31"/>
      <c r="AR489" s="115"/>
      <c r="AS489" s="111"/>
      <c r="AT489" s="32"/>
      <c r="AU489" s="31"/>
      <c r="AV489" s="111"/>
      <c r="AW489" s="111"/>
      <c r="AX489" s="31"/>
      <c r="AY489" s="32"/>
      <c r="AZ489" s="31">
        <v>184</v>
      </c>
      <c r="BA489" s="115">
        <v>713</v>
      </c>
      <c r="BB489" s="31">
        <v>717</v>
      </c>
      <c r="BC489" s="32">
        <v>171</v>
      </c>
      <c r="BD489" s="31">
        <v>705</v>
      </c>
      <c r="BE489" s="115">
        <v>179</v>
      </c>
      <c r="BF489" s="111">
        <v>185</v>
      </c>
      <c r="BG489" s="32">
        <v>696</v>
      </c>
      <c r="BH489" s="31">
        <v>745</v>
      </c>
      <c r="BI489" s="32">
        <v>157</v>
      </c>
      <c r="BJ489" s="111">
        <v>42</v>
      </c>
      <c r="BK489" s="33">
        <v>682</v>
      </c>
      <c r="BL489" s="115">
        <v>179</v>
      </c>
      <c r="BM489" s="111">
        <v>216</v>
      </c>
      <c r="BN489" s="35">
        <v>661</v>
      </c>
      <c r="BO489" s="32">
        <v>27</v>
      </c>
      <c r="BP489" s="31">
        <v>717</v>
      </c>
      <c r="BQ489" s="32">
        <v>173</v>
      </c>
      <c r="BR489" s="31">
        <v>163</v>
      </c>
      <c r="BS489" s="32">
        <v>754</v>
      </c>
      <c r="BT489" s="31">
        <v>676</v>
      </c>
      <c r="BU489" s="33">
        <v>43</v>
      </c>
      <c r="BV489" s="115">
        <v>164</v>
      </c>
      <c r="BW489" s="111">
        <v>190</v>
      </c>
      <c r="BX489" s="32">
        <v>746</v>
      </c>
      <c r="BY489" s="31">
        <v>192</v>
      </c>
      <c r="BZ489" s="32">
        <v>682</v>
      </c>
      <c r="CA489" s="111">
        <v>691</v>
      </c>
      <c r="CB489" s="32">
        <v>194</v>
      </c>
      <c r="CC489" s="33">
        <v>755</v>
      </c>
      <c r="CD489" s="34">
        <v>540</v>
      </c>
      <c r="CE489" s="111">
        <v>500</v>
      </c>
      <c r="CF489" s="38">
        <v>230</v>
      </c>
      <c r="CG489" s="31">
        <v>180</v>
      </c>
      <c r="CH489" s="35">
        <v>380</v>
      </c>
      <c r="CI489" s="35">
        <v>86</v>
      </c>
      <c r="CJ489" s="35">
        <v>110</v>
      </c>
      <c r="CK489" s="32">
        <v>600</v>
      </c>
    </row>
    <row r="490" spans="1:89" ht="13" x14ac:dyDescent="0.25">
      <c r="A490" s="27">
        <v>8304</v>
      </c>
      <c r="B490" s="28" t="s">
        <v>513</v>
      </c>
      <c r="C490" s="29">
        <v>1260</v>
      </c>
      <c r="D490" s="30">
        <v>1089</v>
      </c>
      <c r="E490" s="20">
        <f t="shared" si="7"/>
        <v>0.86428571428571432</v>
      </c>
      <c r="F490" s="31">
        <v>0</v>
      </c>
      <c r="G490" s="111">
        <v>0</v>
      </c>
      <c r="H490" s="111">
        <v>0</v>
      </c>
      <c r="I490" s="111">
        <v>0</v>
      </c>
      <c r="J490" s="111">
        <v>0</v>
      </c>
      <c r="K490" s="111">
        <v>0</v>
      </c>
      <c r="L490" s="111">
        <v>0</v>
      </c>
      <c r="M490" s="111">
        <v>215</v>
      </c>
      <c r="N490" s="111">
        <v>0</v>
      </c>
      <c r="O490" s="111">
        <v>0</v>
      </c>
      <c r="P490" s="35">
        <v>6</v>
      </c>
      <c r="Q490" s="35">
        <v>2</v>
      </c>
      <c r="R490" s="35">
        <v>850</v>
      </c>
      <c r="S490" s="32">
        <v>0</v>
      </c>
      <c r="T490" s="31">
        <v>192</v>
      </c>
      <c r="U490" s="32">
        <v>862</v>
      </c>
      <c r="V490" s="31">
        <v>893</v>
      </c>
      <c r="W490" s="32">
        <v>171</v>
      </c>
      <c r="X490" s="31">
        <v>191</v>
      </c>
      <c r="Y490" s="32">
        <v>840</v>
      </c>
      <c r="Z490" s="111">
        <v>247</v>
      </c>
      <c r="AA490" s="35">
        <v>0</v>
      </c>
      <c r="AB490" s="35">
        <v>39</v>
      </c>
      <c r="AC490" s="35">
        <v>779</v>
      </c>
      <c r="AD490" s="35">
        <v>0</v>
      </c>
      <c r="AE490" s="33">
        <v>0</v>
      </c>
      <c r="AF490" s="115">
        <v>0</v>
      </c>
      <c r="AG490" s="111"/>
      <c r="AH490" s="32"/>
      <c r="AI490" s="31">
        <v>849</v>
      </c>
      <c r="AJ490" s="33">
        <v>184</v>
      </c>
      <c r="AK490" s="31">
        <v>852</v>
      </c>
      <c r="AL490" s="32">
        <v>184</v>
      </c>
      <c r="AM490" s="31"/>
      <c r="AN490" s="115"/>
      <c r="AO490" s="111"/>
      <c r="AP490" s="32"/>
      <c r="AQ490" s="31"/>
      <c r="AR490" s="115"/>
      <c r="AS490" s="111"/>
      <c r="AT490" s="32"/>
      <c r="AU490" s="31"/>
      <c r="AV490" s="111"/>
      <c r="AW490" s="111"/>
      <c r="AX490" s="31"/>
      <c r="AY490" s="32"/>
      <c r="AZ490" s="31">
        <v>188</v>
      </c>
      <c r="BA490" s="115">
        <v>848</v>
      </c>
      <c r="BB490" s="31">
        <v>849</v>
      </c>
      <c r="BC490" s="32">
        <v>180</v>
      </c>
      <c r="BD490" s="31">
        <v>835</v>
      </c>
      <c r="BE490" s="115">
        <v>184</v>
      </c>
      <c r="BF490" s="111">
        <v>174</v>
      </c>
      <c r="BG490" s="32">
        <v>839</v>
      </c>
      <c r="BH490" s="31">
        <v>873</v>
      </c>
      <c r="BI490" s="32">
        <v>152</v>
      </c>
      <c r="BJ490" s="111">
        <v>36</v>
      </c>
      <c r="BK490" s="33">
        <v>798</v>
      </c>
      <c r="BL490" s="115">
        <v>190</v>
      </c>
      <c r="BM490" s="111">
        <v>262</v>
      </c>
      <c r="BN490" s="35">
        <v>752</v>
      </c>
      <c r="BO490" s="32">
        <v>19</v>
      </c>
      <c r="BP490" s="31">
        <v>851</v>
      </c>
      <c r="BQ490" s="32">
        <v>178</v>
      </c>
      <c r="BR490" s="31">
        <v>144</v>
      </c>
      <c r="BS490" s="32">
        <v>901</v>
      </c>
      <c r="BT490" s="31">
        <v>819</v>
      </c>
      <c r="BU490" s="33">
        <v>34</v>
      </c>
      <c r="BV490" s="115">
        <v>167</v>
      </c>
      <c r="BW490" s="111">
        <v>204</v>
      </c>
      <c r="BX490" s="32">
        <v>850</v>
      </c>
      <c r="BY490" s="31">
        <v>192</v>
      </c>
      <c r="BZ490" s="32">
        <v>820</v>
      </c>
      <c r="CA490" s="111">
        <v>817</v>
      </c>
      <c r="CB490" s="32">
        <v>209</v>
      </c>
      <c r="CC490" s="33">
        <v>883</v>
      </c>
      <c r="CD490" s="34">
        <v>640</v>
      </c>
      <c r="CE490" s="111">
        <v>680</v>
      </c>
      <c r="CF490" s="38">
        <v>191</v>
      </c>
      <c r="CG490" s="31">
        <v>282</v>
      </c>
      <c r="CH490" s="35">
        <v>436</v>
      </c>
      <c r="CI490" s="35">
        <v>88</v>
      </c>
      <c r="CJ490" s="35">
        <v>114</v>
      </c>
      <c r="CK490" s="32">
        <v>767</v>
      </c>
    </row>
    <row r="491" spans="1:89" ht="13" x14ac:dyDescent="0.25">
      <c r="A491" s="27">
        <v>8305</v>
      </c>
      <c r="B491" s="28" t="s">
        <v>514</v>
      </c>
      <c r="C491" s="29">
        <v>1108</v>
      </c>
      <c r="D491" s="30">
        <v>953</v>
      </c>
      <c r="E491" s="20">
        <f t="shared" si="7"/>
        <v>0.86010830324909748</v>
      </c>
      <c r="F491" s="31">
        <v>0</v>
      </c>
      <c r="G491" s="111">
        <v>0</v>
      </c>
      <c r="H491" s="111">
        <v>0</v>
      </c>
      <c r="I491" s="111">
        <v>0</v>
      </c>
      <c r="J491" s="111">
        <v>2</v>
      </c>
      <c r="K491" s="111">
        <v>0</v>
      </c>
      <c r="L491" s="111">
        <v>0</v>
      </c>
      <c r="M491" s="111">
        <v>210</v>
      </c>
      <c r="N491" s="111">
        <v>0</v>
      </c>
      <c r="O491" s="111">
        <v>0</v>
      </c>
      <c r="P491" s="35">
        <v>2</v>
      </c>
      <c r="Q491" s="35">
        <v>2</v>
      </c>
      <c r="R491" s="35">
        <v>720</v>
      </c>
      <c r="S491" s="32">
        <v>0</v>
      </c>
      <c r="T491" s="31">
        <v>179</v>
      </c>
      <c r="U491" s="32">
        <v>741</v>
      </c>
      <c r="V491" s="31">
        <v>766</v>
      </c>
      <c r="W491" s="32">
        <v>159</v>
      </c>
      <c r="X491" s="31">
        <v>180</v>
      </c>
      <c r="Y491" s="32">
        <v>722</v>
      </c>
      <c r="Z491" s="111">
        <v>237</v>
      </c>
      <c r="AA491" s="35">
        <v>0</v>
      </c>
      <c r="AB491" s="35">
        <v>17</v>
      </c>
      <c r="AC491" s="35">
        <v>683</v>
      </c>
      <c r="AD491" s="35">
        <v>0</v>
      </c>
      <c r="AE491" s="33">
        <v>0</v>
      </c>
      <c r="AF491" s="115">
        <v>0</v>
      </c>
      <c r="AG491" s="111"/>
      <c r="AH491" s="32"/>
      <c r="AI491" s="31">
        <v>718</v>
      </c>
      <c r="AJ491" s="33">
        <v>183</v>
      </c>
      <c r="AK491" s="31">
        <v>725</v>
      </c>
      <c r="AL491" s="32">
        <v>185</v>
      </c>
      <c r="AM491" s="31"/>
      <c r="AN491" s="115"/>
      <c r="AO491" s="111"/>
      <c r="AP491" s="32"/>
      <c r="AQ491" s="31"/>
      <c r="AR491" s="115"/>
      <c r="AS491" s="111"/>
      <c r="AT491" s="32"/>
      <c r="AU491" s="31"/>
      <c r="AV491" s="111"/>
      <c r="AW491" s="111"/>
      <c r="AX491" s="31"/>
      <c r="AY491" s="32"/>
      <c r="AZ491" s="31">
        <v>179</v>
      </c>
      <c r="BA491" s="115">
        <v>736</v>
      </c>
      <c r="BB491" s="31">
        <v>731</v>
      </c>
      <c r="BC491" s="32">
        <v>158</v>
      </c>
      <c r="BD491" s="31">
        <v>716</v>
      </c>
      <c r="BE491" s="115">
        <v>176</v>
      </c>
      <c r="BF491" s="111">
        <v>181</v>
      </c>
      <c r="BG491" s="32">
        <v>707</v>
      </c>
      <c r="BH491" s="31">
        <v>750</v>
      </c>
      <c r="BI491" s="32">
        <v>150</v>
      </c>
      <c r="BJ491" s="111">
        <v>35</v>
      </c>
      <c r="BK491" s="33">
        <v>680</v>
      </c>
      <c r="BL491" s="115">
        <v>190</v>
      </c>
      <c r="BM491" s="111">
        <v>242</v>
      </c>
      <c r="BN491" s="35">
        <v>649</v>
      </c>
      <c r="BO491" s="32">
        <v>21</v>
      </c>
      <c r="BP491" s="31">
        <v>740</v>
      </c>
      <c r="BQ491" s="32">
        <v>164</v>
      </c>
      <c r="BR491" s="31">
        <v>143</v>
      </c>
      <c r="BS491" s="32">
        <v>772</v>
      </c>
      <c r="BT491" s="31">
        <v>689</v>
      </c>
      <c r="BU491" s="33">
        <v>30</v>
      </c>
      <c r="BV491" s="115">
        <v>172</v>
      </c>
      <c r="BW491" s="111">
        <v>184</v>
      </c>
      <c r="BX491" s="32">
        <v>743</v>
      </c>
      <c r="BY491" s="31">
        <v>190</v>
      </c>
      <c r="BZ491" s="32">
        <v>692</v>
      </c>
      <c r="CA491" s="111">
        <v>709</v>
      </c>
      <c r="CB491" s="32">
        <v>184</v>
      </c>
      <c r="CC491" s="33">
        <v>759</v>
      </c>
      <c r="CD491" s="34">
        <v>534</v>
      </c>
      <c r="CE491" s="111">
        <v>576</v>
      </c>
      <c r="CF491" s="38">
        <v>165</v>
      </c>
      <c r="CG491" s="31">
        <v>249</v>
      </c>
      <c r="CH491" s="35">
        <v>441</v>
      </c>
      <c r="CI491" s="35">
        <v>52</v>
      </c>
      <c r="CJ491" s="35">
        <v>77</v>
      </c>
      <c r="CK491" s="32">
        <v>614</v>
      </c>
    </row>
    <row r="492" spans="1:89" ht="13" x14ac:dyDescent="0.25">
      <c r="A492" s="27">
        <v>8306</v>
      </c>
      <c r="B492" s="28" t="s">
        <v>515</v>
      </c>
      <c r="C492" s="29">
        <v>645</v>
      </c>
      <c r="D492" s="30">
        <v>525</v>
      </c>
      <c r="E492" s="20">
        <f t="shared" si="7"/>
        <v>0.81395348837209303</v>
      </c>
      <c r="F492" s="31">
        <v>0</v>
      </c>
      <c r="G492" s="111">
        <v>0</v>
      </c>
      <c r="H492" s="111">
        <v>0</v>
      </c>
      <c r="I492" s="111">
        <v>0</v>
      </c>
      <c r="J492" s="111">
        <v>0</v>
      </c>
      <c r="K492" s="111">
        <v>0</v>
      </c>
      <c r="L492" s="111">
        <v>0</v>
      </c>
      <c r="M492" s="111">
        <v>128</v>
      </c>
      <c r="N492" s="111">
        <v>0</v>
      </c>
      <c r="O492" s="111">
        <v>0</v>
      </c>
      <c r="P492" s="35">
        <v>0</v>
      </c>
      <c r="Q492" s="35">
        <v>0</v>
      </c>
      <c r="R492" s="35">
        <v>392</v>
      </c>
      <c r="S492" s="32">
        <v>0</v>
      </c>
      <c r="T492" s="31">
        <v>125</v>
      </c>
      <c r="U492" s="32">
        <v>391</v>
      </c>
      <c r="V492" s="31">
        <v>400</v>
      </c>
      <c r="W492" s="32">
        <v>115</v>
      </c>
      <c r="X492" s="31">
        <v>119</v>
      </c>
      <c r="Y492" s="32">
        <v>385</v>
      </c>
      <c r="Z492" s="111">
        <v>135</v>
      </c>
      <c r="AA492" s="35">
        <v>0</v>
      </c>
      <c r="AB492" s="35">
        <v>18</v>
      </c>
      <c r="AC492" s="35">
        <v>362</v>
      </c>
      <c r="AD492" s="35">
        <v>0</v>
      </c>
      <c r="AE492" s="33">
        <v>0</v>
      </c>
      <c r="AF492" s="115">
        <v>0</v>
      </c>
      <c r="AG492" s="111"/>
      <c r="AH492" s="32"/>
      <c r="AI492" s="31">
        <v>382</v>
      </c>
      <c r="AJ492" s="33">
        <v>124</v>
      </c>
      <c r="AK492" s="31">
        <v>381</v>
      </c>
      <c r="AL492" s="32">
        <v>121</v>
      </c>
      <c r="AM492" s="31"/>
      <c r="AN492" s="115"/>
      <c r="AO492" s="111"/>
      <c r="AP492" s="32"/>
      <c r="AQ492" s="31"/>
      <c r="AR492" s="115"/>
      <c r="AS492" s="111"/>
      <c r="AT492" s="32"/>
      <c r="AU492" s="31"/>
      <c r="AV492" s="111"/>
      <c r="AW492" s="111"/>
      <c r="AX492" s="31"/>
      <c r="AY492" s="32"/>
      <c r="AZ492" s="31">
        <v>116</v>
      </c>
      <c r="BA492" s="115">
        <v>382</v>
      </c>
      <c r="BB492" s="31">
        <v>384</v>
      </c>
      <c r="BC492" s="32">
        <v>116</v>
      </c>
      <c r="BD492" s="31">
        <v>373</v>
      </c>
      <c r="BE492" s="115">
        <v>119</v>
      </c>
      <c r="BF492" s="111">
        <v>118</v>
      </c>
      <c r="BG492" s="32">
        <v>375</v>
      </c>
      <c r="BH492" s="31">
        <v>396</v>
      </c>
      <c r="BI492" s="32">
        <v>106</v>
      </c>
      <c r="BJ492" s="111">
        <v>25</v>
      </c>
      <c r="BK492" s="33">
        <v>351</v>
      </c>
      <c r="BL492" s="115">
        <v>125</v>
      </c>
      <c r="BM492" s="111">
        <v>135</v>
      </c>
      <c r="BN492" s="35">
        <v>350</v>
      </c>
      <c r="BO492" s="32">
        <v>17</v>
      </c>
      <c r="BP492" s="31">
        <v>386</v>
      </c>
      <c r="BQ492" s="32">
        <v>112</v>
      </c>
      <c r="BR492" s="31">
        <v>107</v>
      </c>
      <c r="BS492" s="32">
        <v>400</v>
      </c>
      <c r="BT492" s="31">
        <v>366</v>
      </c>
      <c r="BU492" s="33">
        <v>18</v>
      </c>
      <c r="BV492" s="115">
        <v>110</v>
      </c>
      <c r="BW492" s="111">
        <v>124</v>
      </c>
      <c r="BX492" s="32">
        <v>388</v>
      </c>
      <c r="BY492" s="31">
        <v>117</v>
      </c>
      <c r="BZ492" s="32">
        <v>371</v>
      </c>
      <c r="CA492" s="111">
        <v>371</v>
      </c>
      <c r="CB492" s="32">
        <v>127</v>
      </c>
      <c r="CC492" s="33">
        <v>427</v>
      </c>
      <c r="CD492" s="34">
        <v>307</v>
      </c>
      <c r="CE492" s="111">
        <v>280</v>
      </c>
      <c r="CF492" s="38">
        <v>153</v>
      </c>
      <c r="CG492" s="31">
        <v>109</v>
      </c>
      <c r="CH492" s="35">
        <v>216</v>
      </c>
      <c r="CI492" s="35">
        <v>65</v>
      </c>
      <c r="CJ492" s="35">
        <v>69</v>
      </c>
      <c r="CK492" s="32">
        <v>344</v>
      </c>
    </row>
    <row r="493" spans="1:89" ht="13" x14ac:dyDescent="0.25">
      <c r="A493" s="27">
        <v>8307</v>
      </c>
      <c r="B493" s="28" t="s">
        <v>516</v>
      </c>
      <c r="C493" s="29">
        <v>1334</v>
      </c>
      <c r="D493" s="30">
        <v>1108</v>
      </c>
      <c r="E493" s="20">
        <f t="shared" si="7"/>
        <v>0.83058470764617687</v>
      </c>
      <c r="F493" s="31">
        <v>0</v>
      </c>
      <c r="G493" s="111">
        <v>0</v>
      </c>
      <c r="H493" s="111">
        <v>0</v>
      </c>
      <c r="I493" s="111">
        <v>0</v>
      </c>
      <c r="J493" s="111">
        <v>0</v>
      </c>
      <c r="K493" s="111">
        <v>0</v>
      </c>
      <c r="L493" s="111">
        <v>0</v>
      </c>
      <c r="M493" s="111">
        <v>265</v>
      </c>
      <c r="N493" s="111">
        <v>0</v>
      </c>
      <c r="O493" s="111">
        <v>0</v>
      </c>
      <c r="P493" s="35">
        <v>3</v>
      </c>
      <c r="Q493" s="35">
        <v>1</v>
      </c>
      <c r="R493" s="35">
        <v>821</v>
      </c>
      <c r="S493" s="32">
        <v>0</v>
      </c>
      <c r="T493" s="31">
        <v>236</v>
      </c>
      <c r="U493" s="32">
        <v>827</v>
      </c>
      <c r="V493" s="31">
        <v>860</v>
      </c>
      <c r="W493" s="32">
        <v>216</v>
      </c>
      <c r="X493" s="31">
        <v>236</v>
      </c>
      <c r="Y493" s="32">
        <v>808</v>
      </c>
      <c r="Z493" s="111">
        <v>278</v>
      </c>
      <c r="AA493" s="35">
        <v>1</v>
      </c>
      <c r="AB493" s="35">
        <v>40</v>
      </c>
      <c r="AC493" s="35">
        <v>763</v>
      </c>
      <c r="AD493" s="35">
        <v>0</v>
      </c>
      <c r="AE493" s="33">
        <v>0</v>
      </c>
      <c r="AF493" s="115">
        <v>0</v>
      </c>
      <c r="AG493" s="111"/>
      <c r="AH493" s="32"/>
      <c r="AI493" s="31">
        <v>814</v>
      </c>
      <c r="AJ493" s="33">
        <v>236</v>
      </c>
      <c r="AK493" s="31">
        <v>813</v>
      </c>
      <c r="AL493" s="32">
        <v>229</v>
      </c>
      <c r="AM493" s="31"/>
      <c r="AN493" s="115"/>
      <c r="AO493" s="111"/>
      <c r="AP493" s="32"/>
      <c r="AQ493" s="31"/>
      <c r="AR493" s="115"/>
      <c r="AS493" s="111"/>
      <c r="AT493" s="32"/>
      <c r="AU493" s="31"/>
      <c r="AV493" s="111"/>
      <c r="AW493" s="111"/>
      <c r="AX493" s="31"/>
      <c r="AY493" s="32"/>
      <c r="AZ493" s="31">
        <v>223</v>
      </c>
      <c r="BA493" s="115">
        <v>816</v>
      </c>
      <c r="BB493" s="31">
        <v>813</v>
      </c>
      <c r="BC493" s="32">
        <v>217</v>
      </c>
      <c r="BD493" s="31">
        <v>797</v>
      </c>
      <c r="BE493" s="115">
        <v>231</v>
      </c>
      <c r="BF493" s="111">
        <v>225</v>
      </c>
      <c r="BG493" s="32">
        <v>789</v>
      </c>
      <c r="BH493" s="31">
        <v>852</v>
      </c>
      <c r="BI493" s="32">
        <v>189</v>
      </c>
      <c r="BJ493" s="111">
        <v>45</v>
      </c>
      <c r="BK493" s="33">
        <v>752</v>
      </c>
      <c r="BL493" s="115">
        <v>242</v>
      </c>
      <c r="BM493" s="111">
        <v>274</v>
      </c>
      <c r="BN493" s="35">
        <v>734</v>
      </c>
      <c r="BO493" s="32">
        <v>32</v>
      </c>
      <c r="BP493" s="31">
        <v>822</v>
      </c>
      <c r="BQ493" s="32">
        <v>207</v>
      </c>
      <c r="BR493" s="31">
        <v>197</v>
      </c>
      <c r="BS493" s="32">
        <v>854</v>
      </c>
      <c r="BT493" s="31">
        <v>769</v>
      </c>
      <c r="BU493" s="33">
        <v>45</v>
      </c>
      <c r="BV493" s="115">
        <v>202</v>
      </c>
      <c r="BW493" s="111">
        <v>253</v>
      </c>
      <c r="BX493" s="32">
        <v>815</v>
      </c>
      <c r="BY493" s="31">
        <v>229</v>
      </c>
      <c r="BZ493" s="32">
        <v>784</v>
      </c>
      <c r="CA493" s="111">
        <v>790</v>
      </c>
      <c r="CB493" s="32">
        <v>231</v>
      </c>
      <c r="CC493" s="33">
        <v>871</v>
      </c>
      <c r="CD493" s="34">
        <v>626</v>
      </c>
      <c r="CE493" s="111">
        <v>641</v>
      </c>
      <c r="CF493" s="38">
        <v>231</v>
      </c>
      <c r="CG493" s="31">
        <v>245</v>
      </c>
      <c r="CH493" s="35">
        <v>475</v>
      </c>
      <c r="CI493" s="35">
        <v>98</v>
      </c>
      <c r="CJ493" s="35">
        <v>124</v>
      </c>
      <c r="CK493" s="32">
        <v>669</v>
      </c>
    </row>
    <row r="494" spans="1:89" ht="13" x14ac:dyDescent="0.25">
      <c r="A494" s="27">
        <v>8308</v>
      </c>
      <c r="B494" s="28" t="s">
        <v>517</v>
      </c>
      <c r="C494" s="29">
        <v>480</v>
      </c>
      <c r="D494" s="30">
        <v>397</v>
      </c>
      <c r="E494" s="20">
        <f t="shared" si="7"/>
        <v>0.82708333333333328</v>
      </c>
      <c r="F494" s="31">
        <v>0</v>
      </c>
      <c r="G494" s="111">
        <v>0</v>
      </c>
      <c r="H494" s="111">
        <v>0</v>
      </c>
      <c r="I494" s="111">
        <v>0</v>
      </c>
      <c r="J494" s="111">
        <v>1</v>
      </c>
      <c r="K494" s="111">
        <v>0</v>
      </c>
      <c r="L494" s="111">
        <v>0</v>
      </c>
      <c r="M494" s="111">
        <v>92</v>
      </c>
      <c r="N494" s="111">
        <v>0</v>
      </c>
      <c r="O494" s="111">
        <v>0</v>
      </c>
      <c r="P494" s="35">
        <v>0</v>
      </c>
      <c r="Q494" s="35">
        <v>0</v>
      </c>
      <c r="R494" s="35">
        <v>300</v>
      </c>
      <c r="S494" s="32">
        <v>0</v>
      </c>
      <c r="T494" s="31">
        <v>81</v>
      </c>
      <c r="U494" s="32">
        <v>303</v>
      </c>
      <c r="V494" s="31">
        <v>316</v>
      </c>
      <c r="W494" s="32">
        <v>72</v>
      </c>
      <c r="X494" s="31">
        <v>78</v>
      </c>
      <c r="Y494" s="32">
        <v>300</v>
      </c>
      <c r="Z494" s="111">
        <v>96</v>
      </c>
      <c r="AA494" s="35">
        <v>0</v>
      </c>
      <c r="AB494" s="35">
        <v>14</v>
      </c>
      <c r="AC494" s="35">
        <v>280</v>
      </c>
      <c r="AD494" s="35">
        <v>0</v>
      </c>
      <c r="AE494" s="33">
        <v>0</v>
      </c>
      <c r="AF494" s="115">
        <v>0</v>
      </c>
      <c r="AG494" s="111"/>
      <c r="AH494" s="32"/>
      <c r="AI494" s="31">
        <v>301</v>
      </c>
      <c r="AJ494" s="33">
        <v>72</v>
      </c>
      <c r="AK494" s="31">
        <v>304</v>
      </c>
      <c r="AL494" s="32">
        <v>75</v>
      </c>
      <c r="AM494" s="31"/>
      <c r="AN494" s="115"/>
      <c r="AO494" s="111"/>
      <c r="AP494" s="32"/>
      <c r="AQ494" s="31"/>
      <c r="AR494" s="115"/>
      <c r="AS494" s="111"/>
      <c r="AT494" s="32"/>
      <c r="AU494" s="31"/>
      <c r="AV494" s="111"/>
      <c r="AW494" s="111"/>
      <c r="AX494" s="31"/>
      <c r="AY494" s="32"/>
      <c r="AZ494" s="31">
        <v>73</v>
      </c>
      <c r="BA494" s="115">
        <v>302</v>
      </c>
      <c r="BB494" s="31">
        <v>298</v>
      </c>
      <c r="BC494" s="32">
        <v>74</v>
      </c>
      <c r="BD494" s="31">
        <v>295</v>
      </c>
      <c r="BE494" s="115">
        <v>75</v>
      </c>
      <c r="BF494" s="111">
        <v>73</v>
      </c>
      <c r="BG494" s="32">
        <v>295</v>
      </c>
      <c r="BH494" s="31">
        <v>311</v>
      </c>
      <c r="BI494" s="32">
        <v>64</v>
      </c>
      <c r="BJ494" s="111">
        <v>18</v>
      </c>
      <c r="BK494" s="33">
        <v>272</v>
      </c>
      <c r="BL494" s="115">
        <v>87</v>
      </c>
      <c r="BM494" s="111">
        <v>106</v>
      </c>
      <c r="BN494" s="35">
        <v>261</v>
      </c>
      <c r="BO494" s="32">
        <v>11</v>
      </c>
      <c r="BP494" s="31">
        <v>301</v>
      </c>
      <c r="BQ494" s="32">
        <v>71</v>
      </c>
      <c r="BR494" s="31">
        <v>66</v>
      </c>
      <c r="BS494" s="32">
        <v>313</v>
      </c>
      <c r="BT494" s="31">
        <v>279</v>
      </c>
      <c r="BU494" s="33">
        <v>20</v>
      </c>
      <c r="BV494" s="115">
        <v>72</v>
      </c>
      <c r="BW494" s="111">
        <v>83</v>
      </c>
      <c r="BX494" s="32">
        <v>301</v>
      </c>
      <c r="BY494" s="31">
        <v>81</v>
      </c>
      <c r="BZ494" s="32">
        <v>287</v>
      </c>
      <c r="CA494" s="111">
        <v>282</v>
      </c>
      <c r="CB494" s="32">
        <v>85</v>
      </c>
      <c r="CC494" s="33">
        <v>324</v>
      </c>
      <c r="CD494" s="34">
        <v>229</v>
      </c>
      <c r="CE494" s="111">
        <v>224</v>
      </c>
      <c r="CF494" s="38">
        <v>74</v>
      </c>
      <c r="CG494" s="31">
        <v>101</v>
      </c>
      <c r="CH494" s="35">
        <v>163</v>
      </c>
      <c r="CI494" s="35">
        <v>34</v>
      </c>
      <c r="CJ494" s="35">
        <v>38</v>
      </c>
      <c r="CK494" s="32">
        <v>240</v>
      </c>
    </row>
    <row r="495" spans="1:89" ht="13" x14ac:dyDescent="0.25">
      <c r="A495" s="27">
        <v>8401</v>
      </c>
      <c r="B495" s="28" t="s">
        <v>518</v>
      </c>
      <c r="C495" s="29">
        <v>831</v>
      </c>
      <c r="D495" s="30">
        <v>660</v>
      </c>
      <c r="E495" s="20">
        <f t="shared" si="7"/>
        <v>0.79422382671480141</v>
      </c>
      <c r="F495" s="31">
        <v>0</v>
      </c>
      <c r="G495" s="111">
        <v>0</v>
      </c>
      <c r="H495" s="111">
        <v>0</v>
      </c>
      <c r="I495" s="111">
        <v>0</v>
      </c>
      <c r="J495" s="111">
        <v>2</v>
      </c>
      <c r="K495" s="111">
        <v>0</v>
      </c>
      <c r="L495" s="111">
        <v>0</v>
      </c>
      <c r="M495" s="111">
        <v>289</v>
      </c>
      <c r="N495" s="111">
        <v>0</v>
      </c>
      <c r="O495" s="111">
        <v>0</v>
      </c>
      <c r="P495" s="35">
        <v>6</v>
      </c>
      <c r="Q495" s="35">
        <v>0</v>
      </c>
      <c r="R495" s="35">
        <v>357</v>
      </c>
      <c r="S495" s="32">
        <v>0</v>
      </c>
      <c r="T495" s="31">
        <v>274</v>
      </c>
      <c r="U495" s="32">
        <v>363</v>
      </c>
      <c r="V495" s="31">
        <v>379</v>
      </c>
      <c r="W495" s="32">
        <v>264</v>
      </c>
      <c r="X495" s="31">
        <v>279</v>
      </c>
      <c r="Y495" s="32">
        <v>351</v>
      </c>
      <c r="Z495" s="111">
        <v>297</v>
      </c>
      <c r="AA495" s="35">
        <v>0</v>
      </c>
      <c r="AB495" s="35">
        <v>30</v>
      </c>
      <c r="AC495" s="35">
        <v>322</v>
      </c>
      <c r="AD495" s="35">
        <v>0</v>
      </c>
      <c r="AE495" s="33">
        <v>0</v>
      </c>
      <c r="AF495" s="115">
        <v>0</v>
      </c>
      <c r="AG495" s="111">
        <v>314</v>
      </c>
      <c r="AH495" s="32">
        <v>323</v>
      </c>
      <c r="AI495" s="31"/>
      <c r="AJ495" s="33"/>
      <c r="AK495" s="31">
        <v>346</v>
      </c>
      <c r="AL495" s="32">
        <v>280</v>
      </c>
      <c r="AM495" s="31"/>
      <c r="AN495" s="115"/>
      <c r="AO495" s="111"/>
      <c r="AP495" s="32"/>
      <c r="AQ495" s="31"/>
      <c r="AR495" s="115"/>
      <c r="AS495" s="111">
        <v>290</v>
      </c>
      <c r="AT495" s="32">
        <v>335</v>
      </c>
      <c r="AU495" s="31"/>
      <c r="AV495" s="111"/>
      <c r="AW495" s="111"/>
      <c r="AX495" s="31"/>
      <c r="AY495" s="32"/>
      <c r="AZ495" s="31"/>
      <c r="BA495" s="115"/>
      <c r="BB495" s="31">
        <v>363</v>
      </c>
      <c r="BC495" s="32">
        <v>252</v>
      </c>
      <c r="BD495" s="31">
        <v>342</v>
      </c>
      <c r="BE495" s="115">
        <v>269</v>
      </c>
      <c r="BF495" s="111">
        <v>263</v>
      </c>
      <c r="BG495" s="32">
        <v>344</v>
      </c>
      <c r="BH495" s="31">
        <v>387</v>
      </c>
      <c r="BI495" s="32">
        <v>233</v>
      </c>
      <c r="BJ495" s="111">
        <v>45</v>
      </c>
      <c r="BK495" s="33">
        <v>310</v>
      </c>
      <c r="BL495" s="115">
        <v>267</v>
      </c>
      <c r="BM495" s="111">
        <v>271</v>
      </c>
      <c r="BN495" s="35">
        <v>315</v>
      </c>
      <c r="BO495" s="32">
        <v>36</v>
      </c>
      <c r="BP495" s="31">
        <v>367</v>
      </c>
      <c r="BQ495" s="32">
        <v>254</v>
      </c>
      <c r="BR495" s="31">
        <v>232</v>
      </c>
      <c r="BS495" s="32">
        <v>395</v>
      </c>
      <c r="BT495" s="31">
        <v>336</v>
      </c>
      <c r="BU495" s="33">
        <v>31</v>
      </c>
      <c r="BV495" s="115">
        <v>245</v>
      </c>
      <c r="BW495" s="111">
        <v>275</v>
      </c>
      <c r="BX495" s="32">
        <v>361</v>
      </c>
      <c r="BY495" s="31">
        <v>265</v>
      </c>
      <c r="BZ495" s="32">
        <v>339</v>
      </c>
      <c r="CA495" s="111">
        <v>334</v>
      </c>
      <c r="CB495" s="32">
        <v>273</v>
      </c>
      <c r="CC495" s="33">
        <v>460</v>
      </c>
      <c r="CD495" s="34">
        <v>445</v>
      </c>
      <c r="CE495" s="111">
        <v>334</v>
      </c>
      <c r="CF495" s="42">
        <v>199</v>
      </c>
      <c r="CG495" s="31">
        <v>170</v>
      </c>
      <c r="CH495" s="35">
        <v>170</v>
      </c>
      <c r="CI495" s="35">
        <v>150</v>
      </c>
      <c r="CJ495" s="35">
        <v>181</v>
      </c>
      <c r="CK495" s="32">
        <v>322</v>
      </c>
    </row>
    <row r="496" spans="1:89" ht="13" x14ac:dyDescent="0.25">
      <c r="A496" s="27">
        <v>8402</v>
      </c>
      <c r="B496" s="28" t="s">
        <v>519</v>
      </c>
      <c r="C496" s="29">
        <v>1219</v>
      </c>
      <c r="D496" s="30">
        <v>892</v>
      </c>
      <c r="E496" s="20">
        <f t="shared" si="7"/>
        <v>0.73174733388022972</v>
      </c>
      <c r="F496" s="31">
        <v>0</v>
      </c>
      <c r="G496" s="111">
        <v>0</v>
      </c>
      <c r="H496" s="111">
        <v>0</v>
      </c>
      <c r="I496" s="111">
        <v>0</v>
      </c>
      <c r="J496" s="111">
        <v>0</v>
      </c>
      <c r="K496" s="111">
        <v>0</v>
      </c>
      <c r="L496" s="111">
        <v>0</v>
      </c>
      <c r="M496" s="111">
        <v>355</v>
      </c>
      <c r="N496" s="111">
        <v>0</v>
      </c>
      <c r="O496" s="111">
        <v>0</v>
      </c>
      <c r="P496" s="35">
        <v>4</v>
      </c>
      <c r="Q496" s="35">
        <v>1</v>
      </c>
      <c r="R496" s="35">
        <v>518</v>
      </c>
      <c r="S496" s="32">
        <v>0</v>
      </c>
      <c r="T496" s="37">
        <v>309</v>
      </c>
      <c r="U496" s="38">
        <v>543</v>
      </c>
      <c r="V496" s="37">
        <v>557</v>
      </c>
      <c r="W496" s="32">
        <v>304</v>
      </c>
      <c r="X496" s="31">
        <v>317</v>
      </c>
      <c r="Y496" s="32">
        <v>524</v>
      </c>
      <c r="Z496" s="111">
        <v>350</v>
      </c>
      <c r="AA496" s="35">
        <v>0</v>
      </c>
      <c r="AB496" s="35">
        <v>27</v>
      </c>
      <c r="AC496" s="35">
        <v>491</v>
      </c>
      <c r="AD496" s="35">
        <v>0</v>
      </c>
      <c r="AE496" s="33">
        <v>0</v>
      </c>
      <c r="AF496" s="116">
        <v>0</v>
      </c>
      <c r="AG496" s="120">
        <v>351</v>
      </c>
      <c r="AH496" s="38">
        <v>507</v>
      </c>
      <c r="AI496" s="37"/>
      <c r="AJ496" s="36"/>
      <c r="AK496" s="37">
        <v>529</v>
      </c>
      <c r="AL496" s="38">
        <v>323</v>
      </c>
      <c r="AM496" s="37"/>
      <c r="AN496" s="116"/>
      <c r="AO496" s="120"/>
      <c r="AP496" s="38"/>
      <c r="AQ496" s="37"/>
      <c r="AR496" s="116"/>
      <c r="AS496" s="120">
        <v>337</v>
      </c>
      <c r="AT496" s="38">
        <v>516</v>
      </c>
      <c r="AU496" s="37"/>
      <c r="AV496" s="120"/>
      <c r="AW496" s="120"/>
      <c r="AX496" s="37"/>
      <c r="AY496" s="38"/>
      <c r="AZ496" s="37"/>
      <c r="BA496" s="116"/>
      <c r="BB496" s="31">
        <v>545</v>
      </c>
      <c r="BC496" s="32">
        <v>295</v>
      </c>
      <c r="BD496" s="31">
        <v>533</v>
      </c>
      <c r="BE496" s="116">
        <v>307</v>
      </c>
      <c r="BF496" s="120">
        <v>300</v>
      </c>
      <c r="BG496" s="38">
        <v>538</v>
      </c>
      <c r="BH496" s="37">
        <v>549</v>
      </c>
      <c r="BI496" s="38">
        <v>295</v>
      </c>
      <c r="BJ496" s="111">
        <v>32</v>
      </c>
      <c r="BK496" s="33">
        <v>506</v>
      </c>
      <c r="BL496" s="115">
        <v>303</v>
      </c>
      <c r="BM496" s="111">
        <v>313</v>
      </c>
      <c r="BN496" s="35">
        <v>502</v>
      </c>
      <c r="BO496" s="32">
        <v>27</v>
      </c>
      <c r="BP496" s="31">
        <v>544</v>
      </c>
      <c r="BQ496" s="32">
        <v>304</v>
      </c>
      <c r="BR496" s="31">
        <v>289</v>
      </c>
      <c r="BS496" s="32">
        <v>563</v>
      </c>
      <c r="BT496" s="31">
        <v>503</v>
      </c>
      <c r="BU496" s="33">
        <v>35</v>
      </c>
      <c r="BV496" s="115">
        <v>292</v>
      </c>
      <c r="BW496" s="111">
        <v>318</v>
      </c>
      <c r="BX496" s="32">
        <v>531</v>
      </c>
      <c r="BY496" s="31">
        <v>306</v>
      </c>
      <c r="BZ496" s="32">
        <v>525</v>
      </c>
      <c r="CA496" s="111">
        <v>535</v>
      </c>
      <c r="CB496" s="32">
        <v>306</v>
      </c>
      <c r="CC496" s="33">
        <v>644</v>
      </c>
      <c r="CD496" s="34">
        <v>553</v>
      </c>
      <c r="CE496" s="120">
        <v>433</v>
      </c>
      <c r="CF496" s="42">
        <v>269</v>
      </c>
      <c r="CG496" s="31">
        <v>219</v>
      </c>
      <c r="CH496" s="35">
        <v>286</v>
      </c>
      <c r="CI496" s="35">
        <v>162</v>
      </c>
      <c r="CJ496" s="35">
        <v>227</v>
      </c>
      <c r="CK496" s="32">
        <v>440</v>
      </c>
    </row>
    <row r="497" spans="1:89" ht="13" x14ac:dyDescent="0.25">
      <c r="A497" s="27">
        <v>8511</v>
      </c>
      <c r="B497" s="28" t="s">
        <v>520</v>
      </c>
      <c r="C497" s="29">
        <v>785</v>
      </c>
      <c r="D497" s="30">
        <v>544</v>
      </c>
      <c r="E497" s="20">
        <f t="shared" si="7"/>
        <v>0.69299363057324836</v>
      </c>
      <c r="F497" s="31">
        <v>0</v>
      </c>
      <c r="G497" s="111">
        <v>0</v>
      </c>
      <c r="H497" s="111">
        <v>0</v>
      </c>
      <c r="I497" s="111">
        <v>0</v>
      </c>
      <c r="J497" s="111">
        <v>1</v>
      </c>
      <c r="K497" s="111">
        <v>0</v>
      </c>
      <c r="L497" s="111">
        <v>0</v>
      </c>
      <c r="M497" s="111">
        <v>243</v>
      </c>
      <c r="N497" s="111">
        <v>0</v>
      </c>
      <c r="O497" s="111">
        <v>0</v>
      </c>
      <c r="P497" s="35">
        <v>3</v>
      </c>
      <c r="Q497" s="35">
        <v>0</v>
      </c>
      <c r="R497" s="35">
        <v>292</v>
      </c>
      <c r="S497" s="32">
        <v>0</v>
      </c>
      <c r="T497" s="31">
        <v>237</v>
      </c>
      <c r="U497" s="32">
        <v>279</v>
      </c>
      <c r="V497" s="31">
        <v>298</v>
      </c>
      <c r="W497" s="32">
        <v>226</v>
      </c>
      <c r="X497" s="31">
        <v>232</v>
      </c>
      <c r="Y497" s="32">
        <v>275</v>
      </c>
      <c r="Z497" s="111">
        <v>257</v>
      </c>
      <c r="AA497" s="35">
        <v>0</v>
      </c>
      <c r="AB497" s="35">
        <v>15</v>
      </c>
      <c r="AC497" s="35">
        <v>255</v>
      </c>
      <c r="AD497" s="35">
        <v>0</v>
      </c>
      <c r="AE497" s="33">
        <v>0</v>
      </c>
      <c r="AF497" s="115">
        <v>0</v>
      </c>
      <c r="AG497" s="111">
        <v>267</v>
      </c>
      <c r="AH497" s="32">
        <v>246</v>
      </c>
      <c r="AI497" s="31"/>
      <c r="AJ497" s="33"/>
      <c r="AK497" s="31"/>
      <c r="AL497" s="32"/>
      <c r="AM497" s="31"/>
      <c r="AN497" s="115"/>
      <c r="AO497" s="111">
        <v>265</v>
      </c>
      <c r="AP497" s="32">
        <v>246</v>
      </c>
      <c r="AQ497" s="31"/>
      <c r="AR497" s="115"/>
      <c r="AS497" s="111"/>
      <c r="AT497" s="32"/>
      <c r="AU497" s="31"/>
      <c r="AV497" s="111"/>
      <c r="AW497" s="111"/>
      <c r="AX497" s="31"/>
      <c r="AY497" s="32"/>
      <c r="AZ497" s="31"/>
      <c r="BA497" s="115"/>
      <c r="BB497" s="31">
        <v>277</v>
      </c>
      <c r="BC497" s="32">
        <v>227</v>
      </c>
      <c r="BD497" s="31">
        <v>268</v>
      </c>
      <c r="BE497" s="115">
        <v>233</v>
      </c>
      <c r="BF497" s="111">
        <v>233</v>
      </c>
      <c r="BG497" s="32">
        <v>265</v>
      </c>
      <c r="BH497" s="31">
        <v>282</v>
      </c>
      <c r="BI497" s="32">
        <v>218</v>
      </c>
      <c r="BJ497" s="111">
        <v>26</v>
      </c>
      <c r="BK497" s="33">
        <v>245</v>
      </c>
      <c r="BL497" s="115">
        <v>240</v>
      </c>
      <c r="BM497" s="111">
        <v>248</v>
      </c>
      <c r="BN497" s="35">
        <v>244</v>
      </c>
      <c r="BO497" s="32">
        <v>18</v>
      </c>
      <c r="BP497" s="31">
        <v>267</v>
      </c>
      <c r="BQ497" s="32">
        <v>233</v>
      </c>
      <c r="BR497" s="31">
        <v>216</v>
      </c>
      <c r="BS497" s="32">
        <v>292</v>
      </c>
      <c r="BT497" s="31">
        <v>255</v>
      </c>
      <c r="BU497" s="33">
        <v>25</v>
      </c>
      <c r="BV497" s="115">
        <v>222</v>
      </c>
      <c r="BW497" s="111">
        <v>260</v>
      </c>
      <c r="BX497" s="32">
        <v>259</v>
      </c>
      <c r="BY497" s="31">
        <v>240</v>
      </c>
      <c r="BZ497" s="32">
        <v>260</v>
      </c>
      <c r="CA497" s="111">
        <v>271</v>
      </c>
      <c r="CB497" s="32">
        <v>232</v>
      </c>
      <c r="CC497" s="33">
        <v>347</v>
      </c>
      <c r="CD497" s="34">
        <v>341</v>
      </c>
      <c r="CE497" s="111">
        <v>220</v>
      </c>
      <c r="CF497" s="38">
        <v>194</v>
      </c>
      <c r="CG497" s="31">
        <v>114</v>
      </c>
      <c r="CH497" s="35">
        <v>117</v>
      </c>
      <c r="CI497" s="35">
        <v>144</v>
      </c>
      <c r="CJ497" s="35">
        <v>150</v>
      </c>
      <c r="CK497" s="32">
        <v>248</v>
      </c>
    </row>
    <row r="498" spans="1:89" ht="13" x14ac:dyDescent="0.25">
      <c r="A498" s="27">
        <v>8521</v>
      </c>
      <c r="B498" s="28" t="s">
        <v>521</v>
      </c>
      <c r="C498" s="29">
        <v>789</v>
      </c>
      <c r="D498" s="30">
        <v>532</v>
      </c>
      <c r="E498" s="20">
        <f t="shared" si="7"/>
        <v>0.67427122940430928</v>
      </c>
      <c r="F498" s="31">
        <v>0</v>
      </c>
      <c r="G498" s="111">
        <v>0</v>
      </c>
      <c r="H498" s="111">
        <v>0</v>
      </c>
      <c r="I498" s="111">
        <v>0</v>
      </c>
      <c r="J498" s="111">
        <v>1</v>
      </c>
      <c r="K498" s="111">
        <v>0</v>
      </c>
      <c r="L498" s="111">
        <v>0</v>
      </c>
      <c r="M498" s="111">
        <v>279</v>
      </c>
      <c r="N498" s="111">
        <v>0</v>
      </c>
      <c r="O498" s="111">
        <v>0</v>
      </c>
      <c r="P498" s="35">
        <v>1</v>
      </c>
      <c r="Q498" s="35">
        <v>1</v>
      </c>
      <c r="R498" s="35">
        <v>246</v>
      </c>
      <c r="S498" s="32">
        <v>0</v>
      </c>
      <c r="T498" s="31">
        <v>286</v>
      </c>
      <c r="U498" s="32">
        <v>228</v>
      </c>
      <c r="V498" s="31">
        <v>249</v>
      </c>
      <c r="W498" s="32">
        <v>269</v>
      </c>
      <c r="X498" s="31">
        <v>284</v>
      </c>
      <c r="Y498" s="32">
        <v>219</v>
      </c>
      <c r="Z498" s="111">
        <v>291</v>
      </c>
      <c r="AA498" s="35">
        <v>0</v>
      </c>
      <c r="AB498" s="35">
        <v>15</v>
      </c>
      <c r="AC498" s="35">
        <v>218</v>
      </c>
      <c r="AD498" s="35">
        <v>0</v>
      </c>
      <c r="AE498" s="33">
        <v>0</v>
      </c>
      <c r="AF498" s="115">
        <v>0</v>
      </c>
      <c r="AG498" s="111">
        <v>303</v>
      </c>
      <c r="AH498" s="32">
        <v>208</v>
      </c>
      <c r="AI498" s="31"/>
      <c r="AJ498" s="33"/>
      <c r="AK498" s="31"/>
      <c r="AL498" s="32"/>
      <c r="AM498" s="31"/>
      <c r="AN498" s="115"/>
      <c r="AO498" s="111">
        <v>214</v>
      </c>
      <c r="AP498" s="32">
        <v>290</v>
      </c>
      <c r="AQ498" s="31"/>
      <c r="AR498" s="115"/>
      <c r="AS498" s="111"/>
      <c r="AT498" s="32"/>
      <c r="AU498" s="31"/>
      <c r="AV498" s="111"/>
      <c r="AW498" s="111"/>
      <c r="AX498" s="31"/>
      <c r="AY498" s="32"/>
      <c r="AZ498" s="31"/>
      <c r="BA498" s="115"/>
      <c r="BB498" s="31">
        <v>225</v>
      </c>
      <c r="BC498" s="32">
        <v>270</v>
      </c>
      <c r="BD498" s="31">
        <v>217</v>
      </c>
      <c r="BE498" s="115">
        <v>279</v>
      </c>
      <c r="BF498" s="111">
        <v>273</v>
      </c>
      <c r="BG498" s="32">
        <v>222</v>
      </c>
      <c r="BH498" s="31">
        <v>235</v>
      </c>
      <c r="BI498" s="32">
        <v>261</v>
      </c>
      <c r="BJ498" s="111">
        <v>14</v>
      </c>
      <c r="BK498" s="33">
        <v>210</v>
      </c>
      <c r="BL498" s="115">
        <v>278</v>
      </c>
      <c r="BM498" s="111">
        <v>281</v>
      </c>
      <c r="BN498" s="35">
        <v>204</v>
      </c>
      <c r="BO498" s="32">
        <v>13</v>
      </c>
      <c r="BP498" s="31">
        <v>218</v>
      </c>
      <c r="BQ498" s="32">
        <v>280</v>
      </c>
      <c r="BR498" s="31">
        <v>253</v>
      </c>
      <c r="BS498" s="32">
        <v>256</v>
      </c>
      <c r="BT498" s="31">
        <v>218</v>
      </c>
      <c r="BU498" s="33">
        <v>20</v>
      </c>
      <c r="BV498" s="115">
        <v>261</v>
      </c>
      <c r="BW498" s="111">
        <v>286</v>
      </c>
      <c r="BX498" s="32">
        <v>229</v>
      </c>
      <c r="BY498" s="31">
        <v>278</v>
      </c>
      <c r="BZ498" s="32">
        <v>215</v>
      </c>
      <c r="CA498" s="111">
        <v>217</v>
      </c>
      <c r="CB498" s="32">
        <v>279</v>
      </c>
      <c r="CC498" s="33">
        <v>285</v>
      </c>
      <c r="CD498" s="34">
        <v>361</v>
      </c>
      <c r="CE498" s="111">
        <v>215</v>
      </c>
      <c r="CF498" s="38">
        <v>202</v>
      </c>
      <c r="CG498" s="31">
        <v>137</v>
      </c>
      <c r="CH498" s="35">
        <v>96</v>
      </c>
      <c r="CI498" s="35">
        <v>145</v>
      </c>
      <c r="CJ498" s="35">
        <v>162</v>
      </c>
      <c r="CK498" s="32">
        <v>240</v>
      </c>
    </row>
    <row r="499" spans="1:89" ht="13" x14ac:dyDescent="0.25">
      <c r="A499" s="27">
        <v>8531</v>
      </c>
      <c r="B499" s="28" t="s">
        <v>522</v>
      </c>
      <c r="C499" s="29">
        <v>757</v>
      </c>
      <c r="D499" s="30">
        <v>560</v>
      </c>
      <c r="E499" s="20">
        <f t="shared" si="7"/>
        <v>0.73976221928665786</v>
      </c>
      <c r="F499" s="31">
        <v>0</v>
      </c>
      <c r="G499" s="111">
        <v>0</v>
      </c>
      <c r="H499" s="111">
        <v>0</v>
      </c>
      <c r="I499" s="111">
        <v>0</v>
      </c>
      <c r="J499" s="111">
        <v>0</v>
      </c>
      <c r="K499" s="111">
        <v>0</v>
      </c>
      <c r="L499" s="111">
        <v>0</v>
      </c>
      <c r="M499" s="111">
        <v>301</v>
      </c>
      <c r="N499" s="111">
        <v>0</v>
      </c>
      <c r="O499" s="111">
        <v>0</v>
      </c>
      <c r="P499" s="35">
        <v>3</v>
      </c>
      <c r="Q499" s="35">
        <v>0</v>
      </c>
      <c r="R499" s="35">
        <v>250</v>
      </c>
      <c r="S499" s="32">
        <v>0</v>
      </c>
      <c r="T499" s="31">
        <v>289</v>
      </c>
      <c r="U499" s="32">
        <v>244</v>
      </c>
      <c r="V499" s="31">
        <v>264</v>
      </c>
      <c r="W499" s="32">
        <v>280</v>
      </c>
      <c r="X499" s="31">
        <v>289</v>
      </c>
      <c r="Y499" s="32">
        <v>238</v>
      </c>
      <c r="Z499" s="111">
        <v>299</v>
      </c>
      <c r="AA499" s="35">
        <v>0</v>
      </c>
      <c r="AB499" s="35">
        <v>21</v>
      </c>
      <c r="AC499" s="35">
        <v>230</v>
      </c>
      <c r="AD499" s="35">
        <v>0</v>
      </c>
      <c r="AE499" s="33">
        <v>0</v>
      </c>
      <c r="AF499" s="115">
        <v>0</v>
      </c>
      <c r="AG499" s="111">
        <v>314</v>
      </c>
      <c r="AH499" s="32">
        <v>224</v>
      </c>
      <c r="AI499" s="31"/>
      <c r="AJ499" s="33"/>
      <c r="AK499" s="31"/>
      <c r="AL499" s="32"/>
      <c r="AM499" s="31"/>
      <c r="AN499" s="115"/>
      <c r="AO499" s="111">
        <v>237</v>
      </c>
      <c r="AP499" s="32">
        <v>297</v>
      </c>
      <c r="AQ499" s="31"/>
      <c r="AR499" s="115"/>
      <c r="AS499" s="111"/>
      <c r="AT499" s="32"/>
      <c r="AU499" s="31"/>
      <c r="AV499" s="111"/>
      <c r="AW499" s="111"/>
      <c r="AX499" s="31"/>
      <c r="AY499" s="32"/>
      <c r="AZ499" s="31"/>
      <c r="BA499" s="115"/>
      <c r="BB499" s="31">
        <v>243</v>
      </c>
      <c r="BC499" s="32">
        <v>279</v>
      </c>
      <c r="BD499" s="31">
        <v>237</v>
      </c>
      <c r="BE499" s="115">
        <v>278</v>
      </c>
      <c r="BF499" s="111">
        <v>284</v>
      </c>
      <c r="BG499" s="32">
        <v>230</v>
      </c>
      <c r="BH499" s="31">
        <v>248</v>
      </c>
      <c r="BI499" s="32">
        <v>267</v>
      </c>
      <c r="BJ499" s="111">
        <v>22</v>
      </c>
      <c r="BK499" s="33">
        <v>222</v>
      </c>
      <c r="BL499" s="115">
        <v>282</v>
      </c>
      <c r="BM499" s="111">
        <v>301</v>
      </c>
      <c r="BN499" s="35">
        <v>211</v>
      </c>
      <c r="BO499" s="32">
        <v>14</v>
      </c>
      <c r="BP499" s="31">
        <v>238</v>
      </c>
      <c r="BQ499" s="32">
        <v>285</v>
      </c>
      <c r="BR499" s="31">
        <v>269</v>
      </c>
      <c r="BS499" s="32">
        <v>264</v>
      </c>
      <c r="BT499" s="31">
        <v>223</v>
      </c>
      <c r="BU499" s="33">
        <v>20</v>
      </c>
      <c r="BV499" s="115">
        <v>277</v>
      </c>
      <c r="BW499" s="111">
        <v>301</v>
      </c>
      <c r="BX499" s="32">
        <v>237</v>
      </c>
      <c r="BY499" s="31">
        <v>293</v>
      </c>
      <c r="BZ499" s="32">
        <v>227</v>
      </c>
      <c r="CA499" s="111">
        <v>229</v>
      </c>
      <c r="CB499" s="32">
        <v>291</v>
      </c>
      <c r="CC499" s="33">
        <v>322</v>
      </c>
      <c r="CD499" s="34">
        <v>398</v>
      </c>
      <c r="CE499" s="111">
        <v>216</v>
      </c>
      <c r="CF499" s="38">
        <v>213</v>
      </c>
      <c r="CG499" s="31">
        <v>112</v>
      </c>
      <c r="CH499" s="35">
        <v>122</v>
      </c>
      <c r="CI499" s="35">
        <v>172</v>
      </c>
      <c r="CJ499" s="35">
        <v>184</v>
      </c>
      <c r="CK499" s="32">
        <v>220</v>
      </c>
    </row>
    <row r="500" spans="1:89" ht="13" x14ac:dyDescent="0.25">
      <c r="A500" s="27">
        <v>8541</v>
      </c>
      <c r="B500" s="28" t="s">
        <v>523</v>
      </c>
      <c r="C500" s="29">
        <v>730</v>
      </c>
      <c r="D500" s="30">
        <v>508</v>
      </c>
      <c r="E500" s="20">
        <f t="shared" si="7"/>
        <v>0.69589041095890414</v>
      </c>
      <c r="F500" s="31">
        <v>0</v>
      </c>
      <c r="G500" s="111">
        <v>0</v>
      </c>
      <c r="H500" s="111">
        <v>0</v>
      </c>
      <c r="I500" s="111">
        <v>0</v>
      </c>
      <c r="J500" s="111">
        <v>0</v>
      </c>
      <c r="K500" s="111">
        <v>0</v>
      </c>
      <c r="L500" s="111">
        <v>0</v>
      </c>
      <c r="M500" s="111">
        <v>292</v>
      </c>
      <c r="N500" s="111">
        <v>0</v>
      </c>
      <c r="O500" s="111">
        <v>0</v>
      </c>
      <c r="P500" s="35">
        <v>2</v>
      </c>
      <c r="Q500" s="35">
        <v>5</v>
      </c>
      <c r="R500" s="35">
        <v>201</v>
      </c>
      <c r="S500" s="32">
        <v>0</v>
      </c>
      <c r="T500" s="31">
        <v>289</v>
      </c>
      <c r="U500" s="32">
        <v>194</v>
      </c>
      <c r="V500" s="31">
        <v>209</v>
      </c>
      <c r="W500" s="32">
        <v>274</v>
      </c>
      <c r="X500" s="31">
        <v>285</v>
      </c>
      <c r="Y500" s="32">
        <v>194</v>
      </c>
      <c r="Z500" s="111">
        <v>303</v>
      </c>
      <c r="AA500" s="35">
        <v>0</v>
      </c>
      <c r="AB500" s="35">
        <v>19</v>
      </c>
      <c r="AC500" s="35">
        <v>172</v>
      </c>
      <c r="AD500" s="35">
        <v>0</v>
      </c>
      <c r="AE500" s="33">
        <v>0</v>
      </c>
      <c r="AF500" s="115">
        <v>0</v>
      </c>
      <c r="AG500" s="111">
        <v>297</v>
      </c>
      <c r="AH500" s="32">
        <v>186</v>
      </c>
      <c r="AI500" s="31"/>
      <c r="AJ500" s="33"/>
      <c r="AK500" s="31"/>
      <c r="AL500" s="32"/>
      <c r="AM500" s="31"/>
      <c r="AN500" s="115"/>
      <c r="AO500" s="111">
        <v>180</v>
      </c>
      <c r="AP500" s="32">
        <v>303</v>
      </c>
      <c r="AQ500" s="31"/>
      <c r="AR500" s="115"/>
      <c r="AS500" s="111"/>
      <c r="AT500" s="32"/>
      <c r="AU500" s="31"/>
      <c r="AV500" s="111"/>
      <c r="AW500" s="111"/>
      <c r="AX500" s="31"/>
      <c r="AY500" s="32"/>
      <c r="AZ500" s="31"/>
      <c r="BA500" s="115"/>
      <c r="BB500" s="31">
        <v>195</v>
      </c>
      <c r="BC500" s="32">
        <v>276</v>
      </c>
      <c r="BD500" s="31">
        <v>192</v>
      </c>
      <c r="BE500" s="115">
        <v>277</v>
      </c>
      <c r="BF500" s="111">
        <v>282</v>
      </c>
      <c r="BG500" s="32">
        <v>188</v>
      </c>
      <c r="BH500" s="31">
        <v>198</v>
      </c>
      <c r="BI500" s="32">
        <v>268</v>
      </c>
      <c r="BJ500" s="111">
        <v>20</v>
      </c>
      <c r="BK500" s="33">
        <v>176</v>
      </c>
      <c r="BL500" s="115">
        <v>281</v>
      </c>
      <c r="BM500" s="111">
        <v>279</v>
      </c>
      <c r="BN500" s="35">
        <v>172</v>
      </c>
      <c r="BO500" s="32">
        <v>20</v>
      </c>
      <c r="BP500" s="31">
        <v>196</v>
      </c>
      <c r="BQ500" s="32">
        <v>270</v>
      </c>
      <c r="BR500" s="31">
        <v>258</v>
      </c>
      <c r="BS500" s="32">
        <v>216</v>
      </c>
      <c r="BT500" s="31">
        <v>177</v>
      </c>
      <c r="BU500" s="33">
        <v>20</v>
      </c>
      <c r="BV500" s="115">
        <v>272</v>
      </c>
      <c r="BW500" s="111">
        <v>286</v>
      </c>
      <c r="BX500" s="32">
        <v>197</v>
      </c>
      <c r="BY500" s="31">
        <v>275</v>
      </c>
      <c r="BZ500" s="32">
        <v>187</v>
      </c>
      <c r="CA500" s="111">
        <v>192</v>
      </c>
      <c r="CB500" s="32">
        <v>274</v>
      </c>
      <c r="CC500" s="33">
        <v>274</v>
      </c>
      <c r="CD500" s="34">
        <v>358</v>
      </c>
      <c r="CE500" s="111">
        <v>186</v>
      </c>
      <c r="CF500" s="38">
        <v>198</v>
      </c>
      <c r="CG500" s="31">
        <v>101</v>
      </c>
      <c r="CH500" s="35">
        <v>101</v>
      </c>
      <c r="CI500" s="35">
        <v>167</v>
      </c>
      <c r="CJ500" s="35">
        <v>183</v>
      </c>
      <c r="CK500" s="32">
        <v>167</v>
      </c>
    </row>
    <row r="501" spans="1:89" ht="13" x14ac:dyDescent="0.25">
      <c r="A501" s="27">
        <v>8601</v>
      </c>
      <c r="B501" s="28" t="s">
        <v>524</v>
      </c>
      <c r="C501" s="29">
        <v>1170</v>
      </c>
      <c r="D501" s="30">
        <v>857</v>
      </c>
      <c r="E501" s="20">
        <f t="shared" si="7"/>
        <v>0.73247863247863243</v>
      </c>
      <c r="F501" s="31">
        <v>0</v>
      </c>
      <c r="G501" s="111">
        <v>0</v>
      </c>
      <c r="H501" s="111">
        <v>1</v>
      </c>
      <c r="I501" s="111">
        <v>1</v>
      </c>
      <c r="J501" s="111">
        <v>2</v>
      </c>
      <c r="K501" s="111">
        <v>0</v>
      </c>
      <c r="L501" s="111">
        <v>0</v>
      </c>
      <c r="M501" s="111">
        <v>586</v>
      </c>
      <c r="N501" s="111">
        <v>0</v>
      </c>
      <c r="O501" s="111">
        <v>0</v>
      </c>
      <c r="P501" s="35">
        <v>6</v>
      </c>
      <c r="Q501" s="35">
        <v>1</v>
      </c>
      <c r="R501" s="35">
        <v>251</v>
      </c>
      <c r="S501" s="32">
        <v>1</v>
      </c>
      <c r="T501" s="31">
        <v>570</v>
      </c>
      <c r="U501" s="32">
        <v>268</v>
      </c>
      <c r="V501" s="31">
        <v>285</v>
      </c>
      <c r="W501" s="32">
        <v>552</v>
      </c>
      <c r="X501" s="31">
        <v>565</v>
      </c>
      <c r="Y501" s="32">
        <v>257</v>
      </c>
      <c r="Z501" s="111">
        <v>575</v>
      </c>
      <c r="AA501" s="35">
        <v>0</v>
      </c>
      <c r="AB501" s="35">
        <v>28</v>
      </c>
      <c r="AC501" s="35">
        <v>238</v>
      </c>
      <c r="AD501" s="35">
        <v>0</v>
      </c>
      <c r="AE501" s="33">
        <v>0</v>
      </c>
      <c r="AF501" s="115">
        <v>0</v>
      </c>
      <c r="AG501" s="111">
        <v>579</v>
      </c>
      <c r="AH501" s="32">
        <v>245</v>
      </c>
      <c r="AI501" s="31"/>
      <c r="AJ501" s="33"/>
      <c r="AK501" s="31">
        <v>253</v>
      </c>
      <c r="AL501" s="32">
        <v>552</v>
      </c>
      <c r="AM501" s="31"/>
      <c r="AN501" s="115"/>
      <c r="AO501" s="111"/>
      <c r="AP501" s="32"/>
      <c r="AQ501" s="31"/>
      <c r="AR501" s="115"/>
      <c r="AS501" s="111">
        <v>571</v>
      </c>
      <c r="AT501" s="32">
        <v>243</v>
      </c>
      <c r="AU501" s="31"/>
      <c r="AV501" s="111"/>
      <c r="AW501" s="111"/>
      <c r="AX501" s="31"/>
      <c r="AY501" s="32"/>
      <c r="AZ501" s="31"/>
      <c r="BA501" s="115"/>
      <c r="BB501" s="31">
        <v>265</v>
      </c>
      <c r="BC501" s="32">
        <v>538</v>
      </c>
      <c r="BD501" s="31">
        <v>252</v>
      </c>
      <c r="BE501" s="115">
        <v>544</v>
      </c>
      <c r="BF501" s="111">
        <v>553</v>
      </c>
      <c r="BG501" s="32">
        <v>244</v>
      </c>
      <c r="BH501" s="31">
        <v>268</v>
      </c>
      <c r="BI501" s="32">
        <v>532</v>
      </c>
      <c r="BJ501" s="111">
        <v>40</v>
      </c>
      <c r="BK501" s="33">
        <v>223</v>
      </c>
      <c r="BL501" s="115">
        <v>552</v>
      </c>
      <c r="BM501" s="111">
        <v>559</v>
      </c>
      <c r="BN501" s="35">
        <v>220</v>
      </c>
      <c r="BO501" s="32">
        <v>29</v>
      </c>
      <c r="BP501" s="31">
        <v>249</v>
      </c>
      <c r="BQ501" s="32">
        <v>549</v>
      </c>
      <c r="BR501" s="31">
        <v>521</v>
      </c>
      <c r="BS501" s="32">
        <v>291</v>
      </c>
      <c r="BT501" s="31">
        <v>229</v>
      </c>
      <c r="BU501" s="33">
        <v>30</v>
      </c>
      <c r="BV501" s="115">
        <v>536</v>
      </c>
      <c r="BW501" s="111">
        <v>561</v>
      </c>
      <c r="BX501" s="32">
        <v>253</v>
      </c>
      <c r="BY501" s="31">
        <v>552</v>
      </c>
      <c r="BZ501" s="32">
        <v>238</v>
      </c>
      <c r="CA501" s="111">
        <v>237</v>
      </c>
      <c r="CB501" s="32">
        <v>561</v>
      </c>
      <c r="CC501" s="33">
        <v>433</v>
      </c>
      <c r="CD501" s="34">
        <v>684</v>
      </c>
      <c r="CE501" s="111">
        <v>266</v>
      </c>
      <c r="CF501" s="42">
        <v>421</v>
      </c>
      <c r="CG501" s="31">
        <v>181</v>
      </c>
      <c r="CH501" s="35">
        <v>111</v>
      </c>
      <c r="CI501" s="35">
        <v>357</v>
      </c>
      <c r="CJ501" s="35">
        <v>400</v>
      </c>
      <c r="CK501" s="32">
        <v>235</v>
      </c>
    </row>
    <row r="502" spans="1:89" ht="13" x14ac:dyDescent="0.25">
      <c r="A502" s="27">
        <v>8602</v>
      </c>
      <c r="B502" s="28" t="s">
        <v>525</v>
      </c>
      <c r="C502" s="29">
        <v>1376</v>
      </c>
      <c r="D502" s="30">
        <v>952</v>
      </c>
      <c r="E502" s="20">
        <f t="shared" si="7"/>
        <v>0.69186046511627908</v>
      </c>
      <c r="F502" s="31">
        <v>0</v>
      </c>
      <c r="G502" s="111">
        <v>0</v>
      </c>
      <c r="H502" s="111">
        <v>0</v>
      </c>
      <c r="I502" s="111">
        <v>1</v>
      </c>
      <c r="J502" s="111">
        <v>0</v>
      </c>
      <c r="K502" s="111">
        <v>0</v>
      </c>
      <c r="L502" s="111">
        <v>0</v>
      </c>
      <c r="M502" s="111">
        <v>775</v>
      </c>
      <c r="N502" s="111">
        <v>0</v>
      </c>
      <c r="O502" s="111">
        <v>0</v>
      </c>
      <c r="P502" s="35">
        <v>3</v>
      </c>
      <c r="Q502" s="35">
        <v>2</v>
      </c>
      <c r="R502" s="35">
        <v>163</v>
      </c>
      <c r="S502" s="32">
        <v>0</v>
      </c>
      <c r="T502" s="31">
        <v>751</v>
      </c>
      <c r="U502" s="32">
        <v>172</v>
      </c>
      <c r="V502" s="31">
        <v>187</v>
      </c>
      <c r="W502" s="32">
        <v>738</v>
      </c>
      <c r="X502" s="31">
        <v>744</v>
      </c>
      <c r="Y502" s="32">
        <v>164</v>
      </c>
      <c r="Z502" s="111">
        <v>764</v>
      </c>
      <c r="AA502" s="35">
        <v>0</v>
      </c>
      <c r="AB502" s="35">
        <v>26</v>
      </c>
      <c r="AC502" s="35">
        <v>143</v>
      </c>
      <c r="AD502" s="35">
        <v>0</v>
      </c>
      <c r="AE502" s="33">
        <v>0</v>
      </c>
      <c r="AF502" s="115">
        <v>0</v>
      </c>
      <c r="AG502" s="111">
        <v>752</v>
      </c>
      <c r="AH502" s="32">
        <v>155</v>
      </c>
      <c r="AI502" s="31"/>
      <c r="AJ502" s="33"/>
      <c r="AK502" s="31">
        <v>163</v>
      </c>
      <c r="AL502" s="32">
        <v>743</v>
      </c>
      <c r="AM502" s="31"/>
      <c r="AN502" s="115"/>
      <c r="AO502" s="111"/>
      <c r="AP502" s="32"/>
      <c r="AQ502" s="31"/>
      <c r="AR502" s="115"/>
      <c r="AS502" s="111">
        <v>746</v>
      </c>
      <c r="AT502" s="32">
        <v>156</v>
      </c>
      <c r="AU502" s="31"/>
      <c r="AV502" s="111"/>
      <c r="AW502" s="111"/>
      <c r="AX502" s="31"/>
      <c r="AY502" s="32"/>
      <c r="AZ502" s="31"/>
      <c r="BA502" s="115"/>
      <c r="BB502" s="31">
        <v>163</v>
      </c>
      <c r="BC502" s="32">
        <v>733</v>
      </c>
      <c r="BD502" s="31">
        <v>157</v>
      </c>
      <c r="BE502" s="115">
        <v>738</v>
      </c>
      <c r="BF502" s="111">
        <v>728</v>
      </c>
      <c r="BG502" s="32">
        <v>159</v>
      </c>
      <c r="BH502" s="31">
        <v>188</v>
      </c>
      <c r="BI502" s="32">
        <v>710</v>
      </c>
      <c r="BJ502" s="111">
        <v>30</v>
      </c>
      <c r="BK502" s="33">
        <v>137</v>
      </c>
      <c r="BL502" s="115">
        <v>745</v>
      </c>
      <c r="BM502" s="111">
        <v>735</v>
      </c>
      <c r="BN502" s="35">
        <v>145</v>
      </c>
      <c r="BO502" s="32">
        <v>27</v>
      </c>
      <c r="BP502" s="31">
        <v>157</v>
      </c>
      <c r="BQ502" s="32">
        <v>735</v>
      </c>
      <c r="BR502" s="31">
        <v>694</v>
      </c>
      <c r="BS502" s="32">
        <v>204</v>
      </c>
      <c r="BT502" s="31">
        <v>140</v>
      </c>
      <c r="BU502" s="33">
        <v>34</v>
      </c>
      <c r="BV502" s="115">
        <v>726</v>
      </c>
      <c r="BW502" s="111">
        <v>742</v>
      </c>
      <c r="BX502" s="32">
        <v>168</v>
      </c>
      <c r="BY502" s="31">
        <v>730</v>
      </c>
      <c r="BZ502" s="32">
        <v>159</v>
      </c>
      <c r="CA502" s="111">
        <v>174</v>
      </c>
      <c r="CB502" s="32">
        <v>730</v>
      </c>
      <c r="CC502" s="33">
        <v>415</v>
      </c>
      <c r="CD502" s="34">
        <v>817</v>
      </c>
      <c r="CE502" s="111">
        <v>276</v>
      </c>
      <c r="CF502" s="42">
        <v>482</v>
      </c>
      <c r="CG502" s="31">
        <v>203</v>
      </c>
      <c r="CH502" s="35">
        <v>100</v>
      </c>
      <c r="CI502" s="35">
        <v>459</v>
      </c>
      <c r="CJ502" s="35">
        <v>476</v>
      </c>
      <c r="CK502" s="32">
        <v>204</v>
      </c>
    </row>
    <row r="503" spans="1:89" ht="13" x14ac:dyDescent="0.25">
      <c r="A503" s="27">
        <v>8603</v>
      </c>
      <c r="B503" s="28" t="s">
        <v>526</v>
      </c>
      <c r="C503" s="29">
        <v>1262</v>
      </c>
      <c r="D503" s="30">
        <v>844</v>
      </c>
      <c r="E503" s="20">
        <f t="shared" si="7"/>
        <v>0.66877971473851028</v>
      </c>
      <c r="F503" s="31">
        <v>0</v>
      </c>
      <c r="G503" s="111">
        <v>0</v>
      </c>
      <c r="H503" s="111">
        <v>0</v>
      </c>
      <c r="I503" s="111">
        <v>0</v>
      </c>
      <c r="J503" s="111">
        <v>2</v>
      </c>
      <c r="K503" s="111">
        <v>0</v>
      </c>
      <c r="L503" s="111">
        <v>0</v>
      </c>
      <c r="M503" s="111">
        <v>605</v>
      </c>
      <c r="N503" s="111">
        <v>0</v>
      </c>
      <c r="O503" s="111">
        <v>0</v>
      </c>
      <c r="P503" s="35">
        <v>9</v>
      </c>
      <c r="Q503" s="35">
        <v>1</v>
      </c>
      <c r="R503" s="35">
        <v>214</v>
      </c>
      <c r="S503" s="32">
        <v>0</v>
      </c>
      <c r="T503" s="31">
        <v>593</v>
      </c>
      <c r="U503" s="32">
        <v>228</v>
      </c>
      <c r="V503" s="31">
        <v>251</v>
      </c>
      <c r="W503" s="32">
        <v>569</v>
      </c>
      <c r="X503" s="31">
        <v>597</v>
      </c>
      <c r="Y503" s="32">
        <v>210</v>
      </c>
      <c r="Z503" s="111">
        <v>607</v>
      </c>
      <c r="AA503" s="35">
        <v>0</v>
      </c>
      <c r="AB503" s="35">
        <v>22</v>
      </c>
      <c r="AC503" s="35">
        <v>194</v>
      </c>
      <c r="AD503" s="35">
        <v>0</v>
      </c>
      <c r="AE503" s="33">
        <v>0</v>
      </c>
      <c r="AF503" s="115">
        <v>0</v>
      </c>
      <c r="AG503" s="111">
        <v>619</v>
      </c>
      <c r="AH503" s="32">
        <v>198</v>
      </c>
      <c r="AI503" s="31"/>
      <c r="AJ503" s="33"/>
      <c r="AK503" s="31">
        <v>222</v>
      </c>
      <c r="AL503" s="32">
        <v>585</v>
      </c>
      <c r="AM503" s="31"/>
      <c r="AN503" s="115"/>
      <c r="AO503" s="111"/>
      <c r="AP503" s="32"/>
      <c r="AQ503" s="31"/>
      <c r="AR503" s="115"/>
      <c r="AS503" s="111">
        <v>590</v>
      </c>
      <c r="AT503" s="32">
        <v>213</v>
      </c>
      <c r="AU503" s="31"/>
      <c r="AV503" s="111"/>
      <c r="AW503" s="111"/>
      <c r="AX503" s="31"/>
      <c r="AY503" s="32"/>
      <c r="AZ503" s="31"/>
      <c r="BA503" s="115"/>
      <c r="BB503" s="31">
        <v>226</v>
      </c>
      <c r="BC503" s="32">
        <v>570</v>
      </c>
      <c r="BD503" s="31">
        <v>220</v>
      </c>
      <c r="BE503" s="115">
        <v>576</v>
      </c>
      <c r="BF503" s="111">
        <v>567</v>
      </c>
      <c r="BG503" s="32">
        <v>226</v>
      </c>
      <c r="BH503" s="31">
        <v>233</v>
      </c>
      <c r="BI503" s="32">
        <v>561</v>
      </c>
      <c r="BJ503" s="111">
        <v>36</v>
      </c>
      <c r="BK503" s="33">
        <v>183</v>
      </c>
      <c r="BL503" s="115">
        <v>585</v>
      </c>
      <c r="BM503" s="111">
        <v>590</v>
      </c>
      <c r="BN503" s="35">
        <v>185</v>
      </c>
      <c r="BO503" s="32">
        <v>24</v>
      </c>
      <c r="BP503" s="31">
        <v>216</v>
      </c>
      <c r="BQ503" s="32">
        <v>578</v>
      </c>
      <c r="BR503" s="31">
        <v>564</v>
      </c>
      <c r="BS503" s="32">
        <v>246</v>
      </c>
      <c r="BT503" s="31">
        <v>198</v>
      </c>
      <c r="BU503" s="33">
        <v>32</v>
      </c>
      <c r="BV503" s="115">
        <v>568</v>
      </c>
      <c r="BW503" s="111">
        <v>593</v>
      </c>
      <c r="BX503" s="32">
        <v>213</v>
      </c>
      <c r="BY503" s="31">
        <v>580</v>
      </c>
      <c r="BZ503" s="32">
        <v>204</v>
      </c>
      <c r="CA503" s="111">
        <v>204</v>
      </c>
      <c r="CB503" s="32">
        <v>592</v>
      </c>
      <c r="CC503" s="33">
        <v>403</v>
      </c>
      <c r="CD503" s="34">
        <v>673</v>
      </c>
      <c r="CE503" s="111">
        <v>251</v>
      </c>
      <c r="CF503" s="42">
        <v>396</v>
      </c>
      <c r="CG503" s="31">
        <v>186</v>
      </c>
      <c r="CH503" s="35">
        <v>96</v>
      </c>
      <c r="CI503" s="35">
        <v>334</v>
      </c>
      <c r="CJ503" s="35">
        <v>382</v>
      </c>
      <c r="CK503" s="32">
        <v>232</v>
      </c>
    </row>
    <row r="504" spans="1:89" ht="13" x14ac:dyDescent="0.25">
      <c r="A504" s="27">
        <v>8701</v>
      </c>
      <c r="B504" s="28" t="s">
        <v>527</v>
      </c>
      <c r="C504" s="29">
        <v>813</v>
      </c>
      <c r="D504" s="30">
        <v>429</v>
      </c>
      <c r="E504" s="20">
        <f t="shared" si="7"/>
        <v>0.52767527675276749</v>
      </c>
      <c r="F504" s="31">
        <v>0</v>
      </c>
      <c r="G504" s="111">
        <v>0</v>
      </c>
      <c r="H504" s="111">
        <v>0</v>
      </c>
      <c r="I504" s="111">
        <v>0</v>
      </c>
      <c r="J504" s="111">
        <v>1</v>
      </c>
      <c r="K504" s="111">
        <v>0</v>
      </c>
      <c r="L504" s="111">
        <v>0</v>
      </c>
      <c r="M504" s="111">
        <v>375</v>
      </c>
      <c r="N504" s="111">
        <v>0</v>
      </c>
      <c r="O504" s="111">
        <v>0</v>
      </c>
      <c r="P504" s="35">
        <v>1</v>
      </c>
      <c r="Q504" s="35">
        <v>0</v>
      </c>
      <c r="R504" s="35">
        <v>48</v>
      </c>
      <c r="S504" s="32">
        <v>0</v>
      </c>
      <c r="T504" s="37">
        <v>369</v>
      </c>
      <c r="U504" s="38">
        <v>46</v>
      </c>
      <c r="V504" s="37">
        <v>54</v>
      </c>
      <c r="W504" s="32">
        <v>363</v>
      </c>
      <c r="X504" s="31">
        <v>369</v>
      </c>
      <c r="Y504" s="32">
        <v>42</v>
      </c>
      <c r="Z504" s="111">
        <v>362</v>
      </c>
      <c r="AA504" s="35">
        <v>0</v>
      </c>
      <c r="AB504" s="35">
        <v>11</v>
      </c>
      <c r="AC504" s="35">
        <v>44</v>
      </c>
      <c r="AD504" s="35">
        <v>0</v>
      </c>
      <c r="AE504" s="33">
        <v>0</v>
      </c>
      <c r="AF504" s="116">
        <v>0</v>
      </c>
      <c r="AG504" s="120"/>
      <c r="AH504" s="38"/>
      <c r="AI504" s="37">
        <v>43</v>
      </c>
      <c r="AJ504" s="36">
        <v>376</v>
      </c>
      <c r="AK504" s="37">
        <v>45</v>
      </c>
      <c r="AL504" s="38">
        <v>372</v>
      </c>
      <c r="AM504" s="37"/>
      <c r="AN504" s="116"/>
      <c r="AO504" s="120"/>
      <c r="AP504" s="38"/>
      <c r="AQ504" s="37"/>
      <c r="AR504" s="116"/>
      <c r="AS504" s="120">
        <v>372</v>
      </c>
      <c r="AT504" s="38">
        <v>44</v>
      </c>
      <c r="AU504" s="37"/>
      <c r="AV504" s="120"/>
      <c r="AW504" s="120"/>
      <c r="AX504" s="37"/>
      <c r="AY504" s="38"/>
      <c r="AZ504" s="37"/>
      <c r="BA504" s="116"/>
      <c r="BB504" s="31">
        <v>42</v>
      </c>
      <c r="BC504" s="32">
        <v>365</v>
      </c>
      <c r="BD504" s="31">
        <v>39</v>
      </c>
      <c r="BE504" s="116">
        <v>371</v>
      </c>
      <c r="BF504" s="120">
        <v>368</v>
      </c>
      <c r="BG504" s="38">
        <v>39</v>
      </c>
      <c r="BH504" s="37">
        <v>52</v>
      </c>
      <c r="BI504" s="38">
        <v>359</v>
      </c>
      <c r="BJ504" s="111">
        <v>8</v>
      </c>
      <c r="BK504" s="33">
        <v>33</v>
      </c>
      <c r="BL504" s="115">
        <v>377</v>
      </c>
      <c r="BM504" s="111">
        <v>371</v>
      </c>
      <c r="BN504" s="35">
        <v>35</v>
      </c>
      <c r="BO504" s="32">
        <v>8</v>
      </c>
      <c r="BP504" s="31">
        <v>39</v>
      </c>
      <c r="BQ504" s="32">
        <v>370</v>
      </c>
      <c r="BR504" s="31">
        <v>359</v>
      </c>
      <c r="BS504" s="32">
        <v>55</v>
      </c>
      <c r="BT504" s="31">
        <v>48</v>
      </c>
      <c r="BU504" s="33">
        <v>12</v>
      </c>
      <c r="BV504" s="115">
        <v>353</v>
      </c>
      <c r="BW504" s="111">
        <v>374</v>
      </c>
      <c r="BX504" s="32">
        <v>44</v>
      </c>
      <c r="BY504" s="31">
        <v>366</v>
      </c>
      <c r="BZ504" s="32">
        <v>40</v>
      </c>
      <c r="CA504" s="111">
        <v>40</v>
      </c>
      <c r="CB504" s="32">
        <v>377</v>
      </c>
      <c r="CC504" s="33">
        <v>145</v>
      </c>
      <c r="CD504" s="34">
        <v>404</v>
      </c>
      <c r="CE504" s="120">
        <v>141</v>
      </c>
      <c r="CF504" s="42">
        <v>205</v>
      </c>
      <c r="CG504" s="31">
        <v>88</v>
      </c>
      <c r="CH504" s="35">
        <v>30</v>
      </c>
      <c r="CI504" s="35">
        <v>198</v>
      </c>
      <c r="CJ504" s="35">
        <v>208</v>
      </c>
      <c r="CK504" s="32">
        <v>88</v>
      </c>
    </row>
    <row r="505" spans="1:89" ht="13" x14ac:dyDescent="0.25">
      <c r="A505" s="27">
        <v>8702</v>
      </c>
      <c r="B505" s="28" t="s">
        <v>528</v>
      </c>
      <c r="C505" s="29">
        <v>714</v>
      </c>
      <c r="D505" s="30">
        <v>541</v>
      </c>
      <c r="E505" s="20">
        <f t="shared" si="7"/>
        <v>0.75770308123249297</v>
      </c>
      <c r="F505" s="31">
        <v>0</v>
      </c>
      <c r="G505" s="111">
        <v>0</v>
      </c>
      <c r="H505" s="111">
        <v>0</v>
      </c>
      <c r="I505" s="111">
        <v>0</v>
      </c>
      <c r="J505" s="111">
        <v>3</v>
      </c>
      <c r="K505" s="111">
        <v>0</v>
      </c>
      <c r="L505" s="111">
        <v>0</v>
      </c>
      <c r="M505" s="111">
        <v>347</v>
      </c>
      <c r="N505" s="111">
        <v>0</v>
      </c>
      <c r="O505" s="111">
        <v>0</v>
      </c>
      <c r="P505" s="35">
        <v>5</v>
      </c>
      <c r="Q505" s="35">
        <v>0</v>
      </c>
      <c r="R505" s="35">
        <v>179</v>
      </c>
      <c r="S505" s="32">
        <v>0</v>
      </c>
      <c r="T505" s="31">
        <v>335</v>
      </c>
      <c r="U505" s="32">
        <v>181</v>
      </c>
      <c r="V505" s="31">
        <v>189</v>
      </c>
      <c r="W505" s="32">
        <v>326</v>
      </c>
      <c r="X505" s="31">
        <v>329</v>
      </c>
      <c r="Y505" s="32">
        <v>177</v>
      </c>
      <c r="Z505" s="111">
        <v>351</v>
      </c>
      <c r="AA505" s="35">
        <v>0</v>
      </c>
      <c r="AB505" s="35">
        <v>19</v>
      </c>
      <c r="AC505" s="35">
        <v>154</v>
      </c>
      <c r="AD505" s="35">
        <v>0</v>
      </c>
      <c r="AE505" s="33">
        <v>0</v>
      </c>
      <c r="AF505" s="115">
        <v>0</v>
      </c>
      <c r="AG505" s="111"/>
      <c r="AH505" s="32"/>
      <c r="AI505" s="31">
        <v>169</v>
      </c>
      <c r="AJ505" s="33">
        <v>336</v>
      </c>
      <c r="AK505" s="31">
        <v>177</v>
      </c>
      <c r="AL505" s="32">
        <v>335</v>
      </c>
      <c r="AM505" s="31"/>
      <c r="AN505" s="115"/>
      <c r="AO505" s="111"/>
      <c r="AP505" s="32"/>
      <c r="AQ505" s="31"/>
      <c r="AR505" s="115"/>
      <c r="AS505" s="111">
        <v>347</v>
      </c>
      <c r="AT505" s="32">
        <v>168</v>
      </c>
      <c r="AU505" s="31"/>
      <c r="AV505" s="111"/>
      <c r="AW505" s="111"/>
      <c r="AX505" s="31"/>
      <c r="AY505" s="32"/>
      <c r="AZ505" s="31"/>
      <c r="BA505" s="115"/>
      <c r="BB505" s="31">
        <v>183</v>
      </c>
      <c r="BC505" s="32">
        <v>327</v>
      </c>
      <c r="BD505" s="31">
        <v>170</v>
      </c>
      <c r="BE505" s="115">
        <v>335</v>
      </c>
      <c r="BF505" s="111">
        <v>328</v>
      </c>
      <c r="BG505" s="32">
        <v>174</v>
      </c>
      <c r="BH505" s="31">
        <v>191</v>
      </c>
      <c r="BI505" s="32">
        <v>314</v>
      </c>
      <c r="BJ505" s="111">
        <v>24</v>
      </c>
      <c r="BK505" s="33">
        <v>148</v>
      </c>
      <c r="BL505" s="115">
        <v>342</v>
      </c>
      <c r="BM505" s="111">
        <v>329</v>
      </c>
      <c r="BN505" s="35">
        <v>155</v>
      </c>
      <c r="BO505" s="32">
        <v>20</v>
      </c>
      <c r="BP505" s="31">
        <v>175</v>
      </c>
      <c r="BQ505" s="32">
        <v>328</v>
      </c>
      <c r="BR505" s="31">
        <v>298</v>
      </c>
      <c r="BS505" s="32">
        <v>208</v>
      </c>
      <c r="BT505" s="31">
        <v>168</v>
      </c>
      <c r="BU505" s="33">
        <v>16</v>
      </c>
      <c r="BV505" s="115">
        <v>322</v>
      </c>
      <c r="BW505" s="111">
        <v>334</v>
      </c>
      <c r="BX505" s="32">
        <v>181</v>
      </c>
      <c r="BY505" s="31">
        <v>332</v>
      </c>
      <c r="BZ505" s="32">
        <v>168</v>
      </c>
      <c r="CA505" s="111">
        <v>169</v>
      </c>
      <c r="CB505" s="32">
        <v>338</v>
      </c>
      <c r="CC505" s="33">
        <v>288</v>
      </c>
      <c r="CD505" s="34">
        <v>425</v>
      </c>
      <c r="CE505" s="111">
        <v>217</v>
      </c>
      <c r="CF505" s="42">
        <v>211</v>
      </c>
      <c r="CG505" s="31">
        <v>124</v>
      </c>
      <c r="CH505" s="35">
        <v>89</v>
      </c>
      <c r="CI505" s="35">
        <v>182</v>
      </c>
      <c r="CJ505" s="35">
        <v>174</v>
      </c>
      <c r="CK505" s="32">
        <v>208</v>
      </c>
    </row>
    <row r="506" spans="1:89" ht="13" x14ac:dyDescent="0.25">
      <c r="A506" s="27">
        <v>8703</v>
      </c>
      <c r="B506" s="28" t="s">
        <v>529</v>
      </c>
      <c r="C506" s="29">
        <v>1289</v>
      </c>
      <c r="D506" s="30">
        <v>949</v>
      </c>
      <c r="E506" s="20">
        <f t="shared" si="7"/>
        <v>0.73622963537626063</v>
      </c>
      <c r="F506" s="31">
        <v>0</v>
      </c>
      <c r="G506" s="111">
        <v>0</v>
      </c>
      <c r="H506" s="111">
        <v>0</v>
      </c>
      <c r="I506" s="111">
        <v>2</v>
      </c>
      <c r="J506" s="111">
        <v>5</v>
      </c>
      <c r="K506" s="111">
        <v>0</v>
      </c>
      <c r="L506" s="111">
        <v>0</v>
      </c>
      <c r="M506" s="111">
        <v>638</v>
      </c>
      <c r="N506" s="111">
        <v>0</v>
      </c>
      <c r="O506" s="111">
        <v>0</v>
      </c>
      <c r="P506" s="35">
        <v>3</v>
      </c>
      <c r="Q506" s="35">
        <v>0</v>
      </c>
      <c r="R506" s="35">
        <v>291</v>
      </c>
      <c r="S506" s="32">
        <v>0</v>
      </c>
      <c r="T506" s="31">
        <v>620</v>
      </c>
      <c r="U506" s="32">
        <v>300</v>
      </c>
      <c r="V506" s="31">
        <v>301</v>
      </c>
      <c r="W506" s="32">
        <v>618</v>
      </c>
      <c r="X506" s="31">
        <v>628</v>
      </c>
      <c r="Y506" s="32">
        <v>282</v>
      </c>
      <c r="Z506" s="111">
        <v>649</v>
      </c>
      <c r="AA506" s="35">
        <v>0</v>
      </c>
      <c r="AB506" s="35">
        <v>20</v>
      </c>
      <c r="AC506" s="35">
        <v>256</v>
      </c>
      <c r="AD506" s="35">
        <v>0</v>
      </c>
      <c r="AE506" s="33">
        <v>0</v>
      </c>
      <c r="AF506" s="115">
        <v>0</v>
      </c>
      <c r="AG506" s="111"/>
      <c r="AH506" s="32"/>
      <c r="AI506" s="31">
        <v>273</v>
      </c>
      <c r="AJ506" s="33">
        <v>622</v>
      </c>
      <c r="AK506" s="31">
        <v>284</v>
      </c>
      <c r="AL506" s="32">
        <v>628</v>
      </c>
      <c r="AM506" s="31"/>
      <c r="AN506" s="115"/>
      <c r="AO506" s="111"/>
      <c r="AP506" s="32"/>
      <c r="AQ506" s="31"/>
      <c r="AR506" s="115"/>
      <c r="AS506" s="111">
        <v>629</v>
      </c>
      <c r="AT506" s="32">
        <v>274</v>
      </c>
      <c r="AU506" s="31"/>
      <c r="AV506" s="111"/>
      <c r="AW506" s="111"/>
      <c r="AX506" s="31"/>
      <c r="AY506" s="32"/>
      <c r="AZ506" s="31"/>
      <c r="BA506" s="115"/>
      <c r="BB506" s="31">
        <v>278</v>
      </c>
      <c r="BC506" s="32">
        <v>620</v>
      </c>
      <c r="BD506" s="31">
        <v>275</v>
      </c>
      <c r="BE506" s="115">
        <v>622</v>
      </c>
      <c r="BF506" s="111">
        <v>616</v>
      </c>
      <c r="BG506" s="32">
        <v>278</v>
      </c>
      <c r="BH506" s="31">
        <v>304</v>
      </c>
      <c r="BI506" s="32">
        <v>599</v>
      </c>
      <c r="BJ506" s="111">
        <v>35</v>
      </c>
      <c r="BK506" s="33">
        <v>237</v>
      </c>
      <c r="BL506" s="115">
        <v>634</v>
      </c>
      <c r="BM506" s="111">
        <v>622</v>
      </c>
      <c r="BN506" s="35">
        <v>250</v>
      </c>
      <c r="BO506" s="32">
        <v>28</v>
      </c>
      <c r="BP506" s="31">
        <v>278</v>
      </c>
      <c r="BQ506" s="32">
        <v>619</v>
      </c>
      <c r="BR506" s="31">
        <v>592</v>
      </c>
      <c r="BS506" s="32">
        <v>316</v>
      </c>
      <c r="BT506" s="31">
        <v>265</v>
      </c>
      <c r="BU506" s="33">
        <v>35</v>
      </c>
      <c r="BV506" s="115">
        <v>607</v>
      </c>
      <c r="BW506" s="111">
        <v>638</v>
      </c>
      <c r="BX506" s="32">
        <v>276</v>
      </c>
      <c r="BY506" s="31">
        <v>611</v>
      </c>
      <c r="BZ506" s="32">
        <v>270</v>
      </c>
      <c r="CA506" s="111">
        <v>274</v>
      </c>
      <c r="CB506" s="32">
        <v>616</v>
      </c>
      <c r="CC506" s="33">
        <v>472</v>
      </c>
      <c r="CD506" s="34">
        <v>750</v>
      </c>
      <c r="CE506" s="111">
        <v>364</v>
      </c>
      <c r="CF506" s="42">
        <v>402</v>
      </c>
      <c r="CG506" s="31">
        <v>229</v>
      </c>
      <c r="CH506" s="35">
        <v>110</v>
      </c>
      <c r="CI506" s="35">
        <v>346</v>
      </c>
      <c r="CJ506" s="35">
        <v>378</v>
      </c>
      <c r="CK506" s="32">
        <v>313</v>
      </c>
    </row>
    <row r="507" spans="1:89" ht="13" x14ac:dyDescent="0.25">
      <c r="A507" s="27">
        <v>8704</v>
      </c>
      <c r="B507" s="28" t="s">
        <v>530</v>
      </c>
      <c r="C507" s="29">
        <v>889</v>
      </c>
      <c r="D507" s="30">
        <v>700</v>
      </c>
      <c r="E507" s="20">
        <f t="shared" si="7"/>
        <v>0.78740157480314965</v>
      </c>
      <c r="F507" s="31">
        <v>0</v>
      </c>
      <c r="G507" s="111">
        <v>0</v>
      </c>
      <c r="H507" s="111">
        <v>0</v>
      </c>
      <c r="I507" s="111">
        <v>1</v>
      </c>
      <c r="J507" s="111">
        <v>0</v>
      </c>
      <c r="K507" s="111">
        <v>0</v>
      </c>
      <c r="L507" s="111">
        <v>0</v>
      </c>
      <c r="M507" s="111">
        <v>441</v>
      </c>
      <c r="N507" s="111">
        <v>0</v>
      </c>
      <c r="O507" s="111">
        <v>0</v>
      </c>
      <c r="P507" s="35">
        <v>6</v>
      </c>
      <c r="Q507" s="35">
        <v>2</v>
      </c>
      <c r="R507" s="35">
        <v>242</v>
      </c>
      <c r="S507" s="32">
        <v>0</v>
      </c>
      <c r="T507" s="31">
        <v>431</v>
      </c>
      <c r="U507" s="32">
        <v>250</v>
      </c>
      <c r="V507" s="31">
        <v>245</v>
      </c>
      <c r="W507" s="32">
        <v>435</v>
      </c>
      <c r="X507" s="31">
        <v>443</v>
      </c>
      <c r="Y507" s="32">
        <v>230</v>
      </c>
      <c r="Z507" s="111">
        <v>450</v>
      </c>
      <c r="AA507" s="35">
        <v>0</v>
      </c>
      <c r="AB507" s="35">
        <v>19</v>
      </c>
      <c r="AC507" s="35">
        <v>222</v>
      </c>
      <c r="AD507" s="35">
        <v>0</v>
      </c>
      <c r="AE507" s="33">
        <v>0</v>
      </c>
      <c r="AF507" s="115">
        <v>0</v>
      </c>
      <c r="AG507" s="111"/>
      <c r="AH507" s="32"/>
      <c r="AI507" s="31">
        <v>226</v>
      </c>
      <c r="AJ507" s="33">
        <v>447</v>
      </c>
      <c r="AK507" s="31"/>
      <c r="AL507" s="32"/>
      <c r="AM507" s="31"/>
      <c r="AN507" s="115"/>
      <c r="AO507" s="111"/>
      <c r="AP507" s="32"/>
      <c r="AQ507" s="31"/>
      <c r="AR507" s="115"/>
      <c r="AS507" s="111"/>
      <c r="AT507" s="32"/>
      <c r="AU507" s="31">
        <v>436</v>
      </c>
      <c r="AV507" s="111">
        <v>0</v>
      </c>
      <c r="AW507" s="111">
        <v>229</v>
      </c>
      <c r="AX507" s="31"/>
      <c r="AY507" s="32"/>
      <c r="AZ507" s="31"/>
      <c r="BA507" s="115"/>
      <c r="BB507" s="31">
        <v>235</v>
      </c>
      <c r="BC507" s="32">
        <v>428</v>
      </c>
      <c r="BD507" s="31">
        <v>219</v>
      </c>
      <c r="BE507" s="115">
        <v>438</v>
      </c>
      <c r="BF507" s="111">
        <v>433</v>
      </c>
      <c r="BG507" s="32">
        <v>220</v>
      </c>
      <c r="BH507" s="31">
        <v>242</v>
      </c>
      <c r="BI507" s="32">
        <v>417</v>
      </c>
      <c r="BJ507" s="111">
        <v>24</v>
      </c>
      <c r="BK507" s="33">
        <v>204</v>
      </c>
      <c r="BL507" s="115">
        <v>436</v>
      </c>
      <c r="BM507" s="111">
        <v>428</v>
      </c>
      <c r="BN507" s="35">
        <v>210</v>
      </c>
      <c r="BO507" s="32">
        <v>23</v>
      </c>
      <c r="BP507" s="31">
        <v>223</v>
      </c>
      <c r="BQ507" s="32">
        <v>436</v>
      </c>
      <c r="BR507" s="31">
        <v>400</v>
      </c>
      <c r="BS507" s="32">
        <v>265</v>
      </c>
      <c r="BT507" s="31">
        <v>229</v>
      </c>
      <c r="BU507" s="33">
        <v>24</v>
      </c>
      <c r="BV507" s="115">
        <v>410</v>
      </c>
      <c r="BW507" s="111">
        <v>437</v>
      </c>
      <c r="BX507" s="32">
        <v>235</v>
      </c>
      <c r="BY507" s="31">
        <v>434</v>
      </c>
      <c r="BZ507" s="32">
        <v>224</v>
      </c>
      <c r="CA507" s="111">
        <v>226</v>
      </c>
      <c r="CB507" s="32">
        <v>438</v>
      </c>
      <c r="CC507" s="33">
        <v>364</v>
      </c>
      <c r="CD507" s="34">
        <v>545</v>
      </c>
      <c r="CE507" s="111">
        <v>258</v>
      </c>
      <c r="CF507" s="38">
        <v>320</v>
      </c>
      <c r="CG507" s="31">
        <v>131</v>
      </c>
      <c r="CH507" s="35">
        <v>100</v>
      </c>
      <c r="CI507" s="35">
        <v>271</v>
      </c>
      <c r="CJ507" s="35">
        <v>292</v>
      </c>
      <c r="CK507" s="32">
        <v>231</v>
      </c>
    </row>
    <row r="508" spans="1:89" ht="13" x14ac:dyDescent="0.25">
      <c r="A508" s="27">
        <v>8705</v>
      </c>
      <c r="B508" s="28" t="s">
        <v>531</v>
      </c>
      <c r="C508" s="29">
        <v>536</v>
      </c>
      <c r="D508" s="30">
        <v>399</v>
      </c>
      <c r="E508" s="20">
        <f t="shared" si="7"/>
        <v>0.74440298507462688</v>
      </c>
      <c r="F508" s="31">
        <v>0</v>
      </c>
      <c r="G508" s="111">
        <v>0</v>
      </c>
      <c r="H508" s="111">
        <v>0</v>
      </c>
      <c r="I508" s="111">
        <v>0</v>
      </c>
      <c r="J508" s="111">
        <v>1</v>
      </c>
      <c r="K508" s="111">
        <v>0</v>
      </c>
      <c r="L508" s="111">
        <v>0</v>
      </c>
      <c r="M508" s="111">
        <v>279</v>
      </c>
      <c r="N508" s="111">
        <v>0</v>
      </c>
      <c r="O508" s="111">
        <v>0</v>
      </c>
      <c r="P508" s="35">
        <v>1</v>
      </c>
      <c r="Q508" s="35">
        <v>1</v>
      </c>
      <c r="R508" s="35">
        <v>109</v>
      </c>
      <c r="S508" s="32">
        <v>0</v>
      </c>
      <c r="T508" s="31">
        <v>274</v>
      </c>
      <c r="U508" s="32">
        <v>108</v>
      </c>
      <c r="V508" s="31">
        <v>111</v>
      </c>
      <c r="W508" s="32">
        <v>273</v>
      </c>
      <c r="X508" s="31">
        <v>274</v>
      </c>
      <c r="Y508" s="32">
        <v>106</v>
      </c>
      <c r="Z508" s="111">
        <v>277</v>
      </c>
      <c r="AA508" s="35">
        <v>0</v>
      </c>
      <c r="AB508" s="35">
        <v>10</v>
      </c>
      <c r="AC508" s="35">
        <v>100</v>
      </c>
      <c r="AD508" s="35">
        <v>0</v>
      </c>
      <c r="AE508" s="33">
        <v>0</v>
      </c>
      <c r="AF508" s="115">
        <v>0</v>
      </c>
      <c r="AG508" s="111">
        <v>278</v>
      </c>
      <c r="AH508" s="32">
        <v>104</v>
      </c>
      <c r="AI508" s="31"/>
      <c r="AJ508" s="33"/>
      <c r="AK508" s="31">
        <v>103</v>
      </c>
      <c r="AL508" s="32">
        <v>276</v>
      </c>
      <c r="AM508" s="31"/>
      <c r="AN508" s="115"/>
      <c r="AO508" s="111"/>
      <c r="AP508" s="32"/>
      <c r="AQ508" s="31"/>
      <c r="AR508" s="115"/>
      <c r="AS508" s="111">
        <v>277</v>
      </c>
      <c r="AT508" s="32">
        <v>102</v>
      </c>
      <c r="AU508" s="31"/>
      <c r="AV508" s="111"/>
      <c r="AW508" s="111"/>
      <c r="AX508" s="31"/>
      <c r="AY508" s="32"/>
      <c r="AZ508" s="31"/>
      <c r="BA508" s="115"/>
      <c r="BB508" s="31">
        <v>109</v>
      </c>
      <c r="BC508" s="32">
        <v>262</v>
      </c>
      <c r="BD508" s="31">
        <v>102</v>
      </c>
      <c r="BE508" s="115">
        <v>275</v>
      </c>
      <c r="BF508" s="111">
        <v>262</v>
      </c>
      <c r="BG508" s="32">
        <v>110</v>
      </c>
      <c r="BH508" s="31">
        <v>121</v>
      </c>
      <c r="BI508" s="32">
        <v>255</v>
      </c>
      <c r="BJ508" s="111">
        <v>14</v>
      </c>
      <c r="BK508" s="33">
        <v>94</v>
      </c>
      <c r="BL508" s="115">
        <v>270</v>
      </c>
      <c r="BM508" s="111">
        <v>266</v>
      </c>
      <c r="BN508" s="35">
        <v>95</v>
      </c>
      <c r="BO508" s="32">
        <v>17</v>
      </c>
      <c r="BP508" s="31">
        <v>107</v>
      </c>
      <c r="BQ508" s="32">
        <v>272</v>
      </c>
      <c r="BR508" s="31">
        <v>250</v>
      </c>
      <c r="BS508" s="32">
        <v>128</v>
      </c>
      <c r="BT508" s="31">
        <v>102</v>
      </c>
      <c r="BU508" s="33">
        <v>12</v>
      </c>
      <c r="BV508" s="115">
        <v>257</v>
      </c>
      <c r="BW508" s="111">
        <v>271</v>
      </c>
      <c r="BX508" s="32">
        <v>112</v>
      </c>
      <c r="BY508" s="31">
        <v>270</v>
      </c>
      <c r="BZ508" s="32">
        <v>101</v>
      </c>
      <c r="CA508" s="111">
        <v>105</v>
      </c>
      <c r="CB508" s="32">
        <v>268</v>
      </c>
      <c r="CC508" s="33">
        <v>187</v>
      </c>
      <c r="CD508" s="34">
        <v>318</v>
      </c>
      <c r="CE508" s="111">
        <v>142</v>
      </c>
      <c r="CF508" s="42">
        <v>175</v>
      </c>
      <c r="CG508" s="31">
        <v>76</v>
      </c>
      <c r="CH508" s="35">
        <v>62</v>
      </c>
      <c r="CI508" s="35">
        <v>151</v>
      </c>
      <c r="CJ508" s="35">
        <v>159</v>
      </c>
      <c r="CK508" s="32">
        <v>130</v>
      </c>
    </row>
    <row r="509" spans="1:89" ht="13" x14ac:dyDescent="0.25">
      <c r="A509" s="27">
        <v>8706</v>
      </c>
      <c r="B509" s="28" t="s">
        <v>532</v>
      </c>
      <c r="C509" s="29">
        <v>705</v>
      </c>
      <c r="D509" s="30">
        <v>564</v>
      </c>
      <c r="E509" s="20">
        <f t="shared" si="7"/>
        <v>0.8</v>
      </c>
      <c r="F509" s="31">
        <v>0</v>
      </c>
      <c r="G509" s="111">
        <v>0</v>
      </c>
      <c r="H509" s="111">
        <v>0</v>
      </c>
      <c r="I509" s="111">
        <v>0</v>
      </c>
      <c r="J509" s="111">
        <v>1</v>
      </c>
      <c r="K509" s="111">
        <v>0</v>
      </c>
      <c r="L509" s="111">
        <v>0</v>
      </c>
      <c r="M509" s="111">
        <v>360</v>
      </c>
      <c r="N509" s="111">
        <v>0</v>
      </c>
      <c r="O509" s="111">
        <v>0</v>
      </c>
      <c r="P509" s="35">
        <v>3</v>
      </c>
      <c r="Q509" s="35">
        <v>5</v>
      </c>
      <c r="R509" s="35">
        <v>183</v>
      </c>
      <c r="S509" s="32">
        <v>0</v>
      </c>
      <c r="T509" s="31">
        <v>341</v>
      </c>
      <c r="U509" s="32">
        <v>207</v>
      </c>
      <c r="V509" s="31">
        <v>227</v>
      </c>
      <c r="W509" s="32">
        <v>322</v>
      </c>
      <c r="X509" s="31">
        <v>337</v>
      </c>
      <c r="Y509" s="32">
        <v>197</v>
      </c>
      <c r="Z509" s="111">
        <v>361</v>
      </c>
      <c r="AA509" s="35">
        <v>0</v>
      </c>
      <c r="AB509" s="35">
        <v>13</v>
      </c>
      <c r="AC509" s="35">
        <v>182</v>
      </c>
      <c r="AD509" s="35">
        <v>0</v>
      </c>
      <c r="AE509" s="33">
        <v>0</v>
      </c>
      <c r="AF509" s="115">
        <v>0</v>
      </c>
      <c r="AG509" s="111"/>
      <c r="AH509" s="32"/>
      <c r="AI509" s="31">
        <v>197</v>
      </c>
      <c r="AJ509" s="33">
        <v>341</v>
      </c>
      <c r="AK509" s="31">
        <v>211</v>
      </c>
      <c r="AL509" s="32">
        <v>331</v>
      </c>
      <c r="AM509" s="31"/>
      <c r="AN509" s="115"/>
      <c r="AO509" s="111"/>
      <c r="AP509" s="32"/>
      <c r="AQ509" s="31"/>
      <c r="AR509" s="115"/>
      <c r="AS509" s="111"/>
      <c r="AT509" s="32"/>
      <c r="AU509" s="31"/>
      <c r="AV509" s="111"/>
      <c r="AW509" s="111"/>
      <c r="AX509" s="31">
        <v>202</v>
      </c>
      <c r="AY509" s="32">
        <v>336</v>
      </c>
      <c r="AZ509" s="31"/>
      <c r="BA509" s="115"/>
      <c r="BB509" s="31">
        <v>208</v>
      </c>
      <c r="BC509" s="32">
        <v>323</v>
      </c>
      <c r="BD509" s="31">
        <v>197</v>
      </c>
      <c r="BE509" s="115">
        <v>332</v>
      </c>
      <c r="BF509" s="111">
        <v>329</v>
      </c>
      <c r="BG509" s="32">
        <v>197</v>
      </c>
      <c r="BH509" s="31">
        <v>214</v>
      </c>
      <c r="BI509" s="32">
        <v>311</v>
      </c>
      <c r="BJ509" s="111">
        <v>18</v>
      </c>
      <c r="BK509" s="33">
        <v>187</v>
      </c>
      <c r="BL509" s="115">
        <v>330</v>
      </c>
      <c r="BM509" s="111">
        <v>341</v>
      </c>
      <c r="BN509" s="35">
        <v>174</v>
      </c>
      <c r="BO509" s="32">
        <v>19</v>
      </c>
      <c r="BP509" s="31">
        <v>203</v>
      </c>
      <c r="BQ509" s="32">
        <v>329</v>
      </c>
      <c r="BR509" s="31">
        <v>312</v>
      </c>
      <c r="BS509" s="32">
        <v>228</v>
      </c>
      <c r="BT509" s="31">
        <v>188</v>
      </c>
      <c r="BU509" s="33">
        <v>19</v>
      </c>
      <c r="BV509" s="115">
        <v>316</v>
      </c>
      <c r="BW509" s="111">
        <v>339</v>
      </c>
      <c r="BX509" s="32">
        <v>194</v>
      </c>
      <c r="BY509" s="31">
        <v>337</v>
      </c>
      <c r="BZ509" s="32">
        <v>182</v>
      </c>
      <c r="CA509" s="111">
        <v>192</v>
      </c>
      <c r="CB509" s="32">
        <v>330</v>
      </c>
      <c r="CC509" s="33">
        <v>308</v>
      </c>
      <c r="CD509" s="34">
        <v>411</v>
      </c>
      <c r="CE509" s="111">
        <v>220</v>
      </c>
      <c r="CF509" s="42">
        <v>209</v>
      </c>
      <c r="CG509" s="31">
        <v>133</v>
      </c>
      <c r="CH509" s="35">
        <v>116</v>
      </c>
      <c r="CI509" s="35">
        <v>185</v>
      </c>
      <c r="CJ509" s="35">
        <v>202</v>
      </c>
      <c r="CK509" s="32">
        <v>187</v>
      </c>
    </row>
    <row r="510" spans="1:89" ht="13" x14ac:dyDescent="0.25">
      <c r="A510" s="27">
        <v>8707</v>
      </c>
      <c r="B510" s="28" t="s">
        <v>533</v>
      </c>
      <c r="C510" s="29">
        <v>1189</v>
      </c>
      <c r="D510" s="30">
        <v>902</v>
      </c>
      <c r="E510" s="20">
        <f t="shared" si="7"/>
        <v>0.75862068965517238</v>
      </c>
      <c r="F510" s="31">
        <v>0</v>
      </c>
      <c r="G510" s="111">
        <v>0</v>
      </c>
      <c r="H510" s="111">
        <v>0</v>
      </c>
      <c r="I510" s="111">
        <v>0</v>
      </c>
      <c r="J510" s="111">
        <v>2</v>
      </c>
      <c r="K510" s="111">
        <v>0</v>
      </c>
      <c r="L510" s="111">
        <v>0</v>
      </c>
      <c r="M510" s="111">
        <v>520</v>
      </c>
      <c r="N510" s="111">
        <v>0</v>
      </c>
      <c r="O510" s="111">
        <v>0</v>
      </c>
      <c r="P510" s="35">
        <v>9</v>
      </c>
      <c r="Q510" s="35">
        <v>0</v>
      </c>
      <c r="R510" s="35">
        <v>360</v>
      </c>
      <c r="S510" s="32">
        <v>0</v>
      </c>
      <c r="T510" s="31">
        <v>487</v>
      </c>
      <c r="U510" s="32">
        <v>378</v>
      </c>
      <c r="V510" s="31">
        <v>393</v>
      </c>
      <c r="W510" s="32">
        <v>483</v>
      </c>
      <c r="X510" s="31">
        <v>507</v>
      </c>
      <c r="Y510" s="32">
        <v>359</v>
      </c>
      <c r="Z510" s="111">
        <v>526</v>
      </c>
      <c r="AA510" s="35">
        <v>0</v>
      </c>
      <c r="AB510" s="35">
        <v>27</v>
      </c>
      <c r="AC510" s="35">
        <v>327</v>
      </c>
      <c r="AD510" s="35">
        <v>0</v>
      </c>
      <c r="AE510" s="33">
        <v>0</v>
      </c>
      <c r="AF510" s="115">
        <v>0</v>
      </c>
      <c r="AG510" s="111"/>
      <c r="AH510" s="32"/>
      <c r="AI510" s="31">
        <v>354</v>
      </c>
      <c r="AJ510" s="33">
        <v>505</v>
      </c>
      <c r="AK510" s="31">
        <v>357</v>
      </c>
      <c r="AL510" s="32">
        <v>505</v>
      </c>
      <c r="AM510" s="31"/>
      <c r="AN510" s="115"/>
      <c r="AO510" s="111"/>
      <c r="AP510" s="32"/>
      <c r="AQ510" s="31"/>
      <c r="AR510" s="115"/>
      <c r="AS510" s="111">
        <v>500</v>
      </c>
      <c r="AT510" s="32">
        <v>357</v>
      </c>
      <c r="AU510" s="31"/>
      <c r="AV510" s="111"/>
      <c r="AW510" s="111"/>
      <c r="AX510" s="31"/>
      <c r="AY510" s="32"/>
      <c r="AZ510" s="31"/>
      <c r="BA510" s="115"/>
      <c r="BB510" s="31">
        <v>371</v>
      </c>
      <c r="BC510" s="32">
        <v>483</v>
      </c>
      <c r="BD510" s="31">
        <v>355</v>
      </c>
      <c r="BE510" s="115">
        <v>493</v>
      </c>
      <c r="BF510" s="111">
        <v>488</v>
      </c>
      <c r="BG510" s="32">
        <v>358</v>
      </c>
      <c r="BH510" s="31">
        <v>383</v>
      </c>
      <c r="BI510" s="32">
        <v>464</v>
      </c>
      <c r="BJ510" s="111">
        <v>40</v>
      </c>
      <c r="BK510" s="33">
        <v>315</v>
      </c>
      <c r="BL510" s="115">
        <v>513</v>
      </c>
      <c r="BM510" s="111">
        <v>509</v>
      </c>
      <c r="BN510" s="35">
        <v>319</v>
      </c>
      <c r="BO510" s="32">
        <v>28</v>
      </c>
      <c r="BP510" s="31">
        <v>356</v>
      </c>
      <c r="BQ510" s="32">
        <v>497</v>
      </c>
      <c r="BR510" s="31">
        <v>469</v>
      </c>
      <c r="BS510" s="32">
        <v>397</v>
      </c>
      <c r="BT510" s="31">
        <v>322</v>
      </c>
      <c r="BU510" s="33">
        <v>37</v>
      </c>
      <c r="BV510" s="115">
        <v>496</v>
      </c>
      <c r="BW510" s="111">
        <v>511</v>
      </c>
      <c r="BX510" s="32">
        <v>354</v>
      </c>
      <c r="BY510" s="31">
        <v>500</v>
      </c>
      <c r="BZ510" s="32">
        <v>340</v>
      </c>
      <c r="CA510" s="111">
        <v>339</v>
      </c>
      <c r="CB510" s="32">
        <v>509</v>
      </c>
      <c r="CC510" s="33">
        <v>513</v>
      </c>
      <c r="CD510" s="34">
        <v>672</v>
      </c>
      <c r="CE510" s="111">
        <v>331</v>
      </c>
      <c r="CF510" s="42">
        <v>394</v>
      </c>
      <c r="CG510" s="31">
        <v>175</v>
      </c>
      <c r="CH510" s="35">
        <v>158</v>
      </c>
      <c r="CI510" s="35">
        <v>318</v>
      </c>
      <c r="CJ510" s="35">
        <v>345</v>
      </c>
      <c r="CK510" s="32">
        <v>340</v>
      </c>
    </row>
    <row r="511" spans="1:89" ht="13" x14ac:dyDescent="0.25">
      <c r="A511" s="27">
        <v>8708</v>
      </c>
      <c r="B511" s="28" t="s">
        <v>534</v>
      </c>
      <c r="C511" s="29">
        <v>1103</v>
      </c>
      <c r="D511" s="30">
        <v>888</v>
      </c>
      <c r="E511" s="20">
        <f t="shared" si="7"/>
        <v>0.80507706255666367</v>
      </c>
      <c r="F511" s="31">
        <v>0</v>
      </c>
      <c r="G511" s="111">
        <v>0</v>
      </c>
      <c r="H511" s="111">
        <v>0</v>
      </c>
      <c r="I511" s="111">
        <v>0</v>
      </c>
      <c r="J511" s="111">
        <v>0</v>
      </c>
      <c r="K511" s="111">
        <v>0</v>
      </c>
      <c r="L511" s="111">
        <v>0</v>
      </c>
      <c r="M511" s="111">
        <v>476</v>
      </c>
      <c r="N511" s="111">
        <v>0</v>
      </c>
      <c r="O511" s="111">
        <v>0</v>
      </c>
      <c r="P511" s="35">
        <v>5</v>
      </c>
      <c r="Q511" s="35">
        <v>2</v>
      </c>
      <c r="R511" s="35">
        <v>394</v>
      </c>
      <c r="S511" s="32">
        <v>1</v>
      </c>
      <c r="T511" s="37">
        <v>454</v>
      </c>
      <c r="U511" s="38">
        <v>406</v>
      </c>
      <c r="V511" s="37">
        <v>453</v>
      </c>
      <c r="W511" s="32">
        <v>413</v>
      </c>
      <c r="X511" s="31">
        <v>448</v>
      </c>
      <c r="Y511" s="32">
        <v>400</v>
      </c>
      <c r="Z511" s="111">
        <v>481</v>
      </c>
      <c r="AA511" s="35">
        <v>0</v>
      </c>
      <c r="AB511" s="35">
        <v>29</v>
      </c>
      <c r="AC511" s="35">
        <v>359</v>
      </c>
      <c r="AD511" s="35">
        <v>0</v>
      </c>
      <c r="AE511" s="33">
        <v>0</v>
      </c>
      <c r="AF511" s="116">
        <v>0</v>
      </c>
      <c r="AG511" s="120"/>
      <c r="AH511" s="38"/>
      <c r="AI511" s="37">
        <v>400</v>
      </c>
      <c r="AJ511" s="36">
        <v>442</v>
      </c>
      <c r="AK511" s="37">
        <v>426</v>
      </c>
      <c r="AL511" s="38">
        <v>425</v>
      </c>
      <c r="AM511" s="37"/>
      <c r="AN511" s="116"/>
      <c r="AO511" s="120"/>
      <c r="AP511" s="38"/>
      <c r="AQ511" s="37"/>
      <c r="AR511" s="116"/>
      <c r="AS511" s="120"/>
      <c r="AT511" s="38"/>
      <c r="AU511" s="37"/>
      <c r="AV511" s="120"/>
      <c r="AW511" s="120"/>
      <c r="AX511" s="37">
        <v>418</v>
      </c>
      <c r="AY511" s="38">
        <v>426</v>
      </c>
      <c r="AZ511" s="37"/>
      <c r="BA511" s="116"/>
      <c r="BB511" s="31">
        <v>406</v>
      </c>
      <c r="BC511" s="32">
        <v>428</v>
      </c>
      <c r="BD511" s="31">
        <v>390</v>
      </c>
      <c r="BE511" s="116">
        <v>436</v>
      </c>
      <c r="BF511" s="120">
        <v>435</v>
      </c>
      <c r="BG511" s="38">
        <v>392</v>
      </c>
      <c r="BH511" s="37">
        <v>435</v>
      </c>
      <c r="BI511" s="38">
        <v>406</v>
      </c>
      <c r="BJ511" s="111">
        <v>33</v>
      </c>
      <c r="BK511" s="33">
        <v>360</v>
      </c>
      <c r="BL511" s="115">
        <v>450</v>
      </c>
      <c r="BM511" s="111">
        <v>460</v>
      </c>
      <c r="BN511" s="35">
        <v>352</v>
      </c>
      <c r="BO511" s="32">
        <v>29</v>
      </c>
      <c r="BP511" s="31">
        <v>403</v>
      </c>
      <c r="BQ511" s="32">
        <v>435</v>
      </c>
      <c r="BR511" s="31">
        <v>405</v>
      </c>
      <c r="BS511" s="32">
        <v>446</v>
      </c>
      <c r="BT511" s="31">
        <v>385</v>
      </c>
      <c r="BU511" s="33">
        <v>29</v>
      </c>
      <c r="BV511" s="115">
        <v>419</v>
      </c>
      <c r="BW511" s="111">
        <v>458</v>
      </c>
      <c r="BX511" s="32">
        <v>400</v>
      </c>
      <c r="BY511" s="31">
        <v>436</v>
      </c>
      <c r="BZ511" s="32">
        <v>386</v>
      </c>
      <c r="CA511" s="111">
        <v>379</v>
      </c>
      <c r="CB511" s="32">
        <v>456</v>
      </c>
      <c r="CC511" s="33">
        <v>538</v>
      </c>
      <c r="CD511" s="34">
        <v>648</v>
      </c>
      <c r="CE511" s="120">
        <v>371</v>
      </c>
      <c r="CF511" s="42">
        <v>348</v>
      </c>
      <c r="CG511" s="31">
        <v>180</v>
      </c>
      <c r="CH511" s="35">
        <v>192</v>
      </c>
      <c r="CI511" s="35">
        <v>274</v>
      </c>
      <c r="CJ511" s="35">
        <v>292</v>
      </c>
      <c r="CK511" s="32">
        <v>412</v>
      </c>
    </row>
    <row r="512" spans="1:89" ht="13" x14ac:dyDescent="0.25">
      <c r="A512" s="27">
        <v>8709</v>
      </c>
      <c r="B512" s="28" t="s">
        <v>535</v>
      </c>
      <c r="C512" s="29">
        <v>516</v>
      </c>
      <c r="D512" s="30">
        <v>324</v>
      </c>
      <c r="E512" s="20">
        <f t="shared" si="7"/>
        <v>0.62790697674418605</v>
      </c>
      <c r="F512" s="31">
        <v>0</v>
      </c>
      <c r="G512" s="111">
        <v>0</v>
      </c>
      <c r="H512" s="111">
        <v>0</v>
      </c>
      <c r="I512" s="111">
        <v>0</v>
      </c>
      <c r="J512" s="111">
        <v>1</v>
      </c>
      <c r="K512" s="111">
        <v>0</v>
      </c>
      <c r="L512" s="111">
        <v>0</v>
      </c>
      <c r="M512" s="111">
        <v>171</v>
      </c>
      <c r="N512" s="111">
        <v>0</v>
      </c>
      <c r="O512" s="111">
        <v>0</v>
      </c>
      <c r="P512" s="35">
        <v>2</v>
      </c>
      <c r="Q512" s="35">
        <v>0</v>
      </c>
      <c r="R512" s="35">
        <v>146</v>
      </c>
      <c r="S512" s="32">
        <v>0</v>
      </c>
      <c r="T512" s="31">
        <v>159</v>
      </c>
      <c r="U512" s="32">
        <v>150</v>
      </c>
      <c r="V512" s="31">
        <v>157</v>
      </c>
      <c r="W512" s="32">
        <v>153</v>
      </c>
      <c r="X512" s="31">
        <v>162</v>
      </c>
      <c r="Y512" s="32">
        <v>139</v>
      </c>
      <c r="Z512" s="111">
        <v>178</v>
      </c>
      <c r="AA512" s="35">
        <v>0</v>
      </c>
      <c r="AB512" s="35">
        <v>5</v>
      </c>
      <c r="AC512" s="35">
        <v>135</v>
      </c>
      <c r="AD512" s="35">
        <v>0</v>
      </c>
      <c r="AE512" s="33">
        <v>0</v>
      </c>
      <c r="AF512" s="115">
        <v>0</v>
      </c>
      <c r="AG512" s="111">
        <v>178</v>
      </c>
      <c r="AH512" s="32">
        <v>131</v>
      </c>
      <c r="AI512" s="31"/>
      <c r="AJ512" s="33"/>
      <c r="AK512" s="31"/>
      <c r="AL512" s="32"/>
      <c r="AM512" s="31"/>
      <c r="AN512" s="115"/>
      <c r="AO512" s="111">
        <v>136</v>
      </c>
      <c r="AP512" s="32">
        <v>173</v>
      </c>
      <c r="AQ512" s="31"/>
      <c r="AR512" s="115"/>
      <c r="AS512" s="111"/>
      <c r="AT512" s="32"/>
      <c r="AU512" s="31"/>
      <c r="AV512" s="111"/>
      <c r="AW512" s="111"/>
      <c r="AX512" s="31"/>
      <c r="AY512" s="32"/>
      <c r="AZ512" s="31"/>
      <c r="BA512" s="115"/>
      <c r="BB512" s="31">
        <v>141</v>
      </c>
      <c r="BC512" s="32">
        <v>157</v>
      </c>
      <c r="BD512" s="31">
        <v>134</v>
      </c>
      <c r="BE512" s="115">
        <v>160</v>
      </c>
      <c r="BF512" s="111">
        <v>163</v>
      </c>
      <c r="BG512" s="32">
        <v>132</v>
      </c>
      <c r="BH512" s="31">
        <v>141</v>
      </c>
      <c r="BI512" s="32">
        <v>152</v>
      </c>
      <c r="BJ512" s="111">
        <v>4</v>
      </c>
      <c r="BK512" s="33">
        <v>127</v>
      </c>
      <c r="BL512" s="115">
        <v>174</v>
      </c>
      <c r="BM512" s="111">
        <v>166</v>
      </c>
      <c r="BN512" s="35">
        <v>131</v>
      </c>
      <c r="BO512" s="32">
        <v>4</v>
      </c>
      <c r="BP512" s="31">
        <v>142</v>
      </c>
      <c r="BQ512" s="32">
        <v>156</v>
      </c>
      <c r="BR512" s="31">
        <v>145</v>
      </c>
      <c r="BS512" s="32">
        <v>161</v>
      </c>
      <c r="BT512" s="31">
        <v>132</v>
      </c>
      <c r="BU512" s="33">
        <v>7</v>
      </c>
      <c r="BV512" s="115">
        <v>162</v>
      </c>
      <c r="BW512" s="111">
        <v>167</v>
      </c>
      <c r="BX512" s="32">
        <v>139</v>
      </c>
      <c r="BY512" s="31">
        <v>162</v>
      </c>
      <c r="BZ512" s="32">
        <v>129</v>
      </c>
      <c r="CA512" s="111">
        <v>136</v>
      </c>
      <c r="CB512" s="32">
        <v>168</v>
      </c>
      <c r="CC512" s="33">
        <v>213</v>
      </c>
      <c r="CD512" s="34">
        <v>235</v>
      </c>
      <c r="CE512" s="111">
        <v>138</v>
      </c>
      <c r="CF512" s="42">
        <v>130</v>
      </c>
      <c r="CG512" s="31">
        <v>71</v>
      </c>
      <c r="CH512" s="35">
        <v>61</v>
      </c>
      <c r="CI512" s="35">
        <v>80</v>
      </c>
      <c r="CJ512" s="35">
        <v>97</v>
      </c>
      <c r="CK512" s="32">
        <v>158</v>
      </c>
    </row>
    <row r="513" spans="1:89" ht="13" x14ac:dyDescent="0.25">
      <c r="A513" s="27">
        <v>8710</v>
      </c>
      <c r="B513" s="28" t="s">
        <v>536</v>
      </c>
      <c r="C513" s="29">
        <v>936</v>
      </c>
      <c r="D513" s="30">
        <v>644</v>
      </c>
      <c r="E513" s="20">
        <f t="shared" si="7"/>
        <v>0.68803418803418803</v>
      </c>
      <c r="F513" s="31">
        <v>0</v>
      </c>
      <c r="G513" s="111">
        <v>0</v>
      </c>
      <c r="H513" s="111">
        <v>0</v>
      </c>
      <c r="I513" s="111">
        <v>0</v>
      </c>
      <c r="J513" s="111">
        <v>5</v>
      </c>
      <c r="K513" s="111">
        <v>0</v>
      </c>
      <c r="L513" s="111">
        <v>0</v>
      </c>
      <c r="M513" s="111">
        <v>428</v>
      </c>
      <c r="N513" s="111">
        <v>0</v>
      </c>
      <c r="O513" s="111">
        <v>0</v>
      </c>
      <c r="P513" s="35">
        <v>2</v>
      </c>
      <c r="Q513" s="35">
        <v>1</v>
      </c>
      <c r="R513" s="35">
        <v>192</v>
      </c>
      <c r="S513" s="32">
        <v>1</v>
      </c>
      <c r="T513" s="31">
        <v>422</v>
      </c>
      <c r="U513" s="32">
        <v>210</v>
      </c>
      <c r="V513" s="31">
        <v>219</v>
      </c>
      <c r="W513" s="32">
        <v>412</v>
      </c>
      <c r="X513" s="31">
        <v>426</v>
      </c>
      <c r="Y513" s="32">
        <v>198</v>
      </c>
      <c r="Z513" s="111">
        <v>436</v>
      </c>
      <c r="AA513" s="35">
        <v>0</v>
      </c>
      <c r="AB513" s="35">
        <v>16</v>
      </c>
      <c r="AC513" s="35">
        <v>180</v>
      </c>
      <c r="AD513" s="35">
        <v>0</v>
      </c>
      <c r="AE513" s="33">
        <v>0</v>
      </c>
      <c r="AF513" s="115">
        <v>0</v>
      </c>
      <c r="AG513" s="111"/>
      <c r="AH513" s="32"/>
      <c r="AI513" s="31">
        <v>202</v>
      </c>
      <c r="AJ513" s="33">
        <v>422</v>
      </c>
      <c r="AK513" s="31">
        <v>208</v>
      </c>
      <c r="AL513" s="32">
        <v>420</v>
      </c>
      <c r="AM513" s="31"/>
      <c r="AN513" s="115"/>
      <c r="AO513" s="111"/>
      <c r="AP513" s="32"/>
      <c r="AQ513" s="31"/>
      <c r="AR513" s="115"/>
      <c r="AS513" s="111">
        <v>426</v>
      </c>
      <c r="AT513" s="32">
        <v>198</v>
      </c>
      <c r="AU513" s="31"/>
      <c r="AV513" s="111"/>
      <c r="AW513" s="111"/>
      <c r="AX513" s="31"/>
      <c r="AY513" s="32"/>
      <c r="AZ513" s="31"/>
      <c r="BA513" s="115"/>
      <c r="BB513" s="31">
        <v>214</v>
      </c>
      <c r="BC513" s="32">
        <v>408</v>
      </c>
      <c r="BD513" s="31">
        <v>201</v>
      </c>
      <c r="BE513" s="115">
        <v>421</v>
      </c>
      <c r="BF513" s="111">
        <v>422</v>
      </c>
      <c r="BG513" s="32">
        <v>198</v>
      </c>
      <c r="BH513" s="31">
        <v>213</v>
      </c>
      <c r="BI513" s="32">
        <v>411</v>
      </c>
      <c r="BJ513" s="111">
        <v>18</v>
      </c>
      <c r="BK513" s="33">
        <v>177</v>
      </c>
      <c r="BL513" s="115">
        <v>434</v>
      </c>
      <c r="BM513" s="111">
        <v>427</v>
      </c>
      <c r="BN513" s="35">
        <v>184</v>
      </c>
      <c r="BO513" s="32">
        <v>14</v>
      </c>
      <c r="BP513" s="31">
        <v>197</v>
      </c>
      <c r="BQ513" s="32">
        <v>427</v>
      </c>
      <c r="BR513" s="31">
        <v>401</v>
      </c>
      <c r="BS513" s="32">
        <v>223</v>
      </c>
      <c r="BT513" s="31">
        <v>187</v>
      </c>
      <c r="BU513" s="33">
        <v>23</v>
      </c>
      <c r="BV513" s="115">
        <v>417</v>
      </c>
      <c r="BW513" s="111">
        <v>430</v>
      </c>
      <c r="BX513" s="32">
        <v>195</v>
      </c>
      <c r="BY513" s="31">
        <v>423</v>
      </c>
      <c r="BZ513" s="32">
        <v>193</v>
      </c>
      <c r="CA513" s="111">
        <v>192</v>
      </c>
      <c r="CB513" s="32">
        <v>433</v>
      </c>
      <c r="CC513" s="33">
        <v>313</v>
      </c>
      <c r="CD513" s="34">
        <v>523</v>
      </c>
      <c r="CE513" s="111">
        <v>259</v>
      </c>
      <c r="CF513" s="42">
        <v>302</v>
      </c>
      <c r="CG513" s="31">
        <v>141</v>
      </c>
      <c r="CH513" s="35">
        <v>114</v>
      </c>
      <c r="CI513" s="35">
        <v>242</v>
      </c>
      <c r="CJ513" s="35">
        <v>254</v>
      </c>
      <c r="CK513" s="32">
        <v>245</v>
      </c>
    </row>
    <row r="514" spans="1:89" ht="13" x14ac:dyDescent="0.25">
      <c r="A514" s="27">
        <v>8711</v>
      </c>
      <c r="B514" s="28" t="s">
        <v>537</v>
      </c>
      <c r="C514" s="29">
        <v>880</v>
      </c>
      <c r="D514" s="30">
        <v>524</v>
      </c>
      <c r="E514" s="20">
        <f t="shared" si="7"/>
        <v>0.59545454545454546</v>
      </c>
      <c r="F514" s="31">
        <v>0</v>
      </c>
      <c r="G514" s="111">
        <v>0</v>
      </c>
      <c r="H514" s="111">
        <v>0</v>
      </c>
      <c r="I514" s="111">
        <v>0</v>
      </c>
      <c r="J514" s="111">
        <v>2</v>
      </c>
      <c r="K514" s="111">
        <v>0</v>
      </c>
      <c r="L514" s="111">
        <v>0</v>
      </c>
      <c r="M514" s="111">
        <v>410</v>
      </c>
      <c r="N514" s="111">
        <v>0</v>
      </c>
      <c r="O514" s="111">
        <v>0</v>
      </c>
      <c r="P514" s="35">
        <v>5</v>
      </c>
      <c r="Q514" s="35">
        <v>2</v>
      </c>
      <c r="R514" s="35">
        <v>97</v>
      </c>
      <c r="S514" s="32">
        <v>0</v>
      </c>
      <c r="T514" s="37">
        <v>398</v>
      </c>
      <c r="U514" s="38">
        <v>104</v>
      </c>
      <c r="V514" s="37">
        <v>110</v>
      </c>
      <c r="W514" s="32">
        <v>393</v>
      </c>
      <c r="X514" s="31">
        <v>407</v>
      </c>
      <c r="Y514" s="32">
        <v>94</v>
      </c>
      <c r="Z514" s="111">
        <v>403</v>
      </c>
      <c r="AA514" s="35">
        <v>0</v>
      </c>
      <c r="AB514" s="35">
        <v>22</v>
      </c>
      <c r="AC514" s="35">
        <v>87</v>
      </c>
      <c r="AD514" s="35">
        <v>0</v>
      </c>
      <c r="AE514" s="33">
        <v>0</v>
      </c>
      <c r="AF514" s="116">
        <v>0</v>
      </c>
      <c r="AG514" s="120">
        <v>409</v>
      </c>
      <c r="AH514" s="38">
        <v>94</v>
      </c>
      <c r="AI514" s="37"/>
      <c r="AJ514" s="36"/>
      <c r="AK514" s="37">
        <v>100</v>
      </c>
      <c r="AL514" s="38">
        <v>403</v>
      </c>
      <c r="AM514" s="37"/>
      <c r="AN514" s="116"/>
      <c r="AO514" s="120"/>
      <c r="AP514" s="38"/>
      <c r="AQ514" s="37"/>
      <c r="AR514" s="116"/>
      <c r="AS514" s="120"/>
      <c r="AT514" s="38"/>
      <c r="AU514" s="37"/>
      <c r="AV514" s="120"/>
      <c r="AW514" s="120"/>
      <c r="AX514" s="37">
        <v>98</v>
      </c>
      <c r="AY514" s="38">
        <v>398</v>
      </c>
      <c r="AZ514" s="37"/>
      <c r="BA514" s="116"/>
      <c r="BB514" s="31">
        <v>107</v>
      </c>
      <c r="BC514" s="32">
        <v>386</v>
      </c>
      <c r="BD514" s="31">
        <v>91</v>
      </c>
      <c r="BE514" s="116">
        <v>400</v>
      </c>
      <c r="BF514" s="120">
        <v>397</v>
      </c>
      <c r="BG514" s="38">
        <v>89</v>
      </c>
      <c r="BH514" s="37">
        <v>104</v>
      </c>
      <c r="BI514" s="38">
        <v>390</v>
      </c>
      <c r="BJ514" s="111">
        <v>9</v>
      </c>
      <c r="BK514" s="33">
        <v>79</v>
      </c>
      <c r="BL514" s="115">
        <v>416</v>
      </c>
      <c r="BM514" s="111">
        <v>398</v>
      </c>
      <c r="BN514" s="35">
        <v>82</v>
      </c>
      <c r="BO514" s="32">
        <v>16</v>
      </c>
      <c r="BP514" s="31">
        <v>99</v>
      </c>
      <c r="BQ514" s="32">
        <v>392</v>
      </c>
      <c r="BR514" s="31">
        <v>382</v>
      </c>
      <c r="BS514" s="32">
        <v>118</v>
      </c>
      <c r="BT514" s="31">
        <v>88</v>
      </c>
      <c r="BU514" s="33">
        <v>20</v>
      </c>
      <c r="BV514" s="115">
        <v>389</v>
      </c>
      <c r="BW514" s="111">
        <v>394</v>
      </c>
      <c r="BX514" s="32">
        <v>106</v>
      </c>
      <c r="BY514" s="31">
        <v>395</v>
      </c>
      <c r="BZ514" s="32">
        <v>90</v>
      </c>
      <c r="CA514" s="111">
        <v>94</v>
      </c>
      <c r="CB514" s="32">
        <v>402</v>
      </c>
      <c r="CC514" s="33">
        <v>224</v>
      </c>
      <c r="CD514" s="34">
        <v>443</v>
      </c>
      <c r="CE514" s="120">
        <v>205</v>
      </c>
      <c r="CF514" s="42">
        <v>208</v>
      </c>
      <c r="CG514" s="31">
        <v>110</v>
      </c>
      <c r="CH514" s="35">
        <v>65</v>
      </c>
      <c r="CI514" s="35">
        <v>198</v>
      </c>
      <c r="CJ514" s="35">
        <v>179</v>
      </c>
      <c r="CK514" s="32">
        <v>162</v>
      </c>
    </row>
    <row r="515" spans="1:89" ht="13" x14ac:dyDescent="0.25">
      <c r="A515" s="27">
        <v>8712</v>
      </c>
      <c r="B515" s="28" t="s">
        <v>538</v>
      </c>
      <c r="C515" s="29">
        <v>301</v>
      </c>
      <c r="D515" s="30">
        <v>190</v>
      </c>
      <c r="E515" s="20">
        <f t="shared" si="7"/>
        <v>0.6312292358803987</v>
      </c>
      <c r="F515" s="31">
        <v>0</v>
      </c>
      <c r="G515" s="111">
        <v>0</v>
      </c>
      <c r="H515" s="111">
        <v>0</v>
      </c>
      <c r="I515" s="111">
        <v>0</v>
      </c>
      <c r="J515" s="111">
        <v>1</v>
      </c>
      <c r="K515" s="111">
        <v>0</v>
      </c>
      <c r="L515" s="111">
        <v>0</v>
      </c>
      <c r="M515" s="111">
        <v>151</v>
      </c>
      <c r="N515" s="111">
        <v>0</v>
      </c>
      <c r="O515" s="111">
        <v>0</v>
      </c>
      <c r="P515" s="35">
        <v>0</v>
      </c>
      <c r="Q515" s="35">
        <v>0</v>
      </c>
      <c r="R515" s="35">
        <v>31</v>
      </c>
      <c r="S515" s="32">
        <v>1</v>
      </c>
      <c r="T515" s="31">
        <v>156</v>
      </c>
      <c r="U515" s="32">
        <v>30</v>
      </c>
      <c r="V515" s="31">
        <v>39</v>
      </c>
      <c r="W515" s="32">
        <v>145</v>
      </c>
      <c r="X515" s="31">
        <v>151</v>
      </c>
      <c r="Y515" s="32">
        <v>28</v>
      </c>
      <c r="Z515" s="111">
        <v>150</v>
      </c>
      <c r="AA515" s="35">
        <v>0</v>
      </c>
      <c r="AB515" s="35">
        <v>6</v>
      </c>
      <c r="AC515" s="35">
        <v>30</v>
      </c>
      <c r="AD515" s="35">
        <v>0</v>
      </c>
      <c r="AE515" s="33">
        <v>0</v>
      </c>
      <c r="AF515" s="115">
        <v>0</v>
      </c>
      <c r="AG515" s="111">
        <v>160</v>
      </c>
      <c r="AH515" s="32">
        <v>24</v>
      </c>
      <c r="AI515" s="31"/>
      <c r="AJ515" s="33"/>
      <c r="AK515" s="31"/>
      <c r="AL515" s="32"/>
      <c r="AM515" s="31"/>
      <c r="AN515" s="115"/>
      <c r="AO515" s="111">
        <v>29</v>
      </c>
      <c r="AP515" s="32">
        <v>154</v>
      </c>
      <c r="AQ515" s="31"/>
      <c r="AR515" s="115"/>
      <c r="AS515" s="111"/>
      <c r="AT515" s="32"/>
      <c r="AU515" s="31"/>
      <c r="AV515" s="111"/>
      <c r="AW515" s="111"/>
      <c r="AX515" s="31"/>
      <c r="AY515" s="32"/>
      <c r="AZ515" s="31"/>
      <c r="BA515" s="115"/>
      <c r="BB515" s="31">
        <v>30</v>
      </c>
      <c r="BC515" s="32">
        <v>151</v>
      </c>
      <c r="BD515" s="31">
        <v>34</v>
      </c>
      <c r="BE515" s="115">
        <v>148</v>
      </c>
      <c r="BF515" s="111">
        <v>149</v>
      </c>
      <c r="BG515" s="32">
        <v>32</v>
      </c>
      <c r="BH515" s="31">
        <v>36</v>
      </c>
      <c r="BI515" s="32">
        <v>144</v>
      </c>
      <c r="BJ515" s="111">
        <v>3</v>
      </c>
      <c r="BK515" s="33">
        <v>24</v>
      </c>
      <c r="BL515" s="115">
        <v>158</v>
      </c>
      <c r="BM515" s="111">
        <v>154</v>
      </c>
      <c r="BN515" s="35">
        <v>26</v>
      </c>
      <c r="BO515" s="32">
        <v>3</v>
      </c>
      <c r="BP515" s="31">
        <v>35</v>
      </c>
      <c r="BQ515" s="32">
        <v>147</v>
      </c>
      <c r="BR515" s="31">
        <v>141</v>
      </c>
      <c r="BS515" s="32">
        <v>41</v>
      </c>
      <c r="BT515" s="31">
        <v>33</v>
      </c>
      <c r="BU515" s="33">
        <v>4</v>
      </c>
      <c r="BV515" s="115">
        <v>147</v>
      </c>
      <c r="BW515" s="111">
        <v>153</v>
      </c>
      <c r="BX515" s="32">
        <v>31</v>
      </c>
      <c r="BY515" s="31">
        <v>151</v>
      </c>
      <c r="BZ515" s="32">
        <v>28</v>
      </c>
      <c r="CA515" s="111">
        <v>27</v>
      </c>
      <c r="CB515" s="32">
        <v>156</v>
      </c>
      <c r="CC515" s="33">
        <v>81</v>
      </c>
      <c r="CD515" s="34">
        <v>168</v>
      </c>
      <c r="CE515" s="111">
        <v>64</v>
      </c>
      <c r="CF515" s="38">
        <v>94</v>
      </c>
      <c r="CG515" s="31">
        <v>35</v>
      </c>
      <c r="CH515" s="35">
        <v>10</v>
      </c>
      <c r="CI515" s="35">
        <v>95</v>
      </c>
      <c r="CJ515" s="35">
        <v>97</v>
      </c>
      <c r="CK515" s="32">
        <v>37</v>
      </c>
    </row>
    <row r="516" spans="1:89" ht="13" x14ac:dyDescent="0.25">
      <c r="A516" s="27">
        <v>8713</v>
      </c>
      <c r="B516" s="28" t="s">
        <v>539</v>
      </c>
      <c r="C516" s="29">
        <v>1218</v>
      </c>
      <c r="D516" s="30">
        <v>842</v>
      </c>
      <c r="E516" s="20">
        <f t="shared" ref="E516:E564" si="8">SUM(D516/C516)</f>
        <v>0.69129720853858789</v>
      </c>
      <c r="F516" s="31">
        <v>0</v>
      </c>
      <c r="G516" s="111">
        <v>0</v>
      </c>
      <c r="H516" s="111">
        <v>0</v>
      </c>
      <c r="I516" s="111">
        <v>0</v>
      </c>
      <c r="J516" s="111">
        <v>0</v>
      </c>
      <c r="K516" s="111">
        <v>0</v>
      </c>
      <c r="L516" s="111">
        <v>0</v>
      </c>
      <c r="M516" s="111">
        <v>509</v>
      </c>
      <c r="N516" s="111">
        <v>0</v>
      </c>
      <c r="O516" s="111">
        <v>0</v>
      </c>
      <c r="P516" s="35">
        <v>2</v>
      </c>
      <c r="Q516" s="35">
        <v>3</v>
      </c>
      <c r="R516" s="35">
        <v>314</v>
      </c>
      <c r="S516" s="32">
        <v>0</v>
      </c>
      <c r="T516" s="37">
        <v>492</v>
      </c>
      <c r="U516" s="38">
        <v>319</v>
      </c>
      <c r="V516" s="37">
        <v>329</v>
      </c>
      <c r="W516" s="32">
        <v>485</v>
      </c>
      <c r="X516" s="31">
        <v>504</v>
      </c>
      <c r="Y516" s="32">
        <v>303</v>
      </c>
      <c r="Z516" s="111">
        <v>501</v>
      </c>
      <c r="AA516" s="35">
        <v>0</v>
      </c>
      <c r="AB516" s="35">
        <v>31</v>
      </c>
      <c r="AC516" s="35">
        <v>293</v>
      </c>
      <c r="AD516" s="35">
        <v>0</v>
      </c>
      <c r="AE516" s="33">
        <v>0</v>
      </c>
      <c r="AF516" s="116">
        <v>0</v>
      </c>
      <c r="AG516" s="120"/>
      <c r="AH516" s="38"/>
      <c r="AI516" s="37">
        <v>302</v>
      </c>
      <c r="AJ516" s="36">
        <v>505</v>
      </c>
      <c r="AK516" s="37">
        <v>314</v>
      </c>
      <c r="AL516" s="38">
        <v>485</v>
      </c>
      <c r="AM516" s="37"/>
      <c r="AN516" s="116"/>
      <c r="AO516" s="120"/>
      <c r="AP516" s="38"/>
      <c r="AQ516" s="37"/>
      <c r="AR516" s="116"/>
      <c r="AS516" s="120"/>
      <c r="AT516" s="38"/>
      <c r="AU516" s="37"/>
      <c r="AV516" s="120"/>
      <c r="AW516" s="120"/>
      <c r="AX516" s="37">
        <v>321</v>
      </c>
      <c r="AY516" s="38">
        <v>482</v>
      </c>
      <c r="AZ516" s="37"/>
      <c r="BA516" s="116"/>
      <c r="BB516" s="31">
        <v>313</v>
      </c>
      <c r="BC516" s="32">
        <v>489</v>
      </c>
      <c r="BD516" s="31">
        <v>310</v>
      </c>
      <c r="BE516" s="116">
        <v>491</v>
      </c>
      <c r="BF516" s="120">
        <v>481</v>
      </c>
      <c r="BG516" s="38">
        <v>310</v>
      </c>
      <c r="BH516" s="37">
        <v>323</v>
      </c>
      <c r="BI516" s="38">
        <v>477</v>
      </c>
      <c r="BJ516" s="111">
        <v>25</v>
      </c>
      <c r="BK516" s="33">
        <v>281</v>
      </c>
      <c r="BL516" s="115">
        <v>502</v>
      </c>
      <c r="BM516" s="111">
        <v>493</v>
      </c>
      <c r="BN516" s="35">
        <v>287</v>
      </c>
      <c r="BO516" s="32">
        <v>23</v>
      </c>
      <c r="BP516" s="31">
        <v>312</v>
      </c>
      <c r="BQ516" s="32">
        <v>487</v>
      </c>
      <c r="BR516" s="31">
        <v>461</v>
      </c>
      <c r="BS516" s="32">
        <v>347</v>
      </c>
      <c r="BT516" s="31">
        <v>303</v>
      </c>
      <c r="BU516" s="33">
        <v>27</v>
      </c>
      <c r="BV516" s="115">
        <v>465</v>
      </c>
      <c r="BW516" s="111">
        <v>497</v>
      </c>
      <c r="BX516" s="32">
        <v>314</v>
      </c>
      <c r="BY516" s="31">
        <v>481</v>
      </c>
      <c r="BZ516" s="32">
        <v>303</v>
      </c>
      <c r="CA516" s="111">
        <v>306</v>
      </c>
      <c r="CB516" s="32">
        <v>496</v>
      </c>
      <c r="CC516" s="33">
        <v>477</v>
      </c>
      <c r="CD516" s="34">
        <v>649</v>
      </c>
      <c r="CE516" s="120">
        <v>329</v>
      </c>
      <c r="CF516" s="42">
        <v>379</v>
      </c>
      <c r="CG516" s="31">
        <v>137</v>
      </c>
      <c r="CH516" s="35">
        <v>189</v>
      </c>
      <c r="CI516" s="35">
        <v>303</v>
      </c>
      <c r="CJ516" s="35">
        <v>337</v>
      </c>
      <c r="CK516" s="32">
        <v>331</v>
      </c>
    </row>
    <row r="517" spans="1:89" ht="13" x14ac:dyDescent="0.25">
      <c r="A517" s="27">
        <v>8714</v>
      </c>
      <c r="B517" s="28" t="s">
        <v>540</v>
      </c>
      <c r="C517" s="29">
        <v>1128</v>
      </c>
      <c r="D517" s="30">
        <v>849</v>
      </c>
      <c r="E517" s="20">
        <f t="shared" si="8"/>
        <v>0.75265957446808507</v>
      </c>
      <c r="F517" s="31">
        <v>0</v>
      </c>
      <c r="G517" s="111">
        <v>0</v>
      </c>
      <c r="H517" s="111">
        <v>0</v>
      </c>
      <c r="I517" s="111">
        <v>1</v>
      </c>
      <c r="J517" s="111">
        <v>1</v>
      </c>
      <c r="K517" s="111">
        <v>0</v>
      </c>
      <c r="L517" s="111">
        <v>0</v>
      </c>
      <c r="M517" s="111">
        <v>546</v>
      </c>
      <c r="N517" s="111">
        <v>0</v>
      </c>
      <c r="O517" s="111">
        <v>0</v>
      </c>
      <c r="P517" s="35">
        <v>2</v>
      </c>
      <c r="Q517" s="35">
        <v>0</v>
      </c>
      <c r="R517" s="35">
        <v>286</v>
      </c>
      <c r="S517" s="32">
        <v>0</v>
      </c>
      <c r="T517" s="31">
        <v>528</v>
      </c>
      <c r="U517" s="32">
        <v>294</v>
      </c>
      <c r="V517" s="31">
        <v>326</v>
      </c>
      <c r="W517" s="32">
        <v>496</v>
      </c>
      <c r="X517" s="31">
        <v>523</v>
      </c>
      <c r="Y517" s="32">
        <v>283</v>
      </c>
      <c r="Z517" s="111">
        <v>545</v>
      </c>
      <c r="AA517" s="35">
        <v>0</v>
      </c>
      <c r="AB517" s="35">
        <v>18</v>
      </c>
      <c r="AC517" s="35">
        <v>273</v>
      </c>
      <c r="AD517" s="35">
        <v>0</v>
      </c>
      <c r="AE517" s="33">
        <v>0</v>
      </c>
      <c r="AF517" s="115">
        <v>1</v>
      </c>
      <c r="AG517" s="111"/>
      <c r="AH517" s="32"/>
      <c r="AI517" s="31">
        <v>294</v>
      </c>
      <c r="AJ517" s="33">
        <v>519</v>
      </c>
      <c r="AK517" s="31">
        <v>299</v>
      </c>
      <c r="AL517" s="32">
        <v>512</v>
      </c>
      <c r="AM517" s="31"/>
      <c r="AN517" s="115"/>
      <c r="AO517" s="111"/>
      <c r="AP517" s="32"/>
      <c r="AQ517" s="31"/>
      <c r="AR517" s="115"/>
      <c r="AS517" s="111">
        <v>526</v>
      </c>
      <c r="AT517" s="32">
        <v>284</v>
      </c>
      <c r="AU517" s="31"/>
      <c r="AV517" s="111"/>
      <c r="AW517" s="111"/>
      <c r="AX517" s="31"/>
      <c r="AY517" s="32"/>
      <c r="AZ517" s="31"/>
      <c r="BA517" s="115"/>
      <c r="BB517" s="31">
        <v>296</v>
      </c>
      <c r="BC517" s="32">
        <v>505</v>
      </c>
      <c r="BD517" s="31">
        <v>282</v>
      </c>
      <c r="BE517" s="115">
        <v>510</v>
      </c>
      <c r="BF517" s="111">
        <v>497</v>
      </c>
      <c r="BG517" s="32">
        <v>291</v>
      </c>
      <c r="BH517" s="31">
        <v>320</v>
      </c>
      <c r="BI517" s="32">
        <v>476</v>
      </c>
      <c r="BJ517" s="111">
        <v>36</v>
      </c>
      <c r="BK517" s="33">
        <v>255</v>
      </c>
      <c r="BL517" s="115">
        <v>513</v>
      </c>
      <c r="BM517" s="111">
        <v>521</v>
      </c>
      <c r="BN517" s="35">
        <v>264</v>
      </c>
      <c r="BO517" s="32">
        <v>22</v>
      </c>
      <c r="BP517" s="31">
        <v>295</v>
      </c>
      <c r="BQ517" s="32">
        <v>508</v>
      </c>
      <c r="BR517" s="31">
        <v>483</v>
      </c>
      <c r="BS517" s="32">
        <v>323</v>
      </c>
      <c r="BT517" s="31">
        <v>263</v>
      </c>
      <c r="BU517" s="33">
        <v>43</v>
      </c>
      <c r="BV517" s="115">
        <v>495</v>
      </c>
      <c r="BW517" s="111">
        <v>524</v>
      </c>
      <c r="BX517" s="32">
        <v>287</v>
      </c>
      <c r="BY517" s="31">
        <v>506</v>
      </c>
      <c r="BZ517" s="32">
        <v>285</v>
      </c>
      <c r="CA517" s="111">
        <v>285</v>
      </c>
      <c r="CB517" s="32">
        <v>513</v>
      </c>
      <c r="CC517" s="33">
        <v>446</v>
      </c>
      <c r="CD517" s="34">
        <v>637</v>
      </c>
      <c r="CE517" s="111">
        <v>319</v>
      </c>
      <c r="CF517" s="42">
        <v>341</v>
      </c>
      <c r="CG517" s="31">
        <v>187</v>
      </c>
      <c r="CH517" s="35">
        <v>127</v>
      </c>
      <c r="CI517" s="35">
        <v>287</v>
      </c>
      <c r="CJ517" s="35">
        <v>319</v>
      </c>
      <c r="CK517" s="32">
        <v>331</v>
      </c>
    </row>
    <row r="518" spans="1:89" ht="13" x14ac:dyDescent="0.25">
      <c r="A518" s="27">
        <v>8715</v>
      </c>
      <c r="B518" s="28" t="s">
        <v>541</v>
      </c>
      <c r="C518" s="29">
        <v>1063</v>
      </c>
      <c r="D518" s="30">
        <v>658</v>
      </c>
      <c r="E518" s="20">
        <f t="shared" si="8"/>
        <v>0.61900282220131708</v>
      </c>
      <c r="F518" s="31">
        <v>0</v>
      </c>
      <c r="G518" s="111">
        <v>0</v>
      </c>
      <c r="H518" s="111">
        <v>0</v>
      </c>
      <c r="I518" s="111">
        <v>0</v>
      </c>
      <c r="J518" s="111">
        <v>5</v>
      </c>
      <c r="K518" s="111">
        <v>0</v>
      </c>
      <c r="L518" s="111">
        <v>0</v>
      </c>
      <c r="M518" s="111">
        <v>510</v>
      </c>
      <c r="N518" s="111">
        <v>0</v>
      </c>
      <c r="O518" s="111">
        <v>0</v>
      </c>
      <c r="P518" s="35">
        <v>1</v>
      </c>
      <c r="Q518" s="35">
        <v>1</v>
      </c>
      <c r="R518" s="35">
        <v>135</v>
      </c>
      <c r="S518" s="32">
        <v>0</v>
      </c>
      <c r="T518" s="31">
        <v>497</v>
      </c>
      <c r="U518" s="32">
        <v>130</v>
      </c>
      <c r="V518" s="31">
        <v>146</v>
      </c>
      <c r="W518" s="32">
        <v>490</v>
      </c>
      <c r="X518" s="31">
        <v>501</v>
      </c>
      <c r="Y518" s="32">
        <v>123</v>
      </c>
      <c r="Z518" s="111">
        <v>500</v>
      </c>
      <c r="AA518" s="35">
        <v>0</v>
      </c>
      <c r="AB518" s="35">
        <v>23</v>
      </c>
      <c r="AC518" s="35">
        <v>117</v>
      </c>
      <c r="AD518" s="35">
        <v>0</v>
      </c>
      <c r="AE518" s="33">
        <v>0</v>
      </c>
      <c r="AF518" s="115">
        <v>0</v>
      </c>
      <c r="AG518" s="111"/>
      <c r="AH518" s="32"/>
      <c r="AI518" s="31">
        <v>125</v>
      </c>
      <c r="AJ518" s="33">
        <v>499</v>
      </c>
      <c r="AK518" s="31">
        <v>133</v>
      </c>
      <c r="AL518" s="32">
        <v>495</v>
      </c>
      <c r="AM518" s="31"/>
      <c r="AN518" s="115"/>
      <c r="AO518" s="111"/>
      <c r="AP518" s="32"/>
      <c r="AQ518" s="31"/>
      <c r="AR518" s="115"/>
      <c r="AS518" s="111">
        <v>500</v>
      </c>
      <c r="AT518" s="32">
        <v>123</v>
      </c>
      <c r="AU518" s="31"/>
      <c r="AV518" s="111"/>
      <c r="AW518" s="111"/>
      <c r="AX518" s="31"/>
      <c r="AY518" s="32"/>
      <c r="AZ518" s="31"/>
      <c r="BA518" s="115"/>
      <c r="BB518" s="31">
        <v>127</v>
      </c>
      <c r="BC518" s="32">
        <v>491</v>
      </c>
      <c r="BD518" s="31">
        <v>117</v>
      </c>
      <c r="BE518" s="115">
        <v>500</v>
      </c>
      <c r="BF518" s="111">
        <v>488</v>
      </c>
      <c r="BG518" s="32">
        <v>126</v>
      </c>
      <c r="BH518" s="31">
        <v>140</v>
      </c>
      <c r="BI518" s="32">
        <v>481</v>
      </c>
      <c r="BJ518" s="111">
        <v>16</v>
      </c>
      <c r="BK518" s="33">
        <v>105</v>
      </c>
      <c r="BL518" s="115">
        <v>506</v>
      </c>
      <c r="BM518" s="111">
        <v>501</v>
      </c>
      <c r="BN518" s="35">
        <v>110</v>
      </c>
      <c r="BO518" s="32">
        <v>9</v>
      </c>
      <c r="BP518" s="31">
        <v>127</v>
      </c>
      <c r="BQ518" s="32">
        <v>492</v>
      </c>
      <c r="BR518" s="31">
        <v>469</v>
      </c>
      <c r="BS518" s="32">
        <v>150</v>
      </c>
      <c r="BT518" s="31">
        <v>131</v>
      </c>
      <c r="BU518" s="33">
        <v>15</v>
      </c>
      <c r="BV518" s="115">
        <v>479</v>
      </c>
      <c r="BW518" s="111">
        <v>500</v>
      </c>
      <c r="BX518" s="32">
        <v>125</v>
      </c>
      <c r="BY518" s="31">
        <v>498</v>
      </c>
      <c r="BZ518" s="32">
        <v>121</v>
      </c>
      <c r="CA518" s="111">
        <v>125</v>
      </c>
      <c r="CB518" s="32">
        <v>496</v>
      </c>
      <c r="CC518" s="33">
        <v>258</v>
      </c>
      <c r="CD518" s="34">
        <v>558</v>
      </c>
      <c r="CE518" s="111">
        <v>189</v>
      </c>
      <c r="CF518" s="42">
        <v>352</v>
      </c>
      <c r="CG518" s="31">
        <v>137</v>
      </c>
      <c r="CH518" s="35">
        <v>71</v>
      </c>
      <c r="CI518" s="35">
        <v>299</v>
      </c>
      <c r="CJ518" s="35">
        <v>296</v>
      </c>
      <c r="CK518" s="32">
        <v>159</v>
      </c>
    </row>
    <row r="519" spans="1:89" ht="13" x14ac:dyDescent="0.25">
      <c r="A519" s="27">
        <v>8716</v>
      </c>
      <c r="B519" s="28" t="s">
        <v>542</v>
      </c>
      <c r="C519" s="29">
        <v>849</v>
      </c>
      <c r="D519" s="30">
        <v>573</v>
      </c>
      <c r="E519" s="20">
        <f t="shared" si="8"/>
        <v>0.67491166077738518</v>
      </c>
      <c r="F519" s="31">
        <v>0</v>
      </c>
      <c r="G519" s="111">
        <v>0</v>
      </c>
      <c r="H519" s="111">
        <v>0</v>
      </c>
      <c r="I519" s="111">
        <v>0</v>
      </c>
      <c r="J519" s="111">
        <v>0</v>
      </c>
      <c r="K519" s="111">
        <v>0</v>
      </c>
      <c r="L519" s="111">
        <v>0</v>
      </c>
      <c r="M519" s="111">
        <v>414</v>
      </c>
      <c r="N519" s="111">
        <v>0</v>
      </c>
      <c r="O519" s="111">
        <v>0</v>
      </c>
      <c r="P519" s="35">
        <v>3</v>
      </c>
      <c r="Q519" s="35">
        <v>0</v>
      </c>
      <c r="R519" s="35">
        <v>150</v>
      </c>
      <c r="S519" s="32">
        <v>0</v>
      </c>
      <c r="T519" s="31">
        <v>403</v>
      </c>
      <c r="U519" s="32">
        <v>153</v>
      </c>
      <c r="V519" s="31">
        <v>165</v>
      </c>
      <c r="W519" s="32">
        <v>396</v>
      </c>
      <c r="X519" s="31">
        <v>409</v>
      </c>
      <c r="Y519" s="32">
        <v>141</v>
      </c>
      <c r="Z519" s="111">
        <v>411</v>
      </c>
      <c r="AA519" s="35">
        <v>0</v>
      </c>
      <c r="AB519" s="35">
        <v>18</v>
      </c>
      <c r="AC519" s="35">
        <v>135</v>
      </c>
      <c r="AD519" s="35">
        <v>0</v>
      </c>
      <c r="AE519" s="33">
        <v>0</v>
      </c>
      <c r="AF519" s="115">
        <v>0</v>
      </c>
      <c r="AG519" s="111"/>
      <c r="AH519" s="32"/>
      <c r="AI519" s="31">
        <v>143</v>
      </c>
      <c r="AJ519" s="33">
        <v>403</v>
      </c>
      <c r="AK519" s="31">
        <v>152</v>
      </c>
      <c r="AL519" s="32">
        <v>398</v>
      </c>
      <c r="AM519" s="31"/>
      <c r="AN519" s="115"/>
      <c r="AO519" s="111"/>
      <c r="AP519" s="32"/>
      <c r="AQ519" s="31"/>
      <c r="AR519" s="115"/>
      <c r="AS519" s="111">
        <v>407</v>
      </c>
      <c r="AT519" s="32">
        <v>140</v>
      </c>
      <c r="AU519" s="31"/>
      <c r="AV519" s="111"/>
      <c r="AW519" s="111"/>
      <c r="AX519" s="31"/>
      <c r="AY519" s="32"/>
      <c r="AZ519" s="31"/>
      <c r="BA519" s="115"/>
      <c r="BB519" s="31">
        <v>151</v>
      </c>
      <c r="BC519" s="32">
        <v>393</v>
      </c>
      <c r="BD519" s="31">
        <v>146</v>
      </c>
      <c r="BE519" s="115">
        <v>397</v>
      </c>
      <c r="BF519" s="111">
        <v>399</v>
      </c>
      <c r="BG519" s="32">
        <v>144</v>
      </c>
      <c r="BH519" s="31">
        <v>164</v>
      </c>
      <c r="BI519" s="32">
        <v>379</v>
      </c>
      <c r="BJ519" s="111">
        <v>17</v>
      </c>
      <c r="BK519" s="33">
        <v>128</v>
      </c>
      <c r="BL519" s="115">
        <v>414</v>
      </c>
      <c r="BM519" s="111">
        <v>394</v>
      </c>
      <c r="BN519" s="35">
        <v>133</v>
      </c>
      <c r="BO519" s="32">
        <v>23</v>
      </c>
      <c r="BP519" s="31">
        <v>152</v>
      </c>
      <c r="BQ519" s="32">
        <v>398</v>
      </c>
      <c r="BR519" s="31">
        <v>372</v>
      </c>
      <c r="BS519" s="32">
        <v>174</v>
      </c>
      <c r="BT519" s="31">
        <v>150</v>
      </c>
      <c r="BU519" s="33">
        <v>15</v>
      </c>
      <c r="BV519" s="115">
        <v>388</v>
      </c>
      <c r="BW519" s="111">
        <v>414</v>
      </c>
      <c r="BX519" s="32">
        <v>144</v>
      </c>
      <c r="BY519" s="31">
        <v>403</v>
      </c>
      <c r="BZ519" s="32">
        <v>138</v>
      </c>
      <c r="CA519" s="111">
        <v>135</v>
      </c>
      <c r="CB519" s="32">
        <v>413</v>
      </c>
      <c r="CC519" s="33">
        <v>245</v>
      </c>
      <c r="CD519" s="34">
        <v>464</v>
      </c>
      <c r="CE519" s="111">
        <v>197</v>
      </c>
      <c r="CF519" s="42">
        <v>287</v>
      </c>
      <c r="CG519" s="31">
        <v>94</v>
      </c>
      <c r="CH519" s="35">
        <v>90</v>
      </c>
      <c r="CI519" s="35">
        <v>238</v>
      </c>
      <c r="CJ519" s="35">
        <v>252</v>
      </c>
      <c r="CK519" s="32">
        <v>178</v>
      </c>
    </row>
    <row r="520" spans="1:89" ht="13" x14ac:dyDescent="0.25">
      <c r="A520" s="27">
        <v>8717</v>
      </c>
      <c r="B520" s="28" t="s">
        <v>543</v>
      </c>
      <c r="C520" s="29">
        <v>1339</v>
      </c>
      <c r="D520" s="30">
        <v>806</v>
      </c>
      <c r="E520" s="20">
        <f t="shared" si="8"/>
        <v>0.60194174757281549</v>
      </c>
      <c r="F520" s="31">
        <v>0</v>
      </c>
      <c r="G520" s="111">
        <v>0</v>
      </c>
      <c r="H520" s="111">
        <v>0</v>
      </c>
      <c r="I520" s="111">
        <v>0</v>
      </c>
      <c r="J520" s="111">
        <v>1</v>
      </c>
      <c r="K520" s="111">
        <v>0</v>
      </c>
      <c r="L520" s="111">
        <v>0</v>
      </c>
      <c r="M520" s="111">
        <v>536</v>
      </c>
      <c r="N520" s="111">
        <v>0</v>
      </c>
      <c r="O520" s="111">
        <v>0</v>
      </c>
      <c r="P520" s="35">
        <v>2</v>
      </c>
      <c r="Q520" s="35">
        <v>0</v>
      </c>
      <c r="R520" s="35">
        <v>262</v>
      </c>
      <c r="S520" s="32">
        <v>0</v>
      </c>
      <c r="T520" s="31">
        <v>503</v>
      </c>
      <c r="U520" s="32">
        <v>279</v>
      </c>
      <c r="V520" s="31">
        <v>298</v>
      </c>
      <c r="W520" s="32">
        <v>490</v>
      </c>
      <c r="X520" s="31">
        <v>519</v>
      </c>
      <c r="Y520" s="32">
        <v>250</v>
      </c>
      <c r="Z520" s="111">
        <v>537</v>
      </c>
      <c r="AA520" s="35">
        <v>0</v>
      </c>
      <c r="AB520" s="35">
        <v>29</v>
      </c>
      <c r="AC520" s="35">
        <v>226</v>
      </c>
      <c r="AD520" s="35">
        <v>0</v>
      </c>
      <c r="AE520" s="33">
        <v>0</v>
      </c>
      <c r="AF520" s="115">
        <v>0</v>
      </c>
      <c r="AG520" s="111"/>
      <c r="AH520" s="32"/>
      <c r="AI520" s="31">
        <v>260</v>
      </c>
      <c r="AJ520" s="33">
        <v>511</v>
      </c>
      <c r="AK520" s="31">
        <v>263</v>
      </c>
      <c r="AL520" s="32">
        <v>514</v>
      </c>
      <c r="AM520" s="31"/>
      <c r="AN520" s="115"/>
      <c r="AO520" s="111"/>
      <c r="AP520" s="32"/>
      <c r="AQ520" s="31"/>
      <c r="AR520" s="115"/>
      <c r="AS520" s="111"/>
      <c r="AT520" s="32"/>
      <c r="AU520" s="31"/>
      <c r="AV520" s="111"/>
      <c r="AW520" s="111"/>
      <c r="AX520" s="31">
        <v>278</v>
      </c>
      <c r="AY520" s="32">
        <v>494</v>
      </c>
      <c r="AZ520" s="31"/>
      <c r="BA520" s="115"/>
      <c r="BB520" s="31">
        <v>273</v>
      </c>
      <c r="BC520" s="32">
        <v>491</v>
      </c>
      <c r="BD520" s="31">
        <v>256</v>
      </c>
      <c r="BE520" s="115">
        <v>507</v>
      </c>
      <c r="BF520" s="111">
        <v>495</v>
      </c>
      <c r="BG520" s="32">
        <v>258</v>
      </c>
      <c r="BH520" s="31">
        <v>271</v>
      </c>
      <c r="BI520" s="32">
        <v>489</v>
      </c>
      <c r="BJ520" s="111">
        <v>34</v>
      </c>
      <c r="BK520" s="33">
        <v>225</v>
      </c>
      <c r="BL520" s="115">
        <v>510</v>
      </c>
      <c r="BM520" s="111">
        <v>510</v>
      </c>
      <c r="BN520" s="35">
        <v>224</v>
      </c>
      <c r="BO520" s="32">
        <v>30</v>
      </c>
      <c r="BP520" s="31">
        <v>260</v>
      </c>
      <c r="BQ520" s="32">
        <v>503</v>
      </c>
      <c r="BR520" s="31">
        <v>475</v>
      </c>
      <c r="BS520" s="32">
        <v>297</v>
      </c>
      <c r="BT520" s="31">
        <v>251</v>
      </c>
      <c r="BU520" s="33">
        <v>32</v>
      </c>
      <c r="BV520" s="115">
        <v>480</v>
      </c>
      <c r="BW520" s="111">
        <v>506</v>
      </c>
      <c r="BX520" s="32">
        <v>272</v>
      </c>
      <c r="BY520" s="31">
        <v>511</v>
      </c>
      <c r="BZ520" s="32">
        <v>242</v>
      </c>
      <c r="CA520" s="111">
        <v>250</v>
      </c>
      <c r="CB520" s="32">
        <v>508</v>
      </c>
      <c r="CC520" s="33">
        <v>430</v>
      </c>
      <c r="CD520" s="34">
        <v>624</v>
      </c>
      <c r="CE520" s="111">
        <v>305</v>
      </c>
      <c r="CF520" s="42">
        <v>374</v>
      </c>
      <c r="CG520" s="31">
        <v>150</v>
      </c>
      <c r="CH520" s="35">
        <v>138</v>
      </c>
      <c r="CI520" s="35">
        <v>315</v>
      </c>
      <c r="CJ520" s="35">
        <v>330</v>
      </c>
      <c r="CK520" s="32">
        <v>288</v>
      </c>
    </row>
    <row r="521" spans="1:89" ht="13" x14ac:dyDescent="0.25">
      <c r="A521" s="27">
        <v>8718</v>
      </c>
      <c r="B521" s="28" t="s">
        <v>544</v>
      </c>
      <c r="C521" s="29">
        <v>1145</v>
      </c>
      <c r="D521" s="30">
        <v>818</v>
      </c>
      <c r="E521" s="20">
        <f t="shared" si="8"/>
        <v>0.71441048034934496</v>
      </c>
      <c r="F521" s="31">
        <v>0</v>
      </c>
      <c r="G521" s="111">
        <v>0</v>
      </c>
      <c r="H521" s="111">
        <v>0</v>
      </c>
      <c r="I521" s="111">
        <v>0</v>
      </c>
      <c r="J521" s="111">
        <v>1</v>
      </c>
      <c r="K521" s="111">
        <v>0</v>
      </c>
      <c r="L521" s="111">
        <v>0</v>
      </c>
      <c r="M521" s="111">
        <v>531</v>
      </c>
      <c r="N521" s="111">
        <v>0</v>
      </c>
      <c r="O521" s="111">
        <v>0</v>
      </c>
      <c r="P521" s="35">
        <v>5</v>
      </c>
      <c r="Q521" s="35">
        <v>1</v>
      </c>
      <c r="R521" s="35">
        <v>270</v>
      </c>
      <c r="S521" s="32">
        <v>0</v>
      </c>
      <c r="T521" s="37">
        <v>527</v>
      </c>
      <c r="U521" s="38">
        <v>259</v>
      </c>
      <c r="V521" s="37">
        <v>279</v>
      </c>
      <c r="W521" s="32">
        <v>510</v>
      </c>
      <c r="X521" s="31">
        <v>526</v>
      </c>
      <c r="Y521" s="32">
        <v>245</v>
      </c>
      <c r="Z521" s="111">
        <v>529</v>
      </c>
      <c r="AA521" s="35">
        <v>0</v>
      </c>
      <c r="AB521" s="35">
        <v>31</v>
      </c>
      <c r="AC521" s="35">
        <v>239</v>
      </c>
      <c r="AD521" s="35">
        <v>0</v>
      </c>
      <c r="AE521" s="33">
        <v>0</v>
      </c>
      <c r="AF521" s="116">
        <v>0</v>
      </c>
      <c r="AG521" s="120"/>
      <c r="AH521" s="38"/>
      <c r="AI521" s="37">
        <v>253</v>
      </c>
      <c r="AJ521" s="36">
        <v>517</v>
      </c>
      <c r="AK521" s="37">
        <v>267</v>
      </c>
      <c r="AL521" s="38">
        <v>511</v>
      </c>
      <c r="AM521" s="37"/>
      <c r="AN521" s="116"/>
      <c r="AO521" s="120"/>
      <c r="AP521" s="38"/>
      <c r="AQ521" s="37"/>
      <c r="AR521" s="116"/>
      <c r="AS521" s="120">
        <v>521</v>
      </c>
      <c r="AT521" s="38">
        <v>251</v>
      </c>
      <c r="AU521" s="37"/>
      <c r="AV521" s="120"/>
      <c r="AW521" s="120"/>
      <c r="AX521" s="37"/>
      <c r="AY521" s="38"/>
      <c r="AZ521" s="37"/>
      <c r="BA521" s="116"/>
      <c r="BB521" s="31">
        <v>261</v>
      </c>
      <c r="BC521" s="32">
        <v>500</v>
      </c>
      <c r="BD521" s="31">
        <v>258</v>
      </c>
      <c r="BE521" s="116">
        <v>504</v>
      </c>
      <c r="BF521" s="120">
        <v>493</v>
      </c>
      <c r="BG521" s="38">
        <v>259</v>
      </c>
      <c r="BH521" s="37">
        <v>270</v>
      </c>
      <c r="BI521" s="38">
        <v>494</v>
      </c>
      <c r="BJ521" s="111">
        <v>36</v>
      </c>
      <c r="BK521" s="33">
        <v>221</v>
      </c>
      <c r="BL521" s="115">
        <v>519</v>
      </c>
      <c r="BM521" s="111">
        <v>506</v>
      </c>
      <c r="BN521" s="35">
        <v>236</v>
      </c>
      <c r="BO521" s="32">
        <v>24</v>
      </c>
      <c r="BP521" s="31">
        <v>261</v>
      </c>
      <c r="BQ521" s="32">
        <v>504</v>
      </c>
      <c r="BR521" s="31">
        <v>477</v>
      </c>
      <c r="BS521" s="32">
        <v>296</v>
      </c>
      <c r="BT521" s="31">
        <v>240</v>
      </c>
      <c r="BU521" s="33">
        <v>32</v>
      </c>
      <c r="BV521" s="115">
        <v>495</v>
      </c>
      <c r="BW521" s="111">
        <v>522</v>
      </c>
      <c r="BX521" s="32">
        <v>257</v>
      </c>
      <c r="BY521" s="31">
        <v>510</v>
      </c>
      <c r="BZ521" s="32">
        <v>247</v>
      </c>
      <c r="CA521" s="111">
        <v>261</v>
      </c>
      <c r="CB521" s="32">
        <v>507</v>
      </c>
      <c r="CC521" s="33">
        <v>399</v>
      </c>
      <c r="CD521" s="34">
        <v>618</v>
      </c>
      <c r="CE521" s="120">
        <v>325</v>
      </c>
      <c r="CF521" s="42">
        <v>322</v>
      </c>
      <c r="CG521" s="31">
        <v>182</v>
      </c>
      <c r="CH521" s="35">
        <v>108</v>
      </c>
      <c r="CI521" s="35">
        <v>276</v>
      </c>
      <c r="CJ521" s="35">
        <v>321</v>
      </c>
      <c r="CK521" s="32">
        <v>268</v>
      </c>
    </row>
    <row r="522" spans="1:89" ht="13" x14ac:dyDescent="0.25">
      <c r="A522" s="27">
        <v>8719</v>
      </c>
      <c r="B522" s="28" t="s">
        <v>545</v>
      </c>
      <c r="C522" s="29">
        <v>1166</v>
      </c>
      <c r="D522" s="30">
        <v>931</v>
      </c>
      <c r="E522" s="20">
        <f t="shared" si="8"/>
        <v>0.79845626072041165</v>
      </c>
      <c r="F522" s="31">
        <v>0</v>
      </c>
      <c r="G522" s="111">
        <v>0</v>
      </c>
      <c r="H522" s="111">
        <v>0</v>
      </c>
      <c r="I522" s="111">
        <v>0</v>
      </c>
      <c r="J522" s="111">
        <v>2</v>
      </c>
      <c r="K522" s="111">
        <v>0</v>
      </c>
      <c r="L522" s="111">
        <v>0</v>
      </c>
      <c r="M522" s="111">
        <v>582</v>
      </c>
      <c r="N522" s="111">
        <v>0</v>
      </c>
      <c r="O522" s="111">
        <v>0</v>
      </c>
      <c r="P522" s="35">
        <v>9</v>
      </c>
      <c r="Q522" s="35">
        <v>2</v>
      </c>
      <c r="R522" s="35">
        <v>315</v>
      </c>
      <c r="S522" s="32">
        <v>0</v>
      </c>
      <c r="T522" s="37">
        <v>551</v>
      </c>
      <c r="U522" s="38">
        <v>355</v>
      </c>
      <c r="V522" s="37">
        <v>369</v>
      </c>
      <c r="W522" s="32">
        <v>538</v>
      </c>
      <c r="X522" s="31">
        <v>557</v>
      </c>
      <c r="Y522" s="32">
        <v>337</v>
      </c>
      <c r="Z522" s="111">
        <v>585</v>
      </c>
      <c r="AA522" s="35">
        <v>0</v>
      </c>
      <c r="AB522" s="35">
        <v>38</v>
      </c>
      <c r="AC522" s="35">
        <v>292</v>
      </c>
      <c r="AD522" s="35">
        <v>0</v>
      </c>
      <c r="AE522" s="33">
        <v>0</v>
      </c>
      <c r="AF522" s="116">
        <v>1</v>
      </c>
      <c r="AG522" s="120"/>
      <c r="AH522" s="38"/>
      <c r="AI522" s="37">
        <v>332</v>
      </c>
      <c r="AJ522" s="36">
        <v>561</v>
      </c>
      <c r="AK522" s="37">
        <v>354</v>
      </c>
      <c r="AL522" s="38">
        <v>550</v>
      </c>
      <c r="AM522" s="37"/>
      <c r="AN522" s="116"/>
      <c r="AO522" s="120"/>
      <c r="AP522" s="38"/>
      <c r="AQ522" s="37"/>
      <c r="AR522" s="116"/>
      <c r="AS522" s="120">
        <v>562</v>
      </c>
      <c r="AT522" s="38">
        <v>330</v>
      </c>
      <c r="AU522" s="37"/>
      <c r="AV522" s="120"/>
      <c r="AW522" s="120"/>
      <c r="AX522" s="37"/>
      <c r="AY522" s="38"/>
      <c r="AZ522" s="37"/>
      <c r="BA522" s="116"/>
      <c r="BB522" s="31">
        <v>351</v>
      </c>
      <c r="BC522" s="32">
        <v>538</v>
      </c>
      <c r="BD522" s="31">
        <v>331</v>
      </c>
      <c r="BE522" s="116">
        <v>559</v>
      </c>
      <c r="BF522" s="120">
        <v>554</v>
      </c>
      <c r="BG522" s="38">
        <v>329</v>
      </c>
      <c r="BH522" s="37">
        <v>368</v>
      </c>
      <c r="BI522" s="38">
        <v>524</v>
      </c>
      <c r="BJ522" s="111">
        <v>38</v>
      </c>
      <c r="BK522" s="33">
        <v>301</v>
      </c>
      <c r="BL522" s="115">
        <v>557</v>
      </c>
      <c r="BM522" s="111">
        <v>574</v>
      </c>
      <c r="BN522" s="35">
        <v>293</v>
      </c>
      <c r="BO522" s="32">
        <v>26</v>
      </c>
      <c r="BP522" s="31">
        <v>347</v>
      </c>
      <c r="BQ522" s="32">
        <v>541</v>
      </c>
      <c r="BR522" s="31">
        <v>521</v>
      </c>
      <c r="BS522" s="32">
        <v>383</v>
      </c>
      <c r="BT522" s="31">
        <v>314</v>
      </c>
      <c r="BU522" s="33">
        <v>37</v>
      </c>
      <c r="BV522" s="115">
        <v>532</v>
      </c>
      <c r="BW522" s="111">
        <v>574</v>
      </c>
      <c r="BX522" s="32">
        <v>329</v>
      </c>
      <c r="BY522" s="31">
        <v>564</v>
      </c>
      <c r="BZ522" s="32">
        <v>319</v>
      </c>
      <c r="CA522" s="111">
        <v>321</v>
      </c>
      <c r="CB522" s="32">
        <v>566</v>
      </c>
      <c r="CC522" s="33">
        <v>509</v>
      </c>
      <c r="CD522" s="34">
        <v>701</v>
      </c>
      <c r="CE522" s="120">
        <v>347</v>
      </c>
      <c r="CF522" s="42">
        <v>399</v>
      </c>
      <c r="CG522" s="31">
        <v>227</v>
      </c>
      <c r="CH522" s="35">
        <v>144</v>
      </c>
      <c r="CI522" s="35">
        <v>328</v>
      </c>
      <c r="CJ522" s="35">
        <v>373</v>
      </c>
      <c r="CK522" s="32">
        <v>361</v>
      </c>
    </row>
    <row r="523" spans="1:89" ht="13" x14ac:dyDescent="0.25">
      <c r="A523" s="27">
        <v>8720</v>
      </c>
      <c r="B523" s="28" t="s">
        <v>546</v>
      </c>
      <c r="C523" s="29">
        <v>1409</v>
      </c>
      <c r="D523" s="30">
        <v>992</v>
      </c>
      <c r="E523" s="20">
        <f t="shared" si="8"/>
        <v>0.70404542228530875</v>
      </c>
      <c r="F523" s="31">
        <v>0</v>
      </c>
      <c r="G523" s="111">
        <v>0</v>
      </c>
      <c r="H523" s="111">
        <v>0</v>
      </c>
      <c r="I523" s="111">
        <v>0</v>
      </c>
      <c r="J523" s="111">
        <v>1</v>
      </c>
      <c r="K523" s="111">
        <v>0</v>
      </c>
      <c r="L523" s="111">
        <v>0</v>
      </c>
      <c r="M523" s="111">
        <v>647</v>
      </c>
      <c r="N523" s="111">
        <v>0</v>
      </c>
      <c r="O523" s="111">
        <v>0</v>
      </c>
      <c r="P523" s="35">
        <v>1</v>
      </c>
      <c r="Q523" s="35">
        <v>2</v>
      </c>
      <c r="R523" s="35">
        <v>332</v>
      </c>
      <c r="S523" s="32">
        <v>0</v>
      </c>
      <c r="T523" s="31">
        <v>627</v>
      </c>
      <c r="U523" s="32">
        <v>335</v>
      </c>
      <c r="V523" s="31">
        <v>359</v>
      </c>
      <c r="W523" s="32">
        <v>606</v>
      </c>
      <c r="X523" s="31">
        <v>614</v>
      </c>
      <c r="Y523" s="32">
        <v>329</v>
      </c>
      <c r="Z523" s="111">
        <v>660</v>
      </c>
      <c r="AA523" s="35">
        <v>0</v>
      </c>
      <c r="AB523" s="35">
        <v>28</v>
      </c>
      <c r="AC523" s="35">
        <v>290</v>
      </c>
      <c r="AD523" s="35">
        <v>0</v>
      </c>
      <c r="AE523" s="33">
        <v>0</v>
      </c>
      <c r="AF523" s="115">
        <v>0</v>
      </c>
      <c r="AG523" s="111"/>
      <c r="AH523" s="32"/>
      <c r="AI523" s="31">
        <v>325</v>
      </c>
      <c r="AJ523" s="33">
        <v>630</v>
      </c>
      <c r="AK523" s="31"/>
      <c r="AL523" s="32"/>
      <c r="AM523" s="31"/>
      <c r="AN523" s="115"/>
      <c r="AO523" s="111"/>
      <c r="AP523" s="32"/>
      <c r="AQ523" s="31"/>
      <c r="AR523" s="115"/>
      <c r="AS523" s="111"/>
      <c r="AT523" s="32"/>
      <c r="AU523" s="31">
        <v>621</v>
      </c>
      <c r="AV523" s="111">
        <v>0</v>
      </c>
      <c r="AW523" s="111">
        <v>320</v>
      </c>
      <c r="AX523" s="31"/>
      <c r="AY523" s="32"/>
      <c r="AZ523" s="31"/>
      <c r="BA523" s="115"/>
      <c r="BB523" s="31">
        <v>322</v>
      </c>
      <c r="BC523" s="32">
        <v>623</v>
      </c>
      <c r="BD523" s="31">
        <v>326</v>
      </c>
      <c r="BE523" s="115">
        <v>611</v>
      </c>
      <c r="BF523" s="111">
        <v>618</v>
      </c>
      <c r="BG523" s="32">
        <v>315</v>
      </c>
      <c r="BH523" s="31">
        <v>344</v>
      </c>
      <c r="BI523" s="32">
        <v>591</v>
      </c>
      <c r="BJ523" s="111">
        <v>21</v>
      </c>
      <c r="BK523" s="33">
        <v>297</v>
      </c>
      <c r="BL523" s="115">
        <v>633</v>
      </c>
      <c r="BM523" s="111">
        <v>633</v>
      </c>
      <c r="BN523" s="35">
        <v>287</v>
      </c>
      <c r="BO523" s="32">
        <v>25</v>
      </c>
      <c r="BP523" s="31">
        <v>315</v>
      </c>
      <c r="BQ523" s="32">
        <v>628</v>
      </c>
      <c r="BR523" s="31">
        <v>593</v>
      </c>
      <c r="BS523" s="32">
        <v>353</v>
      </c>
      <c r="BT523" s="31">
        <v>304</v>
      </c>
      <c r="BU523" s="33">
        <v>38</v>
      </c>
      <c r="BV523" s="115">
        <v>609</v>
      </c>
      <c r="BW523" s="111">
        <v>626</v>
      </c>
      <c r="BX523" s="32">
        <v>331</v>
      </c>
      <c r="BY523" s="31">
        <v>615</v>
      </c>
      <c r="BZ523" s="32">
        <v>311</v>
      </c>
      <c r="CA523" s="111">
        <v>310</v>
      </c>
      <c r="CB523" s="32">
        <v>631</v>
      </c>
      <c r="CC523" s="33">
        <v>489</v>
      </c>
      <c r="CD523" s="34">
        <v>770</v>
      </c>
      <c r="CE523" s="111">
        <v>384</v>
      </c>
      <c r="CF523" s="38">
        <v>418</v>
      </c>
      <c r="CG523" s="31">
        <v>207</v>
      </c>
      <c r="CH523" s="35">
        <v>161</v>
      </c>
      <c r="CI523" s="35">
        <v>342</v>
      </c>
      <c r="CJ523" s="35">
        <v>375</v>
      </c>
      <c r="CK523" s="32">
        <v>337</v>
      </c>
    </row>
    <row r="524" spans="1:89" ht="13" x14ac:dyDescent="0.25">
      <c r="A524" s="27">
        <v>8721</v>
      </c>
      <c r="B524" s="28" t="s">
        <v>547</v>
      </c>
      <c r="C524" s="29">
        <v>1404</v>
      </c>
      <c r="D524" s="30">
        <v>1105</v>
      </c>
      <c r="E524" s="20">
        <f t="shared" si="8"/>
        <v>0.78703703703703709</v>
      </c>
      <c r="F524" s="31">
        <v>0</v>
      </c>
      <c r="G524" s="111">
        <v>0</v>
      </c>
      <c r="H524" s="111">
        <v>0</v>
      </c>
      <c r="I524" s="111">
        <v>0</v>
      </c>
      <c r="J524" s="111">
        <v>2</v>
      </c>
      <c r="K524" s="111">
        <v>0</v>
      </c>
      <c r="L524" s="111">
        <v>0</v>
      </c>
      <c r="M524" s="111">
        <v>685</v>
      </c>
      <c r="N524" s="111">
        <v>0</v>
      </c>
      <c r="O524" s="111">
        <v>0</v>
      </c>
      <c r="P524" s="35">
        <v>10</v>
      </c>
      <c r="Q524" s="35">
        <v>3</v>
      </c>
      <c r="R524" s="35">
        <v>390</v>
      </c>
      <c r="S524" s="32">
        <v>0</v>
      </c>
      <c r="T524" s="31">
        <v>642</v>
      </c>
      <c r="U524" s="32">
        <v>425</v>
      </c>
      <c r="V524" s="31">
        <v>438</v>
      </c>
      <c r="W524" s="32">
        <v>636</v>
      </c>
      <c r="X524" s="31">
        <v>648</v>
      </c>
      <c r="Y524" s="32">
        <v>414</v>
      </c>
      <c r="Z524" s="111">
        <v>687</v>
      </c>
      <c r="AA524" s="35">
        <v>0</v>
      </c>
      <c r="AB524" s="35">
        <v>26</v>
      </c>
      <c r="AC524" s="35">
        <v>371</v>
      </c>
      <c r="AD524" s="35">
        <v>0</v>
      </c>
      <c r="AE524" s="33">
        <v>0</v>
      </c>
      <c r="AF524" s="115">
        <v>0</v>
      </c>
      <c r="AG524" s="111"/>
      <c r="AH524" s="32"/>
      <c r="AI524" s="31">
        <v>410</v>
      </c>
      <c r="AJ524" s="33">
        <v>652</v>
      </c>
      <c r="AK524" s="31">
        <v>425</v>
      </c>
      <c r="AL524" s="32">
        <v>634</v>
      </c>
      <c r="AM524" s="31"/>
      <c r="AN524" s="115"/>
      <c r="AO524" s="111"/>
      <c r="AP524" s="32"/>
      <c r="AQ524" s="31"/>
      <c r="AR524" s="115"/>
      <c r="AS524" s="111">
        <v>619</v>
      </c>
      <c r="AT524" s="32">
        <v>359</v>
      </c>
      <c r="AU524" s="31"/>
      <c r="AV524" s="111"/>
      <c r="AW524" s="111"/>
      <c r="AX524" s="31">
        <v>41</v>
      </c>
      <c r="AY524" s="32">
        <v>29</v>
      </c>
      <c r="AZ524" s="31"/>
      <c r="BA524" s="115"/>
      <c r="BB524" s="31">
        <v>419</v>
      </c>
      <c r="BC524" s="32">
        <v>629</v>
      </c>
      <c r="BD524" s="31">
        <v>389</v>
      </c>
      <c r="BE524" s="115">
        <v>655</v>
      </c>
      <c r="BF524" s="111">
        <v>631</v>
      </c>
      <c r="BG524" s="32">
        <v>399</v>
      </c>
      <c r="BH524" s="31">
        <v>435</v>
      </c>
      <c r="BI524" s="32">
        <v>609</v>
      </c>
      <c r="BJ524" s="111">
        <v>47</v>
      </c>
      <c r="BK524" s="33">
        <v>357</v>
      </c>
      <c r="BL524" s="115">
        <v>658</v>
      </c>
      <c r="BM524" s="111">
        <v>658</v>
      </c>
      <c r="BN524" s="35">
        <v>364</v>
      </c>
      <c r="BO524" s="32">
        <v>34</v>
      </c>
      <c r="BP524" s="31">
        <v>404</v>
      </c>
      <c r="BQ524" s="32">
        <v>647</v>
      </c>
      <c r="BR524" s="31">
        <v>582</v>
      </c>
      <c r="BS524" s="32">
        <v>472</v>
      </c>
      <c r="BT524" s="31">
        <v>361</v>
      </c>
      <c r="BU524" s="33">
        <v>46</v>
      </c>
      <c r="BV524" s="115">
        <v>635</v>
      </c>
      <c r="BW524" s="111">
        <v>685</v>
      </c>
      <c r="BX524" s="32">
        <v>381</v>
      </c>
      <c r="BY524" s="31">
        <v>641</v>
      </c>
      <c r="BZ524" s="32">
        <v>388</v>
      </c>
      <c r="CA524" s="111">
        <v>375</v>
      </c>
      <c r="CB524" s="32">
        <v>661</v>
      </c>
      <c r="CC524" s="33">
        <v>612</v>
      </c>
      <c r="CD524" s="34">
        <v>823</v>
      </c>
      <c r="CE524" s="111">
        <v>407</v>
      </c>
      <c r="CF524" s="42">
        <v>492</v>
      </c>
      <c r="CG524" s="31">
        <v>230</v>
      </c>
      <c r="CH524" s="35">
        <v>219</v>
      </c>
      <c r="CI524" s="35">
        <v>413</v>
      </c>
      <c r="CJ524" s="35">
        <v>457</v>
      </c>
      <c r="CK524" s="32">
        <v>399</v>
      </c>
    </row>
    <row r="525" spans="1:89" ht="13" x14ac:dyDescent="0.25">
      <c r="A525" s="27">
        <v>8722</v>
      </c>
      <c r="B525" s="28" t="s">
        <v>548</v>
      </c>
      <c r="C525" s="29">
        <v>955</v>
      </c>
      <c r="D525" s="30">
        <v>797</v>
      </c>
      <c r="E525" s="20">
        <f t="shared" si="8"/>
        <v>0.83455497382198951</v>
      </c>
      <c r="F525" s="31">
        <v>0</v>
      </c>
      <c r="G525" s="111">
        <v>0</v>
      </c>
      <c r="H525" s="111">
        <v>0</v>
      </c>
      <c r="I525" s="111">
        <v>0</v>
      </c>
      <c r="J525" s="111">
        <v>2</v>
      </c>
      <c r="K525" s="111">
        <v>0</v>
      </c>
      <c r="L525" s="111">
        <v>0</v>
      </c>
      <c r="M525" s="111">
        <v>414</v>
      </c>
      <c r="N525" s="111">
        <v>0</v>
      </c>
      <c r="O525" s="111">
        <v>0</v>
      </c>
      <c r="P525" s="35">
        <v>1</v>
      </c>
      <c r="Q525" s="35">
        <v>2</v>
      </c>
      <c r="R525" s="35">
        <v>365</v>
      </c>
      <c r="S525" s="32">
        <v>0</v>
      </c>
      <c r="T525" s="31">
        <v>383</v>
      </c>
      <c r="U525" s="32">
        <v>387</v>
      </c>
      <c r="V525" s="31">
        <v>417</v>
      </c>
      <c r="W525" s="32">
        <v>362</v>
      </c>
      <c r="X525" s="31">
        <v>393</v>
      </c>
      <c r="Y525" s="32">
        <v>366</v>
      </c>
      <c r="Z525" s="111">
        <v>428</v>
      </c>
      <c r="AA525" s="35">
        <v>0</v>
      </c>
      <c r="AB525" s="35">
        <v>25</v>
      </c>
      <c r="AC525" s="35">
        <v>334</v>
      </c>
      <c r="AD525" s="35">
        <v>0</v>
      </c>
      <c r="AE525" s="33">
        <v>0</v>
      </c>
      <c r="AF525" s="115">
        <v>0</v>
      </c>
      <c r="AG525" s="111"/>
      <c r="AH525" s="32"/>
      <c r="AI525" s="31">
        <v>367</v>
      </c>
      <c r="AJ525" s="33">
        <v>392</v>
      </c>
      <c r="AK525" s="31">
        <v>381</v>
      </c>
      <c r="AL525" s="32">
        <v>376</v>
      </c>
      <c r="AM525" s="31"/>
      <c r="AN525" s="115"/>
      <c r="AO525" s="111"/>
      <c r="AP525" s="32"/>
      <c r="AQ525" s="31"/>
      <c r="AR525" s="115"/>
      <c r="AS525" s="111">
        <v>105</v>
      </c>
      <c r="AT525" s="32">
        <v>76</v>
      </c>
      <c r="AU525" s="31"/>
      <c r="AV525" s="111"/>
      <c r="AW525" s="111"/>
      <c r="AX525" s="31">
        <v>301</v>
      </c>
      <c r="AY525" s="32">
        <v>272</v>
      </c>
      <c r="AZ525" s="31"/>
      <c r="BA525" s="115"/>
      <c r="BB525" s="31">
        <v>373</v>
      </c>
      <c r="BC525" s="32">
        <v>360</v>
      </c>
      <c r="BD525" s="31">
        <v>362</v>
      </c>
      <c r="BE525" s="115">
        <v>371</v>
      </c>
      <c r="BF525" s="111">
        <v>378</v>
      </c>
      <c r="BG525" s="32">
        <v>353</v>
      </c>
      <c r="BH525" s="31">
        <v>395</v>
      </c>
      <c r="BI525" s="32">
        <v>344</v>
      </c>
      <c r="BJ525" s="111">
        <v>28</v>
      </c>
      <c r="BK525" s="33">
        <v>337</v>
      </c>
      <c r="BL525" s="115">
        <v>385</v>
      </c>
      <c r="BM525" s="111">
        <v>397</v>
      </c>
      <c r="BN525" s="35">
        <v>330</v>
      </c>
      <c r="BO525" s="32">
        <v>24</v>
      </c>
      <c r="BP525" s="31">
        <v>377</v>
      </c>
      <c r="BQ525" s="32">
        <v>371</v>
      </c>
      <c r="BR525" s="31">
        <v>349</v>
      </c>
      <c r="BS525" s="32">
        <v>411</v>
      </c>
      <c r="BT525" s="31">
        <v>349</v>
      </c>
      <c r="BU525" s="33">
        <v>26</v>
      </c>
      <c r="BV525" s="115">
        <v>361</v>
      </c>
      <c r="BW525" s="111">
        <v>387</v>
      </c>
      <c r="BX525" s="32">
        <v>369</v>
      </c>
      <c r="BY525" s="31">
        <v>377</v>
      </c>
      <c r="BZ525" s="32">
        <v>353</v>
      </c>
      <c r="CA525" s="111">
        <v>345</v>
      </c>
      <c r="CB525" s="32">
        <v>401</v>
      </c>
      <c r="CC525" s="33">
        <v>501</v>
      </c>
      <c r="CD525" s="34">
        <v>557</v>
      </c>
      <c r="CE525" s="111">
        <v>333</v>
      </c>
      <c r="CF525" s="42">
        <v>264</v>
      </c>
      <c r="CG525" s="31">
        <v>190</v>
      </c>
      <c r="CH525" s="35">
        <v>175</v>
      </c>
      <c r="CI525" s="35">
        <v>198</v>
      </c>
      <c r="CJ525" s="35">
        <v>226</v>
      </c>
      <c r="CK525" s="32">
        <v>349</v>
      </c>
    </row>
    <row r="526" spans="1:89" ht="13" x14ac:dyDescent="0.25">
      <c r="A526" s="27">
        <v>8723</v>
      </c>
      <c r="B526" s="28" t="s">
        <v>549</v>
      </c>
      <c r="C526" s="29">
        <v>1353</v>
      </c>
      <c r="D526" s="30">
        <v>986</v>
      </c>
      <c r="E526" s="20">
        <f t="shared" si="8"/>
        <v>0.7287509238728751</v>
      </c>
      <c r="F526" s="31">
        <v>0</v>
      </c>
      <c r="G526" s="111">
        <v>0</v>
      </c>
      <c r="H526" s="111">
        <v>0</v>
      </c>
      <c r="I526" s="111">
        <v>0</v>
      </c>
      <c r="J526" s="111">
        <v>1</v>
      </c>
      <c r="K526" s="111">
        <v>0</v>
      </c>
      <c r="L526" s="111">
        <v>0</v>
      </c>
      <c r="M526" s="111">
        <v>642</v>
      </c>
      <c r="N526" s="111">
        <v>0</v>
      </c>
      <c r="O526" s="111">
        <v>0</v>
      </c>
      <c r="P526" s="35">
        <v>7</v>
      </c>
      <c r="Q526" s="35">
        <v>8</v>
      </c>
      <c r="R526" s="35">
        <v>313</v>
      </c>
      <c r="S526" s="32">
        <v>0</v>
      </c>
      <c r="T526" s="31">
        <v>594</v>
      </c>
      <c r="U526" s="32">
        <v>358</v>
      </c>
      <c r="V526" s="31">
        <v>367</v>
      </c>
      <c r="W526" s="32">
        <v>595</v>
      </c>
      <c r="X526" s="31">
        <v>602</v>
      </c>
      <c r="Y526" s="32">
        <v>341</v>
      </c>
      <c r="Z526" s="111">
        <v>640</v>
      </c>
      <c r="AA526" s="35">
        <v>0</v>
      </c>
      <c r="AB526" s="35">
        <v>27</v>
      </c>
      <c r="AC526" s="35">
        <v>296</v>
      </c>
      <c r="AD526" s="35">
        <v>0</v>
      </c>
      <c r="AE526" s="33">
        <v>0</v>
      </c>
      <c r="AF526" s="115">
        <v>0</v>
      </c>
      <c r="AG526" s="111"/>
      <c r="AH526" s="32"/>
      <c r="AI526" s="31">
        <v>346</v>
      </c>
      <c r="AJ526" s="33">
        <v>594</v>
      </c>
      <c r="AK526" s="31">
        <v>351</v>
      </c>
      <c r="AL526" s="32">
        <v>596</v>
      </c>
      <c r="AM526" s="31"/>
      <c r="AN526" s="115"/>
      <c r="AO526" s="111"/>
      <c r="AP526" s="32"/>
      <c r="AQ526" s="31"/>
      <c r="AR526" s="115"/>
      <c r="AS526" s="111">
        <v>610</v>
      </c>
      <c r="AT526" s="32">
        <v>330</v>
      </c>
      <c r="AU526" s="31"/>
      <c r="AV526" s="111"/>
      <c r="AW526" s="111"/>
      <c r="AX526" s="31"/>
      <c r="AY526" s="32"/>
      <c r="AZ526" s="31"/>
      <c r="BA526" s="115"/>
      <c r="BB526" s="31">
        <v>340</v>
      </c>
      <c r="BC526" s="32">
        <v>584</v>
      </c>
      <c r="BD526" s="31">
        <v>337</v>
      </c>
      <c r="BE526" s="115">
        <v>581</v>
      </c>
      <c r="BF526" s="111">
        <v>576</v>
      </c>
      <c r="BG526" s="32">
        <v>341</v>
      </c>
      <c r="BH526" s="31">
        <v>361</v>
      </c>
      <c r="BI526" s="32">
        <v>567</v>
      </c>
      <c r="BJ526" s="111">
        <v>41</v>
      </c>
      <c r="BK526" s="33">
        <v>306</v>
      </c>
      <c r="BL526" s="115">
        <v>591</v>
      </c>
      <c r="BM526" s="111">
        <v>609</v>
      </c>
      <c r="BN526" s="35">
        <v>298</v>
      </c>
      <c r="BO526" s="32">
        <v>32</v>
      </c>
      <c r="BP526" s="31">
        <v>353</v>
      </c>
      <c r="BQ526" s="32">
        <v>580</v>
      </c>
      <c r="BR526" s="31">
        <v>551</v>
      </c>
      <c r="BS526" s="32">
        <v>387</v>
      </c>
      <c r="BT526" s="31">
        <v>323</v>
      </c>
      <c r="BU526" s="33">
        <v>36</v>
      </c>
      <c r="BV526" s="115">
        <v>568</v>
      </c>
      <c r="BW526" s="111">
        <v>600</v>
      </c>
      <c r="BX526" s="32">
        <v>341</v>
      </c>
      <c r="BY526" s="31">
        <v>572</v>
      </c>
      <c r="BZ526" s="32">
        <v>338</v>
      </c>
      <c r="CA526" s="111">
        <v>335</v>
      </c>
      <c r="CB526" s="32">
        <v>588</v>
      </c>
      <c r="CC526" s="33">
        <v>516</v>
      </c>
      <c r="CD526" s="34">
        <v>742</v>
      </c>
      <c r="CE526" s="111">
        <v>374</v>
      </c>
      <c r="CF526" s="42">
        <v>391</v>
      </c>
      <c r="CG526" s="31">
        <v>228</v>
      </c>
      <c r="CH526" s="35">
        <v>158</v>
      </c>
      <c r="CI526" s="35">
        <v>330</v>
      </c>
      <c r="CJ526" s="35">
        <v>368</v>
      </c>
      <c r="CK526" s="32">
        <v>352</v>
      </c>
    </row>
    <row r="527" spans="1:89" ht="13" x14ac:dyDescent="0.25">
      <c r="A527" s="27">
        <v>8724</v>
      </c>
      <c r="B527" s="28" t="s">
        <v>550</v>
      </c>
      <c r="C527" s="29">
        <v>698</v>
      </c>
      <c r="D527" s="30">
        <v>524</v>
      </c>
      <c r="E527" s="20">
        <f t="shared" si="8"/>
        <v>0.75071633237822355</v>
      </c>
      <c r="F527" s="31">
        <v>0</v>
      </c>
      <c r="G527" s="111">
        <v>0</v>
      </c>
      <c r="H527" s="111">
        <v>0</v>
      </c>
      <c r="I527" s="111">
        <v>1</v>
      </c>
      <c r="J527" s="111">
        <v>1</v>
      </c>
      <c r="K527" s="111">
        <v>0</v>
      </c>
      <c r="L527" s="111">
        <v>0</v>
      </c>
      <c r="M527" s="111">
        <v>373</v>
      </c>
      <c r="N527" s="111">
        <v>0</v>
      </c>
      <c r="O527" s="111">
        <v>0</v>
      </c>
      <c r="P527" s="35">
        <v>4</v>
      </c>
      <c r="Q527" s="35">
        <v>0</v>
      </c>
      <c r="R527" s="35">
        <v>136</v>
      </c>
      <c r="S527" s="32">
        <v>0</v>
      </c>
      <c r="T527" s="37">
        <v>370</v>
      </c>
      <c r="U527" s="38">
        <v>140</v>
      </c>
      <c r="V527" s="37">
        <v>154</v>
      </c>
      <c r="W527" s="32">
        <v>360</v>
      </c>
      <c r="X527" s="31">
        <v>373</v>
      </c>
      <c r="Y527" s="32">
        <v>132</v>
      </c>
      <c r="Z527" s="111">
        <v>379</v>
      </c>
      <c r="AA527" s="35">
        <v>0</v>
      </c>
      <c r="AB527" s="35">
        <v>14</v>
      </c>
      <c r="AC527" s="35">
        <v>121</v>
      </c>
      <c r="AD527" s="35">
        <v>0</v>
      </c>
      <c r="AE527" s="33">
        <v>0</v>
      </c>
      <c r="AF527" s="116">
        <v>0</v>
      </c>
      <c r="AG527" s="120"/>
      <c r="AH527" s="38"/>
      <c r="AI527" s="37">
        <v>139</v>
      </c>
      <c r="AJ527" s="36">
        <v>366</v>
      </c>
      <c r="AK527" s="37">
        <v>138</v>
      </c>
      <c r="AL527" s="38">
        <v>373</v>
      </c>
      <c r="AM527" s="37"/>
      <c r="AN527" s="116"/>
      <c r="AO527" s="120"/>
      <c r="AP527" s="38"/>
      <c r="AQ527" s="37"/>
      <c r="AR527" s="116"/>
      <c r="AS527" s="120">
        <v>119</v>
      </c>
      <c r="AT527" s="38">
        <v>110</v>
      </c>
      <c r="AU527" s="37"/>
      <c r="AV527" s="120"/>
      <c r="AW527" s="120"/>
      <c r="AX527" s="37">
        <v>31</v>
      </c>
      <c r="AY527" s="38">
        <v>243</v>
      </c>
      <c r="AZ527" s="37"/>
      <c r="BA527" s="116"/>
      <c r="BB527" s="31">
        <v>139</v>
      </c>
      <c r="BC527" s="32">
        <v>367</v>
      </c>
      <c r="BD527" s="31">
        <v>137</v>
      </c>
      <c r="BE527" s="116">
        <v>364</v>
      </c>
      <c r="BF527" s="120">
        <v>367</v>
      </c>
      <c r="BG527" s="38">
        <v>137</v>
      </c>
      <c r="BH527" s="37">
        <v>154</v>
      </c>
      <c r="BI527" s="38">
        <v>356</v>
      </c>
      <c r="BJ527" s="111">
        <v>15</v>
      </c>
      <c r="BK527" s="33">
        <v>115</v>
      </c>
      <c r="BL527" s="115">
        <v>376</v>
      </c>
      <c r="BM527" s="111">
        <v>373</v>
      </c>
      <c r="BN527" s="35">
        <v>119</v>
      </c>
      <c r="BO527" s="32">
        <v>13</v>
      </c>
      <c r="BP527" s="31">
        <v>138</v>
      </c>
      <c r="BQ527" s="32">
        <v>368</v>
      </c>
      <c r="BR527" s="31">
        <v>349</v>
      </c>
      <c r="BS527" s="32">
        <v>160</v>
      </c>
      <c r="BT527" s="31">
        <v>141</v>
      </c>
      <c r="BU527" s="33">
        <v>13</v>
      </c>
      <c r="BV527" s="115">
        <v>348</v>
      </c>
      <c r="BW527" s="111">
        <v>376</v>
      </c>
      <c r="BX527" s="32">
        <v>133</v>
      </c>
      <c r="BY527" s="31">
        <v>373</v>
      </c>
      <c r="BZ527" s="32">
        <v>128</v>
      </c>
      <c r="CA527" s="111">
        <v>133</v>
      </c>
      <c r="CB527" s="32">
        <v>371</v>
      </c>
      <c r="CC527" s="33">
        <v>239</v>
      </c>
      <c r="CD527" s="34">
        <v>417</v>
      </c>
      <c r="CE527" s="120">
        <v>193</v>
      </c>
      <c r="CF527" s="42">
        <v>214</v>
      </c>
      <c r="CG527" s="31">
        <v>111</v>
      </c>
      <c r="CH527" s="35">
        <v>81</v>
      </c>
      <c r="CI527" s="35">
        <v>193</v>
      </c>
      <c r="CJ527" s="35">
        <v>205</v>
      </c>
      <c r="CK527" s="32">
        <v>185</v>
      </c>
    </row>
    <row r="528" spans="1:89" ht="13" x14ac:dyDescent="0.25">
      <c r="A528" s="27">
        <v>8725</v>
      </c>
      <c r="B528" s="28" t="s">
        <v>551</v>
      </c>
      <c r="C528" s="29">
        <v>954</v>
      </c>
      <c r="D528" s="30">
        <v>626</v>
      </c>
      <c r="E528" s="20">
        <f t="shared" si="8"/>
        <v>0.65618448637316562</v>
      </c>
      <c r="F528" s="31">
        <v>0</v>
      </c>
      <c r="G528" s="111">
        <v>0</v>
      </c>
      <c r="H528" s="111">
        <v>0</v>
      </c>
      <c r="I528" s="111">
        <v>0</v>
      </c>
      <c r="J528" s="111">
        <v>1</v>
      </c>
      <c r="K528" s="111">
        <v>0</v>
      </c>
      <c r="L528" s="111">
        <v>0</v>
      </c>
      <c r="M528" s="111">
        <v>468</v>
      </c>
      <c r="N528" s="111">
        <v>0</v>
      </c>
      <c r="O528" s="111">
        <v>0</v>
      </c>
      <c r="P528" s="35">
        <v>2</v>
      </c>
      <c r="Q528" s="35">
        <v>4</v>
      </c>
      <c r="R528" s="35">
        <v>143</v>
      </c>
      <c r="S528" s="32">
        <v>0</v>
      </c>
      <c r="T528" s="37">
        <v>467</v>
      </c>
      <c r="U528" s="38">
        <v>144</v>
      </c>
      <c r="V528" s="37">
        <v>160</v>
      </c>
      <c r="W528" s="32">
        <v>453</v>
      </c>
      <c r="X528" s="31">
        <v>458</v>
      </c>
      <c r="Y528" s="32">
        <v>142</v>
      </c>
      <c r="Z528" s="111">
        <v>473</v>
      </c>
      <c r="AA528" s="35">
        <v>0</v>
      </c>
      <c r="AB528" s="35">
        <v>19</v>
      </c>
      <c r="AC528" s="35">
        <v>128</v>
      </c>
      <c r="AD528" s="35">
        <v>0</v>
      </c>
      <c r="AE528" s="33">
        <v>0</v>
      </c>
      <c r="AF528" s="116">
        <v>0</v>
      </c>
      <c r="AG528" s="120"/>
      <c r="AH528" s="38"/>
      <c r="AI528" s="37">
        <v>139</v>
      </c>
      <c r="AJ528" s="36">
        <v>458</v>
      </c>
      <c r="AK528" s="37">
        <v>150</v>
      </c>
      <c r="AL528" s="38">
        <v>453</v>
      </c>
      <c r="AM528" s="37"/>
      <c r="AN528" s="116"/>
      <c r="AO528" s="120"/>
      <c r="AP528" s="38"/>
      <c r="AQ528" s="37"/>
      <c r="AR528" s="116"/>
      <c r="AS528" s="120"/>
      <c r="AT528" s="38"/>
      <c r="AU528" s="37"/>
      <c r="AV528" s="120"/>
      <c r="AW528" s="120"/>
      <c r="AX528" s="37">
        <v>151</v>
      </c>
      <c r="AY528" s="38">
        <v>445</v>
      </c>
      <c r="AZ528" s="37"/>
      <c r="BA528" s="116"/>
      <c r="BB528" s="31">
        <v>153</v>
      </c>
      <c r="BC528" s="32">
        <v>441</v>
      </c>
      <c r="BD528" s="31">
        <v>136</v>
      </c>
      <c r="BE528" s="116">
        <v>459</v>
      </c>
      <c r="BF528" s="120">
        <v>452</v>
      </c>
      <c r="BG528" s="38">
        <v>139</v>
      </c>
      <c r="BH528" s="37">
        <v>156</v>
      </c>
      <c r="BI528" s="38">
        <v>433</v>
      </c>
      <c r="BJ528" s="111">
        <v>22</v>
      </c>
      <c r="BK528" s="33">
        <v>121</v>
      </c>
      <c r="BL528" s="115">
        <v>453</v>
      </c>
      <c r="BM528" s="111">
        <v>452</v>
      </c>
      <c r="BN528" s="35">
        <v>122</v>
      </c>
      <c r="BO528" s="32">
        <v>21</v>
      </c>
      <c r="BP528" s="31">
        <v>139</v>
      </c>
      <c r="BQ528" s="32">
        <v>450</v>
      </c>
      <c r="BR528" s="31">
        <v>439</v>
      </c>
      <c r="BS528" s="32">
        <v>158</v>
      </c>
      <c r="BT528" s="31">
        <v>131</v>
      </c>
      <c r="BU528" s="33">
        <v>24</v>
      </c>
      <c r="BV528" s="115">
        <v>436</v>
      </c>
      <c r="BW528" s="111">
        <v>447</v>
      </c>
      <c r="BX528" s="32">
        <v>154</v>
      </c>
      <c r="BY528" s="31">
        <v>453</v>
      </c>
      <c r="BZ528" s="32">
        <v>132</v>
      </c>
      <c r="CA528" s="111">
        <v>130</v>
      </c>
      <c r="CB528" s="32">
        <v>459</v>
      </c>
      <c r="CC528" s="33">
        <v>266</v>
      </c>
      <c r="CD528" s="34">
        <v>518</v>
      </c>
      <c r="CE528" s="120">
        <v>186</v>
      </c>
      <c r="CF528" s="42">
        <v>317</v>
      </c>
      <c r="CG528" s="31">
        <v>137</v>
      </c>
      <c r="CH528" s="35">
        <v>56</v>
      </c>
      <c r="CI528" s="35">
        <v>261</v>
      </c>
      <c r="CJ528" s="35">
        <v>293</v>
      </c>
      <c r="CK528" s="32">
        <v>181</v>
      </c>
    </row>
    <row r="529" spans="1:89" ht="13" x14ac:dyDescent="0.25">
      <c r="A529" s="27">
        <v>8726</v>
      </c>
      <c r="B529" s="28" t="s">
        <v>552</v>
      </c>
      <c r="C529" s="29">
        <v>682</v>
      </c>
      <c r="D529" s="30">
        <v>509</v>
      </c>
      <c r="E529" s="20">
        <f t="shared" si="8"/>
        <v>0.74633431085043989</v>
      </c>
      <c r="F529" s="31">
        <v>0</v>
      </c>
      <c r="G529" s="111">
        <v>0</v>
      </c>
      <c r="H529" s="111">
        <v>0</v>
      </c>
      <c r="I529" s="111">
        <v>1</v>
      </c>
      <c r="J529" s="111">
        <v>1</v>
      </c>
      <c r="K529" s="111">
        <v>0</v>
      </c>
      <c r="L529" s="111">
        <v>0</v>
      </c>
      <c r="M529" s="111">
        <v>346</v>
      </c>
      <c r="N529" s="111">
        <v>0</v>
      </c>
      <c r="O529" s="111">
        <v>0</v>
      </c>
      <c r="P529" s="35">
        <v>1</v>
      </c>
      <c r="Q529" s="35">
        <v>5</v>
      </c>
      <c r="R529" s="35">
        <v>147</v>
      </c>
      <c r="S529" s="32">
        <v>1</v>
      </c>
      <c r="T529" s="37">
        <v>329</v>
      </c>
      <c r="U529" s="38">
        <v>157</v>
      </c>
      <c r="V529" s="37">
        <v>173</v>
      </c>
      <c r="W529" s="32">
        <v>317</v>
      </c>
      <c r="X529" s="31">
        <v>332</v>
      </c>
      <c r="Y529" s="32">
        <v>147</v>
      </c>
      <c r="Z529" s="111">
        <v>348</v>
      </c>
      <c r="AA529" s="35">
        <v>0</v>
      </c>
      <c r="AB529" s="35">
        <v>13</v>
      </c>
      <c r="AC529" s="35">
        <v>133</v>
      </c>
      <c r="AD529" s="35">
        <v>0</v>
      </c>
      <c r="AE529" s="33">
        <v>0</v>
      </c>
      <c r="AF529" s="116">
        <v>0</v>
      </c>
      <c r="AG529" s="120"/>
      <c r="AH529" s="38"/>
      <c r="AI529" s="37">
        <v>145</v>
      </c>
      <c r="AJ529" s="36">
        <v>332</v>
      </c>
      <c r="AK529" s="37">
        <v>160</v>
      </c>
      <c r="AL529" s="38">
        <v>324</v>
      </c>
      <c r="AM529" s="37"/>
      <c r="AN529" s="116"/>
      <c r="AO529" s="120"/>
      <c r="AP529" s="38"/>
      <c r="AQ529" s="37"/>
      <c r="AR529" s="116"/>
      <c r="AS529" s="120">
        <v>340</v>
      </c>
      <c r="AT529" s="38">
        <v>137</v>
      </c>
      <c r="AU529" s="37"/>
      <c r="AV529" s="120"/>
      <c r="AW529" s="120"/>
      <c r="AX529" s="37"/>
      <c r="AY529" s="38"/>
      <c r="AZ529" s="37"/>
      <c r="BA529" s="116"/>
      <c r="BB529" s="31">
        <v>152</v>
      </c>
      <c r="BC529" s="32">
        <v>322</v>
      </c>
      <c r="BD529" s="31">
        <v>141</v>
      </c>
      <c r="BE529" s="116">
        <v>333</v>
      </c>
      <c r="BF529" s="120">
        <v>327</v>
      </c>
      <c r="BG529" s="38">
        <v>142</v>
      </c>
      <c r="BH529" s="37">
        <v>156</v>
      </c>
      <c r="BI529" s="38">
        <v>313</v>
      </c>
      <c r="BJ529" s="111">
        <v>26</v>
      </c>
      <c r="BK529" s="33">
        <v>124</v>
      </c>
      <c r="BL529" s="115">
        <v>324</v>
      </c>
      <c r="BM529" s="111">
        <v>337</v>
      </c>
      <c r="BN529" s="35">
        <v>120</v>
      </c>
      <c r="BO529" s="32">
        <v>20</v>
      </c>
      <c r="BP529" s="31">
        <v>142</v>
      </c>
      <c r="BQ529" s="32">
        <v>324</v>
      </c>
      <c r="BR529" s="31">
        <v>303</v>
      </c>
      <c r="BS529" s="32">
        <v>175</v>
      </c>
      <c r="BT529" s="31">
        <v>125</v>
      </c>
      <c r="BU529" s="33">
        <v>25</v>
      </c>
      <c r="BV529" s="115">
        <v>317</v>
      </c>
      <c r="BW529" s="111">
        <v>345</v>
      </c>
      <c r="BX529" s="32">
        <v>132</v>
      </c>
      <c r="BY529" s="31">
        <v>331</v>
      </c>
      <c r="BZ529" s="32">
        <v>141</v>
      </c>
      <c r="CA529" s="111">
        <v>142</v>
      </c>
      <c r="CB529" s="32">
        <v>328</v>
      </c>
      <c r="CC529" s="33">
        <v>241</v>
      </c>
      <c r="CD529" s="34">
        <v>390</v>
      </c>
      <c r="CE529" s="120">
        <v>178</v>
      </c>
      <c r="CF529" s="42">
        <v>205</v>
      </c>
      <c r="CG529" s="31">
        <v>111</v>
      </c>
      <c r="CH529" s="35">
        <v>90</v>
      </c>
      <c r="CI529" s="35">
        <v>175</v>
      </c>
      <c r="CJ529" s="35">
        <v>196</v>
      </c>
      <c r="CK529" s="32">
        <v>154</v>
      </c>
    </row>
    <row r="530" spans="1:89" ht="13" x14ac:dyDescent="0.25">
      <c r="A530" s="27">
        <v>8727</v>
      </c>
      <c r="B530" s="28" t="s">
        <v>553</v>
      </c>
      <c r="C530" s="29">
        <v>1118</v>
      </c>
      <c r="D530" s="30">
        <v>792</v>
      </c>
      <c r="E530" s="20">
        <f t="shared" si="8"/>
        <v>0.70840787119856885</v>
      </c>
      <c r="F530" s="31">
        <v>0</v>
      </c>
      <c r="G530" s="111">
        <v>0</v>
      </c>
      <c r="H530" s="111">
        <v>0</v>
      </c>
      <c r="I530" s="111">
        <v>0</v>
      </c>
      <c r="J530" s="111">
        <v>5</v>
      </c>
      <c r="K530" s="111">
        <v>0</v>
      </c>
      <c r="L530" s="111">
        <v>0</v>
      </c>
      <c r="M530" s="111">
        <v>522</v>
      </c>
      <c r="N530" s="111">
        <v>0</v>
      </c>
      <c r="O530" s="111">
        <v>0</v>
      </c>
      <c r="P530" s="35">
        <v>5</v>
      </c>
      <c r="Q530" s="35">
        <v>0</v>
      </c>
      <c r="R530" s="35">
        <v>255</v>
      </c>
      <c r="S530" s="32">
        <v>1</v>
      </c>
      <c r="T530" s="37">
        <v>519</v>
      </c>
      <c r="U530" s="38">
        <v>245</v>
      </c>
      <c r="V530" s="37">
        <v>267</v>
      </c>
      <c r="W530" s="32">
        <v>500</v>
      </c>
      <c r="X530" s="31">
        <v>523</v>
      </c>
      <c r="Y530" s="32">
        <v>231</v>
      </c>
      <c r="Z530" s="111">
        <v>534</v>
      </c>
      <c r="AA530" s="35">
        <v>0</v>
      </c>
      <c r="AB530" s="35">
        <v>25</v>
      </c>
      <c r="AC530" s="35">
        <v>217</v>
      </c>
      <c r="AD530" s="35">
        <v>0</v>
      </c>
      <c r="AE530" s="33">
        <v>0</v>
      </c>
      <c r="AF530" s="116">
        <v>0</v>
      </c>
      <c r="AG530" s="120"/>
      <c r="AH530" s="38"/>
      <c r="AI530" s="37">
        <v>231</v>
      </c>
      <c r="AJ530" s="36">
        <v>521</v>
      </c>
      <c r="AK530" s="37"/>
      <c r="AL530" s="38"/>
      <c r="AM530" s="37"/>
      <c r="AN530" s="116"/>
      <c r="AO530" s="120"/>
      <c r="AP530" s="38"/>
      <c r="AQ530" s="37"/>
      <c r="AR530" s="116"/>
      <c r="AS530" s="120"/>
      <c r="AT530" s="38"/>
      <c r="AU530" s="37">
        <v>530</v>
      </c>
      <c r="AV530" s="120">
        <v>0</v>
      </c>
      <c r="AW530" s="120">
        <v>228</v>
      </c>
      <c r="AX530" s="37"/>
      <c r="AY530" s="38"/>
      <c r="AZ530" s="37"/>
      <c r="BA530" s="116"/>
      <c r="BB530" s="31">
        <v>245</v>
      </c>
      <c r="BC530" s="32">
        <v>501</v>
      </c>
      <c r="BD530" s="31">
        <v>233</v>
      </c>
      <c r="BE530" s="116">
        <v>508</v>
      </c>
      <c r="BF530" s="120">
        <v>493</v>
      </c>
      <c r="BG530" s="38">
        <v>241</v>
      </c>
      <c r="BH530" s="37">
        <v>258</v>
      </c>
      <c r="BI530" s="38">
        <v>479</v>
      </c>
      <c r="BJ530" s="111">
        <v>30</v>
      </c>
      <c r="BK530" s="33">
        <v>205</v>
      </c>
      <c r="BL530" s="115">
        <v>522</v>
      </c>
      <c r="BM530" s="111">
        <v>507</v>
      </c>
      <c r="BN530" s="35">
        <v>210</v>
      </c>
      <c r="BO530" s="32">
        <v>25</v>
      </c>
      <c r="BP530" s="31">
        <v>231</v>
      </c>
      <c r="BQ530" s="32">
        <v>508</v>
      </c>
      <c r="BR530" s="31">
        <v>478</v>
      </c>
      <c r="BS530" s="32">
        <v>274</v>
      </c>
      <c r="BT530" s="31">
        <v>229</v>
      </c>
      <c r="BU530" s="33">
        <v>29</v>
      </c>
      <c r="BV530" s="115">
        <v>485</v>
      </c>
      <c r="BW530" s="111">
        <v>515</v>
      </c>
      <c r="BX530" s="32">
        <v>251</v>
      </c>
      <c r="BY530" s="31">
        <v>503</v>
      </c>
      <c r="BZ530" s="32">
        <v>219</v>
      </c>
      <c r="CA530" s="111">
        <v>238</v>
      </c>
      <c r="CB530" s="32">
        <v>508</v>
      </c>
      <c r="CC530" s="33">
        <v>411</v>
      </c>
      <c r="CD530" s="34">
        <v>627</v>
      </c>
      <c r="CE530" s="120">
        <v>260</v>
      </c>
      <c r="CF530" s="38">
        <v>372</v>
      </c>
      <c r="CG530" s="31">
        <v>168</v>
      </c>
      <c r="CH530" s="35">
        <v>97</v>
      </c>
      <c r="CI530" s="35">
        <v>294</v>
      </c>
      <c r="CJ530" s="35">
        <v>308</v>
      </c>
      <c r="CK530" s="32">
        <v>259</v>
      </c>
    </row>
    <row r="531" spans="1:89" ht="13" x14ac:dyDescent="0.25">
      <c r="A531" s="27">
        <v>8728</v>
      </c>
      <c r="B531" s="28" t="s">
        <v>554</v>
      </c>
      <c r="C531" s="29">
        <v>643</v>
      </c>
      <c r="D531" s="30">
        <v>527</v>
      </c>
      <c r="E531" s="20">
        <f t="shared" si="8"/>
        <v>0.81959564541213059</v>
      </c>
      <c r="F531" s="31">
        <v>0</v>
      </c>
      <c r="G531" s="111">
        <v>0</v>
      </c>
      <c r="H531" s="111">
        <v>0</v>
      </c>
      <c r="I531" s="111">
        <v>0</v>
      </c>
      <c r="J531" s="111">
        <v>1</v>
      </c>
      <c r="K531" s="111">
        <v>0</v>
      </c>
      <c r="L531" s="111">
        <v>0</v>
      </c>
      <c r="M531" s="111">
        <v>249</v>
      </c>
      <c r="N531" s="111">
        <v>0</v>
      </c>
      <c r="O531" s="111">
        <v>0</v>
      </c>
      <c r="P531" s="35">
        <v>5</v>
      </c>
      <c r="Q531" s="35">
        <v>1</v>
      </c>
      <c r="R531" s="35">
        <v>262</v>
      </c>
      <c r="S531" s="32">
        <v>0</v>
      </c>
      <c r="T531" s="37">
        <v>230</v>
      </c>
      <c r="U531" s="38">
        <v>291</v>
      </c>
      <c r="V531" s="37">
        <v>303</v>
      </c>
      <c r="W531" s="32">
        <v>215</v>
      </c>
      <c r="X531" s="31">
        <v>232</v>
      </c>
      <c r="Y531" s="32">
        <v>278</v>
      </c>
      <c r="Z531" s="111">
        <v>253</v>
      </c>
      <c r="AA531" s="35">
        <v>0</v>
      </c>
      <c r="AB531" s="35">
        <v>9</v>
      </c>
      <c r="AC531" s="35">
        <v>255</v>
      </c>
      <c r="AD531" s="35">
        <v>0</v>
      </c>
      <c r="AE531" s="33">
        <v>0</v>
      </c>
      <c r="AF531" s="116">
        <v>0</v>
      </c>
      <c r="AG531" s="120"/>
      <c r="AH531" s="38"/>
      <c r="AI531" s="37">
        <v>278</v>
      </c>
      <c r="AJ531" s="36">
        <v>228</v>
      </c>
      <c r="AK531" s="37">
        <v>285</v>
      </c>
      <c r="AL531" s="38">
        <v>224</v>
      </c>
      <c r="AM531" s="37"/>
      <c r="AN531" s="116"/>
      <c r="AO531" s="120"/>
      <c r="AP531" s="38"/>
      <c r="AQ531" s="37"/>
      <c r="AR531" s="116"/>
      <c r="AS531" s="120"/>
      <c r="AT531" s="38"/>
      <c r="AU531" s="37"/>
      <c r="AV531" s="120"/>
      <c r="AW531" s="120"/>
      <c r="AX531" s="37">
        <v>277</v>
      </c>
      <c r="AY531" s="38">
        <v>228</v>
      </c>
      <c r="AZ531" s="37"/>
      <c r="BA531" s="116"/>
      <c r="BB531" s="31">
        <v>279</v>
      </c>
      <c r="BC531" s="32">
        <v>228</v>
      </c>
      <c r="BD531" s="31">
        <v>271</v>
      </c>
      <c r="BE531" s="116">
        <v>232</v>
      </c>
      <c r="BF531" s="120">
        <v>235</v>
      </c>
      <c r="BG531" s="38">
        <v>262</v>
      </c>
      <c r="BH531" s="37">
        <v>292</v>
      </c>
      <c r="BI531" s="38">
        <v>215</v>
      </c>
      <c r="BJ531" s="111">
        <v>17</v>
      </c>
      <c r="BK531" s="33">
        <v>251</v>
      </c>
      <c r="BL531" s="115">
        <v>234</v>
      </c>
      <c r="BM531" s="111">
        <v>241</v>
      </c>
      <c r="BN531" s="35">
        <v>241</v>
      </c>
      <c r="BO531" s="32">
        <v>16</v>
      </c>
      <c r="BP531" s="31">
        <v>277</v>
      </c>
      <c r="BQ531" s="32">
        <v>226</v>
      </c>
      <c r="BR531" s="31">
        <v>216</v>
      </c>
      <c r="BS531" s="32">
        <v>296</v>
      </c>
      <c r="BT531" s="31">
        <v>255</v>
      </c>
      <c r="BU531" s="33">
        <v>13</v>
      </c>
      <c r="BV531" s="115">
        <v>228</v>
      </c>
      <c r="BW531" s="111">
        <v>244</v>
      </c>
      <c r="BX531" s="32">
        <v>266</v>
      </c>
      <c r="BY531" s="31">
        <v>237</v>
      </c>
      <c r="BZ531" s="32">
        <v>258</v>
      </c>
      <c r="CA531" s="111">
        <v>268</v>
      </c>
      <c r="CB531" s="32">
        <v>236</v>
      </c>
      <c r="CC531" s="33">
        <v>352</v>
      </c>
      <c r="CD531" s="34">
        <v>376</v>
      </c>
      <c r="CE531" s="120">
        <v>258</v>
      </c>
      <c r="CF531" s="42">
        <v>167</v>
      </c>
      <c r="CG531" s="31">
        <v>117</v>
      </c>
      <c r="CH531" s="35">
        <v>138</v>
      </c>
      <c r="CI531" s="35">
        <v>125</v>
      </c>
      <c r="CJ531" s="35">
        <v>152</v>
      </c>
      <c r="CK531" s="32">
        <v>261</v>
      </c>
    </row>
    <row r="532" spans="1:89" ht="13" x14ac:dyDescent="0.25">
      <c r="A532" s="27">
        <v>8901</v>
      </c>
      <c r="B532" s="28" t="s">
        <v>555</v>
      </c>
      <c r="C532" s="29">
        <v>122</v>
      </c>
      <c r="D532" s="30">
        <v>85</v>
      </c>
      <c r="E532" s="20">
        <f t="shared" si="8"/>
        <v>0.69672131147540983</v>
      </c>
      <c r="F532" s="31">
        <v>0</v>
      </c>
      <c r="G532" s="111">
        <v>0</v>
      </c>
      <c r="H532" s="111">
        <v>0</v>
      </c>
      <c r="I532" s="111">
        <v>0</v>
      </c>
      <c r="J532" s="111">
        <v>0</v>
      </c>
      <c r="K532" s="111">
        <v>0</v>
      </c>
      <c r="L532" s="111">
        <v>0</v>
      </c>
      <c r="M532" s="111">
        <v>75</v>
      </c>
      <c r="N532" s="111">
        <v>0</v>
      </c>
      <c r="O532" s="111">
        <v>0</v>
      </c>
      <c r="P532" s="35">
        <v>0</v>
      </c>
      <c r="Q532" s="35">
        <v>0</v>
      </c>
      <c r="R532" s="35">
        <v>10</v>
      </c>
      <c r="S532" s="32">
        <v>0</v>
      </c>
      <c r="T532" s="37">
        <v>70</v>
      </c>
      <c r="U532" s="38">
        <v>13</v>
      </c>
      <c r="V532" s="37">
        <v>12</v>
      </c>
      <c r="W532" s="32">
        <v>72</v>
      </c>
      <c r="X532" s="31">
        <v>68</v>
      </c>
      <c r="Y532" s="32">
        <v>10</v>
      </c>
      <c r="Z532" s="111">
        <v>75</v>
      </c>
      <c r="AA532" s="35">
        <v>0</v>
      </c>
      <c r="AB532" s="35">
        <v>4</v>
      </c>
      <c r="AC532" s="35">
        <v>5</v>
      </c>
      <c r="AD532" s="35">
        <v>0</v>
      </c>
      <c r="AE532" s="33">
        <v>0</v>
      </c>
      <c r="AF532" s="116">
        <v>0</v>
      </c>
      <c r="AG532" s="120">
        <v>74</v>
      </c>
      <c r="AH532" s="38">
        <v>10</v>
      </c>
      <c r="AI532" s="37"/>
      <c r="AJ532" s="36"/>
      <c r="AK532" s="37">
        <v>10</v>
      </c>
      <c r="AL532" s="38">
        <v>71</v>
      </c>
      <c r="AM532" s="37"/>
      <c r="AN532" s="116"/>
      <c r="AO532" s="120"/>
      <c r="AP532" s="38"/>
      <c r="AQ532" s="37"/>
      <c r="AR532" s="116"/>
      <c r="AS532" s="120">
        <v>71</v>
      </c>
      <c r="AT532" s="38">
        <v>10</v>
      </c>
      <c r="AU532" s="37"/>
      <c r="AV532" s="120"/>
      <c r="AW532" s="120"/>
      <c r="AX532" s="37"/>
      <c r="AY532" s="38"/>
      <c r="AZ532" s="37"/>
      <c r="BA532" s="116"/>
      <c r="BB532" s="31">
        <v>11</v>
      </c>
      <c r="BC532" s="32">
        <v>69</v>
      </c>
      <c r="BD532" s="31">
        <v>12</v>
      </c>
      <c r="BE532" s="116">
        <v>71</v>
      </c>
      <c r="BF532" s="120">
        <v>70</v>
      </c>
      <c r="BG532" s="38">
        <v>10</v>
      </c>
      <c r="BH532" s="37">
        <v>12</v>
      </c>
      <c r="BI532" s="38">
        <v>71</v>
      </c>
      <c r="BJ532" s="111">
        <v>3</v>
      </c>
      <c r="BK532" s="33">
        <v>5</v>
      </c>
      <c r="BL532" s="115">
        <v>75</v>
      </c>
      <c r="BM532" s="111">
        <v>70</v>
      </c>
      <c r="BN532" s="35">
        <v>8</v>
      </c>
      <c r="BO532" s="32">
        <v>3</v>
      </c>
      <c r="BP532" s="31">
        <v>11</v>
      </c>
      <c r="BQ532" s="32">
        <v>72</v>
      </c>
      <c r="BR532" s="31">
        <v>68</v>
      </c>
      <c r="BS532" s="32">
        <v>17</v>
      </c>
      <c r="BT532" s="31">
        <v>7</v>
      </c>
      <c r="BU532" s="33">
        <v>7</v>
      </c>
      <c r="BV532" s="115">
        <v>70</v>
      </c>
      <c r="BW532" s="111">
        <v>74</v>
      </c>
      <c r="BX532" s="32">
        <v>11</v>
      </c>
      <c r="BY532" s="31">
        <v>74</v>
      </c>
      <c r="BZ532" s="32">
        <v>10</v>
      </c>
      <c r="CA532" s="111">
        <v>10</v>
      </c>
      <c r="CB532" s="32">
        <v>73</v>
      </c>
      <c r="CC532" s="33">
        <v>30</v>
      </c>
      <c r="CD532" s="34">
        <v>80</v>
      </c>
      <c r="CE532" s="120">
        <v>43</v>
      </c>
      <c r="CF532" s="42">
        <v>29</v>
      </c>
      <c r="CG532" s="31">
        <v>27</v>
      </c>
      <c r="CH532" s="35">
        <v>6</v>
      </c>
      <c r="CI532" s="35">
        <v>38</v>
      </c>
      <c r="CJ532" s="35">
        <v>28</v>
      </c>
      <c r="CK532" s="32">
        <v>27</v>
      </c>
    </row>
    <row r="533" spans="1:89" ht="13" x14ac:dyDescent="0.25">
      <c r="A533" s="27">
        <v>8902</v>
      </c>
      <c r="B533" s="28" t="s">
        <v>556</v>
      </c>
      <c r="C533" s="29">
        <v>1253</v>
      </c>
      <c r="D533" s="30">
        <v>890</v>
      </c>
      <c r="E533" s="20">
        <f t="shared" si="8"/>
        <v>0.71029529130087787</v>
      </c>
      <c r="F533" s="31">
        <v>0</v>
      </c>
      <c r="G533" s="111">
        <v>0</v>
      </c>
      <c r="H533" s="111">
        <v>0</v>
      </c>
      <c r="I533" s="111">
        <v>0</v>
      </c>
      <c r="J533" s="111">
        <v>0</v>
      </c>
      <c r="K533" s="111">
        <v>0</v>
      </c>
      <c r="L533" s="111">
        <v>0</v>
      </c>
      <c r="M533" s="111">
        <v>371</v>
      </c>
      <c r="N533" s="111">
        <v>0</v>
      </c>
      <c r="O533" s="111">
        <v>0</v>
      </c>
      <c r="P533" s="35">
        <v>7</v>
      </c>
      <c r="Q533" s="35">
        <v>3</v>
      </c>
      <c r="R533" s="35">
        <v>499</v>
      </c>
      <c r="S533" s="32">
        <v>0</v>
      </c>
      <c r="T533" s="37">
        <v>364</v>
      </c>
      <c r="U533" s="38">
        <v>493</v>
      </c>
      <c r="V533" s="37">
        <v>518</v>
      </c>
      <c r="W533" s="32">
        <v>342</v>
      </c>
      <c r="X533" s="31">
        <v>356</v>
      </c>
      <c r="Y533" s="32">
        <v>481</v>
      </c>
      <c r="Z533" s="111">
        <v>385</v>
      </c>
      <c r="AA533" s="35">
        <v>0</v>
      </c>
      <c r="AB533" s="35">
        <v>30</v>
      </c>
      <c r="AC533" s="35">
        <v>455</v>
      </c>
      <c r="AD533" s="35">
        <v>0</v>
      </c>
      <c r="AE533" s="33">
        <v>0</v>
      </c>
      <c r="AF533" s="116">
        <v>0</v>
      </c>
      <c r="AG533" s="120">
        <v>394</v>
      </c>
      <c r="AH533" s="38">
        <v>455</v>
      </c>
      <c r="AI533" s="37"/>
      <c r="AJ533" s="36"/>
      <c r="AK533" s="37"/>
      <c r="AL533" s="38"/>
      <c r="AM533" s="37"/>
      <c r="AN533" s="116"/>
      <c r="AO533" s="120"/>
      <c r="AP533" s="38"/>
      <c r="AQ533" s="37"/>
      <c r="AR533" s="116"/>
      <c r="AS533" s="120"/>
      <c r="AT533" s="38"/>
      <c r="AU533" s="37">
        <v>362</v>
      </c>
      <c r="AV533" s="120">
        <v>0</v>
      </c>
      <c r="AW533" s="120">
        <v>486</v>
      </c>
      <c r="AX533" s="37"/>
      <c r="AY533" s="38"/>
      <c r="AZ533" s="37"/>
      <c r="BA533" s="116"/>
      <c r="BB533" s="31">
        <v>488</v>
      </c>
      <c r="BC533" s="32">
        <v>340</v>
      </c>
      <c r="BD533" s="31">
        <v>478</v>
      </c>
      <c r="BE533" s="116">
        <v>346</v>
      </c>
      <c r="BF533" s="120">
        <v>356</v>
      </c>
      <c r="BG533" s="38">
        <v>466</v>
      </c>
      <c r="BH533" s="37">
        <v>496</v>
      </c>
      <c r="BI533" s="38">
        <v>321</v>
      </c>
      <c r="BJ533" s="111">
        <v>38</v>
      </c>
      <c r="BK533" s="33">
        <v>450</v>
      </c>
      <c r="BL533" s="115">
        <v>352</v>
      </c>
      <c r="BM533" s="111">
        <v>351</v>
      </c>
      <c r="BN533" s="35">
        <v>444</v>
      </c>
      <c r="BO533" s="32">
        <v>39</v>
      </c>
      <c r="BP533" s="31">
        <v>475</v>
      </c>
      <c r="BQ533" s="32">
        <v>353</v>
      </c>
      <c r="BR533" s="31">
        <v>313</v>
      </c>
      <c r="BS533" s="32">
        <v>527</v>
      </c>
      <c r="BT533" s="31">
        <v>448</v>
      </c>
      <c r="BU533" s="33">
        <v>45</v>
      </c>
      <c r="BV533" s="115">
        <v>332</v>
      </c>
      <c r="BW533" s="111">
        <v>366</v>
      </c>
      <c r="BX533" s="32">
        <v>483</v>
      </c>
      <c r="BY533" s="31">
        <v>346</v>
      </c>
      <c r="BZ533" s="32">
        <v>473</v>
      </c>
      <c r="CA533" s="111">
        <v>468</v>
      </c>
      <c r="CB533" s="32">
        <v>362</v>
      </c>
      <c r="CC533" s="33">
        <v>591</v>
      </c>
      <c r="CD533" s="34">
        <v>570</v>
      </c>
      <c r="CE533" s="120">
        <v>423</v>
      </c>
      <c r="CF533" s="38">
        <v>259</v>
      </c>
      <c r="CG533" s="31">
        <v>221</v>
      </c>
      <c r="CH533" s="35">
        <v>223</v>
      </c>
      <c r="CI533" s="35">
        <v>179</v>
      </c>
      <c r="CJ533" s="35">
        <v>219</v>
      </c>
      <c r="CK533" s="32">
        <v>406</v>
      </c>
    </row>
    <row r="534" spans="1:89" ht="13" x14ac:dyDescent="0.25">
      <c r="A534" s="27">
        <v>8903</v>
      </c>
      <c r="B534" s="28" t="s">
        <v>557</v>
      </c>
      <c r="C534" s="29">
        <v>1416</v>
      </c>
      <c r="D534" s="30">
        <v>997</v>
      </c>
      <c r="E534" s="20">
        <f t="shared" si="8"/>
        <v>0.70409604519774016</v>
      </c>
      <c r="F534" s="31">
        <v>0</v>
      </c>
      <c r="G534" s="111">
        <v>0</v>
      </c>
      <c r="H534" s="111">
        <v>0</v>
      </c>
      <c r="I534" s="111">
        <v>0</v>
      </c>
      <c r="J534" s="111">
        <v>2</v>
      </c>
      <c r="K534" s="111">
        <v>0</v>
      </c>
      <c r="L534" s="111">
        <v>0</v>
      </c>
      <c r="M534" s="111">
        <v>445</v>
      </c>
      <c r="N534" s="111">
        <v>0</v>
      </c>
      <c r="O534" s="111">
        <v>0</v>
      </c>
      <c r="P534" s="35">
        <v>5</v>
      </c>
      <c r="Q534" s="35">
        <v>2</v>
      </c>
      <c r="R534" s="35">
        <v>529</v>
      </c>
      <c r="S534" s="32">
        <v>0</v>
      </c>
      <c r="T534" s="37">
        <v>437</v>
      </c>
      <c r="U534" s="38">
        <v>520</v>
      </c>
      <c r="V534" s="37">
        <v>542</v>
      </c>
      <c r="W534" s="32">
        <v>414</v>
      </c>
      <c r="X534" s="31">
        <v>436</v>
      </c>
      <c r="Y534" s="32">
        <v>509</v>
      </c>
      <c r="Z534" s="111">
        <v>468</v>
      </c>
      <c r="AA534" s="35">
        <v>0</v>
      </c>
      <c r="AB534" s="35">
        <v>59</v>
      </c>
      <c r="AC534" s="35">
        <v>449</v>
      </c>
      <c r="AD534" s="35">
        <v>0</v>
      </c>
      <c r="AE534" s="33">
        <v>0</v>
      </c>
      <c r="AF534" s="116">
        <v>0</v>
      </c>
      <c r="AG534" s="120">
        <v>454</v>
      </c>
      <c r="AH534" s="38">
        <v>489</v>
      </c>
      <c r="AI534" s="37"/>
      <c r="AJ534" s="36"/>
      <c r="AK534" s="37"/>
      <c r="AL534" s="38"/>
      <c r="AM534" s="37"/>
      <c r="AN534" s="116"/>
      <c r="AO534" s="120"/>
      <c r="AP534" s="38"/>
      <c r="AQ534" s="37"/>
      <c r="AR534" s="116"/>
      <c r="AS534" s="120"/>
      <c r="AT534" s="38"/>
      <c r="AU534" s="37">
        <v>432</v>
      </c>
      <c r="AV534" s="120">
        <v>0</v>
      </c>
      <c r="AW534" s="120">
        <v>510</v>
      </c>
      <c r="AX534" s="37"/>
      <c r="AY534" s="38"/>
      <c r="AZ534" s="37"/>
      <c r="BA534" s="116"/>
      <c r="BB534" s="31">
        <v>516</v>
      </c>
      <c r="BC534" s="32">
        <v>416</v>
      </c>
      <c r="BD534" s="31">
        <v>510</v>
      </c>
      <c r="BE534" s="116">
        <v>422</v>
      </c>
      <c r="BF534" s="120">
        <v>417</v>
      </c>
      <c r="BG534" s="38">
        <v>512</v>
      </c>
      <c r="BH534" s="37">
        <v>534</v>
      </c>
      <c r="BI534" s="38">
        <v>397</v>
      </c>
      <c r="BJ534" s="111">
        <v>57</v>
      </c>
      <c r="BK534" s="33">
        <v>474</v>
      </c>
      <c r="BL534" s="115">
        <v>416</v>
      </c>
      <c r="BM534" s="111">
        <v>429</v>
      </c>
      <c r="BN534" s="35">
        <v>464</v>
      </c>
      <c r="BO534" s="32">
        <v>39</v>
      </c>
      <c r="BP534" s="31">
        <v>508</v>
      </c>
      <c r="BQ534" s="32">
        <v>424</v>
      </c>
      <c r="BR534" s="31">
        <v>387</v>
      </c>
      <c r="BS534" s="32">
        <v>552</v>
      </c>
      <c r="BT534" s="31">
        <v>494</v>
      </c>
      <c r="BU534" s="33">
        <v>57</v>
      </c>
      <c r="BV534" s="115">
        <v>383</v>
      </c>
      <c r="BW534" s="111">
        <v>444</v>
      </c>
      <c r="BX534" s="32">
        <v>509</v>
      </c>
      <c r="BY534" s="31">
        <v>428</v>
      </c>
      <c r="BZ534" s="32">
        <v>491</v>
      </c>
      <c r="CA534" s="111">
        <v>495</v>
      </c>
      <c r="CB534" s="32">
        <v>434</v>
      </c>
      <c r="CC534" s="33">
        <v>679</v>
      </c>
      <c r="CD534" s="34">
        <v>679</v>
      </c>
      <c r="CE534" s="120">
        <v>473</v>
      </c>
      <c r="CF534" s="42">
        <v>336</v>
      </c>
      <c r="CG534" s="31">
        <v>219</v>
      </c>
      <c r="CH534" s="35">
        <v>280</v>
      </c>
      <c r="CI534" s="35">
        <v>218</v>
      </c>
      <c r="CJ534" s="35">
        <v>267</v>
      </c>
      <c r="CK534" s="32">
        <v>454</v>
      </c>
    </row>
    <row r="535" spans="1:89" ht="13" x14ac:dyDescent="0.25">
      <c r="A535" s="27">
        <v>8904</v>
      </c>
      <c r="B535" s="28" t="s">
        <v>558</v>
      </c>
      <c r="C535" s="29">
        <v>739</v>
      </c>
      <c r="D535" s="30">
        <v>601</v>
      </c>
      <c r="E535" s="20">
        <f t="shared" si="8"/>
        <v>0.81326116373477675</v>
      </c>
      <c r="F535" s="31">
        <v>0</v>
      </c>
      <c r="G535" s="111">
        <v>0</v>
      </c>
      <c r="H535" s="111">
        <v>0</v>
      </c>
      <c r="I535" s="111">
        <v>0</v>
      </c>
      <c r="J535" s="111">
        <v>3</v>
      </c>
      <c r="K535" s="111">
        <v>0</v>
      </c>
      <c r="L535" s="111">
        <v>0</v>
      </c>
      <c r="M535" s="111">
        <v>290</v>
      </c>
      <c r="N535" s="111">
        <v>0</v>
      </c>
      <c r="O535" s="111">
        <v>0</v>
      </c>
      <c r="P535" s="35">
        <v>1</v>
      </c>
      <c r="Q535" s="35">
        <v>4</v>
      </c>
      <c r="R535" s="35">
        <v>285</v>
      </c>
      <c r="S535" s="32">
        <v>0</v>
      </c>
      <c r="T535" s="37">
        <v>278</v>
      </c>
      <c r="U535" s="38">
        <v>308</v>
      </c>
      <c r="V535" s="37">
        <v>319</v>
      </c>
      <c r="W535" s="32">
        <v>269</v>
      </c>
      <c r="X535" s="31">
        <v>272</v>
      </c>
      <c r="Y535" s="32">
        <v>303</v>
      </c>
      <c r="Z535" s="111">
        <v>297</v>
      </c>
      <c r="AA535" s="35">
        <v>0</v>
      </c>
      <c r="AB535" s="35">
        <v>13</v>
      </c>
      <c r="AC535" s="35">
        <v>279</v>
      </c>
      <c r="AD535" s="35">
        <v>0</v>
      </c>
      <c r="AE535" s="33">
        <v>0</v>
      </c>
      <c r="AF535" s="116">
        <v>0</v>
      </c>
      <c r="AG535" s="120">
        <v>298</v>
      </c>
      <c r="AH535" s="38">
        <v>292</v>
      </c>
      <c r="AI535" s="37"/>
      <c r="AJ535" s="36"/>
      <c r="AK535" s="37"/>
      <c r="AL535" s="38"/>
      <c r="AM535" s="37"/>
      <c r="AN535" s="116"/>
      <c r="AO535" s="120"/>
      <c r="AP535" s="38"/>
      <c r="AQ535" s="37"/>
      <c r="AR535" s="116"/>
      <c r="AS535" s="120"/>
      <c r="AT535" s="38"/>
      <c r="AU535" s="37">
        <v>281</v>
      </c>
      <c r="AV535" s="120">
        <v>0</v>
      </c>
      <c r="AW535" s="120">
        <v>297</v>
      </c>
      <c r="AX535" s="37"/>
      <c r="AY535" s="38"/>
      <c r="AZ535" s="37"/>
      <c r="BA535" s="116"/>
      <c r="BB535" s="31">
        <v>305</v>
      </c>
      <c r="BC535" s="32">
        <v>269</v>
      </c>
      <c r="BD535" s="31">
        <v>294</v>
      </c>
      <c r="BE535" s="116">
        <v>276</v>
      </c>
      <c r="BF535" s="120">
        <v>267</v>
      </c>
      <c r="BG535" s="38">
        <v>297</v>
      </c>
      <c r="BH535" s="37">
        <v>310</v>
      </c>
      <c r="BI535" s="38">
        <v>255</v>
      </c>
      <c r="BJ535" s="111">
        <v>18</v>
      </c>
      <c r="BK535" s="33">
        <v>289</v>
      </c>
      <c r="BL535" s="115">
        <v>265</v>
      </c>
      <c r="BM535" s="111">
        <v>275</v>
      </c>
      <c r="BN535" s="35">
        <v>278</v>
      </c>
      <c r="BO535" s="32">
        <v>17</v>
      </c>
      <c r="BP535" s="31">
        <v>302</v>
      </c>
      <c r="BQ535" s="32">
        <v>266</v>
      </c>
      <c r="BR535" s="31">
        <v>237</v>
      </c>
      <c r="BS535" s="32">
        <v>339</v>
      </c>
      <c r="BT535" s="31">
        <v>272</v>
      </c>
      <c r="BU535" s="33">
        <v>21</v>
      </c>
      <c r="BV535" s="115">
        <v>271</v>
      </c>
      <c r="BW535" s="111">
        <v>274</v>
      </c>
      <c r="BX535" s="32">
        <v>302</v>
      </c>
      <c r="BY535" s="31">
        <v>281</v>
      </c>
      <c r="BZ535" s="32">
        <v>276</v>
      </c>
      <c r="CA535" s="111">
        <v>288</v>
      </c>
      <c r="CB535" s="32">
        <v>274</v>
      </c>
      <c r="CC535" s="33">
        <v>403</v>
      </c>
      <c r="CD535" s="34">
        <v>394</v>
      </c>
      <c r="CE535" s="120">
        <v>256</v>
      </c>
      <c r="CF535" s="38">
        <v>216</v>
      </c>
      <c r="CG535" s="31">
        <v>138</v>
      </c>
      <c r="CH535" s="35">
        <v>156</v>
      </c>
      <c r="CI535" s="35">
        <v>163</v>
      </c>
      <c r="CJ535" s="35">
        <v>177</v>
      </c>
      <c r="CK535" s="32">
        <v>284</v>
      </c>
    </row>
    <row r="536" spans="1:89" ht="13" x14ac:dyDescent="0.25">
      <c r="A536" s="27">
        <v>8905</v>
      </c>
      <c r="B536" s="28" t="s">
        <v>559</v>
      </c>
      <c r="C536" s="29">
        <v>1359</v>
      </c>
      <c r="D536" s="30">
        <v>1100</v>
      </c>
      <c r="E536" s="20">
        <f t="shared" si="8"/>
        <v>0.80941869021339219</v>
      </c>
      <c r="F536" s="31">
        <v>0</v>
      </c>
      <c r="G536" s="111">
        <v>0</v>
      </c>
      <c r="H536" s="111">
        <v>0</v>
      </c>
      <c r="I536" s="111">
        <v>0</v>
      </c>
      <c r="J536" s="111">
        <v>2</v>
      </c>
      <c r="K536" s="111">
        <v>0</v>
      </c>
      <c r="L536" s="111">
        <v>0</v>
      </c>
      <c r="M536" s="111">
        <v>540</v>
      </c>
      <c r="N536" s="111">
        <v>0</v>
      </c>
      <c r="O536" s="111">
        <v>0</v>
      </c>
      <c r="P536" s="35">
        <v>4</v>
      </c>
      <c r="Q536" s="35">
        <v>3</v>
      </c>
      <c r="R536" s="35">
        <v>536</v>
      </c>
      <c r="S536" s="32">
        <v>0</v>
      </c>
      <c r="T536" s="37">
        <v>473</v>
      </c>
      <c r="U536" s="38">
        <v>582</v>
      </c>
      <c r="V536" s="37">
        <v>600</v>
      </c>
      <c r="W536" s="32">
        <v>463</v>
      </c>
      <c r="X536" s="31">
        <v>489</v>
      </c>
      <c r="Y536" s="32">
        <v>558</v>
      </c>
      <c r="Z536" s="111">
        <v>535</v>
      </c>
      <c r="AA536" s="35">
        <v>0</v>
      </c>
      <c r="AB536" s="35">
        <v>22</v>
      </c>
      <c r="AC536" s="35">
        <v>519</v>
      </c>
      <c r="AD536" s="35">
        <v>0</v>
      </c>
      <c r="AE536" s="33">
        <v>0</v>
      </c>
      <c r="AF536" s="116">
        <v>0</v>
      </c>
      <c r="AG536" s="120">
        <v>537</v>
      </c>
      <c r="AH536" s="38">
        <v>526</v>
      </c>
      <c r="AI536" s="37"/>
      <c r="AJ536" s="36"/>
      <c r="AK536" s="37"/>
      <c r="AL536" s="38"/>
      <c r="AM536" s="37"/>
      <c r="AN536" s="116"/>
      <c r="AO536" s="120"/>
      <c r="AP536" s="38"/>
      <c r="AQ536" s="37"/>
      <c r="AR536" s="116"/>
      <c r="AS536" s="120"/>
      <c r="AT536" s="38"/>
      <c r="AU536" s="37">
        <v>472</v>
      </c>
      <c r="AV536" s="120">
        <v>0</v>
      </c>
      <c r="AW536" s="120">
        <v>575</v>
      </c>
      <c r="AX536" s="37"/>
      <c r="AY536" s="38"/>
      <c r="AZ536" s="37"/>
      <c r="BA536" s="116"/>
      <c r="BB536" s="31">
        <v>576</v>
      </c>
      <c r="BC536" s="32">
        <v>457</v>
      </c>
      <c r="BD536" s="31">
        <v>562</v>
      </c>
      <c r="BE536" s="116">
        <v>460</v>
      </c>
      <c r="BF536" s="120">
        <v>455</v>
      </c>
      <c r="BG536" s="38">
        <v>560</v>
      </c>
      <c r="BH536" s="37">
        <v>601</v>
      </c>
      <c r="BI536" s="38">
        <v>423</v>
      </c>
      <c r="BJ536" s="111">
        <v>34</v>
      </c>
      <c r="BK536" s="33">
        <v>540</v>
      </c>
      <c r="BL536" s="115">
        <v>459</v>
      </c>
      <c r="BM536" s="111">
        <v>491</v>
      </c>
      <c r="BN536" s="35">
        <v>518</v>
      </c>
      <c r="BO536" s="32">
        <v>30</v>
      </c>
      <c r="BP536" s="31">
        <v>571</v>
      </c>
      <c r="BQ536" s="32">
        <v>463</v>
      </c>
      <c r="BR536" s="31">
        <v>387</v>
      </c>
      <c r="BS536" s="32">
        <v>650</v>
      </c>
      <c r="BT536" s="31">
        <v>533</v>
      </c>
      <c r="BU536" s="33">
        <v>35</v>
      </c>
      <c r="BV536" s="115">
        <v>445</v>
      </c>
      <c r="BW536" s="111">
        <v>483</v>
      </c>
      <c r="BX536" s="32">
        <v>562</v>
      </c>
      <c r="BY536" s="31">
        <v>465</v>
      </c>
      <c r="BZ536" s="32">
        <v>543</v>
      </c>
      <c r="CA536" s="111">
        <v>539</v>
      </c>
      <c r="CB536" s="32">
        <v>478</v>
      </c>
      <c r="CC536" s="33">
        <v>719</v>
      </c>
      <c r="CD536" s="34">
        <v>717</v>
      </c>
      <c r="CE536" s="120">
        <v>465</v>
      </c>
      <c r="CF536" s="42">
        <v>387</v>
      </c>
      <c r="CG536" s="31">
        <v>307</v>
      </c>
      <c r="CH536" s="35">
        <v>282</v>
      </c>
      <c r="CI536" s="35">
        <v>250</v>
      </c>
      <c r="CJ536" s="35">
        <v>301</v>
      </c>
      <c r="CK536" s="32">
        <v>514</v>
      </c>
    </row>
    <row r="537" spans="1:89" ht="13" x14ac:dyDescent="0.25">
      <c r="A537" s="27">
        <v>8906</v>
      </c>
      <c r="B537" s="28" t="s">
        <v>560</v>
      </c>
      <c r="C537" s="29">
        <v>857</v>
      </c>
      <c r="D537" s="30">
        <v>710</v>
      </c>
      <c r="E537" s="20">
        <f t="shared" si="8"/>
        <v>0.8284714119019837</v>
      </c>
      <c r="F537" s="31">
        <v>0</v>
      </c>
      <c r="G537" s="111">
        <v>0</v>
      </c>
      <c r="H537" s="111">
        <v>0</v>
      </c>
      <c r="I537" s="111">
        <v>0</v>
      </c>
      <c r="J537" s="111">
        <v>1</v>
      </c>
      <c r="K537" s="111">
        <v>0</v>
      </c>
      <c r="L537" s="111">
        <v>0</v>
      </c>
      <c r="M537" s="111">
        <v>375</v>
      </c>
      <c r="N537" s="111">
        <v>0</v>
      </c>
      <c r="O537" s="111">
        <v>0</v>
      </c>
      <c r="P537" s="35">
        <v>2</v>
      </c>
      <c r="Q537" s="35">
        <v>0</v>
      </c>
      <c r="R537" s="35">
        <v>322</v>
      </c>
      <c r="S537" s="32">
        <v>0</v>
      </c>
      <c r="T537" s="37">
        <v>358</v>
      </c>
      <c r="U537" s="38">
        <v>336</v>
      </c>
      <c r="V537" s="37">
        <v>356</v>
      </c>
      <c r="W537" s="32">
        <v>339</v>
      </c>
      <c r="X537" s="31">
        <v>357</v>
      </c>
      <c r="Y537" s="32">
        <v>322</v>
      </c>
      <c r="Z537" s="111">
        <v>381</v>
      </c>
      <c r="AA537" s="35">
        <v>0</v>
      </c>
      <c r="AB537" s="35">
        <v>14</v>
      </c>
      <c r="AC537" s="35">
        <v>305</v>
      </c>
      <c r="AD537" s="35">
        <v>0</v>
      </c>
      <c r="AE537" s="33">
        <v>0</v>
      </c>
      <c r="AF537" s="116">
        <v>0</v>
      </c>
      <c r="AG537" s="120">
        <v>364</v>
      </c>
      <c r="AH537" s="38">
        <v>322</v>
      </c>
      <c r="AI537" s="37"/>
      <c r="AJ537" s="36"/>
      <c r="AK537" s="37"/>
      <c r="AL537" s="38"/>
      <c r="AM537" s="37"/>
      <c r="AN537" s="116"/>
      <c r="AO537" s="120"/>
      <c r="AP537" s="38"/>
      <c r="AQ537" s="37"/>
      <c r="AR537" s="116"/>
      <c r="AS537" s="120"/>
      <c r="AT537" s="38"/>
      <c r="AU537" s="37">
        <v>355</v>
      </c>
      <c r="AV537" s="120">
        <v>0</v>
      </c>
      <c r="AW537" s="120">
        <v>327</v>
      </c>
      <c r="AX537" s="37"/>
      <c r="AY537" s="38"/>
      <c r="AZ537" s="37"/>
      <c r="BA537" s="116"/>
      <c r="BB537" s="31">
        <v>341</v>
      </c>
      <c r="BC537" s="32">
        <v>338</v>
      </c>
      <c r="BD537" s="31">
        <v>328</v>
      </c>
      <c r="BE537" s="116">
        <v>347</v>
      </c>
      <c r="BF537" s="120">
        <v>344</v>
      </c>
      <c r="BG537" s="38">
        <v>323</v>
      </c>
      <c r="BH537" s="37">
        <v>364</v>
      </c>
      <c r="BI537" s="38">
        <v>314</v>
      </c>
      <c r="BJ537" s="111">
        <v>20</v>
      </c>
      <c r="BK537" s="33">
        <v>315</v>
      </c>
      <c r="BL537" s="115">
        <v>343</v>
      </c>
      <c r="BM537" s="111">
        <v>348</v>
      </c>
      <c r="BN537" s="35">
        <v>319</v>
      </c>
      <c r="BO537" s="32">
        <v>14</v>
      </c>
      <c r="BP537" s="31">
        <v>342</v>
      </c>
      <c r="BQ537" s="32">
        <v>338</v>
      </c>
      <c r="BR537" s="31">
        <v>298</v>
      </c>
      <c r="BS537" s="32">
        <v>387</v>
      </c>
      <c r="BT537" s="31">
        <v>314</v>
      </c>
      <c r="BU537" s="33">
        <v>32</v>
      </c>
      <c r="BV537" s="115">
        <v>325</v>
      </c>
      <c r="BW537" s="111">
        <v>360</v>
      </c>
      <c r="BX537" s="32">
        <v>331</v>
      </c>
      <c r="BY537" s="31">
        <v>343</v>
      </c>
      <c r="BZ537" s="32">
        <v>318</v>
      </c>
      <c r="CA537" s="111">
        <v>325</v>
      </c>
      <c r="CB537" s="32">
        <v>348</v>
      </c>
      <c r="CC537" s="33">
        <v>460</v>
      </c>
      <c r="CD537" s="34">
        <v>475</v>
      </c>
      <c r="CE537" s="120">
        <v>303</v>
      </c>
      <c r="CF537" s="42">
        <v>263</v>
      </c>
      <c r="CG537" s="31">
        <v>201</v>
      </c>
      <c r="CH537" s="35">
        <v>172</v>
      </c>
      <c r="CI537" s="35">
        <v>210</v>
      </c>
      <c r="CJ537" s="35">
        <v>235</v>
      </c>
      <c r="CK537" s="32">
        <v>310</v>
      </c>
    </row>
    <row r="538" spans="1:89" ht="13" x14ac:dyDescent="0.25">
      <c r="A538" s="27">
        <v>8907</v>
      </c>
      <c r="B538" s="28" t="s">
        <v>561</v>
      </c>
      <c r="C538" s="29">
        <v>1150</v>
      </c>
      <c r="D538" s="30">
        <v>940</v>
      </c>
      <c r="E538" s="20">
        <f t="shared" si="8"/>
        <v>0.81739130434782614</v>
      </c>
      <c r="F538" s="31">
        <v>0</v>
      </c>
      <c r="G538" s="111">
        <v>0</v>
      </c>
      <c r="H538" s="111">
        <v>0</v>
      </c>
      <c r="I538" s="111">
        <v>0</v>
      </c>
      <c r="J538" s="111">
        <v>1</v>
      </c>
      <c r="K538" s="111">
        <v>0</v>
      </c>
      <c r="L538" s="111">
        <v>0</v>
      </c>
      <c r="M538" s="111">
        <v>505</v>
      </c>
      <c r="N538" s="111">
        <v>0</v>
      </c>
      <c r="O538" s="111">
        <v>0</v>
      </c>
      <c r="P538" s="35">
        <v>12</v>
      </c>
      <c r="Q538" s="35">
        <v>0</v>
      </c>
      <c r="R538" s="35">
        <v>411</v>
      </c>
      <c r="S538" s="32">
        <v>2</v>
      </c>
      <c r="T538" s="37">
        <v>441</v>
      </c>
      <c r="U538" s="38">
        <v>465</v>
      </c>
      <c r="V538" s="37">
        <v>469</v>
      </c>
      <c r="W538" s="32">
        <v>438</v>
      </c>
      <c r="X538" s="31">
        <v>453</v>
      </c>
      <c r="Y538" s="32">
        <v>440</v>
      </c>
      <c r="Z538" s="111">
        <v>501</v>
      </c>
      <c r="AA538" s="35">
        <v>0</v>
      </c>
      <c r="AB538" s="35">
        <v>21</v>
      </c>
      <c r="AC538" s="35">
        <v>399</v>
      </c>
      <c r="AD538" s="35">
        <v>0</v>
      </c>
      <c r="AE538" s="33">
        <v>0</v>
      </c>
      <c r="AF538" s="116">
        <v>1</v>
      </c>
      <c r="AG538" s="120">
        <v>497</v>
      </c>
      <c r="AH538" s="38">
        <v>405</v>
      </c>
      <c r="AI538" s="37"/>
      <c r="AJ538" s="36"/>
      <c r="AK538" s="37"/>
      <c r="AL538" s="38"/>
      <c r="AM538" s="37"/>
      <c r="AN538" s="116"/>
      <c r="AO538" s="120"/>
      <c r="AP538" s="38"/>
      <c r="AQ538" s="37"/>
      <c r="AR538" s="116"/>
      <c r="AS538" s="120"/>
      <c r="AT538" s="38"/>
      <c r="AU538" s="37">
        <v>447</v>
      </c>
      <c r="AV538" s="120">
        <v>0</v>
      </c>
      <c r="AW538" s="120">
        <v>444</v>
      </c>
      <c r="AX538" s="37"/>
      <c r="AY538" s="38"/>
      <c r="AZ538" s="37"/>
      <c r="BA538" s="116"/>
      <c r="BB538" s="31">
        <v>456</v>
      </c>
      <c r="BC538" s="32">
        <v>422</v>
      </c>
      <c r="BD538" s="31">
        <v>441</v>
      </c>
      <c r="BE538" s="116">
        <v>436</v>
      </c>
      <c r="BF538" s="120">
        <v>436</v>
      </c>
      <c r="BG538" s="38">
        <v>438</v>
      </c>
      <c r="BH538" s="37">
        <v>478</v>
      </c>
      <c r="BI538" s="38">
        <v>396</v>
      </c>
      <c r="BJ538" s="111">
        <v>41</v>
      </c>
      <c r="BK538" s="33">
        <v>407</v>
      </c>
      <c r="BL538" s="115">
        <v>432</v>
      </c>
      <c r="BM538" s="111">
        <v>459</v>
      </c>
      <c r="BN538" s="35">
        <v>391</v>
      </c>
      <c r="BO538" s="32">
        <v>32</v>
      </c>
      <c r="BP538" s="31">
        <v>428</v>
      </c>
      <c r="BQ538" s="32">
        <v>443</v>
      </c>
      <c r="BR538" s="31">
        <v>386</v>
      </c>
      <c r="BS538" s="32">
        <v>501</v>
      </c>
      <c r="BT538" s="31">
        <v>403</v>
      </c>
      <c r="BU538" s="33">
        <v>53</v>
      </c>
      <c r="BV538" s="115">
        <v>423</v>
      </c>
      <c r="BW538" s="111">
        <v>456</v>
      </c>
      <c r="BX538" s="32">
        <v>435</v>
      </c>
      <c r="BY538" s="31">
        <v>436</v>
      </c>
      <c r="BZ538" s="32">
        <v>420</v>
      </c>
      <c r="CA538" s="111">
        <v>425</v>
      </c>
      <c r="CB538" s="32">
        <v>442</v>
      </c>
      <c r="CC538" s="33">
        <v>618</v>
      </c>
      <c r="CD538" s="34">
        <v>656</v>
      </c>
      <c r="CE538" s="120">
        <v>416</v>
      </c>
      <c r="CF538" s="42">
        <v>334</v>
      </c>
      <c r="CG538" s="31">
        <v>251</v>
      </c>
      <c r="CH538" s="35">
        <v>282</v>
      </c>
      <c r="CI538" s="35">
        <v>245</v>
      </c>
      <c r="CJ538" s="35">
        <v>287</v>
      </c>
      <c r="CK538" s="32">
        <v>389</v>
      </c>
    </row>
    <row r="539" spans="1:89" ht="13" x14ac:dyDescent="0.25">
      <c r="A539" s="27">
        <v>8908</v>
      </c>
      <c r="B539" s="28" t="s">
        <v>562</v>
      </c>
      <c r="C539" s="29">
        <v>908</v>
      </c>
      <c r="D539" s="30">
        <v>689</v>
      </c>
      <c r="E539" s="20">
        <f t="shared" si="8"/>
        <v>0.75881057268722463</v>
      </c>
      <c r="F539" s="31">
        <v>0</v>
      </c>
      <c r="G539" s="111">
        <v>0</v>
      </c>
      <c r="H539" s="111">
        <v>0</v>
      </c>
      <c r="I539" s="111">
        <v>0</v>
      </c>
      <c r="J539" s="111">
        <v>1</v>
      </c>
      <c r="K539" s="111">
        <v>0</v>
      </c>
      <c r="L539" s="111">
        <v>0</v>
      </c>
      <c r="M539" s="111">
        <v>381</v>
      </c>
      <c r="N539" s="111">
        <v>0</v>
      </c>
      <c r="O539" s="111">
        <v>0</v>
      </c>
      <c r="P539" s="35">
        <v>7</v>
      </c>
      <c r="Q539" s="35">
        <v>1</v>
      </c>
      <c r="R539" s="35">
        <v>282</v>
      </c>
      <c r="S539" s="32">
        <v>1</v>
      </c>
      <c r="T539" s="31">
        <v>352</v>
      </c>
      <c r="U539" s="32">
        <v>312</v>
      </c>
      <c r="V539" s="31">
        <v>326</v>
      </c>
      <c r="W539" s="32">
        <v>348</v>
      </c>
      <c r="X539" s="31">
        <v>360</v>
      </c>
      <c r="Y539" s="32">
        <v>293</v>
      </c>
      <c r="Z539" s="111">
        <v>389</v>
      </c>
      <c r="AA539" s="35">
        <v>0</v>
      </c>
      <c r="AB539" s="35">
        <v>18</v>
      </c>
      <c r="AC539" s="35">
        <v>273</v>
      </c>
      <c r="AD539" s="35">
        <v>0</v>
      </c>
      <c r="AE539" s="33">
        <v>0</v>
      </c>
      <c r="AF539" s="115">
        <v>0</v>
      </c>
      <c r="AG539" s="111">
        <v>380</v>
      </c>
      <c r="AH539" s="32">
        <v>280</v>
      </c>
      <c r="AI539" s="31"/>
      <c r="AJ539" s="33"/>
      <c r="AK539" s="31"/>
      <c r="AL539" s="32"/>
      <c r="AM539" s="31"/>
      <c r="AN539" s="115"/>
      <c r="AO539" s="111"/>
      <c r="AP539" s="32"/>
      <c r="AQ539" s="31"/>
      <c r="AR539" s="115"/>
      <c r="AS539" s="111"/>
      <c r="AT539" s="32"/>
      <c r="AU539" s="31">
        <v>367</v>
      </c>
      <c r="AV539" s="111">
        <v>0</v>
      </c>
      <c r="AW539" s="111">
        <v>296</v>
      </c>
      <c r="AX539" s="31"/>
      <c r="AY539" s="32"/>
      <c r="AZ539" s="31"/>
      <c r="BA539" s="115"/>
      <c r="BB539" s="31">
        <v>312</v>
      </c>
      <c r="BC539" s="32">
        <v>332</v>
      </c>
      <c r="BD539" s="31">
        <v>290</v>
      </c>
      <c r="BE539" s="115">
        <v>352</v>
      </c>
      <c r="BF539" s="111">
        <v>346</v>
      </c>
      <c r="BG539" s="32">
        <v>291</v>
      </c>
      <c r="BH539" s="31">
        <v>331</v>
      </c>
      <c r="BI539" s="32">
        <v>315</v>
      </c>
      <c r="BJ539" s="111">
        <v>44</v>
      </c>
      <c r="BK539" s="33">
        <v>273</v>
      </c>
      <c r="BL539" s="115">
        <v>332</v>
      </c>
      <c r="BM539" s="111">
        <v>348</v>
      </c>
      <c r="BN539" s="35">
        <v>271</v>
      </c>
      <c r="BO539" s="32">
        <v>32</v>
      </c>
      <c r="BP539" s="31">
        <v>306</v>
      </c>
      <c r="BQ539" s="32">
        <v>346</v>
      </c>
      <c r="BR539" s="31">
        <v>311</v>
      </c>
      <c r="BS539" s="32">
        <v>344</v>
      </c>
      <c r="BT539" s="31">
        <v>283</v>
      </c>
      <c r="BU539" s="33">
        <v>31</v>
      </c>
      <c r="BV539" s="115">
        <v>329</v>
      </c>
      <c r="BW539" s="111">
        <v>352</v>
      </c>
      <c r="BX539" s="32">
        <v>303</v>
      </c>
      <c r="BY539" s="31">
        <v>346</v>
      </c>
      <c r="BZ539" s="32">
        <v>287</v>
      </c>
      <c r="CA539" s="111">
        <v>299</v>
      </c>
      <c r="CB539" s="32">
        <v>341</v>
      </c>
      <c r="CC539" s="33">
        <v>410</v>
      </c>
      <c r="CD539" s="34">
        <v>495</v>
      </c>
      <c r="CE539" s="111">
        <v>277</v>
      </c>
      <c r="CF539" s="42">
        <v>253</v>
      </c>
      <c r="CG539" s="31">
        <v>181</v>
      </c>
      <c r="CH539" s="35">
        <v>156</v>
      </c>
      <c r="CI539" s="35">
        <v>197</v>
      </c>
      <c r="CJ539" s="35">
        <v>225</v>
      </c>
      <c r="CK539" s="32">
        <v>253</v>
      </c>
    </row>
    <row r="540" spans="1:89" ht="13" x14ac:dyDescent="0.25">
      <c r="A540" s="27">
        <v>8909</v>
      </c>
      <c r="B540" s="28" t="s">
        <v>563</v>
      </c>
      <c r="C540" s="29">
        <v>1198</v>
      </c>
      <c r="D540" s="30">
        <v>947</v>
      </c>
      <c r="E540" s="20">
        <f t="shared" si="8"/>
        <v>0.79048414023372282</v>
      </c>
      <c r="F540" s="31">
        <v>0</v>
      </c>
      <c r="G540" s="111">
        <v>0</v>
      </c>
      <c r="H540" s="111">
        <v>0</v>
      </c>
      <c r="I540" s="111">
        <v>0</v>
      </c>
      <c r="J540" s="111">
        <v>0</v>
      </c>
      <c r="K540" s="111">
        <v>0</v>
      </c>
      <c r="L540" s="111">
        <v>0</v>
      </c>
      <c r="M540" s="111">
        <v>397</v>
      </c>
      <c r="N540" s="111">
        <v>0</v>
      </c>
      <c r="O540" s="111">
        <v>0</v>
      </c>
      <c r="P540" s="35">
        <v>10</v>
      </c>
      <c r="Q540" s="35">
        <v>2</v>
      </c>
      <c r="R540" s="35">
        <v>522</v>
      </c>
      <c r="S540" s="32">
        <v>1</v>
      </c>
      <c r="T540" s="31">
        <v>367</v>
      </c>
      <c r="U540" s="32">
        <v>555</v>
      </c>
      <c r="V540" s="31">
        <v>583</v>
      </c>
      <c r="W540" s="32">
        <v>345</v>
      </c>
      <c r="X540" s="31">
        <v>373</v>
      </c>
      <c r="Y540" s="32">
        <v>549</v>
      </c>
      <c r="Z540" s="111">
        <v>403</v>
      </c>
      <c r="AA540" s="35">
        <v>0</v>
      </c>
      <c r="AB540" s="35">
        <v>19</v>
      </c>
      <c r="AC540" s="35">
        <v>508</v>
      </c>
      <c r="AD540" s="35">
        <v>0</v>
      </c>
      <c r="AE540" s="33">
        <v>0</v>
      </c>
      <c r="AF540" s="115">
        <v>0</v>
      </c>
      <c r="AG540" s="111">
        <v>422</v>
      </c>
      <c r="AH540" s="32">
        <v>498</v>
      </c>
      <c r="AI540" s="31"/>
      <c r="AJ540" s="33"/>
      <c r="AK540" s="31"/>
      <c r="AL540" s="32"/>
      <c r="AM540" s="31"/>
      <c r="AN540" s="115"/>
      <c r="AO540" s="111"/>
      <c r="AP540" s="32"/>
      <c r="AQ540" s="31"/>
      <c r="AR540" s="115"/>
      <c r="AS540" s="111"/>
      <c r="AT540" s="32"/>
      <c r="AU540" s="31">
        <v>362</v>
      </c>
      <c r="AV540" s="111">
        <v>0</v>
      </c>
      <c r="AW540" s="111">
        <v>553</v>
      </c>
      <c r="AX540" s="31"/>
      <c r="AY540" s="32"/>
      <c r="AZ540" s="31"/>
      <c r="BA540" s="115"/>
      <c r="BB540" s="31">
        <v>567</v>
      </c>
      <c r="BC540" s="32">
        <v>345</v>
      </c>
      <c r="BD540" s="31">
        <v>553</v>
      </c>
      <c r="BE540" s="115">
        <v>353</v>
      </c>
      <c r="BF540" s="111">
        <v>352</v>
      </c>
      <c r="BG540" s="32">
        <v>553</v>
      </c>
      <c r="BH540" s="31">
        <v>587</v>
      </c>
      <c r="BI540" s="32">
        <v>321</v>
      </c>
      <c r="BJ540" s="111">
        <v>23</v>
      </c>
      <c r="BK540" s="33">
        <v>535</v>
      </c>
      <c r="BL540" s="115">
        <v>357</v>
      </c>
      <c r="BM540" s="111">
        <v>359</v>
      </c>
      <c r="BN540" s="35">
        <v>530</v>
      </c>
      <c r="BO540" s="32">
        <v>21</v>
      </c>
      <c r="BP540" s="31">
        <v>549</v>
      </c>
      <c r="BQ540" s="32">
        <v>362</v>
      </c>
      <c r="BR540" s="31">
        <v>316</v>
      </c>
      <c r="BS540" s="32">
        <v>599</v>
      </c>
      <c r="BT540" s="31">
        <v>539</v>
      </c>
      <c r="BU540" s="33">
        <v>29</v>
      </c>
      <c r="BV540" s="115">
        <v>336</v>
      </c>
      <c r="BW540" s="111">
        <v>390</v>
      </c>
      <c r="BX540" s="32">
        <v>527</v>
      </c>
      <c r="BY540" s="31">
        <v>362</v>
      </c>
      <c r="BZ540" s="32">
        <v>543</v>
      </c>
      <c r="CA540" s="111">
        <v>539</v>
      </c>
      <c r="CB540" s="32">
        <v>370</v>
      </c>
      <c r="CC540" s="33">
        <v>668</v>
      </c>
      <c r="CD540" s="34">
        <v>627</v>
      </c>
      <c r="CE540" s="111">
        <v>439</v>
      </c>
      <c r="CF540" s="38">
        <v>323</v>
      </c>
      <c r="CG540" s="31">
        <v>251</v>
      </c>
      <c r="CH540" s="35">
        <v>261</v>
      </c>
      <c r="CI540" s="35">
        <v>213</v>
      </c>
      <c r="CJ540" s="35">
        <v>257</v>
      </c>
      <c r="CK540" s="32">
        <v>470</v>
      </c>
    </row>
    <row r="541" spans="1:89" ht="13" x14ac:dyDescent="0.25">
      <c r="A541" s="27">
        <v>8910</v>
      </c>
      <c r="B541" s="28" t="s">
        <v>564</v>
      </c>
      <c r="C541" s="29">
        <v>904</v>
      </c>
      <c r="D541" s="30">
        <v>624</v>
      </c>
      <c r="E541" s="20">
        <f t="shared" si="8"/>
        <v>0.69026548672566368</v>
      </c>
      <c r="F541" s="31">
        <v>0</v>
      </c>
      <c r="G541" s="111">
        <v>0</v>
      </c>
      <c r="H541" s="111">
        <v>0</v>
      </c>
      <c r="I541" s="111">
        <v>1</v>
      </c>
      <c r="J541" s="111">
        <v>0</v>
      </c>
      <c r="K541" s="111">
        <v>0</v>
      </c>
      <c r="L541" s="111">
        <v>0</v>
      </c>
      <c r="M541" s="111">
        <v>401</v>
      </c>
      <c r="N541" s="111">
        <v>0</v>
      </c>
      <c r="O541" s="111">
        <v>0</v>
      </c>
      <c r="P541" s="35">
        <v>3</v>
      </c>
      <c r="Q541" s="35">
        <v>3</v>
      </c>
      <c r="R541" s="35">
        <v>212</v>
      </c>
      <c r="S541" s="32">
        <v>0</v>
      </c>
      <c r="T541" s="37">
        <v>381</v>
      </c>
      <c r="U541" s="38">
        <v>216</v>
      </c>
      <c r="V541" s="37">
        <v>238</v>
      </c>
      <c r="W541" s="32">
        <v>364</v>
      </c>
      <c r="X541" s="31">
        <v>374</v>
      </c>
      <c r="Y541" s="32">
        <v>212</v>
      </c>
      <c r="Z541" s="111">
        <v>388</v>
      </c>
      <c r="AA541" s="35">
        <v>0</v>
      </c>
      <c r="AB541" s="35">
        <v>26</v>
      </c>
      <c r="AC541" s="35">
        <v>193</v>
      </c>
      <c r="AD541" s="35">
        <v>0</v>
      </c>
      <c r="AE541" s="33">
        <v>0</v>
      </c>
      <c r="AF541" s="116">
        <v>1</v>
      </c>
      <c r="AG541" s="120">
        <v>395</v>
      </c>
      <c r="AH541" s="38">
        <v>204</v>
      </c>
      <c r="AI541" s="37"/>
      <c r="AJ541" s="36"/>
      <c r="AK541" s="37"/>
      <c r="AL541" s="38"/>
      <c r="AM541" s="37"/>
      <c r="AN541" s="116"/>
      <c r="AO541" s="120"/>
      <c r="AP541" s="38"/>
      <c r="AQ541" s="37"/>
      <c r="AR541" s="116"/>
      <c r="AS541" s="120"/>
      <c r="AT541" s="38"/>
      <c r="AU541" s="37">
        <v>374</v>
      </c>
      <c r="AV541" s="120">
        <v>0</v>
      </c>
      <c r="AW541" s="120">
        <v>220</v>
      </c>
      <c r="AX541" s="37"/>
      <c r="AY541" s="38"/>
      <c r="AZ541" s="37"/>
      <c r="BA541" s="116"/>
      <c r="BB541" s="31">
        <v>226</v>
      </c>
      <c r="BC541" s="32">
        <v>363</v>
      </c>
      <c r="BD541" s="31">
        <v>226</v>
      </c>
      <c r="BE541" s="116">
        <v>358</v>
      </c>
      <c r="BF541" s="120">
        <v>365</v>
      </c>
      <c r="BG541" s="38">
        <v>215</v>
      </c>
      <c r="BH541" s="37">
        <v>227</v>
      </c>
      <c r="BI541" s="38">
        <v>356</v>
      </c>
      <c r="BJ541" s="111">
        <v>27</v>
      </c>
      <c r="BK541" s="33">
        <v>199</v>
      </c>
      <c r="BL541" s="115">
        <v>363</v>
      </c>
      <c r="BM541" s="111">
        <v>372</v>
      </c>
      <c r="BN541" s="35">
        <v>195</v>
      </c>
      <c r="BO541" s="32">
        <v>26</v>
      </c>
      <c r="BP541" s="31">
        <v>217</v>
      </c>
      <c r="BQ541" s="32">
        <v>370</v>
      </c>
      <c r="BR541" s="31">
        <v>340</v>
      </c>
      <c r="BS541" s="32">
        <v>250</v>
      </c>
      <c r="BT541" s="31">
        <v>197</v>
      </c>
      <c r="BU541" s="33">
        <v>29</v>
      </c>
      <c r="BV541" s="115">
        <v>358</v>
      </c>
      <c r="BW541" s="111">
        <v>373</v>
      </c>
      <c r="BX541" s="32">
        <v>221</v>
      </c>
      <c r="BY541" s="31">
        <v>374</v>
      </c>
      <c r="BZ541" s="32">
        <v>206</v>
      </c>
      <c r="CA541" s="111">
        <v>212</v>
      </c>
      <c r="CB541" s="32">
        <v>374</v>
      </c>
      <c r="CC541" s="33">
        <v>355</v>
      </c>
      <c r="CD541" s="34">
        <v>474</v>
      </c>
      <c r="CE541" s="120">
        <v>253</v>
      </c>
      <c r="CF541" s="32">
        <v>249</v>
      </c>
      <c r="CG541" s="31">
        <v>132</v>
      </c>
      <c r="CH541" s="35">
        <v>104</v>
      </c>
      <c r="CI541" s="35">
        <v>201</v>
      </c>
      <c r="CJ541" s="35">
        <v>261</v>
      </c>
      <c r="CK541" s="32">
        <v>187</v>
      </c>
    </row>
    <row r="542" spans="1:89" ht="13" x14ac:dyDescent="0.25">
      <c r="A542" s="27">
        <v>8911</v>
      </c>
      <c r="B542" s="28" t="s">
        <v>565</v>
      </c>
      <c r="C542" s="29">
        <v>1266</v>
      </c>
      <c r="D542" s="30">
        <v>930</v>
      </c>
      <c r="E542" s="20">
        <f t="shared" si="8"/>
        <v>0.7345971563981043</v>
      </c>
      <c r="F542" s="31">
        <v>0</v>
      </c>
      <c r="G542" s="111">
        <v>0</v>
      </c>
      <c r="H542" s="111">
        <v>0</v>
      </c>
      <c r="I542" s="111">
        <v>0</v>
      </c>
      <c r="J542" s="111">
        <v>3</v>
      </c>
      <c r="K542" s="111">
        <v>0</v>
      </c>
      <c r="L542" s="111">
        <v>0</v>
      </c>
      <c r="M542" s="111">
        <v>568</v>
      </c>
      <c r="N542" s="111">
        <v>0</v>
      </c>
      <c r="O542" s="111">
        <v>0</v>
      </c>
      <c r="P542" s="35">
        <v>5</v>
      </c>
      <c r="Q542" s="35">
        <v>5</v>
      </c>
      <c r="R542" s="35">
        <v>333</v>
      </c>
      <c r="S542" s="32">
        <v>0</v>
      </c>
      <c r="T542" s="37">
        <v>541</v>
      </c>
      <c r="U542" s="38">
        <v>349</v>
      </c>
      <c r="V542" s="37">
        <v>366</v>
      </c>
      <c r="W542" s="32">
        <v>529</v>
      </c>
      <c r="X542" s="31">
        <v>539</v>
      </c>
      <c r="Y542" s="32">
        <v>340</v>
      </c>
      <c r="Z542" s="111">
        <v>571</v>
      </c>
      <c r="AA542" s="35">
        <v>0</v>
      </c>
      <c r="AB542" s="35">
        <v>22</v>
      </c>
      <c r="AC542" s="35">
        <v>314</v>
      </c>
      <c r="AD542" s="35">
        <v>0</v>
      </c>
      <c r="AE542" s="33">
        <v>0</v>
      </c>
      <c r="AF542" s="116">
        <v>0</v>
      </c>
      <c r="AG542" s="120">
        <v>562</v>
      </c>
      <c r="AH542" s="38">
        <v>333</v>
      </c>
      <c r="AI542" s="37"/>
      <c r="AJ542" s="36"/>
      <c r="AK542" s="37"/>
      <c r="AL542" s="38"/>
      <c r="AM542" s="37"/>
      <c r="AN542" s="116"/>
      <c r="AO542" s="120"/>
      <c r="AP542" s="38"/>
      <c r="AQ542" s="37"/>
      <c r="AR542" s="116"/>
      <c r="AS542" s="120"/>
      <c r="AT542" s="38"/>
      <c r="AU542" s="37">
        <v>542</v>
      </c>
      <c r="AV542" s="120">
        <v>0</v>
      </c>
      <c r="AW542" s="120">
        <v>341</v>
      </c>
      <c r="AX542" s="37"/>
      <c r="AY542" s="38"/>
      <c r="AZ542" s="37"/>
      <c r="BA542" s="116"/>
      <c r="BB542" s="31">
        <v>345</v>
      </c>
      <c r="BC542" s="32">
        <v>519</v>
      </c>
      <c r="BD542" s="31">
        <v>337</v>
      </c>
      <c r="BE542" s="116">
        <v>527</v>
      </c>
      <c r="BF542" s="120">
        <v>522</v>
      </c>
      <c r="BG542" s="38">
        <v>341</v>
      </c>
      <c r="BH542" s="37">
        <v>363</v>
      </c>
      <c r="BI542" s="38">
        <v>494</v>
      </c>
      <c r="BJ542" s="111">
        <v>29</v>
      </c>
      <c r="BK542" s="33">
        <v>323</v>
      </c>
      <c r="BL542" s="115">
        <v>518</v>
      </c>
      <c r="BM542" s="111">
        <v>529</v>
      </c>
      <c r="BN542" s="35">
        <v>319</v>
      </c>
      <c r="BO542" s="32">
        <v>23</v>
      </c>
      <c r="BP542" s="31">
        <v>355</v>
      </c>
      <c r="BQ542" s="32">
        <v>512</v>
      </c>
      <c r="BR542" s="31">
        <v>473</v>
      </c>
      <c r="BS542" s="32">
        <v>398</v>
      </c>
      <c r="BT542" s="31">
        <v>328</v>
      </c>
      <c r="BU542" s="33">
        <v>27</v>
      </c>
      <c r="BV542" s="115">
        <v>508</v>
      </c>
      <c r="BW542" s="111">
        <v>545</v>
      </c>
      <c r="BX542" s="32">
        <v>341</v>
      </c>
      <c r="BY542" s="31">
        <v>533</v>
      </c>
      <c r="BZ542" s="32">
        <v>326</v>
      </c>
      <c r="CA542" s="111">
        <v>343</v>
      </c>
      <c r="CB542" s="32">
        <v>524</v>
      </c>
      <c r="CC542" s="33">
        <v>545</v>
      </c>
      <c r="CD542" s="34">
        <v>690</v>
      </c>
      <c r="CE542" s="120">
        <v>364</v>
      </c>
      <c r="CF542" s="42">
        <v>341</v>
      </c>
      <c r="CG542" s="31">
        <v>259</v>
      </c>
      <c r="CH542" s="35">
        <v>177</v>
      </c>
      <c r="CI542" s="35">
        <v>240</v>
      </c>
      <c r="CJ542" s="35">
        <v>308</v>
      </c>
      <c r="CK542" s="32">
        <v>344</v>
      </c>
    </row>
    <row r="543" spans="1:89" ht="13" x14ac:dyDescent="0.25">
      <c r="A543" s="27">
        <v>8912</v>
      </c>
      <c r="B543" s="28" t="s">
        <v>566</v>
      </c>
      <c r="C543" s="29">
        <v>1325</v>
      </c>
      <c r="D543" s="30">
        <v>1032</v>
      </c>
      <c r="E543" s="20">
        <f t="shared" si="8"/>
        <v>0.77886792452830189</v>
      </c>
      <c r="F543" s="31">
        <v>0</v>
      </c>
      <c r="G543" s="111">
        <v>0</v>
      </c>
      <c r="H543" s="111">
        <v>1</v>
      </c>
      <c r="I543" s="111">
        <v>0</v>
      </c>
      <c r="J543" s="111">
        <v>2</v>
      </c>
      <c r="K543" s="111">
        <v>0</v>
      </c>
      <c r="L543" s="111">
        <v>0</v>
      </c>
      <c r="M543" s="111">
        <v>396</v>
      </c>
      <c r="N543" s="111">
        <v>0</v>
      </c>
      <c r="O543" s="111">
        <v>0</v>
      </c>
      <c r="P543" s="35">
        <v>4</v>
      </c>
      <c r="Q543" s="35">
        <v>2</v>
      </c>
      <c r="R543" s="35">
        <v>608</v>
      </c>
      <c r="S543" s="32">
        <v>0</v>
      </c>
      <c r="T543" s="37">
        <v>388</v>
      </c>
      <c r="U543" s="38">
        <v>603</v>
      </c>
      <c r="V543" s="37">
        <v>630</v>
      </c>
      <c r="W543" s="32">
        <v>364</v>
      </c>
      <c r="X543" s="31">
        <v>385</v>
      </c>
      <c r="Y543" s="32">
        <v>588</v>
      </c>
      <c r="Z543" s="111">
        <v>427</v>
      </c>
      <c r="AA543" s="35">
        <v>0</v>
      </c>
      <c r="AB543" s="35">
        <v>53</v>
      </c>
      <c r="AC543" s="35">
        <v>530</v>
      </c>
      <c r="AD543" s="35">
        <v>0</v>
      </c>
      <c r="AE543" s="33">
        <v>0</v>
      </c>
      <c r="AF543" s="116">
        <v>0</v>
      </c>
      <c r="AG543" s="120">
        <v>417</v>
      </c>
      <c r="AH543" s="38">
        <v>568</v>
      </c>
      <c r="AI543" s="37"/>
      <c r="AJ543" s="36"/>
      <c r="AK543" s="37"/>
      <c r="AL543" s="38"/>
      <c r="AM543" s="37"/>
      <c r="AN543" s="116"/>
      <c r="AO543" s="120"/>
      <c r="AP543" s="38"/>
      <c r="AQ543" s="37"/>
      <c r="AR543" s="116"/>
      <c r="AS543" s="120"/>
      <c r="AT543" s="38"/>
      <c r="AU543" s="37">
        <v>383</v>
      </c>
      <c r="AV543" s="120">
        <v>0</v>
      </c>
      <c r="AW543" s="120">
        <v>594</v>
      </c>
      <c r="AX543" s="37"/>
      <c r="AY543" s="38"/>
      <c r="AZ543" s="37"/>
      <c r="BA543" s="116"/>
      <c r="BB543" s="31">
        <v>602</v>
      </c>
      <c r="BC543" s="32">
        <v>368</v>
      </c>
      <c r="BD543" s="31">
        <v>599</v>
      </c>
      <c r="BE543" s="116">
        <v>364</v>
      </c>
      <c r="BF543" s="120">
        <v>368</v>
      </c>
      <c r="BG543" s="38">
        <v>593</v>
      </c>
      <c r="BH543" s="37">
        <v>624</v>
      </c>
      <c r="BI543" s="38">
        <v>345</v>
      </c>
      <c r="BJ543" s="111">
        <v>68</v>
      </c>
      <c r="BK543" s="33">
        <v>548</v>
      </c>
      <c r="BL543" s="115">
        <v>364</v>
      </c>
      <c r="BM543" s="111">
        <v>368</v>
      </c>
      <c r="BN543" s="35">
        <v>552</v>
      </c>
      <c r="BO543" s="32">
        <v>54</v>
      </c>
      <c r="BP543" s="31">
        <v>595</v>
      </c>
      <c r="BQ543" s="32">
        <v>378</v>
      </c>
      <c r="BR543" s="31">
        <v>332</v>
      </c>
      <c r="BS543" s="32">
        <v>641</v>
      </c>
      <c r="BT543" s="31">
        <v>567</v>
      </c>
      <c r="BU543" s="33">
        <v>57</v>
      </c>
      <c r="BV543" s="115">
        <v>342</v>
      </c>
      <c r="BW543" s="111">
        <v>369</v>
      </c>
      <c r="BX543" s="32">
        <v>610</v>
      </c>
      <c r="BY543" s="31">
        <v>376</v>
      </c>
      <c r="BZ543" s="32">
        <v>573</v>
      </c>
      <c r="CA543" s="111">
        <v>586</v>
      </c>
      <c r="CB543" s="32">
        <v>380</v>
      </c>
      <c r="CC543" s="33">
        <v>740</v>
      </c>
      <c r="CD543" s="34">
        <v>667</v>
      </c>
      <c r="CE543" s="120">
        <v>512</v>
      </c>
      <c r="CF543" s="42">
        <v>323</v>
      </c>
      <c r="CG543" s="31">
        <v>222</v>
      </c>
      <c r="CH543" s="35">
        <v>318</v>
      </c>
      <c r="CI543" s="35">
        <v>203</v>
      </c>
      <c r="CJ543" s="35">
        <v>254</v>
      </c>
      <c r="CK543" s="32">
        <v>515</v>
      </c>
    </row>
    <row r="544" spans="1:89" ht="13" x14ac:dyDescent="0.25">
      <c r="A544" s="27">
        <v>8913</v>
      </c>
      <c r="B544" s="28" t="s">
        <v>567</v>
      </c>
      <c r="C544" s="29">
        <v>746</v>
      </c>
      <c r="D544" s="30">
        <v>556</v>
      </c>
      <c r="E544" s="20">
        <f t="shared" si="8"/>
        <v>0.74530831099195716</v>
      </c>
      <c r="F544" s="31">
        <v>0</v>
      </c>
      <c r="G544" s="111">
        <v>0</v>
      </c>
      <c r="H544" s="111">
        <v>0</v>
      </c>
      <c r="I544" s="111">
        <v>0</v>
      </c>
      <c r="J544" s="111">
        <v>0</v>
      </c>
      <c r="K544" s="111">
        <v>0</v>
      </c>
      <c r="L544" s="111">
        <v>0</v>
      </c>
      <c r="M544" s="111">
        <v>260</v>
      </c>
      <c r="N544" s="111">
        <v>0</v>
      </c>
      <c r="O544" s="111">
        <v>0</v>
      </c>
      <c r="P544" s="35">
        <v>8</v>
      </c>
      <c r="Q544" s="35">
        <v>0</v>
      </c>
      <c r="R544" s="35">
        <v>272</v>
      </c>
      <c r="S544" s="32">
        <v>0</v>
      </c>
      <c r="T544" s="31">
        <v>242</v>
      </c>
      <c r="U544" s="32">
        <v>294</v>
      </c>
      <c r="V544" s="31">
        <v>298</v>
      </c>
      <c r="W544" s="32">
        <v>237</v>
      </c>
      <c r="X544" s="31">
        <v>252</v>
      </c>
      <c r="Y544" s="32">
        <v>279</v>
      </c>
      <c r="Z544" s="111">
        <v>270</v>
      </c>
      <c r="AA544" s="35">
        <v>0</v>
      </c>
      <c r="AB544" s="35">
        <v>12</v>
      </c>
      <c r="AC544" s="35">
        <v>264</v>
      </c>
      <c r="AD544" s="35">
        <v>0</v>
      </c>
      <c r="AE544" s="33">
        <v>0</v>
      </c>
      <c r="AF544" s="115">
        <v>0</v>
      </c>
      <c r="AG544" s="111">
        <v>256</v>
      </c>
      <c r="AH544" s="32">
        <v>279</v>
      </c>
      <c r="AI544" s="31"/>
      <c r="AJ544" s="33"/>
      <c r="AK544" s="31"/>
      <c r="AL544" s="32"/>
      <c r="AM544" s="31"/>
      <c r="AN544" s="115"/>
      <c r="AO544" s="111"/>
      <c r="AP544" s="32"/>
      <c r="AQ544" s="31"/>
      <c r="AR544" s="115"/>
      <c r="AS544" s="111"/>
      <c r="AT544" s="32"/>
      <c r="AU544" s="31">
        <v>243</v>
      </c>
      <c r="AV544" s="111">
        <v>0</v>
      </c>
      <c r="AW544" s="111">
        <v>288</v>
      </c>
      <c r="AX544" s="31"/>
      <c r="AY544" s="32"/>
      <c r="AZ544" s="31"/>
      <c r="BA544" s="115"/>
      <c r="BB544" s="31">
        <v>292</v>
      </c>
      <c r="BC544" s="32">
        <v>229</v>
      </c>
      <c r="BD544" s="31">
        <v>275</v>
      </c>
      <c r="BE544" s="115">
        <v>243</v>
      </c>
      <c r="BF544" s="111">
        <v>231</v>
      </c>
      <c r="BG544" s="32">
        <v>287</v>
      </c>
      <c r="BH544" s="31">
        <v>302</v>
      </c>
      <c r="BI544" s="32">
        <v>216</v>
      </c>
      <c r="BJ544" s="111">
        <v>21</v>
      </c>
      <c r="BK544" s="33">
        <v>278</v>
      </c>
      <c r="BL544" s="115">
        <v>224</v>
      </c>
      <c r="BM544" s="111">
        <v>241</v>
      </c>
      <c r="BN544" s="35">
        <v>265</v>
      </c>
      <c r="BO544" s="32">
        <v>17</v>
      </c>
      <c r="BP544" s="31">
        <v>286</v>
      </c>
      <c r="BQ544" s="32">
        <v>227</v>
      </c>
      <c r="BR544" s="31">
        <v>213</v>
      </c>
      <c r="BS544" s="32">
        <v>320</v>
      </c>
      <c r="BT544" s="31">
        <v>282</v>
      </c>
      <c r="BU544" s="33">
        <v>20</v>
      </c>
      <c r="BV544" s="115">
        <v>219</v>
      </c>
      <c r="BW544" s="111">
        <v>253</v>
      </c>
      <c r="BX544" s="32">
        <v>276</v>
      </c>
      <c r="BY544" s="31">
        <v>237</v>
      </c>
      <c r="BZ544" s="32">
        <v>276</v>
      </c>
      <c r="CA544" s="111">
        <v>279</v>
      </c>
      <c r="CB544" s="32">
        <v>238</v>
      </c>
      <c r="CC544" s="33">
        <v>354</v>
      </c>
      <c r="CD544" s="34">
        <v>397</v>
      </c>
      <c r="CE544" s="111">
        <v>259</v>
      </c>
      <c r="CF544" s="42">
        <v>174</v>
      </c>
      <c r="CG544" s="31">
        <v>182</v>
      </c>
      <c r="CH544" s="35">
        <v>137</v>
      </c>
      <c r="CI544" s="35">
        <v>117</v>
      </c>
      <c r="CJ544" s="35">
        <v>159</v>
      </c>
      <c r="CK544" s="32">
        <v>240</v>
      </c>
    </row>
    <row r="545" spans="1:89" ht="13" x14ac:dyDescent="0.25">
      <c r="A545" s="27">
        <v>8914</v>
      </c>
      <c r="B545" s="28" t="s">
        <v>568</v>
      </c>
      <c r="C545" s="29">
        <v>1260</v>
      </c>
      <c r="D545" s="30">
        <v>1035</v>
      </c>
      <c r="E545" s="20">
        <f t="shared" si="8"/>
        <v>0.8214285714285714</v>
      </c>
      <c r="F545" s="31">
        <v>0</v>
      </c>
      <c r="G545" s="111">
        <v>0</v>
      </c>
      <c r="H545" s="111">
        <v>0</v>
      </c>
      <c r="I545" s="111">
        <v>0</v>
      </c>
      <c r="J545" s="111">
        <v>1</v>
      </c>
      <c r="K545" s="111">
        <v>0</v>
      </c>
      <c r="L545" s="111">
        <v>0</v>
      </c>
      <c r="M545" s="111">
        <v>464</v>
      </c>
      <c r="N545" s="111">
        <v>0</v>
      </c>
      <c r="O545" s="111">
        <v>0</v>
      </c>
      <c r="P545" s="35">
        <v>9</v>
      </c>
      <c r="Q545" s="35">
        <v>4</v>
      </c>
      <c r="R545" s="35">
        <v>536</v>
      </c>
      <c r="S545" s="32">
        <v>0</v>
      </c>
      <c r="T545" s="31">
        <v>447</v>
      </c>
      <c r="U545" s="32">
        <v>550</v>
      </c>
      <c r="V545" s="31">
        <v>573</v>
      </c>
      <c r="W545" s="32">
        <v>432</v>
      </c>
      <c r="X545" s="31">
        <v>452</v>
      </c>
      <c r="Y545" s="32">
        <v>524</v>
      </c>
      <c r="Z545" s="111">
        <v>488</v>
      </c>
      <c r="AA545" s="35">
        <v>0</v>
      </c>
      <c r="AB545" s="35">
        <v>35</v>
      </c>
      <c r="AC545" s="35">
        <v>482</v>
      </c>
      <c r="AD545" s="35">
        <v>0</v>
      </c>
      <c r="AE545" s="33">
        <v>0</v>
      </c>
      <c r="AF545" s="115">
        <v>0</v>
      </c>
      <c r="AG545" s="111">
        <v>490</v>
      </c>
      <c r="AH545" s="32">
        <v>511</v>
      </c>
      <c r="AI545" s="31"/>
      <c r="AJ545" s="33"/>
      <c r="AK545" s="31"/>
      <c r="AL545" s="32"/>
      <c r="AM545" s="31"/>
      <c r="AN545" s="115"/>
      <c r="AO545" s="111"/>
      <c r="AP545" s="32"/>
      <c r="AQ545" s="31"/>
      <c r="AR545" s="115"/>
      <c r="AS545" s="111"/>
      <c r="AT545" s="32"/>
      <c r="AU545" s="31">
        <v>443</v>
      </c>
      <c r="AV545" s="111">
        <v>0</v>
      </c>
      <c r="AW545" s="111">
        <v>527</v>
      </c>
      <c r="AX545" s="31"/>
      <c r="AY545" s="32"/>
      <c r="AZ545" s="31"/>
      <c r="BA545" s="115"/>
      <c r="BB545" s="31">
        <v>554</v>
      </c>
      <c r="BC545" s="32">
        <v>420</v>
      </c>
      <c r="BD545" s="31">
        <v>530</v>
      </c>
      <c r="BE545" s="115">
        <v>431</v>
      </c>
      <c r="BF545" s="111">
        <v>434</v>
      </c>
      <c r="BG545" s="32">
        <v>525</v>
      </c>
      <c r="BH545" s="31">
        <v>561</v>
      </c>
      <c r="BI545" s="32">
        <v>398</v>
      </c>
      <c r="BJ545" s="111">
        <v>40</v>
      </c>
      <c r="BK545" s="33">
        <v>479</v>
      </c>
      <c r="BL545" s="115">
        <v>452</v>
      </c>
      <c r="BM545" s="111">
        <v>438</v>
      </c>
      <c r="BN545" s="35">
        <v>501</v>
      </c>
      <c r="BO545" s="32">
        <v>33</v>
      </c>
      <c r="BP545" s="31">
        <v>538</v>
      </c>
      <c r="BQ545" s="32">
        <v>435</v>
      </c>
      <c r="BR545" s="31">
        <v>393</v>
      </c>
      <c r="BS545" s="32">
        <v>590</v>
      </c>
      <c r="BT545" s="31">
        <v>505</v>
      </c>
      <c r="BU545" s="33">
        <v>35</v>
      </c>
      <c r="BV545" s="115">
        <v>422</v>
      </c>
      <c r="BW545" s="111">
        <v>441</v>
      </c>
      <c r="BX545" s="32">
        <v>545</v>
      </c>
      <c r="BY545" s="31">
        <v>437</v>
      </c>
      <c r="BZ545" s="32">
        <v>517</v>
      </c>
      <c r="CA545" s="111">
        <v>503</v>
      </c>
      <c r="CB545" s="32">
        <v>458</v>
      </c>
      <c r="CC545" s="33">
        <v>706</v>
      </c>
      <c r="CD545" s="34">
        <v>713</v>
      </c>
      <c r="CE545" s="111">
        <v>478</v>
      </c>
      <c r="CF545" s="42">
        <v>354</v>
      </c>
      <c r="CG545" s="31">
        <v>265</v>
      </c>
      <c r="CH545" s="35">
        <v>254</v>
      </c>
      <c r="CI545" s="35">
        <v>239</v>
      </c>
      <c r="CJ545" s="35">
        <v>273</v>
      </c>
      <c r="CK545" s="32">
        <v>508</v>
      </c>
    </row>
    <row r="546" spans="1:89" ht="13" x14ac:dyDescent="0.25">
      <c r="A546" s="27">
        <v>9101</v>
      </c>
      <c r="B546" s="28" t="s">
        <v>569</v>
      </c>
      <c r="C546" s="29">
        <v>328</v>
      </c>
      <c r="D546" s="30">
        <v>259</v>
      </c>
      <c r="E546" s="20">
        <f t="shared" si="8"/>
        <v>0.78963414634146345</v>
      </c>
      <c r="F546" s="31">
        <v>0</v>
      </c>
      <c r="G546" s="111">
        <v>0</v>
      </c>
      <c r="H546" s="111">
        <v>0</v>
      </c>
      <c r="I546" s="111">
        <v>0</v>
      </c>
      <c r="J546" s="111">
        <v>0</v>
      </c>
      <c r="K546" s="111">
        <v>0</v>
      </c>
      <c r="L546" s="111">
        <v>0</v>
      </c>
      <c r="M546" s="111">
        <v>145</v>
      </c>
      <c r="N546" s="111">
        <v>0</v>
      </c>
      <c r="O546" s="111">
        <v>0</v>
      </c>
      <c r="P546" s="35">
        <v>0</v>
      </c>
      <c r="Q546" s="35">
        <v>1</v>
      </c>
      <c r="R546" s="35">
        <v>110</v>
      </c>
      <c r="S546" s="32">
        <v>0</v>
      </c>
      <c r="T546" s="31">
        <v>136</v>
      </c>
      <c r="U546" s="32">
        <v>113</v>
      </c>
      <c r="V546" s="31">
        <v>117</v>
      </c>
      <c r="W546" s="32">
        <v>136</v>
      </c>
      <c r="X546" s="31">
        <v>141</v>
      </c>
      <c r="Y546" s="32">
        <v>105</v>
      </c>
      <c r="Z546" s="111">
        <v>141</v>
      </c>
      <c r="AA546" s="35">
        <v>0</v>
      </c>
      <c r="AB546" s="35">
        <v>12</v>
      </c>
      <c r="AC546" s="35">
        <v>99</v>
      </c>
      <c r="AD546" s="35">
        <v>0</v>
      </c>
      <c r="AE546" s="33">
        <v>0</v>
      </c>
      <c r="AF546" s="115">
        <v>0</v>
      </c>
      <c r="AG546" s="111">
        <v>155</v>
      </c>
      <c r="AH546" s="32">
        <v>94</v>
      </c>
      <c r="AI546" s="31"/>
      <c r="AJ546" s="33"/>
      <c r="AK546" s="31">
        <v>109</v>
      </c>
      <c r="AL546" s="32">
        <v>134</v>
      </c>
      <c r="AM546" s="31"/>
      <c r="AN546" s="115"/>
      <c r="AO546" s="111"/>
      <c r="AP546" s="32"/>
      <c r="AQ546" s="31"/>
      <c r="AR546" s="115"/>
      <c r="AS546" s="111">
        <v>139</v>
      </c>
      <c r="AT546" s="32">
        <v>108</v>
      </c>
      <c r="AU546" s="31"/>
      <c r="AV546" s="111"/>
      <c r="AW546" s="111"/>
      <c r="AX546" s="31"/>
      <c r="AY546" s="32"/>
      <c r="AZ546" s="31"/>
      <c r="BA546" s="115"/>
      <c r="BB546" s="31">
        <v>113</v>
      </c>
      <c r="BC546" s="32">
        <v>134</v>
      </c>
      <c r="BD546" s="31">
        <v>110</v>
      </c>
      <c r="BE546" s="115">
        <v>136</v>
      </c>
      <c r="BF546" s="111">
        <v>136</v>
      </c>
      <c r="BG546" s="32">
        <v>107</v>
      </c>
      <c r="BH546" s="31">
        <v>118</v>
      </c>
      <c r="BI546" s="32">
        <v>127</v>
      </c>
      <c r="BJ546" s="111">
        <v>12</v>
      </c>
      <c r="BK546" s="33">
        <v>97</v>
      </c>
      <c r="BL546" s="115">
        <v>135</v>
      </c>
      <c r="BM546" s="111">
        <v>134</v>
      </c>
      <c r="BN546" s="35">
        <v>99</v>
      </c>
      <c r="BO546" s="32">
        <v>10</v>
      </c>
      <c r="BP546" s="31">
        <v>114</v>
      </c>
      <c r="BQ546" s="32">
        <v>133</v>
      </c>
      <c r="BR546" s="31">
        <v>124</v>
      </c>
      <c r="BS546" s="32">
        <v>119</v>
      </c>
      <c r="BT546" s="31">
        <v>106</v>
      </c>
      <c r="BU546" s="33">
        <v>12</v>
      </c>
      <c r="BV546" s="115">
        <v>125</v>
      </c>
      <c r="BW546" s="111">
        <v>146</v>
      </c>
      <c r="BX546" s="32">
        <v>105</v>
      </c>
      <c r="BY546" s="31">
        <v>138</v>
      </c>
      <c r="BZ546" s="32">
        <v>103</v>
      </c>
      <c r="CA546" s="111">
        <v>109</v>
      </c>
      <c r="CB546" s="32">
        <v>134</v>
      </c>
      <c r="CC546" s="33">
        <v>157</v>
      </c>
      <c r="CD546" s="34">
        <v>180</v>
      </c>
      <c r="CE546" s="111">
        <v>97</v>
      </c>
      <c r="CF546" s="38">
        <v>102</v>
      </c>
      <c r="CG546" s="31">
        <v>63</v>
      </c>
      <c r="CH546" s="35">
        <v>37</v>
      </c>
      <c r="CI546" s="35">
        <v>78</v>
      </c>
      <c r="CJ546" s="35">
        <v>85</v>
      </c>
      <c r="CK546" s="32">
        <v>106</v>
      </c>
    </row>
    <row r="547" spans="1:89" ht="13" x14ac:dyDescent="0.25">
      <c r="A547" s="27">
        <v>9102</v>
      </c>
      <c r="B547" s="28" t="s">
        <v>570</v>
      </c>
      <c r="C547" s="29">
        <v>1114</v>
      </c>
      <c r="D547" s="30">
        <v>901</v>
      </c>
      <c r="E547" s="20">
        <f t="shared" si="8"/>
        <v>0.80879712746858168</v>
      </c>
      <c r="F547" s="31">
        <v>0</v>
      </c>
      <c r="G547" s="111">
        <v>0</v>
      </c>
      <c r="H547" s="111">
        <v>0</v>
      </c>
      <c r="I547" s="111">
        <v>0</v>
      </c>
      <c r="J547" s="111">
        <v>1</v>
      </c>
      <c r="K547" s="111">
        <v>0</v>
      </c>
      <c r="L547" s="111">
        <v>0</v>
      </c>
      <c r="M547" s="111">
        <v>481</v>
      </c>
      <c r="N547" s="111">
        <v>0</v>
      </c>
      <c r="O547" s="111">
        <v>0</v>
      </c>
      <c r="P547" s="35">
        <v>2</v>
      </c>
      <c r="Q547" s="35">
        <v>2</v>
      </c>
      <c r="R547" s="35">
        <v>402</v>
      </c>
      <c r="S547" s="32">
        <v>0</v>
      </c>
      <c r="T547" s="31">
        <v>436</v>
      </c>
      <c r="U547" s="32">
        <v>441</v>
      </c>
      <c r="V547" s="31">
        <v>443</v>
      </c>
      <c r="W547" s="32">
        <v>432</v>
      </c>
      <c r="X547" s="31">
        <v>445</v>
      </c>
      <c r="Y547" s="32">
        <v>416</v>
      </c>
      <c r="Z547" s="111">
        <v>492</v>
      </c>
      <c r="AA547" s="35">
        <v>0</v>
      </c>
      <c r="AB547" s="35">
        <v>22</v>
      </c>
      <c r="AC547" s="35">
        <v>378</v>
      </c>
      <c r="AD547" s="35">
        <v>0</v>
      </c>
      <c r="AE547" s="33">
        <v>0</v>
      </c>
      <c r="AF547" s="115">
        <v>0</v>
      </c>
      <c r="AG547" s="111">
        <v>480</v>
      </c>
      <c r="AH547" s="32">
        <v>396</v>
      </c>
      <c r="AI547" s="31"/>
      <c r="AJ547" s="33"/>
      <c r="AK547" s="31"/>
      <c r="AL547" s="32"/>
      <c r="AM547" s="31"/>
      <c r="AN547" s="115"/>
      <c r="AO547" s="111"/>
      <c r="AP547" s="32"/>
      <c r="AQ547" s="31"/>
      <c r="AR547" s="115"/>
      <c r="AS547" s="111"/>
      <c r="AT547" s="32"/>
      <c r="AU547" s="31">
        <v>454</v>
      </c>
      <c r="AV547" s="111">
        <v>0</v>
      </c>
      <c r="AW547" s="111">
        <v>412</v>
      </c>
      <c r="AX547" s="31"/>
      <c r="AY547" s="32"/>
      <c r="AZ547" s="31"/>
      <c r="BA547" s="115"/>
      <c r="BB547" s="31">
        <v>430</v>
      </c>
      <c r="BC547" s="32">
        <v>418</v>
      </c>
      <c r="BD547" s="31">
        <v>420</v>
      </c>
      <c r="BE547" s="115">
        <v>426</v>
      </c>
      <c r="BF547" s="111">
        <v>420</v>
      </c>
      <c r="BG547" s="32">
        <v>418</v>
      </c>
      <c r="BH547" s="31">
        <v>442</v>
      </c>
      <c r="BI547" s="32">
        <v>407</v>
      </c>
      <c r="BJ547" s="111">
        <v>50</v>
      </c>
      <c r="BK547" s="33">
        <v>385</v>
      </c>
      <c r="BL547" s="115">
        <v>415</v>
      </c>
      <c r="BM547" s="111">
        <v>427</v>
      </c>
      <c r="BN547" s="35">
        <v>383</v>
      </c>
      <c r="BO547" s="32">
        <v>40</v>
      </c>
      <c r="BP547" s="31">
        <v>437</v>
      </c>
      <c r="BQ547" s="32">
        <v>414</v>
      </c>
      <c r="BR547" s="31">
        <v>391</v>
      </c>
      <c r="BS547" s="32">
        <v>463</v>
      </c>
      <c r="BT547" s="31">
        <v>396</v>
      </c>
      <c r="BU547" s="33">
        <v>37</v>
      </c>
      <c r="BV547" s="115">
        <v>407</v>
      </c>
      <c r="BW547" s="111">
        <v>439</v>
      </c>
      <c r="BX547" s="32">
        <v>421</v>
      </c>
      <c r="BY547" s="31">
        <v>428</v>
      </c>
      <c r="BZ547" s="32">
        <v>404</v>
      </c>
      <c r="CA547" s="111">
        <v>407</v>
      </c>
      <c r="CB547" s="32">
        <v>434</v>
      </c>
      <c r="CC547" s="33">
        <v>580</v>
      </c>
      <c r="CD547" s="34">
        <v>632</v>
      </c>
      <c r="CE547" s="111">
        <v>417</v>
      </c>
      <c r="CF547" s="38">
        <v>297</v>
      </c>
      <c r="CG547" s="31">
        <v>229</v>
      </c>
      <c r="CH547" s="35">
        <v>219</v>
      </c>
      <c r="CI547" s="35">
        <v>231</v>
      </c>
      <c r="CJ547" s="35">
        <v>302</v>
      </c>
      <c r="CK547" s="32">
        <v>404</v>
      </c>
    </row>
    <row r="548" spans="1:89" ht="13" x14ac:dyDescent="0.25">
      <c r="A548" s="27">
        <v>9103</v>
      </c>
      <c r="B548" s="28" t="s">
        <v>571</v>
      </c>
      <c r="C548" s="29">
        <v>1346</v>
      </c>
      <c r="D548" s="30">
        <v>1115</v>
      </c>
      <c r="E548" s="20">
        <f t="shared" si="8"/>
        <v>0.82838038632986633</v>
      </c>
      <c r="F548" s="31">
        <v>0</v>
      </c>
      <c r="G548" s="111">
        <v>0</v>
      </c>
      <c r="H548" s="111">
        <v>0</v>
      </c>
      <c r="I548" s="111">
        <v>1</v>
      </c>
      <c r="J548" s="111">
        <v>1</v>
      </c>
      <c r="K548" s="111">
        <v>0</v>
      </c>
      <c r="L548" s="111">
        <v>0</v>
      </c>
      <c r="M548" s="111">
        <v>537</v>
      </c>
      <c r="N548" s="111">
        <v>0</v>
      </c>
      <c r="O548" s="111">
        <v>0</v>
      </c>
      <c r="P548" s="35">
        <v>11</v>
      </c>
      <c r="Q548" s="35">
        <v>3</v>
      </c>
      <c r="R548" s="35">
        <v>542</v>
      </c>
      <c r="S548" s="32">
        <v>0</v>
      </c>
      <c r="T548" s="31">
        <v>478</v>
      </c>
      <c r="U548" s="32">
        <v>596</v>
      </c>
      <c r="V548" s="31">
        <v>600</v>
      </c>
      <c r="W548" s="32">
        <v>474</v>
      </c>
      <c r="X548" s="31">
        <v>486</v>
      </c>
      <c r="Y548" s="32">
        <v>574</v>
      </c>
      <c r="Z548" s="111">
        <v>546</v>
      </c>
      <c r="AA548" s="35">
        <v>0</v>
      </c>
      <c r="AB548" s="35">
        <v>36</v>
      </c>
      <c r="AC548" s="35">
        <v>515</v>
      </c>
      <c r="AD548" s="35">
        <v>0</v>
      </c>
      <c r="AE548" s="33">
        <v>0</v>
      </c>
      <c r="AF548" s="115">
        <v>0</v>
      </c>
      <c r="AG548" s="111">
        <v>547</v>
      </c>
      <c r="AH548" s="32">
        <v>529</v>
      </c>
      <c r="AI548" s="31"/>
      <c r="AJ548" s="33"/>
      <c r="AK548" s="31"/>
      <c r="AL548" s="32"/>
      <c r="AM548" s="31"/>
      <c r="AN548" s="115"/>
      <c r="AO548" s="111"/>
      <c r="AP548" s="32"/>
      <c r="AQ548" s="31"/>
      <c r="AR548" s="115"/>
      <c r="AS548" s="111"/>
      <c r="AT548" s="32"/>
      <c r="AU548" s="31">
        <v>488</v>
      </c>
      <c r="AV548" s="111">
        <v>0</v>
      </c>
      <c r="AW548" s="111">
        <v>571</v>
      </c>
      <c r="AX548" s="31"/>
      <c r="AY548" s="32"/>
      <c r="AZ548" s="31"/>
      <c r="BA548" s="115"/>
      <c r="BB548" s="31">
        <v>577</v>
      </c>
      <c r="BC548" s="32">
        <v>463</v>
      </c>
      <c r="BD548" s="31">
        <v>568</v>
      </c>
      <c r="BE548" s="115">
        <v>466</v>
      </c>
      <c r="BF548" s="111">
        <v>454</v>
      </c>
      <c r="BG548" s="32">
        <v>573</v>
      </c>
      <c r="BH548" s="31">
        <v>595</v>
      </c>
      <c r="BI548" s="32">
        <v>433</v>
      </c>
      <c r="BJ548" s="111">
        <v>53</v>
      </c>
      <c r="BK548" s="33">
        <v>526</v>
      </c>
      <c r="BL548" s="115">
        <v>468</v>
      </c>
      <c r="BM548" s="111">
        <v>476</v>
      </c>
      <c r="BN548" s="35">
        <v>538</v>
      </c>
      <c r="BO548" s="32">
        <v>28</v>
      </c>
      <c r="BP548" s="31">
        <v>569</v>
      </c>
      <c r="BQ548" s="32">
        <v>469</v>
      </c>
      <c r="BR548" s="31">
        <v>427</v>
      </c>
      <c r="BS548" s="32">
        <v>623</v>
      </c>
      <c r="BT548" s="31">
        <v>548</v>
      </c>
      <c r="BU548" s="33">
        <v>43</v>
      </c>
      <c r="BV548" s="115">
        <v>440</v>
      </c>
      <c r="BW548" s="111">
        <v>510</v>
      </c>
      <c r="BX548" s="32">
        <v>540</v>
      </c>
      <c r="BY548" s="31">
        <v>473</v>
      </c>
      <c r="BZ548" s="32">
        <v>544</v>
      </c>
      <c r="CA548" s="111">
        <v>560</v>
      </c>
      <c r="CB548" s="32">
        <v>474</v>
      </c>
      <c r="CC548" s="33">
        <v>742</v>
      </c>
      <c r="CD548" s="34">
        <v>724</v>
      </c>
      <c r="CE548" s="111">
        <v>510</v>
      </c>
      <c r="CF548" s="38">
        <v>365</v>
      </c>
      <c r="CG548" s="31">
        <v>259</v>
      </c>
      <c r="CH548" s="35">
        <v>319</v>
      </c>
      <c r="CI548" s="35">
        <v>281</v>
      </c>
      <c r="CJ548" s="35">
        <v>355</v>
      </c>
      <c r="CK548" s="32">
        <v>465</v>
      </c>
    </row>
    <row r="549" spans="1:89" ht="13" x14ac:dyDescent="0.25">
      <c r="A549" s="27">
        <v>9104</v>
      </c>
      <c r="B549" s="28" t="s">
        <v>572</v>
      </c>
      <c r="C549" s="29">
        <v>1089</v>
      </c>
      <c r="D549" s="30">
        <v>819</v>
      </c>
      <c r="E549" s="20">
        <f t="shared" si="8"/>
        <v>0.75206611570247939</v>
      </c>
      <c r="F549" s="31">
        <v>0</v>
      </c>
      <c r="G549" s="111">
        <v>0</v>
      </c>
      <c r="H549" s="111">
        <v>2</v>
      </c>
      <c r="I549" s="111">
        <v>0</v>
      </c>
      <c r="J549" s="111">
        <v>1</v>
      </c>
      <c r="K549" s="111">
        <v>0</v>
      </c>
      <c r="L549" s="111">
        <v>0</v>
      </c>
      <c r="M549" s="111">
        <v>448</v>
      </c>
      <c r="N549" s="111">
        <v>0</v>
      </c>
      <c r="O549" s="111">
        <v>0</v>
      </c>
      <c r="P549" s="35">
        <v>5</v>
      </c>
      <c r="Q549" s="35">
        <v>0</v>
      </c>
      <c r="R549" s="35">
        <v>341</v>
      </c>
      <c r="S549" s="32">
        <v>0</v>
      </c>
      <c r="T549" s="31">
        <v>422</v>
      </c>
      <c r="U549" s="32">
        <v>371</v>
      </c>
      <c r="V549" s="31">
        <v>388</v>
      </c>
      <c r="W549" s="32">
        <v>405</v>
      </c>
      <c r="X549" s="31">
        <v>432</v>
      </c>
      <c r="Y549" s="32">
        <v>348</v>
      </c>
      <c r="Z549" s="111">
        <v>464</v>
      </c>
      <c r="AA549" s="35">
        <v>0</v>
      </c>
      <c r="AB549" s="35">
        <v>26</v>
      </c>
      <c r="AC549" s="35">
        <v>312</v>
      </c>
      <c r="AD549" s="35">
        <v>0</v>
      </c>
      <c r="AE549" s="33">
        <v>0</v>
      </c>
      <c r="AF549" s="115">
        <v>1</v>
      </c>
      <c r="AG549" s="111">
        <v>451</v>
      </c>
      <c r="AH549" s="32">
        <v>341</v>
      </c>
      <c r="AI549" s="31"/>
      <c r="AJ549" s="33"/>
      <c r="AK549" s="31"/>
      <c r="AL549" s="32"/>
      <c r="AM549" s="31"/>
      <c r="AN549" s="115"/>
      <c r="AO549" s="111"/>
      <c r="AP549" s="32"/>
      <c r="AQ549" s="31"/>
      <c r="AR549" s="115"/>
      <c r="AS549" s="111"/>
      <c r="AT549" s="32"/>
      <c r="AU549" s="31">
        <v>447</v>
      </c>
      <c r="AV549" s="111">
        <v>1</v>
      </c>
      <c r="AW549" s="111">
        <v>339</v>
      </c>
      <c r="AX549" s="31"/>
      <c r="AY549" s="32"/>
      <c r="AZ549" s="31"/>
      <c r="BA549" s="115"/>
      <c r="BB549" s="31">
        <v>369</v>
      </c>
      <c r="BC549" s="32">
        <v>405</v>
      </c>
      <c r="BD549" s="31">
        <v>365</v>
      </c>
      <c r="BE549" s="115">
        <v>412</v>
      </c>
      <c r="BF549" s="111">
        <v>410</v>
      </c>
      <c r="BG549" s="32">
        <v>360</v>
      </c>
      <c r="BH549" s="31">
        <v>379</v>
      </c>
      <c r="BI549" s="32">
        <v>392</v>
      </c>
      <c r="BJ549" s="111">
        <v>63</v>
      </c>
      <c r="BK549" s="33">
        <v>324</v>
      </c>
      <c r="BL549" s="115">
        <v>393</v>
      </c>
      <c r="BM549" s="111">
        <v>411</v>
      </c>
      <c r="BN549" s="35">
        <v>326</v>
      </c>
      <c r="BO549" s="32">
        <v>41</v>
      </c>
      <c r="BP549" s="31">
        <v>375</v>
      </c>
      <c r="BQ549" s="32">
        <v>398</v>
      </c>
      <c r="BR549" s="31">
        <v>368</v>
      </c>
      <c r="BS549" s="32">
        <v>409</v>
      </c>
      <c r="BT549" s="31">
        <v>345</v>
      </c>
      <c r="BU549" s="33">
        <v>44</v>
      </c>
      <c r="BV549" s="115">
        <v>383</v>
      </c>
      <c r="BW549" s="111">
        <v>425</v>
      </c>
      <c r="BX549" s="32">
        <v>360</v>
      </c>
      <c r="BY549" s="31">
        <v>417</v>
      </c>
      <c r="BZ549" s="32">
        <v>349</v>
      </c>
      <c r="CA549" s="111">
        <v>357</v>
      </c>
      <c r="CB549" s="32">
        <v>410</v>
      </c>
      <c r="CC549" s="33">
        <v>541</v>
      </c>
      <c r="CD549" s="34">
        <v>591</v>
      </c>
      <c r="CE549" s="111">
        <v>351</v>
      </c>
      <c r="CF549" s="38">
        <v>314</v>
      </c>
      <c r="CG549" s="31">
        <v>186</v>
      </c>
      <c r="CH549" s="35">
        <v>177</v>
      </c>
      <c r="CI549" s="35">
        <v>241</v>
      </c>
      <c r="CJ549" s="35">
        <v>296</v>
      </c>
      <c r="CK549" s="32">
        <v>299</v>
      </c>
    </row>
    <row r="550" spans="1:89" ht="13" x14ac:dyDescent="0.25">
      <c r="A550" s="27">
        <v>9105</v>
      </c>
      <c r="B550" s="28" t="s">
        <v>573</v>
      </c>
      <c r="C550" s="29">
        <v>1096</v>
      </c>
      <c r="D550" s="30">
        <v>920</v>
      </c>
      <c r="E550" s="20">
        <f t="shared" si="8"/>
        <v>0.83941605839416056</v>
      </c>
      <c r="F550" s="31">
        <v>0</v>
      </c>
      <c r="G550" s="111">
        <v>0</v>
      </c>
      <c r="H550" s="111">
        <v>0</v>
      </c>
      <c r="I550" s="111">
        <v>0</v>
      </c>
      <c r="J550" s="111">
        <v>2</v>
      </c>
      <c r="K550" s="111">
        <v>0</v>
      </c>
      <c r="L550" s="111">
        <v>0</v>
      </c>
      <c r="M550" s="111">
        <v>444</v>
      </c>
      <c r="N550" s="111">
        <v>0</v>
      </c>
      <c r="O550" s="111">
        <v>0</v>
      </c>
      <c r="P550" s="35">
        <v>4</v>
      </c>
      <c r="Q550" s="35">
        <v>1</v>
      </c>
      <c r="R550" s="35">
        <v>449</v>
      </c>
      <c r="S550" s="32">
        <v>0</v>
      </c>
      <c r="T550" s="31">
        <v>414</v>
      </c>
      <c r="U550" s="32">
        <v>471</v>
      </c>
      <c r="V550" s="31">
        <v>498</v>
      </c>
      <c r="W550" s="32">
        <v>392</v>
      </c>
      <c r="X550" s="31">
        <v>413</v>
      </c>
      <c r="Y550" s="32">
        <v>466</v>
      </c>
      <c r="Z550" s="111">
        <v>446</v>
      </c>
      <c r="AA550" s="35">
        <v>0</v>
      </c>
      <c r="AB550" s="35">
        <v>23</v>
      </c>
      <c r="AC550" s="35">
        <v>436</v>
      </c>
      <c r="AD550" s="35">
        <v>0</v>
      </c>
      <c r="AE550" s="33">
        <v>0</v>
      </c>
      <c r="AF550" s="115">
        <v>0</v>
      </c>
      <c r="AG550" s="111">
        <v>457</v>
      </c>
      <c r="AH550" s="32">
        <v>438</v>
      </c>
      <c r="AI550" s="31"/>
      <c r="AJ550" s="33"/>
      <c r="AK550" s="31"/>
      <c r="AL550" s="32"/>
      <c r="AM550" s="31"/>
      <c r="AN550" s="115"/>
      <c r="AO550" s="111"/>
      <c r="AP550" s="32"/>
      <c r="AQ550" s="31"/>
      <c r="AR550" s="115"/>
      <c r="AS550" s="111"/>
      <c r="AT550" s="32"/>
      <c r="AU550" s="31">
        <v>418</v>
      </c>
      <c r="AV550" s="111">
        <v>0</v>
      </c>
      <c r="AW550" s="111">
        <v>469</v>
      </c>
      <c r="AX550" s="31"/>
      <c r="AY550" s="32"/>
      <c r="AZ550" s="31"/>
      <c r="BA550" s="115"/>
      <c r="BB550" s="31">
        <v>469</v>
      </c>
      <c r="BC550" s="32">
        <v>395</v>
      </c>
      <c r="BD550" s="31">
        <v>467</v>
      </c>
      <c r="BE550" s="115">
        <v>393</v>
      </c>
      <c r="BF550" s="111">
        <v>393</v>
      </c>
      <c r="BG550" s="32">
        <v>463</v>
      </c>
      <c r="BH550" s="31">
        <v>480</v>
      </c>
      <c r="BI550" s="32">
        <v>374</v>
      </c>
      <c r="BJ550" s="111">
        <v>22</v>
      </c>
      <c r="BK550" s="33">
        <v>439</v>
      </c>
      <c r="BL550" s="115">
        <v>396</v>
      </c>
      <c r="BM550" s="111">
        <v>414</v>
      </c>
      <c r="BN550" s="35">
        <v>427</v>
      </c>
      <c r="BO550" s="32">
        <v>23</v>
      </c>
      <c r="BP550" s="31">
        <v>470</v>
      </c>
      <c r="BQ550" s="32">
        <v>388</v>
      </c>
      <c r="BR550" s="31">
        <v>359</v>
      </c>
      <c r="BS550" s="32">
        <v>516</v>
      </c>
      <c r="BT550" s="31">
        <v>443</v>
      </c>
      <c r="BU550" s="33">
        <v>31</v>
      </c>
      <c r="BV550" s="115">
        <v>384</v>
      </c>
      <c r="BW550" s="111">
        <v>422</v>
      </c>
      <c r="BX550" s="32">
        <v>457</v>
      </c>
      <c r="BY550" s="31">
        <v>402</v>
      </c>
      <c r="BZ550" s="32">
        <v>447</v>
      </c>
      <c r="CA550" s="111">
        <v>461</v>
      </c>
      <c r="CB550" s="32">
        <v>399</v>
      </c>
      <c r="CC550" s="33">
        <v>618</v>
      </c>
      <c r="CD550" s="34">
        <v>606</v>
      </c>
      <c r="CE550" s="111">
        <v>369</v>
      </c>
      <c r="CF550" s="38">
        <v>353</v>
      </c>
      <c r="CG550" s="31">
        <v>187</v>
      </c>
      <c r="CH550" s="35">
        <v>224</v>
      </c>
      <c r="CI550" s="35">
        <v>274</v>
      </c>
      <c r="CJ550" s="35">
        <v>294</v>
      </c>
      <c r="CK550" s="32">
        <v>377</v>
      </c>
    </row>
    <row r="551" spans="1:89" ht="13" x14ac:dyDescent="0.25">
      <c r="A551" s="27">
        <v>9106</v>
      </c>
      <c r="B551" s="28" t="s">
        <v>574</v>
      </c>
      <c r="C551" s="29">
        <v>1474</v>
      </c>
      <c r="D551" s="30">
        <v>1066</v>
      </c>
      <c r="E551" s="20">
        <f t="shared" si="8"/>
        <v>0.72320217096336503</v>
      </c>
      <c r="F551" s="31">
        <v>0</v>
      </c>
      <c r="G551" s="111">
        <v>0</v>
      </c>
      <c r="H551" s="111">
        <v>1</v>
      </c>
      <c r="I551" s="111">
        <v>2</v>
      </c>
      <c r="J551" s="111">
        <v>1</v>
      </c>
      <c r="K551" s="111">
        <v>0</v>
      </c>
      <c r="L551" s="111">
        <v>1</v>
      </c>
      <c r="M551" s="111">
        <v>548</v>
      </c>
      <c r="N551" s="111">
        <v>0</v>
      </c>
      <c r="O551" s="111">
        <v>0</v>
      </c>
      <c r="P551" s="35">
        <v>5</v>
      </c>
      <c r="Q551" s="35">
        <v>8</v>
      </c>
      <c r="R551" s="35">
        <v>491</v>
      </c>
      <c r="S551" s="32">
        <v>0</v>
      </c>
      <c r="T551" s="31">
        <v>530</v>
      </c>
      <c r="U551" s="32">
        <v>496</v>
      </c>
      <c r="V551" s="31">
        <v>503</v>
      </c>
      <c r="W551" s="32">
        <v>523</v>
      </c>
      <c r="X551" s="31">
        <v>537</v>
      </c>
      <c r="Y551" s="32">
        <v>470</v>
      </c>
      <c r="Z551" s="111">
        <v>562</v>
      </c>
      <c r="AA551" s="35">
        <v>0</v>
      </c>
      <c r="AB551" s="35">
        <v>26</v>
      </c>
      <c r="AC551" s="35">
        <v>458</v>
      </c>
      <c r="AD551" s="35">
        <v>0</v>
      </c>
      <c r="AE551" s="33">
        <v>0</v>
      </c>
      <c r="AF551" s="115">
        <v>0</v>
      </c>
      <c r="AG551" s="111">
        <v>549</v>
      </c>
      <c r="AH551" s="32">
        <v>482</v>
      </c>
      <c r="AI551" s="31"/>
      <c r="AJ551" s="33"/>
      <c r="AK551" s="31"/>
      <c r="AL551" s="32"/>
      <c r="AM551" s="31"/>
      <c r="AN551" s="115"/>
      <c r="AO551" s="111"/>
      <c r="AP551" s="32"/>
      <c r="AQ551" s="31"/>
      <c r="AR551" s="115"/>
      <c r="AS551" s="111"/>
      <c r="AT551" s="32"/>
      <c r="AU551" s="31">
        <v>539</v>
      </c>
      <c r="AV551" s="111">
        <v>0</v>
      </c>
      <c r="AW551" s="111">
        <v>481</v>
      </c>
      <c r="AX551" s="31"/>
      <c r="AY551" s="32"/>
      <c r="AZ551" s="31"/>
      <c r="BA551" s="115"/>
      <c r="BB551" s="31">
        <v>504</v>
      </c>
      <c r="BC551" s="32">
        <v>495</v>
      </c>
      <c r="BD551" s="31">
        <v>490</v>
      </c>
      <c r="BE551" s="115">
        <v>513</v>
      </c>
      <c r="BF551" s="111">
        <v>513</v>
      </c>
      <c r="BG551" s="32">
        <v>485</v>
      </c>
      <c r="BH551" s="31">
        <v>510</v>
      </c>
      <c r="BI551" s="32">
        <v>480</v>
      </c>
      <c r="BJ551" s="111">
        <v>51</v>
      </c>
      <c r="BK551" s="33">
        <v>439</v>
      </c>
      <c r="BL551" s="115">
        <v>515</v>
      </c>
      <c r="BM551" s="111">
        <v>516</v>
      </c>
      <c r="BN551" s="35">
        <v>454</v>
      </c>
      <c r="BO551" s="32">
        <v>34</v>
      </c>
      <c r="BP551" s="31">
        <v>488</v>
      </c>
      <c r="BQ551" s="32">
        <v>514</v>
      </c>
      <c r="BR551" s="31">
        <v>488</v>
      </c>
      <c r="BS551" s="32">
        <v>520</v>
      </c>
      <c r="BT551" s="31">
        <v>440</v>
      </c>
      <c r="BU551" s="33">
        <v>51</v>
      </c>
      <c r="BV551" s="115">
        <v>503</v>
      </c>
      <c r="BW551" s="111">
        <v>533</v>
      </c>
      <c r="BX551" s="32">
        <v>480</v>
      </c>
      <c r="BY551" s="31">
        <v>507</v>
      </c>
      <c r="BZ551" s="32">
        <v>481</v>
      </c>
      <c r="CA551" s="111">
        <v>480</v>
      </c>
      <c r="CB551" s="32">
        <v>514</v>
      </c>
      <c r="CC551" s="33">
        <v>703</v>
      </c>
      <c r="CD551" s="34">
        <v>735</v>
      </c>
      <c r="CE551" s="111">
        <v>501</v>
      </c>
      <c r="CF551" s="38">
        <v>364</v>
      </c>
      <c r="CG551" s="31">
        <v>212</v>
      </c>
      <c r="CH551" s="35">
        <v>284</v>
      </c>
      <c r="CI551" s="35">
        <v>299</v>
      </c>
      <c r="CJ551" s="35">
        <v>371</v>
      </c>
      <c r="CK551" s="32">
        <v>416</v>
      </c>
    </row>
    <row r="552" spans="1:89" ht="13" x14ac:dyDescent="0.25">
      <c r="A552" s="27">
        <v>9107</v>
      </c>
      <c r="B552" s="28" t="s">
        <v>575</v>
      </c>
      <c r="C552" s="29">
        <v>695</v>
      </c>
      <c r="D552" s="30">
        <v>553</v>
      </c>
      <c r="E552" s="20">
        <f t="shared" si="8"/>
        <v>0.79568345323741008</v>
      </c>
      <c r="F552" s="31">
        <v>0</v>
      </c>
      <c r="G552" s="111">
        <v>0</v>
      </c>
      <c r="H552" s="111">
        <v>0</v>
      </c>
      <c r="I552" s="111">
        <v>0</v>
      </c>
      <c r="J552" s="111">
        <v>1</v>
      </c>
      <c r="K552" s="111">
        <v>0</v>
      </c>
      <c r="L552" s="111">
        <v>0</v>
      </c>
      <c r="M552" s="111">
        <v>289</v>
      </c>
      <c r="N552" s="111">
        <v>0</v>
      </c>
      <c r="O552" s="111">
        <v>0</v>
      </c>
      <c r="P552" s="35">
        <v>2</v>
      </c>
      <c r="Q552" s="35">
        <v>1</v>
      </c>
      <c r="R552" s="35">
        <v>245</v>
      </c>
      <c r="S552" s="32">
        <v>0</v>
      </c>
      <c r="T552" s="31">
        <v>290</v>
      </c>
      <c r="U552" s="32">
        <v>254</v>
      </c>
      <c r="V552" s="31">
        <v>267</v>
      </c>
      <c r="W552" s="32">
        <v>276</v>
      </c>
      <c r="X552" s="31">
        <v>285</v>
      </c>
      <c r="Y552" s="32">
        <v>247</v>
      </c>
      <c r="Z552" s="111">
        <v>301</v>
      </c>
      <c r="AA552" s="35">
        <v>0</v>
      </c>
      <c r="AB552" s="35">
        <v>6</v>
      </c>
      <c r="AC552" s="35">
        <v>237</v>
      </c>
      <c r="AD552" s="35">
        <v>0</v>
      </c>
      <c r="AE552" s="33">
        <v>0</v>
      </c>
      <c r="AF552" s="115">
        <v>0</v>
      </c>
      <c r="AG552" s="111">
        <v>297</v>
      </c>
      <c r="AH552" s="32">
        <v>243</v>
      </c>
      <c r="AI552" s="31"/>
      <c r="AJ552" s="33"/>
      <c r="AK552" s="31"/>
      <c r="AL552" s="32"/>
      <c r="AM552" s="31"/>
      <c r="AN552" s="115"/>
      <c r="AO552" s="111"/>
      <c r="AP552" s="32"/>
      <c r="AQ552" s="31"/>
      <c r="AR552" s="115"/>
      <c r="AS552" s="111"/>
      <c r="AT552" s="32"/>
      <c r="AU552" s="31">
        <v>283</v>
      </c>
      <c r="AV552" s="111">
        <v>0</v>
      </c>
      <c r="AW552" s="111">
        <v>250</v>
      </c>
      <c r="AX552" s="31"/>
      <c r="AY552" s="32"/>
      <c r="AZ552" s="31"/>
      <c r="BA552" s="115"/>
      <c r="BB552" s="31">
        <v>262</v>
      </c>
      <c r="BC552" s="32">
        <v>270</v>
      </c>
      <c r="BD552" s="31">
        <v>258</v>
      </c>
      <c r="BE552" s="115">
        <v>270</v>
      </c>
      <c r="BF552" s="111">
        <v>270</v>
      </c>
      <c r="BG552" s="32">
        <v>255</v>
      </c>
      <c r="BH552" s="31">
        <v>271</v>
      </c>
      <c r="BI552" s="32">
        <v>258</v>
      </c>
      <c r="BJ552" s="111">
        <v>25</v>
      </c>
      <c r="BK552" s="33">
        <v>234</v>
      </c>
      <c r="BL552" s="115">
        <v>267</v>
      </c>
      <c r="BM552" s="111">
        <v>270</v>
      </c>
      <c r="BN552" s="35">
        <v>241</v>
      </c>
      <c r="BO552" s="32">
        <v>16</v>
      </c>
      <c r="BP552" s="31">
        <v>268</v>
      </c>
      <c r="BQ552" s="32">
        <v>261</v>
      </c>
      <c r="BR552" s="31">
        <v>260</v>
      </c>
      <c r="BS552" s="32">
        <v>275</v>
      </c>
      <c r="BT552" s="31">
        <v>245</v>
      </c>
      <c r="BU552" s="33">
        <v>18</v>
      </c>
      <c r="BV552" s="115">
        <v>265</v>
      </c>
      <c r="BW552" s="111">
        <v>282</v>
      </c>
      <c r="BX552" s="32">
        <v>253</v>
      </c>
      <c r="BY552" s="31">
        <v>272</v>
      </c>
      <c r="BZ552" s="32">
        <v>252</v>
      </c>
      <c r="CA552" s="111">
        <v>260</v>
      </c>
      <c r="CB552" s="32">
        <v>268</v>
      </c>
      <c r="CC552" s="33">
        <v>370</v>
      </c>
      <c r="CD552" s="34">
        <v>390</v>
      </c>
      <c r="CE552" s="111">
        <v>251</v>
      </c>
      <c r="CF552" s="38">
        <v>221</v>
      </c>
      <c r="CG552" s="31">
        <v>132</v>
      </c>
      <c r="CH552" s="35">
        <v>143</v>
      </c>
      <c r="CI552" s="35">
        <v>172</v>
      </c>
      <c r="CJ552" s="35">
        <v>201</v>
      </c>
      <c r="CK552" s="32">
        <v>240</v>
      </c>
    </row>
    <row r="553" spans="1:89" ht="13" x14ac:dyDescent="0.25">
      <c r="A553" s="27">
        <v>9108</v>
      </c>
      <c r="B553" s="28" t="s">
        <v>576</v>
      </c>
      <c r="C553" s="29">
        <v>493</v>
      </c>
      <c r="D553" s="30">
        <v>400</v>
      </c>
      <c r="E553" s="20">
        <f t="shared" si="8"/>
        <v>0.81135902636916835</v>
      </c>
      <c r="F553" s="31">
        <v>0</v>
      </c>
      <c r="G553" s="111">
        <v>0</v>
      </c>
      <c r="H553" s="111">
        <v>0</v>
      </c>
      <c r="I553" s="111">
        <v>1</v>
      </c>
      <c r="J553" s="111">
        <v>2</v>
      </c>
      <c r="K553" s="111">
        <v>0</v>
      </c>
      <c r="L553" s="111">
        <v>0</v>
      </c>
      <c r="M553" s="111">
        <v>185</v>
      </c>
      <c r="N553" s="111">
        <v>0</v>
      </c>
      <c r="O553" s="111">
        <v>0</v>
      </c>
      <c r="P553" s="35">
        <v>3</v>
      </c>
      <c r="Q553" s="35">
        <v>0</v>
      </c>
      <c r="R553" s="35">
        <v>203</v>
      </c>
      <c r="S553" s="32">
        <v>0</v>
      </c>
      <c r="T553" s="31">
        <v>169</v>
      </c>
      <c r="U553" s="32">
        <v>218</v>
      </c>
      <c r="V553" s="31">
        <v>225</v>
      </c>
      <c r="W553" s="32">
        <v>161</v>
      </c>
      <c r="X553" s="31">
        <v>170</v>
      </c>
      <c r="Y553" s="32">
        <v>210</v>
      </c>
      <c r="Z553" s="111">
        <v>190</v>
      </c>
      <c r="AA553" s="35">
        <v>0</v>
      </c>
      <c r="AB553" s="35">
        <v>11</v>
      </c>
      <c r="AC553" s="35">
        <v>191</v>
      </c>
      <c r="AD553" s="35">
        <v>0</v>
      </c>
      <c r="AE553" s="33">
        <v>0</v>
      </c>
      <c r="AF553" s="115">
        <v>0</v>
      </c>
      <c r="AG553" s="111">
        <v>189</v>
      </c>
      <c r="AH553" s="32">
        <v>200</v>
      </c>
      <c r="AI553" s="31"/>
      <c r="AJ553" s="33"/>
      <c r="AK553" s="31"/>
      <c r="AL553" s="32"/>
      <c r="AM553" s="31"/>
      <c r="AN553" s="115"/>
      <c r="AO553" s="111"/>
      <c r="AP553" s="32"/>
      <c r="AQ553" s="31"/>
      <c r="AR553" s="115"/>
      <c r="AS553" s="111"/>
      <c r="AT553" s="32"/>
      <c r="AU553" s="31">
        <v>170</v>
      </c>
      <c r="AV553" s="111">
        <v>0</v>
      </c>
      <c r="AW553" s="111">
        <v>216</v>
      </c>
      <c r="AX553" s="31"/>
      <c r="AY553" s="32"/>
      <c r="AZ553" s="31"/>
      <c r="BA553" s="115"/>
      <c r="BB553" s="31">
        <v>216</v>
      </c>
      <c r="BC553" s="32">
        <v>167</v>
      </c>
      <c r="BD553" s="31">
        <v>215</v>
      </c>
      <c r="BE553" s="115">
        <v>163</v>
      </c>
      <c r="BF553" s="111">
        <v>158</v>
      </c>
      <c r="BG553" s="32">
        <v>217</v>
      </c>
      <c r="BH553" s="31">
        <v>228</v>
      </c>
      <c r="BI553" s="32">
        <v>149</v>
      </c>
      <c r="BJ553" s="129">
        <v>11</v>
      </c>
      <c r="BK553" s="200">
        <v>203</v>
      </c>
      <c r="BL553" s="115">
        <v>166</v>
      </c>
      <c r="BM553" s="111">
        <v>160</v>
      </c>
      <c r="BN553" s="35">
        <v>207</v>
      </c>
      <c r="BO553" s="32">
        <v>9</v>
      </c>
      <c r="BP553" s="31">
        <v>223</v>
      </c>
      <c r="BQ553" s="32">
        <v>153</v>
      </c>
      <c r="BR553" s="31">
        <v>149</v>
      </c>
      <c r="BS553" s="32">
        <v>230</v>
      </c>
      <c r="BT553" s="31">
        <v>209</v>
      </c>
      <c r="BU553" s="33">
        <v>17</v>
      </c>
      <c r="BV553" s="115">
        <v>149</v>
      </c>
      <c r="BW553" s="111">
        <v>176</v>
      </c>
      <c r="BX553" s="32">
        <v>209</v>
      </c>
      <c r="BY553" s="31">
        <v>158</v>
      </c>
      <c r="BZ553" s="32">
        <v>215</v>
      </c>
      <c r="CA553" s="111">
        <v>211</v>
      </c>
      <c r="CB553" s="32">
        <v>164</v>
      </c>
      <c r="CC553" s="33">
        <v>274</v>
      </c>
      <c r="CD553" s="34">
        <v>269</v>
      </c>
      <c r="CE553" s="111">
        <v>179</v>
      </c>
      <c r="CF553" s="38">
        <v>139</v>
      </c>
      <c r="CG553" s="31">
        <v>100</v>
      </c>
      <c r="CH553" s="128">
        <v>108</v>
      </c>
      <c r="CI553" s="128">
        <v>95</v>
      </c>
      <c r="CJ553" s="128">
        <v>108</v>
      </c>
      <c r="CK553" s="39">
        <v>173</v>
      </c>
    </row>
    <row r="554" spans="1:89" ht="13" x14ac:dyDescent="0.25">
      <c r="A554" s="27">
        <v>9109</v>
      </c>
      <c r="B554" s="28" t="s">
        <v>577</v>
      </c>
      <c r="C554" s="29">
        <v>946</v>
      </c>
      <c r="D554" s="30">
        <v>627</v>
      </c>
      <c r="E554" s="20">
        <f t="shared" si="8"/>
        <v>0.66279069767441856</v>
      </c>
      <c r="F554" s="31">
        <v>0</v>
      </c>
      <c r="G554" s="111">
        <v>0</v>
      </c>
      <c r="H554" s="111">
        <v>0</v>
      </c>
      <c r="I554" s="111">
        <v>1</v>
      </c>
      <c r="J554" s="111">
        <v>0</v>
      </c>
      <c r="K554" s="111">
        <v>0</v>
      </c>
      <c r="L554" s="111">
        <v>0</v>
      </c>
      <c r="M554" s="111">
        <v>384</v>
      </c>
      <c r="N554" s="111">
        <v>0</v>
      </c>
      <c r="O554" s="111">
        <v>0</v>
      </c>
      <c r="P554" s="35">
        <v>6</v>
      </c>
      <c r="Q554" s="35">
        <v>1</v>
      </c>
      <c r="R554" s="35">
        <v>217</v>
      </c>
      <c r="S554" s="32">
        <v>0</v>
      </c>
      <c r="T554" s="31">
        <v>379</v>
      </c>
      <c r="U554" s="32">
        <v>231</v>
      </c>
      <c r="V554" s="31">
        <v>245</v>
      </c>
      <c r="W554" s="32">
        <v>362</v>
      </c>
      <c r="X554" s="31">
        <v>382</v>
      </c>
      <c r="Y554" s="32">
        <v>218</v>
      </c>
      <c r="Z554" s="111">
        <v>393</v>
      </c>
      <c r="AA554" s="35">
        <v>0</v>
      </c>
      <c r="AB554" s="35">
        <v>17</v>
      </c>
      <c r="AC554" s="35">
        <v>205</v>
      </c>
      <c r="AD554" s="35">
        <v>0</v>
      </c>
      <c r="AE554" s="33">
        <v>0</v>
      </c>
      <c r="AF554" s="115">
        <v>0</v>
      </c>
      <c r="AG554" s="111">
        <v>382</v>
      </c>
      <c r="AH554" s="32">
        <v>222</v>
      </c>
      <c r="AI554" s="31"/>
      <c r="AJ554" s="33"/>
      <c r="AK554" s="31"/>
      <c r="AL554" s="32"/>
      <c r="AM554" s="31"/>
      <c r="AN554" s="115"/>
      <c r="AO554" s="111"/>
      <c r="AP554" s="32"/>
      <c r="AQ554" s="31"/>
      <c r="AR554" s="115"/>
      <c r="AS554" s="111"/>
      <c r="AT554" s="32"/>
      <c r="AU554" s="31">
        <v>379</v>
      </c>
      <c r="AV554" s="111">
        <v>0</v>
      </c>
      <c r="AW554" s="111">
        <v>220</v>
      </c>
      <c r="AX554" s="31"/>
      <c r="AY554" s="32"/>
      <c r="AZ554" s="31"/>
      <c r="BA554" s="115"/>
      <c r="BB554" s="31">
        <v>238</v>
      </c>
      <c r="BC554" s="32">
        <v>354</v>
      </c>
      <c r="BD554" s="31">
        <v>222</v>
      </c>
      <c r="BE554" s="115">
        <v>367</v>
      </c>
      <c r="BF554" s="111">
        <v>368</v>
      </c>
      <c r="BG554" s="32">
        <v>218</v>
      </c>
      <c r="BH554" s="31">
        <v>244</v>
      </c>
      <c r="BI554" s="32">
        <v>340</v>
      </c>
      <c r="BJ554" s="111">
        <v>27</v>
      </c>
      <c r="BK554" s="33">
        <v>217</v>
      </c>
      <c r="BL554" s="115">
        <v>344</v>
      </c>
      <c r="BM554" s="111">
        <v>356</v>
      </c>
      <c r="BN554" s="35">
        <v>212</v>
      </c>
      <c r="BO554" s="32">
        <v>21</v>
      </c>
      <c r="BP554" s="31">
        <v>235</v>
      </c>
      <c r="BQ554" s="32">
        <v>353</v>
      </c>
      <c r="BR554" s="31">
        <v>334</v>
      </c>
      <c r="BS554" s="32">
        <v>251</v>
      </c>
      <c r="BT554" s="31">
        <v>217</v>
      </c>
      <c r="BU554" s="33">
        <v>16</v>
      </c>
      <c r="BV554" s="115">
        <v>350</v>
      </c>
      <c r="BW554" s="111">
        <v>366</v>
      </c>
      <c r="BX554" s="32">
        <v>223</v>
      </c>
      <c r="BY554" s="31">
        <v>358</v>
      </c>
      <c r="BZ554" s="32">
        <v>218</v>
      </c>
      <c r="CA554" s="111">
        <v>226</v>
      </c>
      <c r="CB554" s="32">
        <v>361</v>
      </c>
      <c r="CC554" s="33">
        <v>387</v>
      </c>
      <c r="CD554" s="34">
        <v>467</v>
      </c>
      <c r="CE554" s="111">
        <v>252</v>
      </c>
      <c r="CF554" s="38">
        <v>253</v>
      </c>
      <c r="CG554" s="31">
        <v>146</v>
      </c>
      <c r="CH554" s="35">
        <v>136</v>
      </c>
      <c r="CI554" s="35">
        <v>217</v>
      </c>
      <c r="CJ554" s="35">
        <v>246</v>
      </c>
      <c r="CK554" s="32">
        <v>212</v>
      </c>
    </row>
    <row r="555" spans="1:89" ht="13" x14ac:dyDescent="0.25">
      <c r="A555" s="27">
        <v>9110</v>
      </c>
      <c r="B555" s="28" t="s">
        <v>578</v>
      </c>
      <c r="C555" s="29">
        <v>1240</v>
      </c>
      <c r="D555" s="30">
        <v>943</v>
      </c>
      <c r="E555" s="20">
        <f t="shared" si="8"/>
        <v>0.76048387096774195</v>
      </c>
      <c r="F555" s="31">
        <v>0</v>
      </c>
      <c r="G555" s="111">
        <v>0</v>
      </c>
      <c r="H555" s="111">
        <v>0</v>
      </c>
      <c r="I555" s="111">
        <v>0</v>
      </c>
      <c r="J555" s="111">
        <v>1</v>
      </c>
      <c r="K555" s="111">
        <v>0</v>
      </c>
      <c r="L555" s="111">
        <v>0</v>
      </c>
      <c r="M555" s="111">
        <v>415</v>
      </c>
      <c r="N555" s="111">
        <v>0</v>
      </c>
      <c r="O555" s="111">
        <v>0</v>
      </c>
      <c r="P555" s="35">
        <v>6</v>
      </c>
      <c r="Q555" s="35">
        <v>4</v>
      </c>
      <c r="R555" s="35">
        <v>504</v>
      </c>
      <c r="S555" s="32">
        <v>0</v>
      </c>
      <c r="T555" s="31">
        <v>390</v>
      </c>
      <c r="U555" s="32">
        <v>506</v>
      </c>
      <c r="V555" s="31">
        <v>519</v>
      </c>
      <c r="W555" s="32">
        <v>381</v>
      </c>
      <c r="X555" s="31">
        <v>404</v>
      </c>
      <c r="Y555" s="32">
        <v>485</v>
      </c>
      <c r="Z555" s="111">
        <v>427</v>
      </c>
      <c r="AA555" s="35">
        <v>2</v>
      </c>
      <c r="AB555" s="35">
        <v>28</v>
      </c>
      <c r="AC555" s="35">
        <v>459</v>
      </c>
      <c r="AD555" s="35">
        <v>0</v>
      </c>
      <c r="AE555" s="33">
        <v>0</v>
      </c>
      <c r="AF555" s="115">
        <v>0</v>
      </c>
      <c r="AG555" s="111">
        <v>424</v>
      </c>
      <c r="AH555" s="32">
        <v>475</v>
      </c>
      <c r="AI555" s="31"/>
      <c r="AJ555" s="33"/>
      <c r="AK555" s="31"/>
      <c r="AL555" s="32"/>
      <c r="AM555" s="31"/>
      <c r="AN555" s="115"/>
      <c r="AO555" s="111"/>
      <c r="AP555" s="32"/>
      <c r="AQ555" s="31"/>
      <c r="AR555" s="115"/>
      <c r="AS555" s="111"/>
      <c r="AT555" s="32"/>
      <c r="AU555" s="31">
        <v>395</v>
      </c>
      <c r="AV555" s="111">
        <v>0</v>
      </c>
      <c r="AW555" s="111">
        <v>498</v>
      </c>
      <c r="AX555" s="31"/>
      <c r="AY555" s="32"/>
      <c r="AZ555" s="31"/>
      <c r="BA555" s="115"/>
      <c r="BB555" s="31">
        <v>497</v>
      </c>
      <c r="BC555" s="32">
        <v>379</v>
      </c>
      <c r="BD555" s="31">
        <v>483</v>
      </c>
      <c r="BE555" s="115">
        <v>389</v>
      </c>
      <c r="BF555" s="111">
        <v>392</v>
      </c>
      <c r="BG555" s="32">
        <v>475</v>
      </c>
      <c r="BH555" s="31">
        <v>518</v>
      </c>
      <c r="BI555" s="32">
        <v>356</v>
      </c>
      <c r="BJ555" s="111">
        <v>37</v>
      </c>
      <c r="BK555" s="33">
        <v>466</v>
      </c>
      <c r="BL555" s="115">
        <v>375</v>
      </c>
      <c r="BM555" s="111">
        <v>387</v>
      </c>
      <c r="BN555" s="35">
        <v>459</v>
      </c>
      <c r="BO555" s="32">
        <v>29</v>
      </c>
      <c r="BP555" s="31">
        <v>492</v>
      </c>
      <c r="BQ555" s="32">
        <v>380</v>
      </c>
      <c r="BR555" s="31">
        <v>353</v>
      </c>
      <c r="BS555" s="32">
        <v>534</v>
      </c>
      <c r="BT555" s="31">
        <v>464</v>
      </c>
      <c r="BU555" s="33">
        <v>48</v>
      </c>
      <c r="BV555" s="115">
        <v>360</v>
      </c>
      <c r="BW555" s="111">
        <v>396</v>
      </c>
      <c r="BX555" s="32">
        <v>489</v>
      </c>
      <c r="BY555" s="31">
        <v>386</v>
      </c>
      <c r="BZ555" s="32">
        <v>469</v>
      </c>
      <c r="CA555" s="111">
        <v>492</v>
      </c>
      <c r="CB555" s="32">
        <v>373</v>
      </c>
      <c r="CC555" s="33">
        <v>646</v>
      </c>
      <c r="CD555" s="34">
        <v>611</v>
      </c>
      <c r="CE555" s="111">
        <v>399</v>
      </c>
      <c r="CF555" s="38">
        <v>322</v>
      </c>
      <c r="CG555" s="31">
        <v>226</v>
      </c>
      <c r="CH555" s="35">
        <v>217</v>
      </c>
      <c r="CI555" s="35">
        <v>217</v>
      </c>
      <c r="CJ555" s="35">
        <v>284</v>
      </c>
      <c r="CK555" s="32">
        <v>399</v>
      </c>
    </row>
    <row r="556" spans="1:89" ht="13" x14ac:dyDescent="0.25">
      <c r="A556" s="27">
        <v>9111</v>
      </c>
      <c r="B556" s="28" t="s">
        <v>579</v>
      </c>
      <c r="C556" s="29">
        <v>432</v>
      </c>
      <c r="D556" s="30">
        <v>341</v>
      </c>
      <c r="E556" s="20">
        <f t="shared" si="8"/>
        <v>0.78935185185185186</v>
      </c>
      <c r="F556" s="31">
        <v>0</v>
      </c>
      <c r="G556" s="111">
        <v>0</v>
      </c>
      <c r="H556" s="111">
        <v>0</v>
      </c>
      <c r="I556" s="111">
        <v>0</v>
      </c>
      <c r="J556" s="111">
        <v>0</v>
      </c>
      <c r="K556" s="111">
        <v>0</v>
      </c>
      <c r="L556" s="111">
        <v>0</v>
      </c>
      <c r="M556" s="111">
        <v>124</v>
      </c>
      <c r="N556" s="111">
        <v>0</v>
      </c>
      <c r="O556" s="111">
        <v>0</v>
      </c>
      <c r="P556" s="35">
        <v>2</v>
      </c>
      <c r="Q556" s="35">
        <v>0</v>
      </c>
      <c r="R556" s="35">
        <v>209</v>
      </c>
      <c r="S556" s="32">
        <v>0</v>
      </c>
      <c r="T556" s="31">
        <v>117</v>
      </c>
      <c r="U556" s="32">
        <v>207</v>
      </c>
      <c r="V556" s="31">
        <v>212</v>
      </c>
      <c r="W556" s="32">
        <v>114</v>
      </c>
      <c r="X556" s="31">
        <v>120</v>
      </c>
      <c r="Y556" s="32">
        <v>200</v>
      </c>
      <c r="Z556" s="111">
        <v>136</v>
      </c>
      <c r="AA556" s="35">
        <v>0</v>
      </c>
      <c r="AB556" s="35">
        <v>5</v>
      </c>
      <c r="AC556" s="35">
        <v>191</v>
      </c>
      <c r="AD556" s="35">
        <v>0</v>
      </c>
      <c r="AE556" s="33">
        <v>0</v>
      </c>
      <c r="AF556" s="115">
        <v>0</v>
      </c>
      <c r="AG556" s="111">
        <v>130</v>
      </c>
      <c r="AH556" s="32">
        <v>194</v>
      </c>
      <c r="AI556" s="31"/>
      <c r="AJ556" s="33"/>
      <c r="AK556" s="31"/>
      <c r="AL556" s="32"/>
      <c r="AM556" s="31"/>
      <c r="AN556" s="115"/>
      <c r="AO556" s="111"/>
      <c r="AP556" s="32"/>
      <c r="AQ556" s="31"/>
      <c r="AR556" s="115"/>
      <c r="AS556" s="111"/>
      <c r="AT556" s="32"/>
      <c r="AU556" s="31">
        <v>126</v>
      </c>
      <c r="AV556" s="111">
        <v>0</v>
      </c>
      <c r="AW556" s="111">
        <v>206</v>
      </c>
      <c r="AX556" s="31"/>
      <c r="AY556" s="32"/>
      <c r="AZ556" s="31"/>
      <c r="BA556" s="115"/>
      <c r="BB556" s="31">
        <v>211</v>
      </c>
      <c r="BC556" s="32">
        <v>111</v>
      </c>
      <c r="BD556" s="31">
        <v>209</v>
      </c>
      <c r="BE556" s="115">
        <v>111</v>
      </c>
      <c r="BF556" s="111">
        <v>108</v>
      </c>
      <c r="BG556" s="32">
        <v>209</v>
      </c>
      <c r="BH556" s="31">
        <v>218</v>
      </c>
      <c r="BI556" s="32">
        <v>101</v>
      </c>
      <c r="BJ556" s="111">
        <v>13</v>
      </c>
      <c r="BK556" s="33">
        <v>197</v>
      </c>
      <c r="BL556" s="115">
        <v>111</v>
      </c>
      <c r="BM556" s="111">
        <v>111</v>
      </c>
      <c r="BN556" s="35">
        <v>204</v>
      </c>
      <c r="BO556" s="32">
        <v>9</v>
      </c>
      <c r="BP556" s="31">
        <v>221</v>
      </c>
      <c r="BQ556" s="32">
        <v>102</v>
      </c>
      <c r="BR556" s="31">
        <v>101</v>
      </c>
      <c r="BS556" s="32">
        <v>218</v>
      </c>
      <c r="BT556" s="31">
        <v>199</v>
      </c>
      <c r="BU556" s="33">
        <v>13</v>
      </c>
      <c r="BV556" s="115">
        <v>105</v>
      </c>
      <c r="BW556" s="111">
        <v>113</v>
      </c>
      <c r="BX556" s="32">
        <v>209</v>
      </c>
      <c r="BY556" s="31">
        <v>109</v>
      </c>
      <c r="BZ556" s="32">
        <v>204</v>
      </c>
      <c r="CA556" s="111">
        <v>204</v>
      </c>
      <c r="CB556" s="32">
        <v>113</v>
      </c>
      <c r="CC556" s="33">
        <v>239</v>
      </c>
      <c r="CD556" s="34">
        <v>203</v>
      </c>
      <c r="CE556" s="111">
        <v>154</v>
      </c>
      <c r="CF556" s="38">
        <v>113</v>
      </c>
      <c r="CG556" s="31">
        <v>71</v>
      </c>
      <c r="CH556" s="35">
        <v>98</v>
      </c>
      <c r="CI556" s="35">
        <v>61</v>
      </c>
      <c r="CJ556" s="35">
        <v>83</v>
      </c>
      <c r="CK556" s="32">
        <v>166</v>
      </c>
    </row>
    <row r="557" spans="1:89" ht="13" x14ac:dyDescent="0.25">
      <c r="A557" s="27">
        <v>9112</v>
      </c>
      <c r="B557" s="28" t="s">
        <v>580</v>
      </c>
      <c r="C557" s="29">
        <v>1142</v>
      </c>
      <c r="D557" s="30">
        <v>918</v>
      </c>
      <c r="E557" s="20">
        <f t="shared" si="8"/>
        <v>0.80385288966725044</v>
      </c>
      <c r="F557" s="31">
        <v>0</v>
      </c>
      <c r="G557" s="111">
        <v>0</v>
      </c>
      <c r="H557" s="111">
        <v>0</v>
      </c>
      <c r="I557" s="111">
        <v>1</v>
      </c>
      <c r="J557" s="111">
        <v>1</v>
      </c>
      <c r="K557" s="111">
        <v>0</v>
      </c>
      <c r="L557" s="111">
        <v>0</v>
      </c>
      <c r="M557" s="111">
        <v>458</v>
      </c>
      <c r="N557" s="111">
        <v>0</v>
      </c>
      <c r="O557" s="111">
        <v>0</v>
      </c>
      <c r="P557" s="35">
        <v>3</v>
      </c>
      <c r="Q557" s="35">
        <v>0</v>
      </c>
      <c r="R557" s="35">
        <v>432</v>
      </c>
      <c r="S557" s="32">
        <v>0</v>
      </c>
      <c r="T557" s="31">
        <v>395</v>
      </c>
      <c r="U557" s="32">
        <v>489</v>
      </c>
      <c r="V557" s="31">
        <v>507</v>
      </c>
      <c r="W557" s="32">
        <v>380</v>
      </c>
      <c r="X557" s="31">
        <v>406</v>
      </c>
      <c r="Y557" s="32">
        <v>468</v>
      </c>
      <c r="Z557" s="111">
        <v>445</v>
      </c>
      <c r="AA557" s="35">
        <v>0</v>
      </c>
      <c r="AB557" s="35">
        <v>15</v>
      </c>
      <c r="AC557" s="35">
        <v>443</v>
      </c>
      <c r="AD557" s="35">
        <v>0</v>
      </c>
      <c r="AE557" s="33">
        <v>0</v>
      </c>
      <c r="AF557" s="115">
        <v>0</v>
      </c>
      <c r="AG557" s="111">
        <v>431</v>
      </c>
      <c r="AH557" s="32">
        <v>447</v>
      </c>
      <c r="AI557" s="31"/>
      <c r="AJ557" s="33"/>
      <c r="AK557" s="31"/>
      <c r="AL557" s="32"/>
      <c r="AM557" s="31"/>
      <c r="AN557" s="115"/>
      <c r="AO557" s="111"/>
      <c r="AP557" s="32"/>
      <c r="AQ557" s="31"/>
      <c r="AR557" s="115"/>
      <c r="AS557" s="111"/>
      <c r="AT557" s="32"/>
      <c r="AU557" s="31">
        <v>415</v>
      </c>
      <c r="AV557" s="111">
        <v>0</v>
      </c>
      <c r="AW557" s="111">
        <v>462</v>
      </c>
      <c r="AX557" s="31"/>
      <c r="AY557" s="32"/>
      <c r="AZ557" s="31"/>
      <c r="BA557" s="115"/>
      <c r="BB557" s="31">
        <v>484</v>
      </c>
      <c r="BC557" s="32">
        <v>381</v>
      </c>
      <c r="BD557" s="31">
        <v>484</v>
      </c>
      <c r="BE557" s="115">
        <v>381</v>
      </c>
      <c r="BF557" s="111">
        <v>385</v>
      </c>
      <c r="BG557" s="32">
        <v>472</v>
      </c>
      <c r="BH557" s="31">
        <v>503</v>
      </c>
      <c r="BI557" s="32">
        <v>354</v>
      </c>
      <c r="BJ557" s="111">
        <v>33</v>
      </c>
      <c r="BK557" s="33">
        <v>450</v>
      </c>
      <c r="BL557" s="115">
        <v>377</v>
      </c>
      <c r="BM557" s="111">
        <v>391</v>
      </c>
      <c r="BN557" s="35">
        <v>450</v>
      </c>
      <c r="BO557" s="32">
        <v>26</v>
      </c>
      <c r="BP557" s="31">
        <v>492</v>
      </c>
      <c r="BQ557" s="32">
        <v>377</v>
      </c>
      <c r="BR557" s="31">
        <v>324</v>
      </c>
      <c r="BS557" s="32">
        <v>537</v>
      </c>
      <c r="BT557" s="31">
        <v>460</v>
      </c>
      <c r="BU557" s="33">
        <v>32</v>
      </c>
      <c r="BV557" s="115">
        <v>366</v>
      </c>
      <c r="BW557" s="111">
        <v>403</v>
      </c>
      <c r="BX557" s="32">
        <v>465</v>
      </c>
      <c r="BY557" s="31">
        <v>391</v>
      </c>
      <c r="BZ557" s="32">
        <v>457</v>
      </c>
      <c r="CA557" s="111">
        <v>468</v>
      </c>
      <c r="CB557" s="32">
        <v>385</v>
      </c>
      <c r="CC557" s="33">
        <v>629</v>
      </c>
      <c r="CD557" s="34">
        <v>602</v>
      </c>
      <c r="CE557" s="111">
        <v>420</v>
      </c>
      <c r="CF557" s="38">
        <v>306</v>
      </c>
      <c r="CG557" s="31">
        <v>250</v>
      </c>
      <c r="CH557" s="35">
        <v>212</v>
      </c>
      <c r="CI557" s="35">
        <v>217</v>
      </c>
      <c r="CJ557" s="35">
        <v>282</v>
      </c>
      <c r="CK557" s="32">
        <v>431</v>
      </c>
    </row>
    <row r="558" spans="1:89" ht="13" x14ac:dyDescent="0.25">
      <c r="A558" s="27">
        <v>9301</v>
      </c>
      <c r="B558" s="28" t="s">
        <v>581</v>
      </c>
      <c r="C558" s="29">
        <v>1255</v>
      </c>
      <c r="D558" s="30">
        <v>1014</v>
      </c>
      <c r="E558" s="20">
        <f t="shared" si="8"/>
        <v>0.80796812749003988</v>
      </c>
      <c r="F558" s="31">
        <v>0</v>
      </c>
      <c r="G558" s="111">
        <v>0</v>
      </c>
      <c r="H558" s="111">
        <v>0</v>
      </c>
      <c r="I558" s="111">
        <v>0</v>
      </c>
      <c r="J558" s="111">
        <v>1</v>
      </c>
      <c r="K558" s="111">
        <v>0</v>
      </c>
      <c r="L558" s="111">
        <v>0</v>
      </c>
      <c r="M558" s="111">
        <v>537</v>
      </c>
      <c r="N558" s="111">
        <v>0</v>
      </c>
      <c r="O558" s="111">
        <v>0</v>
      </c>
      <c r="P558" s="35">
        <v>10</v>
      </c>
      <c r="Q558" s="35">
        <v>3</v>
      </c>
      <c r="R558" s="35">
        <v>438</v>
      </c>
      <c r="S558" s="32">
        <v>0</v>
      </c>
      <c r="T558" s="41">
        <v>482</v>
      </c>
      <c r="U558" s="42">
        <v>495</v>
      </c>
      <c r="V558" s="41">
        <v>513</v>
      </c>
      <c r="W558" s="32">
        <v>469</v>
      </c>
      <c r="X558" s="31">
        <v>480</v>
      </c>
      <c r="Y558" s="32">
        <v>481</v>
      </c>
      <c r="Z558" s="111">
        <v>523</v>
      </c>
      <c r="AA558" s="35">
        <v>0</v>
      </c>
      <c r="AB558" s="35">
        <v>28</v>
      </c>
      <c r="AC558" s="35">
        <v>441</v>
      </c>
      <c r="AD558" s="35">
        <v>0</v>
      </c>
      <c r="AE558" s="33">
        <v>0</v>
      </c>
      <c r="AF558" s="117">
        <v>0</v>
      </c>
      <c r="AG558" s="121">
        <v>531</v>
      </c>
      <c r="AH558" s="42">
        <v>449</v>
      </c>
      <c r="AI558" s="41"/>
      <c r="AJ558" s="40"/>
      <c r="AK558" s="41">
        <v>467</v>
      </c>
      <c r="AL558" s="42">
        <v>490</v>
      </c>
      <c r="AM558" s="41"/>
      <c r="AN558" s="117"/>
      <c r="AO558" s="121"/>
      <c r="AP558" s="42"/>
      <c r="AQ558" s="41"/>
      <c r="AR558" s="117"/>
      <c r="AS558" s="121">
        <v>507</v>
      </c>
      <c r="AT558" s="42">
        <v>454</v>
      </c>
      <c r="AU558" s="41"/>
      <c r="AV558" s="121"/>
      <c r="AW558" s="121"/>
      <c r="AX558" s="41"/>
      <c r="AY558" s="42"/>
      <c r="AZ558" s="41"/>
      <c r="BA558" s="117"/>
      <c r="BB558" s="31">
        <v>481</v>
      </c>
      <c r="BC558" s="32">
        <v>465</v>
      </c>
      <c r="BD558" s="31">
        <v>472</v>
      </c>
      <c r="BE558" s="117">
        <v>469</v>
      </c>
      <c r="BF558" s="121">
        <v>462</v>
      </c>
      <c r="BG558" s="42">
        <v>468</v>
      </c>
      <c r="BH558" s="41">
        <v>502</v>
      </c>
      <c r="BI558" s="42">
        <v>446</v>
      </c>
      <c r="BJ558" s="111">
        <v>57</v>
      </c>
      <c r="BK558" s="33">
        <v>453</v>
      </c>
      <c r="BL558" s="115">
        <v>440</v>
      </c>
      <c r="BM558" s="111">
        <v>473</v>
      </c>
      <c r="BN558" s="35">
        <v>449</v>
      </c>
      <c r="BO558" s="32">
        <v>29</v>
      </c>
      <c r="BP558" s="31">
        <v>498</v>
      </c>
      <c r="BQ558" s="32">
        <v>450</v>
      </c>
      <c r="BR558" s="31">
        <v>403</v>
      </c>
      <c r="BS558" s="32">
        <v>546</v>
      </c>
      <c r="BT558" s="31">
        <v>448</v>
      </c>
      <c r="BU558" s="33">
        <v>48</v>
      </c>
      <c r="BV558" s="115">
        <v>442</v>
      </c>
      <c r="BW558" s="111">
        <v>479</v>
      </c>
      <c r="BX558" s="32">
        <v>479</v>
      </c>
      <c r="BY558" s="31">
        <v>471</v>
      </c>
      <c r="BZ558" s="32">
        <v>459</v>
      </c>
      <c r="CA558" s="111">
        <v>476</v>
      </c>
      <c r="CB558" s="32">
        <v>473</v>
      </c>
      <c r="CC558" s="33">
        <v>652</v>
      </c>
      <c r="CD558" s="34">
        <v>678</v>
      </c>
      <c r="CE558" s="121">
        <v>388</v>
      </c>
      <c r="CF558" s="42">
        <v>373</v>
      </c>
      <c r="CG558" s="31">
        <v>276</v>
      </c>
      <c r="CH558" s="35">
        <v>209</v>
      </c>
      <c r="CI558" s="35">
        <v>280</v>
      </c>
      <c r="CJ558" s="35">
        <v>327</v>
      </c>
      <c r="CK558" s="32">
        <v>356</v>
      </c>
    </row>
    <row r="559" spans="1:89" ht="13" x14ac:dyDescent="0.25">
      <c r="A559" s="27">
        <v>9302</v>
      </c>
      <c r="B559" s="28" t="s">
        <v>582</v>
      </c>
      <c r="C559" s="29">
        <v>684</v>
      </c>
      <c r="D559" s="30">
        <v>538</v>
      </c>
      <c r="E559" s="20">
        <f t="shared" si="8"/>
        <v>0.78654970760233922</v>
      </c>
      <c r="F559" s="31">
        <v>0</v>
      </c>
      <c r="G559" s="111">
        <v>0</v>
      </c>
      <c r="H559" s="111">
        <v>0</v>
      </c>
      <c r="I559" s="111">
        <v>0</v>
      </c>
      <c r="J559" s="111">
        <v>1</v>
      </c>
      <c r="K559" s="111">
        <v>0</v>
      </c>
      <c r="L559" s="111">
        <v>0</v>
      </c>
      <c r="M559" s="111">
        <v>277</v>
      </c>
      <c r="N559" s="111">
        <v>0</v>
      </c>
      <c r="O559" s="111">
        <v>0</v>
      </c>
      <c r="P559" s="35">
        <v>6</v>
      </c>
      <c r="Q559" s="35">
        <v>0</v>
      </c>
      <c r="R559" s="35">
        <v>244</v>
      </c>
      <c r="S559" s="32">
        <v>0</v>
      </c>
      <c r="T559" s="45">
        <v>250</v>
      </c>
      <c r="U559" s="47">
        <v>264</v>
      </c>
      <c r="V559" s="45">
        <v>275</v>
      </c>
      <c r="W559" s="32">
        <v>239</v>
      </c>
      <c r="X559" s="31">
        <v>245</v>
      </c>
      <c r="Y559" s="32">
        <v>262</v>
      </c>
      <c r="Z559" s="111">
        <v>261</v>
      </c>
      <c r="AA559" s="35">
        <v>0</v>
      </c>
      <c r="AB559" s="35">
        <v>23</v>
      </c>
      <c r="AC559" s="35">
        <v>241</v>
      </c>
      <c r="AD559" s="35">
        <v>0</v>
      </c>
      <c r="AE559" s="33">
        <v>0</v>
      </c>
      <c r="AF559" s="95">
        <v>0</v>
      </c>
      <c r="AG559" s="109">
        <v>274</v>
      </c>
      <c r="AH559" s="47">
        <v>240</v>
      </c>
      <c r="AI559" s="45"/>
      <c r="AJ559" s="43"/>
      <c r="AK559" s="45">
        <v>258</v>
      </c>
      <c r="AL559" s="47">
        <v>249</v>
      </c>
      <c r="AM559" s="45"/>
      <c r="AN559" s="95"/>
      <c r="AO559" s="109"/>
      <c r="AP559" s="47"/>
      <c r="AQ559" s="45"/>
      <c r="AR559" s="95"/>
      <c r="AS559" s="109">
        <v>264</v>
      </c>
      <c r="AT559" s="47">
        <v>246</v>
      </c>
      <c r="AU559" s="45"/>
      <c r="AV559" s="109"/>
      <c r="AW559" s="109"/>
      <c r="AX559" s="45"/>
      <c r="AY559" s="47"/>
      <c r="AZ559" s="45"/>
      <c r="BA559" s="95"/>
      <c r="BB559" s="31">
        <v>276</v>
      </c>
      <c r="BC559" s="32">
        <v>224</v>
      </c>
      <c r="BD559" s="31">
        <v>265</v>
      </c>
      <c r="BE559" s="95">
        <v>232</v>
      </c>
      <c r="BF559" s="109">
        <v>238</v>
      </c>
      <c r="BG559" s="47">
        <v>257</v>
      </c>
      <c r="BH559" s="45">
        <v>287</v>
      </c>
      <c r="BI559" s="47">
        <v>212</v>
      </c>
      <c r="BJ559" s="111">
        <v>22</v>
      </c>
      <c r="BK559" s="33">
        <v>250</v>
      </c>
      <c r="BL559" s="115">
        <v>222</v>
      </c>
      <c r="BM559" s="111">
        <v>234</v>
      </c>
      <c r="BN559" s="35">
        <v>247</v>
      </c>
      <c r="BO559" s="32">
        <v>16</v>
      </c>
      <c r="BP559" s="31">
        <v>280</v>
      </c>
      <c r="BQ559" s="32">
        <v>221</v>
      </c>
      <c r="BR559" s="31">
        <v>200</v>
      </c>
      <c r="BS559" s="32">
        <v>304</v>
      </c>
      <c r="BT559" s="31">
        <v>248</v>
      </c>
      <c r="BU559" s="33">
        <v>25</v>
      </c>
      <c r="BV559" s="115">
        <v>220</v>
      </c>
      <c r="BW559" s="111">
        <v>229</v>
      </c>
      <c r="BX559" s="32">
        <v>275</v>
      </c>
      <c r="BY559" s="31">
        <v>228</v>
      </c>
      <c r="BZ559" s="32">
        <v>253</v>
      </c>
      <c r="CA559" s="111">
        <v>266</v>
      </c>
      <c r="CB559" s="32">
        <v>223</v>
      </c>
      <c r="CC559" s="33">
        <v>344</v>
      </c>
      <c r="CD559" s="34">
        <v>354</v>
      </c>
      <c r="CE559" s="109">
        <v>251</v>
      </c>
      <c r="CF559" s="47">
        <v>156</v>
      </c>
      <c r="CG559" s="31">
        <v>138</v>
      </c>
      <c r="CH559" s="35">
        <v>134</v>
      </c>
      <c r="CI559" s="35">
        <v>126</v>
      </c>
      <c r="CJ559" s="35">
        <v>169</v>
      </c>
      <c r="CK559" s="32">
        <v>208</v>
      </c>
    </row>
    <row r="560" spans="1:89" ht="13" x14ac:dyDescent="0.25">
      <c r="A560" s="27">
        <v>9501</v>
      </c>
      <c r="B560" s="28" t="s">
        <v>583</v>
      </c>
      <c r="C560" s="29">
        <v>1415</v>
      </c>
      <c r="D560" s="30">
        <v>923</v>
      </c>
      <c r="E560" s="20">
        <f t="shared" si="8"/>
        <v>0.65229681978798582</v>
      </c>
      <c r="F560" s="31">
        <v>0</v>
      </c>
      <c r="G560" s="111">
        <v>0</v>
      </c>
      <c r="H560" s="111">
        <v>0</v>
      </c>
      <c r="I560" s="111">
        <v>0</v>
      </c>
      <c r="J560" s="111">
        <v>5</v>
      </c>
      <c r="K560" s="111">
        <v>0</v>
      </c>
      <c r="L560" s="111">
        <v>0</v>
      </c>
      <c r="M560" s="111">
        <v>170</v>
      </c>
      <c r="N560" s="111">
        <v>0</v>
      </c>
      <c r="O560" s="111">
        <v>0</v>
      </c>
      <c r="P560" s="35">
        <v>5</v>
      </c>
      <c r="Q560" s="35">
        <v>2</v>
      </c>
      <c r="R560" s="35">
        <v>736</v>
      </c>
      <c r="S560" s="32">
        <v>0</v>
      </c>
      <c r="T560" s="45">
        <v>170</v>
      </c>
      <c r="U560" s="47">
        <v>720</v>
      </c>
      <c r="V560" s="45">
        <v>733</v>
      </c>
      <c r="W560" s="32">
        <v>162</v>
      </c>
      <c r="X560" s="31">
        <v>163</v>
      </c>
      <c r="Y560" s="32">
        <v>708</v>
      </c>
      <c r="Z560" s="111">
        <v>205</v>
      </c>
      <c r="AA560" s="35">
        <v>0</v>
      </c>
      <c r="AB560" s="35">
        <v>40</v>
      </c>
      <c r="AC560" s="35">
        <v>654</v>
      </c>
      <c r="AD560" s="35">
        <v>0</v>
      </c>
      <c r="AE560" s="33">
        <v>0</v>
      </c>
      <c r="AF560" s="95">
        <v>0</v>
      </c>
      <c r="AG560" s="109"/>
      <c r="AH560" s="47"/>
      <c r="AI560" s="45">
        <v>702</v>
      </c>
      <c r="AJ560" s="43">
        <v>170</v>
      </c>
      <c r="AK560" s="45">
        <v>715</v>
      </c>
      <c r="AL560" s="47">
        <v>169</v>
      </c>
      <c r="AM560" s="45"/>
      <c r="AN560" s="95"/>
      <c r="AO560" s="109"/>
      <c r="AP560" s="47"/>
      <c r="AQ560" s="45"/>
      <c r="AR560" s="95"/>
      <c r="AS560" s="109"/>
      <c r="AT560" s="47"/>
      <c r="AU560" s="45"/>
      <c r="AV560" s="109"/>
      <c r="AW560" s="109"/>
      <c r="AX560" s="45">
        <v>718</v>
      </c>
      <c r="AY560" s="47">
        <v>166</v>
      </c>
      <c r="AZ560" s="45"/>
      <c r="BA560" s="95"/>
      <c r="BB560" s="31">
        <v>712</v>
      </c>
      <c r="BC560" s="32">
        <v>157</v>
      </c>
      <c r="BD560" s="31">
        <v>699</v>
      </c>
      <c r="BE560" s="95">
        <v>163</v>
      </c>
      <c r="BF560" s="109">
        <v>161</v>
      </c>
      <c r="BG560" s="47">
        <v>698</v>
      </c>
      <c r="BH560" s="45">
        <v>730</v>
      </c>
      <c r="BI560" s="47">
        <v>140</v>
      </c>
      <c r="BJ560" s="111">
        <v>46</v>
      </c>
      <c r="BK560" s="33">
        <v>659</v>
      </c>
      <c r="BL560" s="115">
        <v>173</v>
      </c>
      <c r="BM560" s="111">
        <v>172</v>
      </c>
      <c r="BN560" s="35">
        <v>661</v>
      </c>
      <c r="BO560" s="32">
        <v>42</v>
      </c>
      <c r="BP560" s="31">
        <v>711</v>
      </c>
      <c r="BQ560" s="32">
        <v>166</v>
      </c>
      <c r="BR560" s="31">
        <v>150</v>
      </c>
      <c r="BS560" s="32">
        <v>737</v>
      </c>
      <c r="BT560" s="31">
        <v>664</v>
      </c>
      <c r="BU560" s="33">
        <v>42</v>
      </c>
      <c r="BV560" s="115">
        <v>155</v>
      </c>
      <c r="BW560" s="111">
        <v>176</v>
      </c>
      <c r="BX560" s="32">
        <v>713</v>
      </c>
      <c r="BY560" s="31">
        <v>166</v>
      </c>
      <c r="BZ560" s="32">
        <v>688</v>
      </c>
      <c r="CA560" s="111">
        <v>679</v>
      </c>
      <c r="CB560" s="32">
        <v>183</v>
      </c>
      <c r="CC560" s="33">
        <v>727</v>
      </c>
      <c r="CD560" s="34">
        <v>503</v>
      </c>
      <c r="CE560" s="109">
        <v>466</v>
      </c>
      <c r="CF560" s="47">
        <v>254</v>
      </c>
      <c r="CG560" s="31">
        <v>181</v>
      </c>
      <c r="CH560" s="35">
        <v>307</v>
      </c>
      <c r="CI560" s="35">
        <v>84</v>
      </c>
      <c r="CJ560" s="35">
        <v>118</v>
      </c>
      <c r="CK560" s="32">
        <v>589</v>
      </c>
    </row>
    <row r="561" spans="1:89" ht="13" x14ac:dyDescent="0.25">
      <c r="A561" s="27">
        <v>9502</v>
      </c>
      <c r="B561" s="28" t="s">
        <v>584</v>
      </c>
      <c r="C561" s="29">
        <v>1542</v>
      </c>
      <c r="D561" s="30">
        <v>1104</v>
      </c>
      <c r="E561" s="20">
        <f t="shared" si="8"/>
        <v>0.71595330739299612</v>
      </c>
      <c r="F561" s="31">
        <v>0</v>
      </c>
      <c r="G561" s="111">
        <v>0</v>
      </c>
      <c r="H561" s="111">
        <v>0</v>
      </c>
      <c r="I561" s="111">
        <v>0</v>
      </c>
      <c r="J561" s="111">
        <v>1</v>
      </c>
      <c r="K561" s="111">
        <v>0</v>
      </c>
      <c r="L561" s="111">
        <v>0</v>
      </c>
      <c r="M561" s="111">
        <v>263</v>
      </c>
      <c r="N561" s="111">
        <v>0</v>
      </c>
      <c r="O561" s="111">
        <v>0</v>
      </c>
      <c r="P561" s="35">
        <v>7</v>
      </c>
      <c r="Q561" s="35">
        <v>1</v>
      </c>
      <c r="R561" s="35">
        <v>823</v>
      </c>
      <c r="S561" s="32">
        <v>0</v>
      </c>
      <c r="T561" s="45">
        <v>253</v>
      </c>
      <c r="U561" s="47">
        <v>810</v>
      </c>
      <c r="V561" s="45">
        <v>839</v>
      </c>
      <c r="W561" s="32">
        <v>233</v>
      </c>
      <c r="X561" s="31">
        <v>259</v>
      </c>
      <c r="Y561" s="32">
        <v>788</v>
      </c>
      <c r="Z561" s="111">
        <v>296</v>
      </c>
      <c r="AA561" s="35">
        <v>0</v>
      </c>
      <c r="AB561" s="35">
        <v>37</v>
      </c>
      <c r="AC561" s="35">
        <v>747</v>
      </c>
      <c r="AD561" s="35">
        <v>0</v>
      </c>
      <c r="AE561" s="33">
        <v>0</v>
      </c>
      <c r="AF561" s="95">
        <v>0</v>
      </c>
      <c r="AG561" s="109"/>
      <c r="AH561" s="47"/>
      <c r="AI561" s="45">
        <v>793</v>
      </c>
      <c r="AJ561" s="43">
        <v>245</v>
      </c>
      <c r="AK561" s="45">
        <v>813</v>
      </c>
      <c r="AL561" s="47">
        <v>231</v>
      </c>
      <c r="AM561" s="45"/>
      <c r="AN561" s="95"/>
      <c r="AO561" s="109"/>
      <c r="AP561" s="47"/>
      <c r="AQ561" s="45"/>
      <c r="AR561" s="95"/>
      <c r="AS561" s="109"/>
      <c r="AT561" s="47"/>
      <c r="AU561" s="45"/>
      <c r="AV561" s="109"/>
      <c r="AW561" s="109"/>
      <c r="AX561" s="45">
        <v>812</v>
      </c>
      <c r="AY561" s="47">
        <v>229</v>
      </c>
      <c r="AZ561" s="45"/>
      <c r="BA561" s="95"/>
      <c r="BB561" s="31">
        <v>801</v>
      </c>
      <c r="BC561" s="32">
        <v>230</v>
      </c>
      <c r="BD561" s="31">
        <v>786</v>
      </c>
      <c r="BE561" s="95">
        <v>235</v>
      </c>
      <c r="BF561" s="109">
        <v>233</v>
      </c>
      <c r="BG561" s="47">
        <v>788</v>
      </c>
      <c r="BH561" s="45">
        <v>820</v>
      </c>
      <c r="BI561" s="47">
        <v>218</v>
      </c>
      <c r="BJ561" s="111">
        <v>49</v>
      </c>
      <c r="BK561" s="33">
        <v>755</v>
      </c>
      <c r="BL561" s="115">
        <v>236</v>
      </c>
      <c r="BM561" s="111">
        <v>271</v>
      </c>
      <c r="BN561" s="35">
        <v>744</v>
      </c>
      <c r="BO561" s="32">
        <v>28</v>
      </c>
      <c r="BP561" s="31">
        <v>791</v>
      </c>
      <c r="BQ561" s="32">
        <v>242</v>
      </c>
      <c r="BR561" s="31">
        <v>205</v>
      </c>
      <c r="BS561" s="32">
        <v>847</v>
      </c>
      <c r="BT561" s="31">
        <v>765</v>
      </c>
      <c r="BU561" s="33">
        <v>46</v>
      </c>
      <c r="BV561" s="115">
        <v>216</v>
      </c>
      <c r="BW561" s="111">
        <v>248</v>
      </c>
      <c r="BX561" s="32">
        <v>818</v>
      </c>
      <c r="BY561" s="31">
        <v>241</v>
      </c>
      <c r="BZ561" s="32">
        <v>777</v>
      </c>
      <c r="CA561" s="111">
        <v>786</v>
      </c>
      <c r="CB561" s="32">
        <v>247</v>
      </c>
      <c r="CC561" s="33">
        <v>873</v>
      </c>
      <c r="CD561" s="34">
        <v>638</v>
      </c>
      <c r="CE561" s="109">
        <v>664</v>
      </c>
      <c r="CF561" s="47">
        <v>221</v>
      </c>
      <c r="CG561" s="31">
        <v>214</v>
      </c>
      <c r="CH561" s="35">
        <v>453</v>
      </c>
      <c r="CI561" s="35">
        <v>103</v>
      </c>
      <c r="CJ561" s="35">
        <v>160</v>
      </c>
      <c r="CK561" s="32">
        <v>697</v>
      </c>
    </row>
    <row r="562" spans="1:89" ht="13" x14ac:dyDescent="0.25">
      <c r="A562" s="27">
        <v>9503</v>
      </c>
      <c r="B562" s="28" t="s">
        <v>585</v>
      </c>
      <c r="C562" s="29">
        <v>1289</v>
      </c>
      <c r="D562" s="30">
        <v>723</v>
      </c>
      <c r="E562" s="20">
        <f t="shared" si="8"/>
        <v>0.56089992242048103</v>
      </c>
      <c r="F562" s="31">
        <v>0</v>
      </c>
      <c r="G562" s="111">
        <v>0</v>
      </c>
      <c r="H562" s="111">
        <v>0</v>
      </c>
      <c r="I562" s="111">
        <v>0</v>
      </c>
      <c r="J562" s="111">
        <v>1</v>
      </c>
      <c r="K562" s="111">
        <v>0</v>
      </c>
      <c r="L562" s="111">
        <v>0</v>
      </c>
      <c r="M562" s="111">
        <v>115</v>
      </c>
      <c r="N562" s="111">
        <v>0</v>
      </c>
      <c r="O562" s="111">
        <v>0</v>
      </c>
      <c r="P562" s="35">
        <v>2</v>
      </c>
      <c r="Q562" s="35">
        <v>0</v>
      </c>
      <c r="R562" s="35">
        <v>599</v>
      </c>
      <c r="S562" s="32">
        <v>0</v>
      </c>
      <c r="T562" s="45">
        <v>128</v>
      </c>
      <c r="U562" s="47">
        <v>566</v>
      </c>
      <c r="V562" s="45">
        <v>586</v>
      </c>
      <c r="W562" s="32">
        <v>116</v>
      </c>
      <c r="X562" s="31">
        <v>122</v>
      </c>
      <c r="Y562" s="32">
        <v>568</v>
      </c>
      <c r="Z562" s="111">
        <v>134</v>
      </c>
      <c r="AA562" s="35">
        <v>0</v>
      </c>
      <c r="AB562" s="35">
        <v>39</v>
      </c>
      <c r="AC562" s="35">
        <v>535</v>
      </c>
      <c r="AD562" s="35">
        <v>0</v>
      </c>
      <c r="AE562" s="33">
        <v>0</v>
      </c>
      <c r="AF562" s="95">
        <v>0</v>
      </c>
      <c r="AG562" s="109"/>
      <c r="AH562" s="47"/>
      <c r="AI562" s="45">
        <v>568</v>
      </c>
      <c r="AJ562" s="43">
        <v>120</v>
      </c>
      <c r="AK562" s="45">
        <v>566</v>
      </c>
      <c r="AL562" s="47">
        <v>126</v>
      </c>
      <c r="AM562" s="45"/>
      <c r="AN562" s="95"/>
      <c r="AO562" s="109"/>
      <c r="AP562" s="47"/>
      <c r="AQ562" s="45"/>
      <c r="AR562" s="95"/>
      <c r="AS562" s="109"/>
      <c r="AT562" s="47"/>
      <c r="AU562" s="45"/>
      <c r="AV562" s="109"/>
      <c r="AW562" s="109"/>
      <c r="AX562" s="45">
        <v>569</v>
      </c>
      <c r="AY562" s="47">
        <v>117</v>
      </c>
      <c r="AZ562" s="45"/>
      <c r="BA562" s="95"/>
      <c r="BB562" s="31">
        <v>568</v>
      </c>
      <c r="BC562" s="32">
        <v>113</v>
      </c>
      <c r="BD562" s="31">
        <v>557</v>
      </c>
      <c r="BE562" s="95">
        <v>114</v>
      </c>
      <c r="BF562" s="109">
        <v>116</v>
      </c>
      <c r="BG562" s="47">
        <v>549</v>
      </c>
      <c r="BH562" s="45">
        <v>567</v>
      </c>
      <c r="BI562" s="47">
        <v>111</v>
      </c>
      <c r="BJ562" s="111">
        <v>34</v>
      </c>
      <c r="BK562" s="33">
        <v>541</v>
      </c>
      <c r="BL562" s="115">
        <v>107</v>
      </c>
      <c r="BM562" s="111">
        <v>115</v>
      </c>
      <c r="BN562" s="35">
        <v>544</v>
      </c>
      <c r="BO562" s="32">
        <v>27</v>
      </c>
      <c r="BP562" s="31">
        <v>558</v>
      </c>
      <c r="BQ562" s="32">
        <v>121</v>
      </c>
      <c r="BR562" s="31">
        <v>109</v>
      </c>
      <c r="BS562" s="32">
        <v>575</v>
      </c>
      <c r="BT562" s="31">
        <v>538</v>
      </c>
      <c r="BU562" s="33">
        <v>36</v>
      </c>
      <c r="BV562" s="115">
        <v>104</v>
      </c>
      <c r="BW562" s="111">
        <v>118</v>
      </c>
      <c r="BX562" s="32">
        <v>581</v>
      </c>
      <c r="BY562" s="31">
        <v>124</v>
      </c>
      <c r="BZ562" s="32">
        <v>550</v>
      </c>
      <c r="CA562" s="111">
        <v>547</v>
      </c>
      <c r="CB562" s="32">
        <v>130</v>
      </c>
      <c r="CC562" s="33">
        <v>599</v>
      </c>
      <c r="CD562" s="34">
        <v>373</v>
      </c>
      <c r="CE562" s="109">
        <v>403</v>
      </c>
      <c r="CF562" s="47">
        <v>201</v>
      </c>
      <c r="CG562" s="31">
        <v>129</v>
      </c>
      <c r="CH562" s="35">
        <v>294</v>
      </c>
      <c r="CI562" s="35">
        <v>68</v>
      </c>
      <c r="CJ562" s="35">
        <v>80</v>
      </c>
      <c r="CK562" s="32">
        <v>487</v>
      </c>
    </row>
    <row r="563" spans="1:89" ht="13" x14ac:dyDescent="0.25">
      <c r="A563" s="27">
        <v>9701</v>
      </c>
      <c r="B563" s="28" t="s">
        <v>586</v>
      </c>
      <c r="C563" s="29">
        <v>1104</v>
      </c>
      <c r="D563" s="30">
        <v>771</v>
      </c>
      <c r="E563" s="20">
        <f t="shared" si="8"/>
        <v>0.69836956521739135</v>
      </c>
      <c r="F563" s="31">
        <v>0</v>
      </c>
      <c r="G563" s="111">
        <v>0</v>
      </c>
      <c r="H563" s="111">
        <v>0</v>
      </c>
      <c r="I563" s="111">
        <v>0</v>
      </c>
      <c r="J563" s="111">
        <v>4</v>
      </c>
      <c r="K563" s="111">
        <v>0</v>
      </c>
      <c r="L563" s="111">
        <v>0</v>
      </c>
      <c r="M563" s="111">
        <v>647</v>
      </c>
      <c r="N563" s="111">
        <v>0</v>
      </c>
      <c r="O563" s="111">
        <v>0</v>
      </c>
      <c r="P563" s="35">
        <v>7</v>
      </c>
      <c r="Q563" s="35">
        <v>0</v>
      </c>
      <c r="R563" s="35">
        <v>104</v>
      </c>
      <c r="S563" s="32">
        <v>0</v>
      </c>
      <c r="T563" s="45">
        <v>638</v>
      </c>
      <c r="U563" s="47">
        <v>109</v>
      </c>
      <c r="V563" s="45">
        <v>124</v>
      </c>
      <c r="W563" s="32">
        <v>628</v>
      </c>
      <c r="X563" s="31">
        <v>630</v>
      </c>
      <c r="Y563" s="32">
        <v>107</v>
      </c>
      <c r="Z563" s="111">
        <v>638</v>
      </c>
      <c r="AA563" s="35">
        <v>0</v>
      </c>
      <c r="AB563" s="35">
        <v>26</v>
      </c>
      <c r="AC563" s="35">
        <v>94</v>
      </c>
      <c r="AD563" s="35">
        <v>0</v>
      </c>
      <c r="AE563" s="33">
        <v>0</v>
      </c>
      <c r="AF563" s="95">
        <v>0</v>
      </c>
      <c r="AG563" s="109"/>
      <c r="AH563" s="47"/>
      <c r="AI563" s="45">
        <v>107</v>
      </c>
      <c r="AJ563" s="43">
        <v>637</v>
      </c>
      <c r="AK563" s="45">
        <v>114</v>
      </c>
      <c r="AL563" s="47">
        <v>630</v>
      </c>
      <c r="AM563" s="45"/>
      <c r="AN563" s="95"/>
      <c r="AO563" s="109"/>
      <c r="AP563" s="47"/>
      <c r="AQ563" s="45"/>
      <c r="AR563" s="95"/>
      <c r="AS563" s="109">
        <v>630</v>
      </c>
      <c r="AT563" s="47">
        <v>109</v>
      </c>
      <c r="AU563" s="45"/>
      <c r="AV563" s="109"/>
      <c r="AW563" s="109"/>
      <c r="AX563" s="45"/>
      <c r="AY563" s="47"/>
      <c r="AZ563" s="45"/>
      <c r="BA563" s="95"/>
      <c r="BB563" s="31">
        <v>117</v>
      </c>
      <c r="BC563" s="32">
        <v>614</v>
      </c>
      <c r="BD563" s="31">
        <v>105</v>
      </c>
      <c r="BE563" s="95">
        <v>633</v>
      </c>
      <c r="BF563" s="109">
        <v>625</v>
      </c>
      <c r="BG563" s="47">
        <v>110</v>
      </c>
      <c r="BH563" s="45">
        <v>124</v>
      </c>
      <c r="BI563" s="47">
        <v>611</v>
      </c>
      <c r="BJ563" s="111">
        <v>33</v>
      </c>
      <c r="BK563" s="33">
        <v>89</v>
      </c>
      <c r="BL563" s="115">
        <v>628</v>
      </c>
      <c r="BM563" s="111">
        <v>619</v>
      </c>
      <c r="BN563" s="35">
        <v>92</v>
      </c>
      <c r="BO563" s="32">
        <v>25</v>
      </c>
      <c r="BP563" s="31">
        <v>101</v>
      </c>
      <c r="BQ563" s="32">
        <v>629</v>
      </c>
      <c r="BR563" s="31">
        <v>593</v>
      </c>
      <c r="BS563" s="32">
        <v>144</v>
      </c>
      <c r="BT563" s="31">
        <v>127</v>
      </c>
      <c r="BU563" s="33">
        <v>30</v>
      </c>
      <c r="BV563" s="115">
        <v>582</v>
      </c>
      <c r="BW563" s="111">
        <v>642</v>
      </c>
      <c r="BX563" s="32">
        <v>99</v>
      </c>
      <c r="BY563" s="31">
        <v>624</v>
      </c>
      <c r="BZ563" s="32">
        <v>102</v>
      </c>
      <c r="CA563" s="111">
        <v>118</v>
      </c>
      <c r="CB563" s="32">
        <v>622</v>
      </c>
      <c r="CC563" s="33">
        <v>298</v>
      </c>
      <c r="CD563" s="34">
        <v>673</v>
      </c>
      <c r="CE563" s="109">
        <v>238</v>
      </c>
      <c r="CF563" s="47">
        <v>388</v>
      </c>
      <c r="CG563" s="31">
        <v>161</v>
      </c>
      <c r="CH563" s="35">
        <v>62</v>
      </c>
      <c r="CI563" s="35">
        <v>383</v>
      </c>
      <c r="CJ563" s="35">
        <v>392</v>
      </c>
      <c r="CK563" s="32">
        <v>166</v>
      </c>
    </row>
    <row r="564" spans="1:89" ht="13.5" thickBot="1" x14ac:dyDescent="0.3">
      <c r="A564" s="48">
        <v>9702</v>
      </c>
      <c r="B564" s="49" t="s">
        <v>587</v>
      </c>
      <c r="C564" s="50">
        <v>1505</v>
      </c>
      <c r="D564" s="51">
        <v>925</v>
      </c>
      <c r="E564" s="20">
        <f t="shared" si="8"/>
        <v>0.61461794019933558</v>
      </c>
      <c r="F564" s="52">
        <v>0</v>
      </c>
      <c r="G564" s="112">
        <v>0</v>
      </c>
      <c r="H564" s="112">
        <v>0</v>
      </c>
      <c r="I564" s="112">
        <v>0</v>
      </c>
      <c r="J564" s="112">
        <v>1</v>
      </c>
      <c r="K564" s="112">
        <v>0</v>
      </c>
      <c r="L564" s="112">
        <v>0</v>
      </c>
      <c r="M564" s="112">
        <v>786</v>
      </c>
      <c r="N564" s="112">
        <v>0</v>
      </c>
      <c r="O564" s="112">
        <v>0</v>
      </c>
      <c r="P564" s="131">
        <v>8</v>
      </c>
      <c r="Q564" s="131">
        <v>1</v>
      </c>
      <c r="R564" s="131">
        <v>123</v>
      </c>
      <c r="S564" s="53">
        <v>0</v>
      </c>
      <c r="T564" s="55">
        <v>772</v>
      </c>
      <c r="U564" s="59">
        <v>133</v>
      </c>
      <c r="V564" s="55">
        <v>139</v>
      </c>
      <c r="W564" s="53">
        <v>762</v>
      </c>
      <c r="X564" s="52">
        <v>767</v>
      </c>
      <c r="Y564" s="53">
        <v>123</v>
      </c>
      <c r="Z564" s="112">
        <v>775</v>
      </c>
      <c r="AA564" s="131">
        <v>0</v>
      </c>
      <c r="AB564" s="131">
        <v>31</v>
      </c>
      <c r="AC564" s="131">
        <v>105</v>
      </c>
      <c r="AD564" s="131">
        <v>0</v>
      </c>
      <c r="AE564" s="105">
        <v>0</v>
      </c>
      <c r="AF564" s="60">
        <v>0</v>
      </c>
      <c r="AG564" s="108"/>
      <c r="AH564" s="59"/>
      <c r="AI564" s="55">
        <v>122</v>
      </c>
      <c r="AJ564" s="57">
        <v>772</v>
      </c>
      <c r="AK564" s="55">
        <v>118</v>
      </c>
      <c r="AL564" s="59">
        <v>780</v>
      </c>
      <c r="AM564" s="55"/>
      <c r="AN564" s="60"/>
      <c r="AO564" s="108"/>
      <c r="AP564" s="59"/>
      <c r="AQ564" s="55"/>
      <c r="AR564" s="60"/>
      <c r="AS564" s="108">
        <v>777</v>
      </c>
      <c r="AT564" s="59">
        <v>120</v>
      </c>
      <c r="AU564" s="55"/>
      <c r="AV564" s="108"/>
      <c r="AW564" s="108"/>
      <c r="AX564" s="55"/>
      <c r="AY564" s="59"/>
      <c r="AZ564" s="55"/>
      <c r="BA564" s="60"/>
      <c r="BB564" s="52">
        <v>127</v>
      </c>
      <c r="BC564" s="53">
        <v>768</v>
      </c>
      <c r="BD564" s="52">
        <v>123</v>
      </c>
      <c r="BE564" s="60">
        <v>774</v>
      </c>
      <c r="BF564" s="108">
        <v>776</v>
      </c>
      <c r="BG564" s="59">
        <v>120</v>
      </c>
      <c r="BH564" s="55">
        <v>131</v>
      </c>
      <c r="BI564" s="59">
        <v>759</v>
      </c>
      <c r="BJ564" s="112">
        <v>33</v>
      </c>
      <c r="BK564" s="105">
        <v>104</v>
      </c>
      <c r="BL564" s="132">
        <v>766</v>
      </c>
      <c r="BM564" s="112">
        <v>750</v>
      </c>
      <c r="BN564" s="131">
        <v>110</v>
      </c>
      <c r="BO564" s="53">
        <v>34</v>
      </c>
      <c r="BP564" s="52">
        <v>120</v>
      </c>
      <c r="BQ564" s="53">
        <v>771</v>
      </c>
      <c r="BR564" s="52">
        <v>733</v>
      </c>
      <c r="BS564" s="53">
        <v>154</v>
      </c>
      <c r="BT564" s="52">
        <v>140</v>
      </c>
      <c r="BU564" s="105">
        <v>23</v>
      </c>
      <c r="BV564" s="132">
        <v>733</v>
      </c>
      <c r="BW564" s="112">
        <v>780</v>
      </c>
      <c r="BX564" s="53">
        <v>119</v>
      </c>
      <c r="BY564" s="52">
        <v>764</v>
      </c>
      <c r="BZ564" s="53">
        <v>124</v>
      </c>
      <c r="CA564" s="112">
        <v>125</v>
      </c>
      <c r="CB564" s="53">
        <v>768</v>
      </c>
      <c r="CC564" s="105">
        <v>401</v>
      </c>
      <c r="CD564" s="58">
        <v>817</v>
      </c>
      <c r="CE564" s="127">
        <v>283</v>
      </c>
      <c r="CF564" s="60">
        <v>478</v>
      </c>
      <c r="CG564" s="52">
        <v>171</v>
      </c>
      <c r="CH564" s="131">
        <v>72</v>
      </c>
      <c r="CI564" s="131">
        <v>483</v>
      </c>
      <c r="CJ564" s="131">
        <v>508</v>
      </c>
      <c r="CK564" s="53">
        <v>152</v>
      </c>
    </row>
    <row r="565" spans="1:89" ht="13.5" thickTop="1" x14ac:dyDescent="0.25">
      <c r="A565" s="61"/>
      <c r="B565" s="62" t="s">
        <v>588</v>
      </c>
      <c r="C565" s="63">
        <f>SUM(C3:C564)</f>
        <v>604199</v>
      </c>
      <c r="D565" s="64">
        <f>SUM(D3:D564)</f>
        <v>416548</v>
      </c>
      <c r="E565" s="65">
        <v>0.51505899937330968</v>
      </c>
      <c r="F565" s="66">
        <f t="shared" ref="F565:CD565" si="9">SUM(F3:F564)</f>
        <v>2</v>
      </c>
      <c r="G565" s="122">
        <f t="shared" si="9"/>
        <v>0</v>
      </c>
      <c r="H565" s="122">
        <f t="shared" ref="H565:Q565" si="10">SUM(H3:H564)</f>
        <v>8</v>
      </c>
      <c r="I565" s="122">
        <f t="shared" si="10"/>
        <v>229</v>
      </c>
      <c r="J565" s="122">
        <f t="shared" ref="J565:K565" si="11">SUM(J3:J564)</f>
        <v>819</v>
      </c>
      <c r="K565" s="122">
        <f t="shared" si="11"/>
        <v>0</v>
      </c>
      <c r="L565" s="122">
        <f t="shared" si="10"/>
        <v>2</v>
      </c>
      <c r="M565" s="122">
        <f t="shared" si="10"/>
        <v>233360</v>
      </c>
      <c r="N565" s="122">
        <f t="shared" si="10"/>
        <v>1</v>
      </c>
      <c r="O565" s="122">
        <f t="shared" si="10"/>
        <v>1</v>
      </c>
      <c r="P565" s="69">
        <f t="shared" si="10"/>
        <v>2420</v>
      </c>
      <c r="Q565" s="69">
        <f t="shared" si="10"/>
        <v>789</v>
      </c>
      <c r="R565" s="69">
        <f t="shared" ref="R565" si="12">SUM(R3:R564)</f>
        <v>172365</v>
      </c>
      <c r="S565" s="67">
        <f t="shared" si="9"/>
        <v>89</v>
      </c>
      <c r="T565" s="66">
        <f>SUM(T3:T564)</f>
        <v>222861</v>
      </c>
      <c r="U565" s="67">
        <f t="shared" ref="U565:V565" si="13">SUM(U3:U564)</f>
        <v>178300</v>
      </c>
      <c r="V565" s="66">
        <f t="shared" si="13"/>
        <v>186662</v>
      </c>
      <c r="W565" s="67">
        <f>SUM(W3:W564)</f>
        <v>216369</v>
      </c>
      <c r="X565" s="66">
        <f>SUM(X3:X564)</f>
        <v>224528</v>
      </c>
      <c r="Y565" s="67">
        <f>SUM(Y3:Y564)</f>
        <v>170730</v>
      </c>
      <c r="Z565" s="106">
        <f t="shared" ref="Z565:AE565" si="14">SUM(Z3:Z564)</f>
        <v>235825</v>
      </c>
      <c r="AA565" s="69">
        <f t="shared" si="14"/>
        <v>6</v>
      </c>
      <c r="AB565" s="69">
        <f t="shared" si="14"/>
        <v>13330</v>
      </c>
      <c r="AC565" s="69">
        <f t="shared" si="14"/>
        <v>158523</v>
      </c>
      <c r="AD565" s="69">
        <f t="shared" si="14"/>
        <v>1</v>
      </c>
      <c r="AE565" s="70">
        <f t="shared" si="14"/>
        <v>0</v>
      </c>
      <c r="AF565" s="118">
        <f t="shared" si="9"/>
        <v>57</v>
      </c>
      <c r="AG565" s="122">
        <f t="shared" ref="AG565" si="15">SUM(AG3:AG564)</f>
        <v>165300</v>
      </c>
      <c r="AH565" s="67">
        <f t="shared" si="9"/>
        <v>90003</v>
      </c>
      <c r="AI565" s="66">
        <f t="shared" si="9"/>
        <v>76342</v>
      </c>
      <c r="AJ565" s="70">
        <f t="shared" si="9"/>
        <v>66342</v>
      </c>
      <c r="AK565" s="66">
        <f t="shared" ref="AK565" si="16">SUM(AK3:AK564)</f>
        <v>108346</v>
      </c>
      <c r="AL565" s="122">
        <f t="shared" si="9"/>
        <v>82775</v>
      </c>
      <c r="AM565" s="66">
        <f t="shared" si="9"/>
        <v>27744</v>
      </c>
      <c r="AN565" s="118">
        <f t="shared" si="9"/>
        <v>10526</v>
      </c>
      <c r="AO565" s="122">
        <f t="shared" ref="AO565" si="17">SUM(AO3:AO564)</f>
        <v>6517</v>
      </c>
      <c r="AP565" s="67">
        <f t="shared" si="9"/>
        <v>34264</v>
      </c>
      <c r="AQ565" s="66">
        <f t="shared" ref="AQ565" si="18">SUM(AQ3:AQ564)</f>
        <v>18926</v>
      </c>
      <c r="AR565" s="118">
        <f t="shared" si="9"/>
        <v>42296</v>
      </c>
      <c r="AS565" s="122">
        <f t="shared" ref="AS565" si="19">SUM(AS3:AS564)</f>
        <v>39483</v>
      </c>
      <c r="AT565" s="67">
        <f t="shared" si="9"/>
        <v>31331</v>
      </c>
      <c r="AU565" s="66">
        <f t="shared" ref="AU565:AV565" si="20">SUM(AU3:AU564)</f>
        <v>35671</v>
      </c>
      <c r="AV565" s="122">
        <f t="shared" si="20"/>
        <v>5</v>
      </c>
      <c r="AW565" s="122">
        <f t="shared" si="9"/>
        <v>28121</v>
      </c>
      <c r="AX565" s="66">
        <f t="shared" ref="AX565" si="21">SUM(AX3:AX564)</f>
        <v>32927</v>
      </c>
      <c r="AY565" s="67">
        <f t="shared" si="9"/>
        <v>24639</v>
      </c>
      <c r="AZ565" s="66">
        <f t="shared" si="9"/>
        <v>19486</v>
      </c>
      <c r="BA565" s="118">
        <f t="shared" si="9"/>
        <v>42863</v>
      </c>
      <c r="BB565" s="66">
        <f t="shared" ref="BB565" si="22">SUM(BB3:BB564)</f>
        <v>175786</v>
      </c>
      <c r="BC565" s="67">
        <f>SUM(BC3:BC564)</f>
        <v>214719</v>
      </c>
      <c r="BD565" s="66">
        <f t="shared" ref="BD565" si="23">SUM(BD3:BD564)</f>
        <v>170309</v>
      </c>
      <c r="BE565" s="118">
        <f>SUM(BE3:BE564)</f>
        <v>218756</v>
      </c>
      <c r="BF565" s="122">
        <f t="shared" ref="BF565" si="24">SUM(BF3:BF564)</f>
        <v>216924</v>
      </c>
      <c r="BG565" s="67">
        <f>SUM(BG3:BG564)</f>
        <v>170177</v>
      </c>
      <c r="BH565" s="66">
        <f t="shared" ref="BH565" si="25">SUM(BH3:BH564)</f>
        <v>183117</v>
      </c>
      <c r="BI565" s="67">
        <f>SUM(BI3:BI564)</f>
        <v>206681</v>
      </c>
      <c r="BJ565" s="122">
        <f t="shared" ref="BJ565:BK565" si="26">SUM(BJ3:BJ564)</f>
        <v>16892</v>
      </c>
      <c r="BK565" s="70">
        <f t="shared" si="26"/>
        <v>158686</v>
      </c>
      <c r="BL565" s="118">
        <f t="shared" si="9"/>
        <v>218338</v>
      </c>
      <c r="BM565" s="122">
        <f t="shared" ref="BM565:BN565" si="27">SUM(BM3:BM564)</f>
        <v>222975</v>
      </c>
      <c r="BN565" s="69">
        <f t="shared" si="27"/>
        <v>156683</v>
      </c>
      <c r="BO565" s="67">
        <f t="shared" si="9"/>
        <v>13127</v>
      </c>
      <c r="BP565" s="66">
        <f t="shared" ref="BP565" si="28">SUM(BP3:BP564)</f>
        <v>174168</v>
      </c>
      <c r="BQ565" s="67">
        <f t="shared" ref="BQ565:BR565" si="29">SUM(BQ3:BQ564)</f>
        <v>216418</v>
      </c>
      <c r="BR565" s="66">
        <f t="shared" si="29"/>
        <v>202556</v>
      </c>
      <c r="BS565" s="67">
        <f t="shared" si="9"/>
        <v>192256</v>
      </c>
      <c r="BT565" s="66">
        <f t="shared" ref="BT565:BU565" si="30">SUM(BT3:BT564)</f>
        <v>162531</v>
      </c>
      <c r="BU565" s="70">
        <f t="shared" si="30"/>
        <v>16762</v>
      </c>
      <c r="BV565" s="118">
        <f t="shared" si="9"/>
        <v>209666</v>
      </c>
      <c r="BW565" s="122">
        <f t="shared" ref="BW565" si="31">SUM(BW3:BW564)</f>
        <v>223809</v>
      </c>
      <c r="BX565" s="67">
        <f t="shared" si="9"/>
        <v>174516</v>
      </c>
      <c r="BY565" s="66">
        <f t="shared" ref="BY565" si="32">SUM(BY3:BY564)</f>
        <v>219892</v>
      </c>
      <c r="BZ565" s="67">
        <f t="shared" si="9"/>
        <v>164808</v>
      </c>
      <c r="CA565" s="122">
        <f t="shared" ref="CA565" si="33">SUM(CA3:CA564)</f>
        <v>167821</v>
      </c>
      <c r="CB565" s="67">
        <f t="shared" si="9"/>
        <v>221017</v>
      </c>
      <c r="CC565" s="67">
        <f t="shared" si="9"/>
        <v>243618</v>
      </c>
      <c r="CD565" s="68">
        <f t="shared" si="9"/>
        <v>299315</v>
      </c>
      <c r="CE565" s="130">
        <f t="shared" ref="CE565" si="34">SUM(CE3:CE564)</f>
        <v>170843</v>
      </c>
      <c r="CF565" s="67">
        <f>SUM(CF3:CF564)</f>
        <v>159850</v>
      </c>
      <c r="CG565" s="66">
        <f>SUM(CG3:CG564)</f>
        <v>93412</v>
      </c>
      <c r="CH565" s="69">
        <f t="shared" ref="CH565:CJ565" si="35">SUM(CH3:CH564)</f>
        <v>91809</v>
      </c>
      <c r="CI565" s="69">
        <f t="shared" si="35"/>
        <v>125667</v>
      </c>
      <c r="CJ565" s="69">
        <f t="shared" si="35"/>
        <v>142389</v>
      </c>
      <c r="CK565" s="67">
        <f>SUM(CK3:CK564)</f>
        <v>161632</v>
      </c>
    </row>
    <row r="566" spans="1:89" ht="13" x14ac:dyDescent="0.25">
      <c r="A566" s="72"/>
      <c r="B566" s="73" t="s">
        <v>589</v>
      </c>
      <c r="C566" s="74"/>
      <c r="D566" s="75">
        <f>SUM(D565-D567)</f>
        <v>247029</v>
      </c>
      <c r="E566" s="76">
        <f>SUM(D566/C565)</f>
        <v>0.40885370548445132</v>
      </c>
      <c r="F566" s="77">
        <f t="shared" ref="F566:CD566" si="36">SUM(F565-F567)</f>
        <v>2</v>
      </c>
      <c r="G566" s="107">
        <f t="shared" si="36"/>
        <v>0</v>
      </c>
      <c r="H566" s="107">
        <f t="shared" ref="H566:Q566" si="37">SUM(H565-H567)</f>
        <v>4</v>
      </c>
      <c r="I566" s="107">
        <f t="shared" si="37"/>
        <v>169</v>
      </c>
      <c r="J566" s="107">
        <f t="shared" ref="J566:K566" si="38">SUM(J565-J567)</f>
        <v>572</v>
      </c>
      <c r="K566" s="107">
        <f t="shared" si="38"/>
        <v>0</v>
      </c>
      <c r="L566" s="107">
        <f t="shared" si="37"/>
        <v>1</v>
      </c>
      <c r="M566" s="107">
        <f t="shared" si="37"/>
        <v>125650</v>
      </c>
      <c r="N566" s="107">
        <f t="shared" si="37"/>
        <v>0</v>
      </c>
      <c r="O566" s="107">
        <f t="shared" si="37"/>
        <v>0</v>
      </c>
      <c r="P566" s="80">
        <f t="shared" si="37"/>
        <v>1719</v>
      </c>
      <c r="Q566" s="80">
        <f t="shared" si="37"/>
        <v>542</v>
      </c>
      <c r="R566" s="80">
        <f t="shared" ref="R566" si="39">SUM(R565-R567)</f>
        <v>114042</v>
      </c>
      <c r="S566" s="81">
        <f t="shared" si="36"/>
        <v>58</v>
      </c>
      <c r="T566" s="77">
        <f>SUM(T565-T567)</f>
        <v>120381</v>
      </c>
      <c r="U566" s="81">
        <f t="shared" ref="U566:V566" si="40">SUM(U565-U567)</f>
        <v>116307</v>
      </c>
      <c r="V566" s="77">
        <f t="shared" si="40"/>
        <v>121152</v>
      </c>
      <c r="W566" s="81">
        <f>SUM(W565-W567)</f>
        <v>116670</v>
      </c>
      <c r="X566" s="77">
        <f>SUM(X565-X567)</f>
        <v>121417</v>
      </c>
      <c r="Y566" s="81">
        <f>SUM(Y565-Y567)</f>
        <v>111033</v>
      </c>
      <c r="Z566" s="107">
        <f t="shared" ref="Z566:AE566" si="41">SUM(Z565-Z567)</f>
        <v>128194</v>
      </c>
      <c r="AA566" s="80">
        <f t="shared" si="41"/>
        <v>2</v>
      </c>
      <c r="AB566" s="80">
        <f t="shared" si="41"/>
        <v>9843</v>
      </c>
      <c r="AC566" s="80">
        <f t="shared" si="41"/>
        <v>103179</v>
      </c>
      <c r="AD566" s="80">
        <f t="shared" si="41"/>
        <v>0</v>
      </c>
      <c r="AE566" s="78">
        <f t="shared" si="41"/>
        <v>0</v>
      </c>
      <c r="AF566" s="119">
        <f t="shared" si="36"/>
        <v>31</v>
      </c>
      <c r="AG566" s="107">
        <f t="shared" ref="AG566" si="42">SUM(AG565-AG567)</f>
        <v>86649</v>
      </c>
      <c r="AH566" s="81">
        <f t="shared" si="36"/>
        <v>56318</v>
      </c>
      <c r="AI566" s="77">
        <f t="shared" si="36"/>
        <v>52184</v>
      </c>
      <c r="AJ566" s="78">
        <f t="shared" si="36"/>
        <v>38943</v>
      </c>
      <c r="AK566" s="77">
        <f t="shared" ref="AK566" si="43">SUM(AK565-AK567)</f>
        <v>72920</v>
      </c>
      <c r="AL566" s="107">
        <f t="shared" si="36"/>
        <v>47654</v>
      </c>
      <c r="AM566" s="77">
        <f t="shared" si="36"/>
        <v>16662</v>
      </c>
      <c r="AN566" s="119">
        <f t="shared" si="36"/>
        <v>7048</v>
      </c>
      <c r="AO566" s="107">
        <f t="shared" ref="AO566" si="44">SUM(AO565-AO567)</f>
        <v>3937</v>
      </c>
      <c r="AP566" s="81">
        <f t="shared" si="36"/>
        <v>17956</v>
      </c>
      <c r="AQ566" s="77">
        <f t="shared" ref="AQ566" si="45">SUM(AQ565-AQ567)</f>
        <v>10697</v>
      </c>
      <c r="AR566" s="119">
        <f t="shared" si="36"/>
        <v>19185</v>
      </c>
      <c r="AS566" s="107">
        <f t="shared" ref="AS566" si="46">SUM(AS565-AS567)</f>
        <v>21335</v>
      </c>
      <c r="AT566" s="81">
        <f t="shared" si="36"/>
        <v>19741</v>
      </c>
      <c r="AU566" s="77">
        <f t="shared" ref="AU566:AV566" si="47">SUM(AU565-AU567)</f>
        <v>18918</v>
      </c>
      <c r="AV566" s="107">
        <f t="shared" si="47"/>
        <v>1</v>
      </c>
      <c r="AW566" s="107">
        <f t="shared" si="36"/>
        <v>17539</v>
      </c>
      <c r="AX566" s="77">
        <f t="shared" ref="AX566" si="48">SUM(AX565-AX567)</f>
        <v>23055</v>
      </c>
      <c r="AY566" s="81">
        <f t="shared" si="36"/>
        <v>14932</v>
      </c>
      <c r="AZ566" s="77">
        <f t="shared" si="36"/>
        <v>11677</v>
      </c>
      <c r="BA566" s="119">
        <f t="shared" si="36"/>
        <v>29644</v>
      </c>
      <c r="BB566" s="77">
        <f t="shared" ref="BB566" si="49">SUM(BB565-BB567)</f>
        <v>114392</v>
      </c>
      <c r="BC566" s="81">
        <f>SUM(BC565-BC567)</f>
        <v>115032</v>
      </c>
      <c r="BD566" s="77">
        <f t="shared" ref="BD566" si="50">SUM(BD565-BD567)</f>
        <v>110854</v>
      </c>
      <c r="BE566" s="119">
        <f>SUM(BE565-BE567)</f>
        <v>117463</v>
      </c>
      <c r="BF566" s="107">
        <f t="shared" ref="BF566" si="51">SUM(BF565-BF567)</f>
        <v>116399</v>
      </c>
      <c r="BG566" s="81">
        <f>SUM(BG565-BG567)</f>
        <v>110696</v>
      </c>
      <c r="BH566" s="77">
        <f t="shared" ref="BH566" si="52">SUM(BH565-BH567)</f>
        <v>117913</v>
      </c>
      <c r="BI566" s="81">
        <f>SUM(BI565-BI567)</f>
        <v>110877</v>
      </c>
      <c r="BJ566" s="107">
        <f t="shared" ref="BJ566:BK566" si="53">SUM(BJ565-BJ567)</f>
        <v>12314</v>
      </c>
      <c r="BK566" s="78">
        <f t="shared" si="53"/>
        <v>102356</v>
      </c>
      <c r="BL566" s="119">
        <f t="shared" si="36"/>
        <v>116927</v>
      </c>
      <c r="BM566" s="107">
        <f t="shared" ref="BM566:BN566" si="54">SUM(BM565-BM567)</f>
        <v>119537</v>
      </c>
      <c r="BN566" s="80">
        <f t="shared" si="54"/>
        <v>101364</v>
      </c>
      <c r="BO566" s="81">
        <f t="shared" si="36"/>
        <v>9713</v>
      </c>
      <c r="BP566" s="77">
        <f t="shared" ref="BP566" si="55">SUM(BP565-BP567)</f>
        <v>113073</v>
      </c>
      <c r="BQ566" s="81">
        <f t="shared" ref="BQ566:BR566" si="56">SUM(BQ565-BQ567)</f>
        <v>116227</v>
      </c>
      <c r="BR566" s="77">
        <f t="shared" si="56"/>
        <v>108125</v>
      </c>
      <c r="BS566" s="81">
        <f t="shared" si="36"/>
        <v>124186</v>
      </c>
      <c r="BT566" s="77">
        <f t="shared" ref="BT566:BU566" si="57">SUM(BT565-BT567)</f>
        <v>104856</v>
      </c>
      <c r="BU566" s="78">
        <f t="shared" si="57"/>
        <v>12307</v>
      </c>
      <c r="BV566" s="119">
        <f t="shared" si="36"/>
        <v>111203</v>
      </c>
      <c r="BW566" s="107">
        <f t="shared" ref="BW566" si="58">SUM(BW565-BW567)</f>
        <v>120754</v>
      </c>
      <c r="BX566" s="81">
        <f t="shared" si="36"/>
        <v>113856</v>
      </c>
      <c r="BY566" s="77">
        <f t="shared" ref="BY566" si="59">SUM(BY565-BY567)</f>
        <v>118394</v>
      </c>
      <c r="BZ566" s="95">
        <f t="shared" si="36"/>
        <v>107058</v>
      </c>
      <c r="CA566" s="107">
        <f t="shared" ref="CA566" si="60">SUM(CA565-CA567)</f>
        <v>109599</v>
      </c>
      <c r="CB566" s="81">
        <f t="shared" si="36"/>
        <v>118478</v>
      </c>
      <c r="CC566" s="81">
        <f t="shared" si="36"/>
        <v>153022</v>
      </c>
      <c r="CD566" s="79">
        <f t="shared" si="36"/>
        <v>171686</v>
      </c>
      <c r="CE566" s="107">
        <f t="shared" ref="CE566" si="61">SUM(CE565-CE567)</f>
        <v>106383</v>
      </c>
      <c r="CF566" s="81">
        <f>SUM(CF565-CF567)</f>
        <v>85897</v>
      </c>
      <c r="CG566" s="77">
        <f>SUM(CG565-CG567)</f>
        <v>55274</v>
      </c>
      <c r="CH566" s="80">
        <f t="shared" ref="CH566:CJ566" si="62">SUM(CH565-CH567)</f>
        <v>58406</v>
      </c>
      <c r="CI566" s="80">
        <f t="shared" si="62"/>
        <v>62230</v>
      </c>
      <c r="CJ566" s="80">
        <f t="shared" si="62"/>
        <v>72063</v>
      </c>
      <c r="CK566" s="95">
        <f>SUM(CK565-CK567)</f>
        <v>101367</v>
      </c>
    </row>
    <row r="567" spans="1:89" ht="13.5" thickBot="1" x14ac:dyDescent="0.3">
      <c r="A567" s="82"/>
      <c r="B567" s="83" t="s">
        <v>590</v>
      </c>
      <c r="C567" s="84"/>
      <c r="D567" s="85">
        <v>169519</v>
      </c>
      <c r="E567" s="86">
        <f>SUM(D567/C565)</f>
        <v>0.28056815718000194</v>
      </c>
      <c r="F567" s="55">
        <v>0</v>
      </c>
      <c r="G567" s="108">
        <v>0</v>
      </c>
      <c r="H567" s="108">
        <v>4</v>
      </c>
      <c r="I567" s="108">
        <v>60</v>
      </c>
      <c r="J567" s="108">
        <v>247</v>
      </c>
      <c r="K567" s="108">
        <v>0</v>
      </c>
      <c r="L567" s="108">
        <v>1</v>
      </c>
      <c r="M567" s="108">
        <v>107710</v>
      </c>
      <c r="N567" s="108">
        <v>1</v>
      </c>
      <c r="O567" s="108">
        <v>1</v>
      </c>
      <c r="P567" s="56">
        <v>701</v>
      </c>
      <c r="Q567" s="56">
        <v>247</v>
      </c>
      <c r="R567" s="56">
        <v>58323</v>
      </c>
      <c r="S567" s="59">
        <v>31</v>
      </c>
      <c r="T567" s="55">
        <v>102480</v>
      </c>
      <c r="U567" s="59">
        <v>61993</v>
      </c>
      <c r="V567" s="55">
        <v>65510</v>
      </c>
      <c r="W567" s="59">
        <v>99699</v>
      </c>
      <c r="X567" s="55">
        <v>103111</v>
      </c>
      <c r="Y567" s="59">
        <v>59697</v>
      </c>
      <c r="Z567" s="108">
        <v>107631</v>
      </c>
      <c r="AA567" s="56">
        <v>4</v>
      </c>
      <c r="AB567" s="56">
        <v>3487</v>
      </c>
      <c r="AC567" s="56">
        <v>55344</v>
      </c>
      <c r="AD567" s="56">
        <v>1</v>
      </c>
      <c r="AE567" s="57">
        <v>0</v>
      </c>
      <c r="AF567" s="60">
        <v>26</v>
      </c>
      <c r="AG567" s="108">
        <v>78651</v>
      </c>
      <c r="AH567" s="59">
        <v>33685</v>
      </c>
      <c r="AI567" s="55">
        <v>24158</v>
      </c>
      <c r="AJ567" s="57">
        <v>27399</v>
      </c>
      <c r="AK567" s="55">
        <v>35426</v>
      </c>
      <c r="AL567" s="108">
        <v>35121</v>
      </c>
      <c r="AM567" s="55">
        <v>11082</v>
      </c>
      <c r="AN567" s="60">
        <v>3478</v>
      </c>
      <c r="AO567" s="108">
        <v>2580</v>
      </c>
      <c r="AP567" s="59">
        <v>16308</v>
      </c>
      <c r="AQ567" s="55">
        <v>8229</v>
      </c>
      <c r="AR567" s="60">
        <v>23111</v>
      </c>
      <c r="AS567" s="108">
        <v>18148</v>
      </c>
      <c r="AT567" s="59">
        <v>11590</v>
      </c>
      <c r="AU567" s="55">
        <v>16753</v>
      </c>
      <c r="AV567" s="108">
        <v>4</v>
      </c>
      <c r="AW567" s="108">
        <v>10582</v>
      </c>
      <c r="AX567" s="55">
        <v>9872</v>
      </c>
      <c r="AY567" s="59">
        <v>9707</v>
      </c>
      <c r="AZ567" s="55">
        <v>7809</v>
      </c>
      <c r="BA567" s="60">
        <v>13219</v>
      </c>
      <c r="BB567" s="55">
        <v>61394</v>
      </c>
      <c r="BC567" s="59">
        <v>99687</v>
      </c>
      <c r="BD567" s="55">
        <v>59455</v>
      </c>
      <c r="BE567" s="60">
        <v>101293</v>
      </c>
      <c r="BF567" s="108">
        <v>100525</v>
      </c>
      <c r="BG567" s="59">
        <v>59481</v>
      </c>
      <c r="BH567" s="55">
        <v>65204</v>
      </c>
      <c r="BI567" s="59">
        <v>95804</v>
      </c>
      <c r="BJ567" s="108">
        <v>4578</v>
      </c>
      <c r="BK567" s="57">
        <v>56330</v>
      </c>
      <c r="BL567" s="60">
        <v>101411</v>
      </c>
      <c r="BM567" s="108">
        <v>103438</v>
      </c>
      <c r="BN567" s="56">
        <v>55319</v>
      </c>
      <c r="BO567" s="59">
        <v>3414</v>
      </c>
      <c r="BP567" s="55">
        <v>61095</v>
      </c>
      <c r="BQ567" s="59">
        <v>100191</v>
      </c>
      <c r="BR567" s="55">
        <v>94431</v>
      </c>
      <c r="BS567" s="59">
        <v>68070</v>
      </c>
      <c r="BT567" s="55">
        <v>57675</v>
      </c>
      <c r="BU567" s="57">
        <v>4455</v>
      </c>
      <c r="BV567" s="60">
        <v>98463</v>
      </c>
      <c r="BW567" s="108">
        <v>103055</v>
      </c>
      <c r="BX567" s="59">
        <v>60660</v>
      </c>
      <c r="BY567" s="55">
        <v>101498</v>
      </c>
      <c r="BZ567" s="60">
        <v>57750</v>
      </c>
      <c r="CA567" s="108">
        <v>58222</v>
      </c>
      <c r="CB567" s="59">
        <v>102539</v>
      </c>
      <c r="CC567" s="59">
        <v>90596</v>
      </c>
      <c r="CD567" s="54">
        <v>127629</v>
      </c>
      <c r="CE567" s="108">
        <v>64460</v>
      </c>
      <c r="CF567" s="59">
        <v>73953</v>
      </c>
      <c r="CG567" s="55">
        <v>38138</v>
      </c>
      <c r="CH567" s="56">
        <v>33403</v>
      </c>
      <c r="CI567" s="56">
        <v>63437</v>
      </c>
      <c r="CJ567" s="56">
        <v>70326</v>
      </c>
      <c r="CK567" s="60">
        <v>60265</v>
      </c>
    </row>
    <row r="568" spans="1:89" ht="13.5" thickTop="1" x14ac:dyDescent="0.25">
      <c r="A568" s="16"/>
      <c r="B568" s="17"/>
      <c r="C568" s="18"/>
      <c r="D568" s="19"/>
      <c r="E568" s="20"/>
      <c r="F568" s="77"/>
      <c r="G568" s="107"/>
      <c r="H568" s="107"/>
      <c r="I568" s="107"/>
      <c r="J568" s="107"/>
      <c r="K568" s="107"/>
      <c r="L568" s="107"/>
      <c r="M568" s="107"/>
      <c r="N568" s="107"/>
      <c r="O568" s="107"/>
      <c r="P568" s="80"/>
      <c r="Q568" s="80"/>
      <c r="R568" s="80"/>
      <c r="S568" s="81"/>
      <c r="T568" s="77"/>
      <c r="U568" s="81"/>
      <c r="V568" s="77"/>
      <c r="W568" s="81"/>
      <c r="X568" s="77"/>
      <c r="Y568" s="81"/>
      <c r="Z568" s="107"/>
      <c r="AA568" s="80"/>
      <c r="AB568" s="80"/>
      <c r="AC568" s="80"/>
      <c r="AD568" s="80"/>
      <c r="AE568" s="78"/>
      <c r="AF568" s="119"/>
      <c r="AG568" s="107"/>
      <c r="AH568" s="81"/>
      <c r="AI568" s="77"/>
      <c r="AJ568" s="78"/>
      <c r="AK568" s="77"/>
      <c r="AL568" s="107"/>
      <c r="AM568" s="77"/>
      <c r="AN568" s="119"/>
      <c r="AO568" s="107"/>
      <c r="AP568" s="81"/>
      <c r="AQ568" s="77"/>
      <c r="AR568" s="119"/>
      <c r="AS568" s="107"/>
      <c r="AT568" s="81"/>
      <c r="AU568" s="77"/>
      <c r="AV568" s="107"/>
      <c r="AW568" s="107"/>
      <c r="AX568" s="77"/>
      <c r="AY568" s="81"/>
      <c r="AZ568" s="77"/>
      <c r="BA568" s="119"/>
      <c r="BB568" s="77"/>
      <c r="BC568" s="81"/>
      <c r="BD568" s="77"/>
      <c r="BE568" s="119"/>
      <c r="BF568" s="107"/>
      <c r="BG568" s="81"/>
      <c r="BH568" s="77"/>
      <c r="BI568" s="81"/>
      <c r="BJ568" s="107"/>
      <c r="BK568" s="78"/>
      <c r="BL568" s="119"/>
      <c r="BM568" s="107"/>
      <c r="BN568" s="80"/>
      <c r="BO568" s="81"/>
      <c r="BP568" s="77"/>
      <c r="BQ568" s="81"/>
      <c r="BR568" s="77"/>
      <c r="BS568" s="81"/>
      <c r="BT568" s="77"/>
      <c r="BU568" s="78"/>
      <c r="BV568" s="119"/>
      <c r="BW568" s="107"/>
      <c r="BX568" s="81"/>
      <c r="BY568" s="77"/>
      <c r="BZ568" s="119"/>
      <c r="CA568" s="107"/>
      <c r="CB568" s="81"/>
      <c r="CC568" s="81"/>
      <c r="CD568" s="79"/>
      <c r="CE568" s="107"/>
      <c r="CF568" s="81"/>
      <c r="CG568" s="77"/>
      <c r="CH568" s="80"/>
      <c r="CI568" s="80"/>
      <c r="CJ568" s="80"/>
      <c r="CK568" s="119"/>
    </row>
    <row r="569" spans="1:89" ht="13" x14ac:dyDescent="0.25">
      <c r="A569" s="87"/>
      <c r="B569" s="87" t="s">
        <v>591</v>
      </c>
      <c r="C569" s="88">
        <f>SUM(C3:C192)</f>
        <v>220047</v>
      </c>
      <c r="D569" s="88">
        <f>SUM(D3:D192)</f>
        <v>129194</v>
      </c>
      <c r="E569" s="89">
        <v>0.41992945566465567</v>
      </c>
      <c r="F569" s="45">
        <f t="shared" ref="F569:CD569" si="63">SUM(F3:F192)</f>
        <v>1</v>
      </c>
      <c r="G569" s="109">
        <f t="shared" si="63"/>
        <v>0</v>
      </c>
      <c r="H569" s="109">
        <f t="shared" ref="H569:Q569" si="64">SUM(H3:H192)</f>
        <v>1</v>
      </c>
      <c r="I569" s="109">
        <f t="shared" si="64"/>
        <v>151</v>
      </c>
      <c r="J569" s="109">
        <f t="shared" ref="J569:K569" si="65">SUM(J3:J192)</f>
        <v>250</v>
      </c>
      <c r="K569" s="109">
        <f t="shared" si="65"/>
        <v>0</v>
      </c>
      <c r="L569" s="109">
        <f t="shared" si="64"/>
        <v>0</v>
      </c>
      <c r="M569" s="109">
        <f t="shared" si="64"/>
        <v>96736</v>
      </c>
      <c r="N569" s="109">
        <f t="shared" si="64"/>
        <v>0</v>
      </c>
      <c r="O569" s="109">
        <f t="shared" si="64"/>
        <v>0</v>
      </c>
      <c r="P569" s="46">
        <f t="shared" si="64"/>
        <v>676</v>
      </c>
      <c r="Q569" s="46">
        <f t="shared" si="64"/>
        <v>234</v>
      </c>
      <c r="R569" s="46">
        <f t="shared" ref="R569" si="66">SUM(R3:R192)</f>
        <v>28860</v>
      </c>
      <c r="S569" s="47">
        <f t="shared" si="63"/>
        <v>57</v>
      </c>
      <c r="T569" s="45">
        <f>SUM(T3:T192)</f>
        <v>93699</v>
      </c>
      <c r="U569" s="47">
        <f t="shared" ref="U569:V569" si="67">SUM(U3:U192)</f>
        <v>30891</v>
      </c>
      <c r="V569" s="45">
        <f t="shared" si="67"/>
        <v>32888</v>
      </c>
      <c r="W569" s="47">
        <f>SUM(W3:W192)</f>
        <v>92005</v>
      </c>
      <c r="X569" s="45">
        <f>SUM(X3:X192)</f>
        <v>94059</v>
      </c>
      <c r="Y569" s="47">
        <f>SUM(Y3:Y192)</f>
        <v>28879</v>
      </c>
      <c r="Z569" s="109">
        <f t="shared" ref="Z569:AE569" si="68">SUM(Z3:Z192)</f>
        <v>96274</v>
      </c>
      <c r="AA569" s="46">
        <f t="shared" si="68"/>
        <v>2</v>
      </c>
      <c r="AB569" s="46">
        <f t="shared" si="68"/>
        <v>3903</v>
      </c>
      <c r="AC569" s="46">
        <f t="shared" si="68"/>
        <v>26238</v>
      </c>
      <c r="AD569" s="46">
        <f t="shared" si="68"/>
        <v>0</v>
      </c>
      <c r="AE569" s="43">
        <f t="shared" si="68"/>
        <v>0</v>
      </c>
      <c r="AF569" s="95">
        <f t="shared" si="63"/>
        <v>33</v>
      </c>
      <c r="AG569" s="109">
        <f t="shared" ref="AG569" si="69">SUM(AG3:AG192)</f>
        <v>96336</v>
      </c>
      <c r="AH569" s="47">
        <f t="shared" si="63"/>
        <v>27644</v>
      </c>
      <c r="AI569" s="45">
        <f t="shared" si="63"/>
        <v>0</v>
      </c>
      <c r="AJ569" s="43">
        <f t="shared" si="63"/>
        <v>0</v>
      </c>
      <c r="AK569" s="45">
        <f t="shared" ref="AK569" si="70">SUM(AK3:AK192)</f>
        <v>0</v>
      </c>
      <c r="AL569" s="109">
        <f t="shared" si="63"/>
        <v>0</v>
      </c>
      <c r="AM569" s="45">
        <f t="shared" si="63"/>
        <v>27744</v>
      </c>
      <c r="AN569" s="95">
        <f t="shared" si="63"/>
        <v>10526</v>
      </c>
      <c r="AO569" s="109">
        <f t="shared" ref="AO569" si="71">SUM(AO3:AO192)</f>
        <v>5069</v>
      </c>
      <c r="AP569" s="47">
        <f t="shared" si="63"/>
        <v>32414</v>
      </c>
      <c r="AQ569" s="45">
        <f t="shared" ref="AQ569" si="72">SUM(AQ3:AQ192)</f>
        <v>13240</v>
      </c>
      <c r="AR569" s="95">
        <f t="shared" si="63"/>
        <v>33828</v>
      </c>
      <c r="AS569" s="109">
        <f t="shared" ref="AS569" si="73">SUM(AS3:AS192)</f>
        <v>0</v>
      </c>
      <c r="AT569" s="47">
        <f t="shared" si="63"/>
        <v>0</v>
      </c>
      <c r="AU569" s="45">
        <f t="shared" ref="AU569:AV569" si="74">SUM(AU3:AU192)</f>
        <v>0</v>
      </c>
      <c r="AV569" s="109">
        <f t="shared" si="74"/>
        <v>0</v>
      </c>
      <c r="AW569" s="109">
        <f t="shared" si="63"/>
        <v>0</v>
      </c>
      <c r="AX569" s="45">
        <f t="shared" ref="AX569" si="75">SUM(AX3:AX192)</f>
        <v>0</v>
      </c>
      <c r="AY569" s="47">
        <f t="shared" si="63"/>
        <v>0</v>
      </c>
      <c r="AZ569" s="45">
        <f t="shared" si="63"/>
        <v>0</v>
      </c>
      <c r="BA569" s="95">
        <f t="shared" si="63"/>
        <v>0</v>
      </c>
      <c r="BB569" s="45">
        <f t="shared" ref="BB569" si="76">SUM(BB3:BB192)</f>
        <v>30513</v>
      </c>
      <c r="BC569" s="47">
        <f>SUM(BC3:BC192)</f>
        <v>91160</v>
      </c>
      <c r="BD569" s="45">
        <f t="shared" ref="BD569" si="77">SUM(BD3:BD192)</f>
        <v>28882</v>
      </c>
      <c r="BE569" s="95">
        <f>SUM(BE3:BE192)</f>
        <v>92548</v>
      </c>
      <c r="BF569" s="109">
        <f t="shared" ref="BF569" si="78">SUM(BF3:BF192)</f>
        <v>91730</v>
      </c>
      <c r="BG569" s="47">
        <f>SUM(BG3:BG192)</f>
        <v>29225</v>
      </c>
      <c r="BH569" s="45">
        <f t="shared" ref="BH569" si="79">SUM(BH3:BH192)</f>
        <v>32123</v>
      </c>
      <c r="BI569" s="47">
        <f>SUM(BI3:BI192)</f>
        <v>88798</v>
      </c>
      <c r="BJ569" s="109">
        <f t="shared" ref="BJ569:BK569" si="80">SUM(BJ3:BJ192)</f>
        <v>4952</v>
      </c>
      <c r="BK569" s="43">
        <f t="shared" si="80"/>
        <v>26250</v>
      </c>
      <c r="BL569" s="95">
        <f t="shared" si="63"/>
        <v>91759</v>
      </c>
      <c r="BM569" s="109">
        <f t="shared" ref="BM569:BN569" si="81">SUM(BM3:BM192)</f>
        <v>92216</v>
      </c>
      <c r="BN569" s="46">
        <f t="shared" si="81"/>
        <v>25985</v>
      </c>
      <c r="BO569" s="47">
        <f t="shared" si="63"/>
        <v>4124</v>
      </c>
      <c r="BP569" s="45">
        <f t="shared" ref="BP569" si="82">SUM(BP3:BP192)</f>
        <v>30140</v>
      </c>
      <c r="BQ569" s="47">
        <f t="shared" ref="BQ569:BR569" si="83">SUM(BQ3:BQ192)</f>
        <v>91242</v>
      </c>
      <c r="BR569" s="45">
        <f t="shared" si="83"/>
        <v>87112</v>
      </c>
      <c r="BS569" s="47">
        <f t="shared" si="63"/>
        <v>35260</v>
      </c>
      <c r="BT569" s="45">
        <f t="shared" ref="BT569:BU569" si="84">SUM(BT3:BT192)</f>
        <v>27210</v>
      </c>
      <c r="BU569" s="43">
        <f t="shared" si="84"/>
        <v>5068</v>
      </c>
      <c r="BV569" s="95">
        <f t="shared" si="63"/>
        <v>89251</v>
      </c>
      <c r="BW569" s="109">
        <f t="shared" ref="BW569" si="85">SUM(BW3:BW192)</f>
        <v>93558</v>
      </c>
      <c r="BX569" s="47">
        <f t="shared" si="63"/>
        <v>30132</v>
      </c>
      <c r="BY569" s="45">
        <f t="shared" ref="BY569" si="86">SUM(BY3:BY192)</f>
        <v>92320</v>
      </c>
      <c r="BZ569" s="95">
        <f t="shared" si="63"/>
        <v>27749</v>
      </c>
      <c r="CA569" s="109">
        <f t="shared" ref="CA569" si="87">SUM(CA3:CA192)</f>
        <v>28861</v>
      </c>
      <c r="CB569" s="47">
        <f t="shared" si="63"/>
        <v>92361</v>
      </c>
      <c r="CC569" s="47">
        <f t="shared" si="63"/>
        <v>58551</v>
      </c>
      <c r="CD569" s="44">
        <f t="shared" si="63"/>
        <v>103940</v>
      </c>
      <c r="CE569" s="109">
        <f t="shared" ref="CE569" si="88">SUM(CE3:CE192)</f>
        <v>42449</v>
      </c>
      <c r="CF569" s="47">
        <f>SUM(CF3:CF192)</f>
        <v>61333</v>
      </c>
      <c r="CG569" s="45">
        <f>SUM(CG3:CG192)</f>
        <v>27891</v>
      </c>
      <c r="CH569" s="46">
        <f t="shared" ref="CH569:CJ569" si="89">SUM(CH3:CH192)</f>
        <v>15943</v>
      </c>
      <c r="CI569" s="46">
        <f t="shared" si="89"/>
        <v>55281</v>
      </c>
      <c r="CJ569" s="46">
        <f t="shared" si="89"/>
        <v>60650</v>
      </c>
      <c r="CK569" s="95">
        <f>SUM(CK3:CK192)</f>
        <v>31467</v>
      </c>
    </row>
    <row r="570" spans="1:89" ht="13" x14ac:dyDescent="0.25">
      <c r="A570" s="87"/>
      <c r="B570" s="87" t="s">
        <v>592</v>
      </c>
      <c r="C570" s="88">
        <f>SUM(C3:C15)</f>
        <v>13457</v>
      </c>
      <c r="D570" s="90">
        <f>SUM(D3:D15)</f>
        <v>9836</v>
      </c>
      <c r="E570" s="89">
        <v>0.5572745979727155</v>
      </c>
      <c r="F570" s="45">
        <f t="shared" ref="F570:CD570" si="90">SUM(F3:F15)</f>
        <v>0</v>
      </c>
      <c r="G570" s="109">
        <f t="shared" si="90"/>
        <v>0</v>
      </c>
      <c r="H570" s="109">
        <f t="shared" ref="H570:Q570" si="91">SUM(H3:H15)</f>
        <v>0</v>
      </c>
      <c r="I570" s="109">
        <f t="shared" si="91"/>
        <v>7</v>
      </c>
      <c r="J570" s="109">
        <f t="shared" ref="J570:K570" si="92">SUM(J3:J15)</f>
        <v>16</v>
      </c>
      <c r="K570" s="109">
        <f t="shared" si="92"/>
        <v>0</v>
      </c>
      <c r="L570" s="109">
        <f t="shared" si="91"/>
        <v>0</v>
      </c>
      <c r="M570" s="109">
        <f t="shared" si="91"/>
        <v>6030</v>
      </c>
      <c r="N570" s="109">
        <f t="shared" si="91"/>
        <v>0</v>
      </c>
      <c r="O570" s="109">
        <f t="shared" si="91"/>
        <v>0</v>
      </c>
      <c r="P570" s="46">
        <f t="shared" si="91"/>
        <v>56</v>
      </c>
      <c r="Q570" s="46">
        <f t="shared" si="91"/>
        <v>23</v>
      </c>
      <c r="R570" s="46">
        <f t="shared" ref="R570" si="93">SUM(R3:R15)</f>
        <v>3548</v>
      </c>
      <c r="S570" s="47">
        <f t="shared" si="90"/>
        <v>4</v>
      </c>
      <c r="T570" s="45">
        <f>SUM(T3:T15)</f>
        <v>5732</v>
      </c>
      <c r="U570" s="47">
        <f t="shared" ref="U570:V570" si="94">SUM(U3:U15)</f>
        <v>3760</v>
      </c>
      <c r="V570" s="45">
        <f t="shared" si="94"/>
        <v>3950</v>
      </c>
      <c r="W570" s="47">
        <f>SUM(W3:W15)</f>
        <v>5554</v>
      </c>
      <c r="X570" s="45">
        <f>SUM(X3:X15)</f>
        <v>5789</v>
      </c>
      <c r="Y570" s="47">
        <f>SUM(Y3:Y15)</f>
        <v>3559</v>
      </c>
      <c r="Z570" s="109">
        <f t="shared" ref="Z570:AE570" si="95">SUM(Z3:Z15)</f>
        <v>6082</v>
      </c>
      <c r="AA570" s="46">
        <f t="shared" si="95"/>
        <v>0</v>
      </c>
      <c r="AB570" s="46">
        <f t="shared" si="95"/>
        <v>338</v>
      </c>
      <c r="AC570" s="46">
        <f t="shared" si="95"/>
        <v>3249</v>
      </c>
      <c r="AD570" s="46">
        <f t="shared" si="95"/>
        <v>0</v>
      </c>
      <c r="AE570" s="43">
        <f t="shared" si="95"/>
        <v>0</v>
      </c>
      <c r="AF570" s="95">
        <f t="shared" si="90"/>
        <v>2</v>
      </c>
      <c r="AG570" s="109">
        <f t="shared" ref="AG570" si="96">SUM(AG3:AG15)</f>
        <v>6104</v>
      </c>
      <c r="AH570" s="47">
        <f t="shared" si="90"/>
        <v>3365</v>
      </c>
      <c r="AI570" s="45">
        <f t="shared" si="90"/>
        <v>0</v>
      </c>
      <c r="AJ570" s="43">
        <f t="shared" si="90"/>
        <v>0</v>
      </c>
      <c r="AK570" s="45">
        <f t="shared" ref="AK570" si="97">SUM(AK3:AK15)</f>
        <v>0</v>
      </c>
      <c r="AL570" s="109">
        <f t="shared" si="90"/>
        <v>0</v>
      </c>
      <c r="AM570" s="45">
        <f t="shared" si="90"/>
        <v>0</v>
      </c>
      <c r="AN570" s="95">
        <f t="shared" si="90"/>
        <v>0</v>
      </c>
      <c r="AO570" s="109">
        <f t="shared" ref="AO570" si="98">SUM(AO3:AO15)</f>
        <v>0</v>
      </c>
      <c r="AP570" s="47">
        <f t="shared" si="90"/>
        <v>0</v>
      </c>
      <c r="AQ570" s="45">
        <f t="shared" ref="AQ570" si="99">SUM(AQ3:AQ15)</f>
        <v>3581</v>
      </c>
      <c r="AR570" s="95">
        <f t="shared" si="90"/>
        <v>5648</v>
      </c>
      <c r="AS570" s="109">
        <f t="shared" ref="AS570" si="100">SUM(AS3:AS15)</f>
        <v>0</v>
      </c>
      <c r="AT570" s="47">
        <f t="shared" si="90"/>
        <v>0</v>
      </c>
      <c r="AU570" s="45">
        <f t="shared" ref="AU570:AV570" si="101">SUM(AU3:AU15)</f>
        <v>0</v>
      </c>
      <c r="AV570" s="109">
        <f t="shared" si="101"/>
        <v>0</v>
      </c>
      <c r="AW570" s="109">
        <f t="shared" si="90"/>
        <v>0</v>
      </c>
      <c r="AX570" s="45">
        <f t="shared" ref="AX570" si="102">SUM(AX3:AX15)</f>
        <v>0</v>
      </c>
      <c r="AY570" s="47">
        <f t="shared" si="90"/>
        <v>0</v>
      </c>
      <c r="AZ570" s="45">
        <f t="shared" si="90"/>
        <v>0</v>
      </c>
      <c r="BA570" s="95">
        <f t="shared" si="90"/>
        <v>0</v>
      </c>
      <c r="BB570" s="45">
        <f t="shared" ref="BB570" si="103">SUM(BB3:BB15)</f>
        <v>3683</v>
      </c>
      <c r="BC570" s="47">
        <f>SUM(BC3:BC15)</f>
        <v>5523</v>
      </c>
      <c r="BD570" s="45">
        <f t="shared" ref="BD570" si="104">SUM(BD3:BD15)</f>
        <v>3553</v>
      </c>
      <c r="BE570" s="95">
        <f>SUM(BE3:BE15)</f>
        <v>5598</v>
      </c>
      <c r="BF570" s="109">
        <f t="shared" ref="BF570" si="105">SUM(BF3:BF15)</f>
        <v>5513</v>
      </c>
      <c r="BG570" s="47">
        <f>SUM(BG3:BG15)</f>
        <v>3613</v>
      </c>
      <c r="BH570" s="45">
        <f t="shared" ref="BH570" si="106">SUM(BH3:BH15)</f>
        <v>3895</v>
      </c>
      <c r="BI570" s="47">
        <f>SUM(BI3:BI15)</f>
        <v>5282</v>
      </c>
      <c r="BJ570" s="109">
        <f t="shared" ref="BJ570:BK570" si="107">SUM(BJ3:BJ15)</f>
        <v>480</v>
      </c>
      <c r="BK570" s="43">
        <f t="shared" si="107"/>
        <v>3273</v>
      </c>
      <c r="BL570" s="95">
        <f t="shared" si="90"/>
        <v>5495</v>
      </c>
      <c r="BM570" s="109">
        <f t="shared" ref="BM570:BN570" si="108">SUM(BM3:BM15)</f>
        <v>5645</v>
      </c>
      <c r="BN570" s="46">
        <f t="shared" si="108"/>
        <v>3225</v>
      </c>
      <c r="BO570" s="47">
        <f t="shared" si="90"/>
        <v>384</v>
      </c>
      <c r="BP570" s="45">
        <f t="shared" ref="BP570" si="109">SUM(BP3:BP15)</f>
        <v>3810</v>
      </c>
      <c r="BQ570" s="47">
        <f t="shared" ref="BQ570:BR570" si="110">SUM(BQ3:BQ15)</f>
        <v>5407</v>
      </c>
      <c r="BR570" s="45">
        <f t="shared" si="110"/>
        <v>5179</v>
      </c>
      <c r="BS570" s="47">
        <f t="shared" si="90"/>
        <v>4128</v>
      </c>
      <c r="BT570" s="45">
        <f t="shared" ref="BT570:BU570" si="111">SUM(BT3:BT15)</f>
        <v>3345</v>
      </c>
      <c r="BU570" s="43">
        <f t="shared" si="111"/>
        <v>445</v>
      </c>
      <c r="BV570" s="95">
        <f t="shared" si="90"/>
        <v>5374</v>
      </c>
      <c r="BW570" s="109">
        <f t="shared" ref="BW570" si="112">SUM(BW3:BW15)</f>
        <v>5798</v>
      </c>
      <c r="BX570" s="47">
        <f t="shared" si="90"/>
        <v>3584</v>
      </c>
      <c r="BY570" s="45">
        <f t="shared" ref="BY570" si="113">SUM(BY3:BY15)</f>
        <v>5663</v>
      </c>
      <c r="BZ570" s="95">
        <f t="shared" si="90"/>
        <v>3407</v>
      </c>
      <c r="CA570" s="109">
        <f t="shared" ref="CA570" si="114">SUM(CA3:CA15)</f>
        <v>3515</v>
      </c>
      <c r="CB570" s="47">
        <f t="shared" si="90"/>
        <v>5646</v>
      </c>
      <c r="CC570" s="47">
        <f t="shared" si="90"/>
        <v>5676</v>
      </c>
      <c r="CD570" s="44">
        <f t="shared" si="90"/>
        <v>7214</v>
      </c>
      <c r="CE570" s="109">
        <f t="shared" ref="CE570" si="115">SUM(CE3:CE15)</f>
        <v>3804</v>
      </c>
      <c r="CF570" s="47">
        <f>SUM(CF3:CF15)</f>
        <v>3968</v>
      </c>
      <c r="CG570" s="45">
        <f>SUM(CG3:CG15)</f>
        <v>2462</v>
      </c>
      <c r="CH570" s="46">
        <f t="shared" ref="CH570:CJ570" si="116">SUM(CH3:CH15)</f>
        <v>1811</v>
      </c>
      <c r="CI570" s="46">
        <f t="shared" si="116"/>
        <v>3329</v>
      </c>
      <c r="CJ570" s="46">
        <f t="shared" si="116"/>
        <v>3927</v>
      </c>
      <c r="CK570" s="95">
        <f>SUM(CK3:CK15)</f>
        <v>3171</v>
      </c>
    </row>
    <row r="571" spans="1:89" ht="13" x14ac:dyDescent="0.25">
      <c r="A571" s="87"/>
      <c r="B571" s="87" t="s">
        <v>593</v>
      </c>
      <c r="C571" s="88">
        <f>SUM(C16:C26)</f>
        <v>15143</v>
      </c>
      <c r="D571" s="90">
        <f>SUM(D16:D26)</f>
        <v>10450</v>
      </c>
      <c r="E571" s="89">
        <v>0.49514762165117548</v>
      </c>
      <c r="F571" s="45">
        <f t="shared" ref="F571:CD571" si="117">SUM(F16:F26)</f>
        <v>0</v>
      </c>
      <c r="G571" s="109">
        <f t="shared" si="117"/>
        <v>0</v>
      </c>
      <c r="H571" s="109">
        <f t="shared" ref="H571:Q571" si="118">SUM(H16:H26)</f>
        <v>0</v>
      </c>
      <c r="I571" s="109">
        <f t="shared" si="118"/>
        <v>5</v>
      </c>
      <c r="J571" s="109">
        <f t="shared" ref="J571:K571" si="119">SUM(J16:J26)</f>
        <v>18</v>
      </c>
      <c r="K571" s="109">
        <f t="shared" si="119"/>
        <v>0</v>
      </c>
      <c r="L571" s="109">
        <f t="shared" si="118"/>
        <v>0</v>
      </c>
      <c r="M571" s="109">
        <f t="shared" si="118"/>
        <v>7427</v>
      </c>
      <c r="N571" s="109">
        <f t="shared" si="118"/>
        <v>0</v>
      </c>
      <c r="O571" s="109">
        <f t="shared" si="118"/>
        <v>0</v>
      </c>
      <c r="P571" s="46">
        <f t="shared" si="118"/>
        <v>69</v>
      </c>
      <c r="Q571" s="46">
        <f t="shared" si="118"/>
        <v>23</v>
      </c>
      <c r="R571" s="46">
        <f t="shared" ref="R571" si="120">SUM(R16:R26)</f>
        <v>2768</v>
      </c>
      <c r="S571" s="47">
        <f t="shared" si="117"/>
        <v>2</v>
      </c>
      <c r="T571" s="45">
        <f>SUM(T16:T26)</f>
        <v>7095</v>
      </c>
      <c r="U571" s="47">
        <f t="shared" ref="U571:V571" si="121">SUM(U16:U26)</f>
        <v>2952</v>
      </c>
      <c r="V571" s="45">
        <f t="shared" si="121"/>
        <v>3046</v>
      </c>
      <c r="W571" s="47">
        <f>SUM(W16:W26)</f>
        <v>7025</v>
      </c>
      <c r="X571" s="45">
        <f>SUM(X16:X26)</f>
        <v>7139</v>
      </c>
      <c r="Y571" s="47">
        <f>SUM(Y16:Y26)</f>
        <v>2783</v>
      </c>
      <c r="Z571" s="109">
        <f t="shared" ref="Z571:AE571" si="122">SUM(Z16:Z26)</f>
        <v>7405</v>
      </c>
      <c r="AA571" s="46">
        <f t="shared" si="122"/>
        <v>0</v>
      </c>
      <c r="AB571" s="46">
        <f t="shared" si="122"/>
        <v>297</v>
      </c>
      <c r="AC571" s="46">
        <f t="shared" si="122"/>
        <v>2525</v>
      </c>
      <c r="AD571" s="46">
        <f t="shared" si="122"/>
        <v>0</v>
      </c>
      <c r="AE571" s="43">
        <f t="shared" si="122"/>
        <v>0</v>
      </c>
      <c r="AF571" s="95">
        <f t="shared" si="117"/>
        <v>2</v>
      </c>
      <c r="AG571" s="109">
        <f t="shared" ref="AG571" si="123">SUM(AG16:AG26)</f>
        <v>7331</v>
      </c>
      <c r="AH571" s="47">
        <f t="shared" si="117"/>
        <v>2675</v>
      </c>
      <c r="AI571" s="45">
        <f t="shared" si="117"/>
        <v>0</v>
      </c>
      <c r="AJ571" s="43">
        <f t="shared" si="117"/>
        <v>0</v>
      </c>
      <c r="AK571" s="45">
        <f t="shared" ref="AK571" si="124">SUM(AK16:AK26)</f>
        <v>0</v>
      </c>
      <c r="AL571" s="109">
        <f t="shared" si="117"/>
        <v>0</v>
      </c>
      <c r="AM571" s="45">
        <f t="shared" si="117"/>
        <v>0</v>
      </c>
      <c r="AN571" s="95">
        <f t="shared" si="117"/>
        <v>0</v>
      </c>
      <c r="AO571" s="109">
        <f t="shared" ref="AO571" si="125">SUM(AO16:AO26)</f>
        <v>0</v>
      </c>
      <c r="AP571" s="47">
        <f t="shared" si="117"/>
        <v>0</v>
      </c>
      <c r="AQ571" s="45">
        <f t="shared" ref="AQ571" si="126">SUM(AQ16:AQ26)</f>
        <v>2787</v>
      </c>
      <c r="AR571" s="95">
        <f t="shared" si="117"/>
        <v>7024</v>
      </c>
      <c r="AS571" s="109">
        <f t="shared" ref="AS571" si="127">SUM(AS16:AS26)</f>
        <v>0</v>
      </c>
      <c r="AT571" s="47">
        <f t="shared" si="117"/>
        <v>0</v>
      </c>
      <c r="AU571" s="45">
        <f t="shared" ref="AU571:AV571" si="128">SUM(AU16:AU26)</f>
        <v>0</v>
      </c>
      <c r="AV571" s="109">
        <f t="shared" si="128"/>
        <v>0</v>
      </c>
      <c r="AW571" s="109">
        <f t="shared" si="117"/>
        <v>0</v>
      </c>
      <c r="AX571" s="45">
        <f t="shared" ref="AX571" si="129">SUM(AX16:AX26)</f>
        <v>0</v>
      </c>
      <c r="AY571" s="47">
        <f t="shared" si="117"/>
        <v>0</v>
      </c>
      <c r="AZ571" s="45">
        <f t="shared" si="117"/>
        <v>0</v>
      </c>
      <c r="BA571" s="95">
        <f t="shared" si="117"/>
        <v>0</v>
      </c>
      <c r="BB571" s="45">
        <f t="shared" ref="BB571" si="130">SUM(BB16:BB26)</f>
        <v>2843</v>
      </c>
      <c r="BC571" s="47">
        <f>SUM(BC16:BC26)</f>
        <v>6913</v>
      </c>
      <c r="BD571" s="45">
        <f t="shared" ref="BD571" si="131">SUM(BD16:BD26)</f>
        <v>2766</v>
      </c>
      <c r="BE571" s="95">
        <f>SUM(BE16:BE26)</f>
        <v>6983</v>
      </c>
      <c r="BF571" s="109">
        <f t="shared" ref="BF571" si="132">SUM(BF16:BF26)</f>
        <v>6935</v>
      </c>
      <c r="BG571" s="47">
        <f>SUM(BG16:BG26)</f>
        <v>2779</v>
      </c>
      <c r="BH571" s="45">
        <f t="shared" ref="BH571" si="133">SUM(BH16:BH26)</f>
        <v>3043</v>
      </c>
      <c r="BI571" s="47">
        <f>SUM(BI16:BI26)</f>
        <v>6678</v>
      </c>
      <c r="BJ571" s="109">
        <f t="shared" ref="BJ571:BK571" si="134">SUM(BJ16:BJ26)</f>
        <v>424</v>
      </c>
      <c r="BK571" s="43">
        <f t="shared" si="134"/>
        <v>2540</v>
      </c>
      <c r="BL571" s="95">
        <f t="shared" si="117"/>
        <v>6900</v>
      </c>
      <c r="BM571" s="109">
        <f t="shared" ref="BM571:BN571" si="135">SUM(BM16:BM26)</f>
        <v>6896</v>
      </c>
      <c r="BN571" s="46">
        <f t="shared" si="135"/>
        <v>2574</v>
      </c>
      <c r="BO571" s="47">
        <f t="shared" si="117"/>
        <v>347</v>
      </c>
      <c r="BP571" s="45">
        <f t="shared" ref="BP571" si="136">SUM(BP16:BP26)</f>
        <v>2852</v>
      </c>
      <c r="BQ571" s="47">
        <f t="shared" ref="BQ571:BR571" si="137">SUM(BQ16:BQ26)</f>
        <v>6889</v>
      </c>
      <c r="BR571" s="45">
        <f t="shared" si="137"/>
        <v>6519</v>
      </c>
      <c r="BS571" s="47">
        <f t="shared" si="117"/>
        <v>3289</v>
      </c>
      <c r="BT571" s="45">
        <f t="shared" ref="BT571:BU571" si="138">SUM(BT16:BT26)</f>
        <v>2614</v>
      </c>
      <c r="BU571" s="43">
        <f t="shared" si="138"/>
        <v>429</v>
      </c>
      <c r="BV571" s="95">
        <f t="shared" si="117"/>
        <v>6699</v>
      </c>
      <c r="BW571" s="109">
        <f t="shared" ref="BW571" si="139">SUM(BW16:BW26)</f>
        <v>7068</v>
      </c>
      <c r="BX571" s="47">
        <f t="shared" si="117"/>
        <v>2850</v>
      </c>
      <c r="BY571" s="45">
        <f t="shared" ref="BY571" si="140">SUM(BY16:BY26)</f>
        <v>6954</v>
      </c>
      <c r="BZ571" s="95">
        <f t="shared" si="117"/>
        <v>2668</v>
      </c>
      <c r="CA571" s="109">
        <f t="shared" ref="CA571" si="141">SUM(CA16:CA26)</f>
        <v>2787</v>
      </c>
      <c r="CB571" s="47">
        <f t="shared" si="117"/>
        <v>6939</v>
      </c>
      <c r="CC571" s="47">
        <f t="shared" si="117"/>
        <v>5274</v>
      </c>
      <c r="CD571" s="44">
        <f t="shared" si="117"/>
        <v>8184</v>
      </c>
      <c r="CE571" s="109">
        <f t="shared" ref="CE571" si="142">SUM(CE16:CE26)</f>
        <v>3626</v>
      </c>
      <c r="CF571" s="47">
        <f>SUM(CF16:CF26)</f>
        <v>4693</v>
      </c>
      <c r="CG571" s="45">
        <f>SUM(CG16:CG26)</f>
        <v>2369</v>
      </c>
      <c r="CH571" s="46">
        <f t="shared" ref="CH571:CJ571" si="143">SUM(CH16:CH26)</f>
        <v>1388</v>
      </c>
      <c r="CI571" s="46">
        <f t="shared" si="143"/>
        <v>4248</v>
      </c>
      <c r="CJ571" s="46">
        <f t="shared" si="143"/>
        <v>4819</v>
      </c>
      <c r="CK571" s="95">
        <f>SUM(CK16:CK26)</f>
        <v>2532</v>
      </c>
    </row>
    <row r="572" spans="1:89" ht="13" x14ac:dyDescent="0.25">
      <c r="A572" s="91"/>
      <c r="B572" s="92" t="s">
        <v>594</v>
      </c>
      <c r="C572" s="93">
        <f>SUM(C27:C31)</f>
        <v>6288</v>
      </c>
      <c r="D572" s="94">
        <f>SUM(D27:D31)</f>
        <v>3757</v>
      </c>
      <c r="E572" s="89">
        <v>0.43094528923028685</v>
      </c>
      <c r="F572" s="45">
        <f t="shared" ref="F572:CD572" si="144">SUM(F27:F31)</f>
        <v>0</v>
      </c>
      <c r="G572" s="109">
        <f t="shared" si="144"/>
        <v>0</v>
      </c>
      <c r="H572" s="109">
        <f t="shared" ref="H572:Q572" si="145">SUM(H27:H31)</f>
        <v>0</v>
      </c>
      <c r="I572" s="109">
        <f t="shared" si="145"/>
        <v>0</v>
      </c>
      <c r="J572" s="109">
        <f t="shared" ref="J572:K572" si="146">SUM(J27:J31)</f>
        <v>7</v>
      </c>
      <c r="K572" s="109">
        <f t="shared" si="146"/>
        <v>0</v>
      </c>
      <c r="L572" s="109">
        <f t="shared" si="145"/>
        <v>0</v>
      </c>
      <c r="M572" s="109">
        <f t="shared" si="145"/>
        <v>3107</v>
      </c>
      <c r="N572" s="109">
        <f t="shared" si="145"/>
        <v>0</v>
      </c>
      <c r="O572" s="109">
        <f t="shared" si="145"/>
        <v>0</v>
      </c>
      <c r="P572" s="46">
        <f t="shared" si="145"/>
        <v>25</v>
      </c>
      <c r="Q572" s="46">
        <f t="shared" si="145"/>
        <v>8</v>
      </c>
      <c r="R572" s="46">
        <f t="shared" ref="R572" si="147">SUM(R27:R31)</f>
        <v>544</v>
      </c>
      <c r="S572" s="47">
        <f t="shared" si="144"/>
        <v>3</v>
      </c>
      <c r="T572" s="45">
        <f>SUM(T27:T31)</f>
        <v>3012</v>
      </c>
      <c r="U572" s="47">
        <f t="shared" ref="U572:V572" si="148">SUM(U27:U31)</f>
        <v>613</v>
      </c>
      <c r="V572" s="45">
        <f t="shared" si="148"/>
        <v>656</v>
      </c>
      <c r="W572" s="47">
        <f>SUM(W27:W31)</f>
        <v>2983</v>
      </c>
      <c r="X572" s="45">
        <f>SUM(X27:X31)</f>
        <v>3010</v>
      </c>
      <c r="Y572" s="47">
        <f>SUM(Y27:Y31)</f>
        <v>562</v>
      </c>
      <c r="Z572" s="109">
        <f t="shared" ref="Z572:AE572" si="149">SUM(Z27:Z31)</f>
        <v>3075</v>
      </c>
      <c r="AA572" s="46">
        <f t="shared" si="149"/>
        <v>0</v>
      </c>
      <c r="AB572" s="46">
        <f t="shared" si="149"/>
        <v>121</v>
      </c>
      <c r="AC572" s="46">
        <f t="shared" si="149"/>
        <v>491</v>
      </c>
      <c r="AD572" s="46">
        <f t="shared" si="149"/>
        <v>0</v>
      </c>
      <c r="AE572" s="43">
        <f t="shared" si="149"/>
        <v>0</v>
      </c>
      <c r="AF572" s="95">
        <f t="shared" si="144"/>
        <v>1</v>
      </c>
      <c r="AG572" s="109">
        <f t="shared" ref="AG572" si="150">SUM(AG27:AG31)</f>
        <v>3067</v>
      </c>
      <c r="AH572" s="47">
        <f t="shared" si="144"/>
        <v>552</v>
      </c>
      <c r="AI572" s="45">
        <f t="shared" si="144"/>
        <v>0</v>
      </c>
      <c r="AJ572" s="43">
        <f t="shared" si="144"/>
        <v>0</v>
      </c>
      <c r="AK572" s="45">
        <f t="shared" ref="AK572" si="151">SUM(AK27:AK31)</f>
        <v>0</v>
      </c>
      <c r="AL572" s="109">
        <f t="shared" si="144"/>
        <v>0</v>
      </c>
      <c r="AM572" s="45">
        <f t="shared" si="144"/>
        <v>0</v>
      </c>
      <c r="AN572" s="95">
        <f t="shared" si="144"/>
        <v>0</v>
      </c>
      <c r="AO572" s="109">
        <f t="shared" ref="AO572" si="152">SUM(AO27:AO31)</f>
        <v>0</v>
      </c>
      <c r="AP572" s="47">
        <f t="shared" si="144"/>
        <v>0</v>
      </c>
      <c r="AQ572" s="45">
        <f t="shared" ref="AQ572" si="153">SUM(AQ27:AQ31)</f>
        <v>559</v>
      </c>
      <c r="AR572" s="95">
        <f t="shared" si="144"/>
        <v>3020</v>
      </c>
      <c r="AS572" s="109">
        <f t="shared" ref="AS572" si="154">SUM(AS27:AS31)</f>
        <v>0</v>
      </c>
      <c r="AT572" s="47">
        <f t="shared" si="144"/>
        <v>0</v>
      </c>
      <c r="AU572" s="45">
        <f t="shared" ref="AU572:AV572" si="155">SUM(AU27:AU31)</f>
        <v>0</v>
      </c>
      <c r="AV572" s="109">
        <f t="shared" si="155"/>
        <v>0</v>
      </c>
      <c r="AW572" s="109">
        <f t="shared" si="144"/>
        <v>0</v>
      </c>
      <c r="AX572" s="45">
        <f t="shared" ref="AX572" si="156">SUM(AX27:AX31)</f>
        <v>0</v>
      </c>
      <c r="AY572" s="47">
        <f t="shared" si="144"/>
        <v>0</v>
      </c>
      <c r="AZ572" s="45">
        <f t="shared" si="144"/>
        <v>0</v>
      </c>
      <c r="BA572" s="95">
        <f t="shared" si="144"/>
        <v>0</v>
      </c>
      <c r="BB572" s="45">
        <f t="shared" ref="BB572" si="157">SUM(BB27:BB31)</f>
        <v>588</v>
      </c>
      <c r="BC572" s="47">
        <f>SUM(BC27:BC31)</f>
        <v>2952</v>
      </c>
      <c r="BD572" s="45">
        <f t="shared" ref="BD572" si="158">SUM(BD27:BD31)</f>
        <v>563</v>
      </c>
      <c r="BE572" s="95">
        <f>SUM(BE27:BE31)</f>
        <v>2984</v>
      </c>
      <c r="BF572" s="109">
        <f t="shared" ref="BF572" si="159">SUM(BF27:BF31)</f>
        <v>2964</v>
      </c>
      <c r="BG572" s="47">
        <f>SUM(BG27:BG31)</f>
        <v>554</v>
      </c>
      <c r="BH572" s="45">
        <f t="shared" ref="BH572" si="160">SUM(BH27:BH31)</f>
        <v>617</v>
      </c>
      <c r="BI572" s="47">
        <f>SUM(BI27:BI31)</f>
        <v>2889</v>
      </c>
      <c r="BJ572" s="109">
        <f t="shared" ref="BJ572:BK572" si="161">SUM(BJ27:BJ31)</f>
        <v>156</v>
      </c>
      <c r="BK572" s="43">
        <f t="shared" si="161"/>
        <v>492</v>
      </c>
      <c r="BL572" s="95">
        <f t="shared" si="144"/>
        <v>2965</v>
      </c>
      <c r="BM572" s="109">
        <f t="shared" ref="BM572:BN572" si="162">SUM(BM27:BM31)</f>
        <v>2943</v>
      </c>
      <c r="BN572" s="46">
        <f t="shared" si="162"/>
        <v>489</v>
      </c>
      <c r="BO572" s="47">
        <f t="shared" si="144"/>
        <v>125</v>
      </c>
      <c r="BP572" s="45">
        <f t="shared" ref="BP572" si="163">SUM(BP27:BP31)</f>
        <v>571</v>
      </c>
      <c r="BQ572" s="47">
        <f t="shared" ref="BQ572:BR572" si="164">SUM(BQ27:BQ31)</f>
        <v>2965</v>
      </c>
      <c r="BR572" s="45">
        <f t="shared" si="164"/>
        <v>2849</v>
      </c>
      <c r="BS572" s="47">
        <f t="shared" si="144"/>
        <v>699</v>
      </c>
      <c r="BT572" s="45">
        <f t="shared" ref="BT572:BU572" si="165">SUM(BT27:BT31)</f>
        <v>514</v>
      </c>
      <c r="BU572" s="43">
        <f t="shared" si="165"/>
        <v>157</v>
      </c>
      <c r="BV572" s="95">
        <f t="shared" si="144"/>
        <v>2862</v>
      </c>
      <c r="BW572" s="109">
        <f t="shared" ref="BW572" si="166">SUM(BW27:BW31)</f>
        <v>3026</v>
      </c>
      <c r="BX572" s="47">
        <f t="shared" si="144"/>
        <v>578</v>
      </c>
      <c r="BY572" s="45">
        <f t="shared" ref="BY572" si="167">SUM(BY27:BY31)</f>
        <v>2954</v>
      </c>
      <c r="BZ572" s="95">
        <f t="shared" si="144"/>
        <v>535</v>
      </c>
      <c r="CA572" s="109">
        <f t="shared" ref="CA572" si="168">SUM(CA27:CA31)</f>
        <v>560</v>
      </c>
      <c r="CB572" s="47">
        <f t="shared" si="144"/>
        <v>2979</v>
      </c>
      <c r="CC572" s="47">
        <f t="shared" si="144"/>
        <v>1405</v>
      </c>
      <c r="CD572" s="44">
        <f t="shared" si="144"/>
        <v>3151</v>
      </c>
      <c r="CE572" s="109">
        <f t="shared" ref="CE572" si="169">SUM(CE27:CE31)</f>
        <v>1158</v>
      </c>
      <c r="CF572" s="47">
        <f>SUM(CF27:CF31)</f>
        <v>1859</v>
      </c>
      <c r="CG572" s="45">
        <f>SUM(CG27:CG31)</f>
        <v>776</v>
      </c>
      <c r="CH572" s="46">
        <f t="shared" ref="CH572:CJ572" si="170">SUM(CH27:CH31)</f>
        <v>342</v>
      </c>
      <c r="CI572" s="46">
        <f t="shared" si="170"/>
        <v>1764</v>
      </c>
      <c r="CJ572" s="46">
        <f t="shared" si="170"/>
        <v>1857</v>
      </c>
      <c r="CK572" s="95">
        <f>SUM(CK27:CK31)</f>
        <v>739</v>
      </c>
    </row>
    <row r="573" spans="1:89" ht="13" x14ac:dyDescent="0.25">
      <c r="A573" s="91"/>
      <c r="B573" s="92" t="s">
        <v>595</v>
      </c>
      <c r="C573" s="88">
        <f>SUM(C32:C39)</f>
        <v>9316</v>
      </c>
      <c r="D573" s="88">
        <f>SUM(D32:D39)</f>
        <v>7060</v>
      </c>
      <c r="E573" s="89">
        <v>0.6101657701174662</v>
      </c>
      <c r="F573" s="45">
        <f t="shared" ref="F573:CD573" si="171">SUM(F32:F39)</f>
        <v>0</v>
      </c>
      <c r="G573" s="109">
        <f t="shared" si="171"/>
        <v>0</v>
      </c>
      <c r="H573" s="109">
        <f t="shared" ref="H573:Q573" si="172">SUM(H32:H39)</f>
        <v>0</v>
      </c>
      <c r="I573" s="109">
        <f t="shared" si="172"/>
        <v>6</v>
      </c>
      <c r="J573" s="109">
        <f t="shared" ref="J573:K573" si="173">SUM(J32:J39)</f>
        <v>11</v>
      </c>
      <c r="K573" s="109">
        <f t="shared" si="173"/>
        <v>0</v>
      </c>
      <c r="L573" s="109">
        <f t="shared" si="172"/>
        <v>0</v>
      </c>
      <c r="M573" s="109">
        <f t="shared" si="172"/>
        <v>4857</v>
      </c>
      <c r="N573" s="109">
        <f t="shared" si="172"/>
        <v>0</v>
      </c>
      <c r="O573" s="109">
        <f t="shared" si="172"/>
        <v>0</v>
      </c>
      <c r="P573" s="46">
        <f t="shared" si="172"/>
        <v>60</v>
      </c>
      <c r="Q573" s="46">
        <f t="shared" si="172"/>
        <v>15</v>
      </c>
      <c r="R573" s="46">
        <f t="shared" ref="R573" si="174">SUM(R32:R39)</f>
        <v>1976</v>
      </c>
      <c r="S573" s="47">
        <f t="shared" si="171"/>
        <v>0</v>
      </c>
      <c r="T573" s="45">
        <f>SUM(T32:T39)</f>
        <v>4488</v>
      </c>
      <c r="U573" s="47">
        <f t="shared" ref="U573:V573" si="175">SUM(U32:U39)</f>
        <v>2318</v>
      </c>
      <c r="V573" s="45">
        <f t="shared" si="175"/>
        <v>2374</v>
      </c>
      <c r="W573" s="47">
        <f>SUM(W32:W39)</f>
        <v>4449</v>
      </c>
      <c r="X573" s="45">
        <f>SUM(X32:X39)</f>
        <v>4560</v>
      </c>
      <c r="Y573" s="47">
        <f>SUM(Y32:Y39)</f>
        <v>2135</v>
      </c>
      <c r="Z573" s="109">
        <f t="shared" ref="Z573:AE573" si="176">SUM(Z32:Z39)</f>
        <v>4846</v>
      </c>
      <c r="AA573" s="46">
        <f t="shared" si="176"/>
        <v>0</v>
      </c>
      <c r="AB573" s="46">
        <f t="shared" si="176"/>
        <v>161</v>
      </c>
      <c r="AC573" s="46">
        <f t="shared" si="176"/>
        <v>1923</v>
      </c>
      <c r="AD573" s="46">
        <f t="shared" si="176"/>
        <v>0</v>
      </c>
      <c r="AE573" s="43">
        <f t="shared" si="176"/>
        <v>0</v>
      </c>
      <c r="AF573" s="95">
        <f t="shared" si="171"/>
        <v>0</v>
      </c>
      <c r="AG573" s="109">
        <f t="shared" ref="AG573" si="177">SUM(AG32:AG39)</f>
        <v>4784</v>
      </c>
      <c r="AH573" s="47">
        <f t="shared" si="171"/>
        <v>2051</v>
      </c>
      <c r="AI573" s="45">
        <f t="shared" si="171"/>
        <v>0</v>
      </c>
      <c r="AJ573" s="43">
        <f t="shared" si="171"/>
        <v>0</v>
      </c>
      <c r="AK573" s="45">
        <f t="shared" ref="AK573" si="178">SUM(AK32:AK39)</f>
        <v>0</v>
      </c>
      <c r="AL573" s="109">
        <f t="shared" si="171"/>
        <v>0</v>
      </c>
      <c r="AM573" s="45">
        <f t="shared" si="171"/>
        <v>0</v>
      </c>
      <c r="AN573" s="95">
        <f t="shared" si="171"/>
        <v>0</v>
      </c>
      <c r="AO573" s="109">
        <f t="shared" ref="AO573" si="179">SUM(AO32:AO39)</f>
        <v>0</v>
      </c>
      <c r="AP573" s="47">
        <f t="shared" si="171"/>
        <v>0</v>
      </c>
      <c r="AQ573" s="45">
        <f t="shared" ref="AQ573" si="180">SUM(AQ32:AQ39)</f>
        <v>2147</v>
      </c>
      <c r="AR573" s="95">
        <f t="shared" si="171"/>
        <v>4455</v>
      </c>
      <c r="AS573" s="109">
        <f t="shared" ref="AS573" si="181">SUM(AS32:AS39)</f>
        <v>0</v>
      </c>
      <c r="AT573" s="47">
        <f t="shared" si="171"/>
        <v>0</v>
      </c>
      <c r="AU573" s="45">
        <f t="shared" ref="AU573:AV573" si="182">SUM(AU32:AU39)</f>
        <v>0</v>
      </c>
      <c r="AV573" s="109">
        <f t="shared" si="182"/>
        <v>0</v>
      </c>
      <c r="AW573" s="109">
        <f t="shared" si="171"/>
        <v>0</v>
      </c>
      <c r="AX573" s="45">
        <f t="shared" ref="AX573" si="183">SUM(AX32:AX39)</f>
        <v>0</v>
      </c>
      <c r="AY573" s="47">
        <f t="shared" si="171"/>
        <v>0</v>
      </c>
      <c r="AZ573" s="45">
        <f t="shared" si="171"/>
        <v>0</v>
      </c>
      <c r="BA573" s="95">
        <f t="shared" si="171"/>
        <v>0</v>
      </c>
      <c r="BB573" s="45">
        <f t="shared" ref="BB573" si="184">SUM(BB32:BB39)</f>
        <v>2225</v>
      </c>
      <c r="BC573" s="47">
        <f>SUM(BC32:BC39)</f>
        <v>4342</v>
      </c>
      <c r="BD573" s="45">
        <f t="shared" ref="BD573" si="185">SUM(BD32:BD39)</f>
        <v>2145</v>
      </c>
      <c r="BE573" s="95">
        <f>SUM(BE32:BE39)</f>
        <v>4413</v>
      </c>
      <c r="BF573" s="109">
        <f t="shared" ref="BF573" si="186">SUM(BF32:BF39)</f>
        <v>4356</v>
      </c>
      <c r="BG573" s="47">
        <f>SUM(BG32:BG39)</f>
        <v>2173</v>
      </c>
      <c r="BH573" s="45">
        <f t="shared" ref="BH573" si="187">SUM(BH32:BH39)</f>
        <v>2351</v>
      </c>
      <c r="BI573" s="47">
        <f>SUM(BI32:BI39)</f>
        <v>4189</v>
      </c>
      <c r="BJ573" s="109">
        <f t="shared" ref="BJ573:BK573" si="188">SUM(BJ32:BJ39)</f>
        <v>288</v>
      </c>
      <c r="BK573" s="43">
        <f t="shared" si="188"/>
        <v>2037</v>
      </c>
      <c r="BL573" s="95">
        <f t="shared" si="171"/>
        <v>4268</v>
      </c>
      <c r="BM573" s="109">
        <f t="shared" ref="BM573:BN573" si="189">SUM(BM32:BM39)</f>
        <v>4457</v>
      </c>
      <c r="BN573" s="46">
        <f t="shared" si="189"/>
        <v>1956</v>
      </c>
      <c r="BO573" s="47">
        <f t="shared" si="171"/>
        <v>208</v>
      </c>
      <c r="BP573" s="45">
        <f t="shared" ref="BP573" si="190">SUM(BP32:BP39)</f>
        <v>2233</v>
      </c>
      <c r="BQ573" s="47">
        <f t="shared" ref="BQ573:BR573" si="191">SUM(BQ32:BQ39)</f>
        <v>4322</v>
      </c>
      <c r="BR573" s="45">
        <f t="shared" si="191"/>
        <v>4070</v>
      </c>
      <c r="BS573" s="47">
        <f t="shared" si="171"/>
        <v>2585</v>
      </c>
      <c r="BT573" s="45">
        <f t="shared" ref="BT573:BU573" si="192">SUM(BT32:BT39)</f>
        <v>1986</v>
      </c>
      <c r="BU573" s="43">
        <f t="shared" si="192"/>
        <v>261</v>
      </c>
      <c r="BV573" s="95">
        <f t="shared" si="171"/>
        <v>4277</v>
      </c>
      <c r="BW573" s="109">
        <f t="shared" ref="BW573" si="193">SUM(BW32:BW39)</f>
        <v>4463</v>
      </c>
      <c r="BX573" s="47">
        <f t="shared" si="171"/>
        <v>2218</v>
      </c>
      <c r="BY573" s="45">
        <f t="shared" ref="BY573" si="194">SUM(BY32:BY39)</f>
        <v>4365</v>
      </c>
      <c r="BZ573" s="95">
        <f t="shared" si="171"/>
        <v>2048</v>
      </c>
      <c r="CA573" s="109">
        <f t="shared" ref="CA573" si="195">SUM(CA32:CA39)</f>
        <v>2111</v>
      </c>
      <c r="CB573" s="47">
        <f t="shared" si="171"/>
        <v>4419</v>
      </c>
      <c r="CC573" s="47">
        <f t="shared" si="171"/>
        <v>3814</v>
      </c>
      <c r="CD573" s="44">
        <f t="shared" si="171"/>
        <v>5231</v>
      </c>
      <c r="CE573" s="109">
        <f t="shared" ref="CE573" si="196">SUM(CE32:CE39)</f>
        <v>2429</v>
      </c>
      <c r="CF573" s="47">
        <f>SUM(CF32:CF39)</f>
        <v>3057</v>
      </c>
      <c r="CG573" s="45">
        <f>SUM(CG32:CG39)</f>
        <v>1607</v>
      </c>
      <c r="CH573" s="46">
        <f t="shared" ref="CH573:CJ573" si="197">SUM(CH32:CH39)</f>
        <v>1220</v>
      </c>
      <c r="CI573" s="46">
        <f t="shared" si="197"/>
        <v>2719</v>
      </c>
      <c r="CJ573" s="46">
        <f t="shared" si="197"/>
        <v>3145</v>
      </c>
      <c r="CK573" s="95">
        <f>SUM(CK32:CK39)</f>
        <v>1930</v>
      </c>
    </row>
    <row r="574" spans="1:89" ht="13" x14ac:dyDescent="0.25">
      <c r="A574" s="91"/>
      <c r="B574" s="92" t="s">
        <v>596</v>
      </c>
      <c r="C574" s="93">
        <f>SUM(C40:C48)</f>
        <v>10868</v>
      </c>
      <c r="D574" s="93">
        <f>SUM(D40:D48)</f>
        <v>8172</v>
      </c>
      <c r="E574" s="89">
        <v>0.62454536976592367</v>
      </c>
      <c r="F574" s="45">
        <f t="shared" ref="F574:CD574" si="198">SUM(F40:F48)</f>
        <v>0</v>
      </c>
      <c r="G574" s="109">
        <f t="shared" si="198"/>
        <v>0</v>
      </c>
      <c r="H574" s="109">
        <f t="shared" ref="H574:Q574" si="199">SUM(H40:H48)</f>
        <v>1</v>
      </c>
      <c r="I574" s="109">
        <f t="shared" si="199"/>
        <v>11</v>
      </c>
      <c r="J574" s="109">
        <f t="shared" ref="J574:K574" si="200">SUM(J40:J48)</f>
        <v>8</v>
      </c>
      <c r="K574" s="109">
        <f t="shared" si="200"/>
        <v>0</v>
      </c>
      <c r="L574" s="109">
        <f t="shared" si="199"/>
        <v>0</v>
      </c>
      <c r="M574" s="109">
        <f t="shared" si="199"/>
        <v>5415</v>
      </c>
      <c r="N574" s="109">
        <f t="shared" si="199"/>
        <v>0</v>
      </c>
      <c r="O574" s="109">
        <f t="shared" si="199"/>
        <v>0</v>
      </c>
      <c r="P574" s="46">
        <f t="shared" si="199"/>
        <v>36</v>
      </c>
      <c r="Q574" s="46">
        <f t="shared" si="199"/>
        <v>4</v>
      </c>
      <c r="R574" s="46">
        <f t="shared" ref="R574" si="201">SUM(R40:R48)</f>
        <v>2516</v>
      </c>
      <c r="S574" s="47">
        <f t="shared" si="198"/>
        <v>0</v>
      </c>
      <c r="T574" s="45">
        <f>SUM(T40:T48)</f>
        <v>4932</v>
      </c>
      <c r="U574" s="47">
        <f t="shared" ref="U574:V574" si="202">SUM(U40:U48)</f>
        <v>2983</v>
      </c>
      <c r="V574" s="45">
        <f t="shared" si="202"/>
        <v>3038</v>
      </c>
      <c r="W574" s="47">
        <f>SUM(W40:W48)</f>
        <v>4901</v>
      </c>
      <c r="X574" s="45">
        <f>SUM(X40:X48)</f>
        <v>5060</v>
      </c>
      <c r="Y574" s="47">
        <f>SUM(Y40:Y48)</f>
        <v>2748</v>
      </c>
      <c r="Z574" s="109">
        <f t="shared" ref="Z574:AE574" si="203">SUM(Z40:Z48)</f>
        <v>5376</v>
      </c>
      <c r="AA574" s="46">
        <f t="shared" si="203"/>
        <v>0</v>
      </c>
      <c r="AB574" s="46">
        <f t="shared" si="203"/>
        <v>171</v>
      </c>
      <c r="AC574" s="46">
        <f t="shared" si="203"/>
        <v>2507</v>
      </c>
      <c r="AD574" s="46">
        <f t="shared" si="203"/>
        <v>0</v>
      </c>
      <c r="AE574" s="43">
        <f t="shared" si="203"/>
        <v>0</v>
      </c>
      <c r="AF574" s="95">
        <f t="shared" si="198"/>
        <v>0</v>
      </c>
      <c r="AG574" s="109">
        <f t="shared" ref="AG574" si="204">SUM(AG40:AG48)</f>
        <v>5331</v>
      </c>
      <c r="AH574" s="47">
        <f t="shared" si="198"/>
        <v>2613</v>
      </c>
      <c r="AI574" s="45">
        <f t="shared" si="198"/>
        <v>0</v>
      </c>
      <c r="AJ574" s="43">
        <f t="shared" si="198"/>
        <v>0</v>
      </c>
      <c r="AK574" s="45">
        <f t="shared" ref="AK574" si="205">SUM(AK40:AK48)</f>
        <v>0</v>
      </c>
      <c r="AL574" s="109">
        <f t="shared" si="198"/>
        <v>0</v>
      </c>
      <c r="AM574" s="45">
        <f t="shared" si="198"/>
        <v>0</v>
      </c>
      <c r="AN574" s="95">
        <f t="shared" si="198"/>
        <v>0</v>
      </c>
      <c r="AO574" s="109">
        <f t="shared" ref="AO574" si="206">SUM(AO40:AO48)</f>
        <v>0</v>
      </c>
      <c r="AP574" s="47">
        <f t="shared" si="198"/>
        <v>0</v>
      </c>
      <c r="AQ574" s="45">
        <f t="shared" ref="AQ574" si="207">SUM(AQ40:AQ48)</f>
        <v>2780</v>
      </c>
      <c r="AR574" s="95">
        <f t="shared" si="198"/>
        <v>4883</v>
      </c>
      <c r="AS574" s="109">
        <f t="shared" ref="AS574" si="208">SUM(AS40:AS48)</f>
        <v>0</v>
      </c>
      <c r="AT574" s="47">
        <f t="shared" si="198"/>
        <v>0</v>
      </c>
      <c r="AU574" s="45">
        <f t="shared" ref="AU574:AV574" si="209">SUM(AU40:AU48)</f>
        <v>0</v>
      </c>
      <c r="AV574" s="109">
        <f t="shared" si="209"/>
        <v>0</v>
      </c>
      <c r="AW574" s="109">
        <f t="shared" si="198"/>
        <v>0</v>
      </c>
      <c r="AX574" s="45">
        <f t="shared" ref="AX574" si="210">SUM(AX40:AX48)</f>
        <v>0</v>
      </c>
      <c r="AY574" s="47">
        <f t="shared" si="198"/>
        <v>0</v>
      </c>
      <c r="AZ574" s="45">
        <f t="shared" si="198"/>
        <v>0</v>
      </c>
      <c r="BA574" s="95">
        <f t="shared" si="198"/>
        <v>0</v>
      </c>
      <c r="BB574" s="45">
        <f t="shared" ref="BB574" si="211">SUM(BB40:BB48)</f>
        <v>2920</v>
      </c>
      <c r="BC574" s="47">
        <f>SUM(BC40:BC48)</f>
        <v>4777</v>
      </c>
      <c r="BD574" s="45">
        <f t="shared" ref="BD574" si="212">SUM(BD40:BD48)</f>
        <v>2807</v>
      </c>
      <c r="BE574" s="95">
        <f>SUM(BE40:BE48)</f>
        <v>4845</v>
      </c>
      <c r="BF574" s="109">
        <f t="shared" ref="BF574" si="213">SUM(BF40:BF48)</f>
        <v>4764</v>
      </c>
      <c r="BG574" s="47">
        <f>SUM(BG40:BG48)</f>
        <v>2876</v>
      </c>
      <c r="BH574" s="45">
        <f t="shared" ref="BH574" si="214">SUM(BH40:BH48)</f>
        <v>3116</v>
      </c>
      <c r="BI574" s="47">
        <f>SUM(BI40:BI48)</f>
        <v>4553</v>
      </c>
      <c r="BJ574" s="109">
        <f t="shared" ref="BJ574:BK574" si="215">SUM(BJ40:BJ48)</f>
        <v>332</v>
      </c>
      <c r="BK574" s="43">
        <f t="shared" si="215"/>
        <v>2727</v>
      </c>
      <c r="BL574" s="95">
        <f t="shared" si="198"/>
        <v>4599</v>
      </c>
      <c r="BM574" s="109">
        <f t="shared" ref="BM574:BN574" si="216">SUM(BM40:BM48)</f>
        <v>4948</v>
      </c>
      <c r="BN574" s="46">
        <f t="shared" si="216"/>
        <v>2552</v>
      </c>
      <c r="BO574" s="47">
        <f t="shared" si="198"/>
        <v>244</v>
      </c>
      <c r="BP574" s="45">
        <f t="shared" ref="BP574" si="217">SUM(BP40:BP48)</f>
        <v>2938</v>
      </c>
      <c r="BQ574" s="47">
        <f t="shared" ref="BQ574:BR574" si="218">SUM(BQ40:BQ48)</f>
        <v>4748</v>
      </c>
      <c r="BR574" s="45">
        <f t="shared" si="218"/>
        <v>4461</v>
      </c>
      <c r="BS574" s="47">
        <f t="shared" si="198"/>
        <v>3290</v>
      </c>
      <c r="BT574" s="45">
        <f t="shared" ref="BT574:BU574" si="219">SUM(BT40:BT48)</f>
        <v>2634</v>
      </c>
      <c r="BU574" s="43">
        <f t="shared" si="219"/>
        <v>287</v>
      </c>
      <c r="BV574" s="95">
        <f t="shared" si="198"/>
        <v>4674</v>
      </c>
      <c r="BW574" s="109">
        <f t="shared" ref="BW574" si="220">SUM(BW40:BW48)</f>
        <v>4928</v>
      </c>
      <c r="BX574" s="47">
        <f t="shared" si="198"/>
        <v>2848</v>
      </c>
      <c r="BY574" s="45">
        <f t="shared" ref="BY574" si="221">SUM(BY40:BY48)</f>
        <v>4804</v>
      </c>
      <c r="BZ574" s="95">
        <f t="shared" si="198"/>
        <v>2698</v>
      </c>
      <c r="CA574" s="109">
        <f t="shared" ref="CA574" si="222">SUM(CA40:CA48)</f>
        <v>2743</v>
      </c>
      <c r="CB574" s="47">
        <f t="shared" si="198"/>
        <v>4881</v>
      </c>
      <c r="CC574" s="47">
        <f t="shared" si="198"/>
        <v>4532</v>
      </c>
      <c r="CD574" s="44">
        <f t="shared" si="198"/>
        <v>5990</v>
      </c>
      <c r="CE574" s="109">
        <f t="shared" ref="CE574" si="223">SUM(CE40:CE48)</f>
        <v>2918</v>
      </c>
      <c r="CF574" s="47">
        <f>SUM(CF40:CF48)</f>
        <v>3548</v>
      </c>
      <c r="CG574" s="45">
        <f>SUM(CG40:CG48)</f>
        <v>2080</v>
      </c>
      <c r="CH574" s="46">
        <f t="shared" ref="CH574:CJ574" si="224">SUM(CH40:CH48)</f>
        <v>1484</v>
      </c>
      <c r="CI574" s="46">
        <f t="shared" si="224"/>
        <v>3036</v>
      </c>
      <c r="CJ574" s="46">
        <f t="shared" si="224"/>
        <v>3452</v>
      </c>
      <c r="CK574" s="95">
        <f>SUM(CK40:CK48)</f>
        <v>2404</v>
      </c>
    </row>
    <row r="575" spans="1:89" ht="13" x14ac:dyDescent="0.25">
      <c r="A575" s="91"/>
      <c r="B575" s="92" t="s">
        <v>597</v>
      </c>
      <c r="C575" s="93">
        <f>SUM(C49:C52)</f>
        <v>7119</v>
      </c>
      <c r="D575" s="93">
        <f>SUM(D49:D52)</f>
        <v>3723</v>
      </c>
      <c r="E575" s="89">
        <v>0.3663496708119971</v>
      </c>
      <c r="F575" s="45">
        <f t="shared" ref="F575:CD575" si="225">SUM(F49:F52)</f>
        <v>0</v>
      </c>
      <c r="G575" s="109">
        <f t="shared" si="225"/>
        <v>0</v>
      </c>
      <c r="H575" s="109">
        <f t="shared" ref="H575:Q575" si="226">SUM(H49:H52)</f>
        <v>0</v>
      </c>
      <c r="I575" s="109">
        <f t="shared" si="226"/>
        <v>7</v>
      </c>
      <c r="J575" s="109">
        <f t="shared" ref="J575:K575" si="227">SUM(J49:J52)</f>
        <v>5</v>
      </c>
      <c r="K575" s="109">
        <f t="shared" si="227"/>
        <v>0</v>
      </c>
      <c r="L575" s="109">
        <f t="shared" si="226"/>
        <v>0</v>
      </c>
      <c r="M575" s="109">
        <f t="shared" si="226"/>
        <v>2935</v>
      </c>
      <c r="N575" s="109">
        <f t="shared" si="226"/>
        <v>0</v>
      </c>
      <c r="O575" s="109">
        <f t="shared" si="226"/>
        <v>0</v>
      </c>
      <c r="P575" s="46">
        <f t="shared" si="226"/>
        <v>28</v>
      </c>
      <c r="Q575" s="46">
        <f t="shared" si="226"/>
        <v>6</v>
      </c>
      <c r="R575" s="46">
        <f t="shared" ref="R575" si="228">SUM(R49:R52)</f>
        <v>677</v>
      </c>
      <c r="S575" s="47">
        <f t="shared" si="225"/>
        <v>2</v>
      </c>
      <c r="T575" s="45">
        <f>SUM(T49:T52)</f>
        <v>2883</v>
      </c>
      <c r="U575" s="47">
        <f t="shared" ref="U575:V575" si="229">SUM(U49:U52)</f>
        <v>740</v>
      </c>
      <c r="V575" s="45">
        <f t="shared" si="229"/>
        <v>746</v>
      </c>
      <c r="W575" s="47">
        <f>SUM(W49:W52)</f>
        <v>2862</v>
      </c>
      <c r="X575" s="45">
        <f>SUM(X49:X52)</f>
        <v>2904</v>
      </c>
      <c r="Y575" s="47">
        <f>SUM(Y49:Y52)</f>
        <v>671</v>
      </c>
      <c r="Z575" s="109">
        <f t="shared" ref="Z575:AE575" si="230">SUM(Z49:Z52)</f>
        <v>2957</v>
      </c>
      <c r="AA575" s="46">
        <f t="shared" si="230"/>
        <v>0</v>
      </c>
      <c r="AB575" s="46">
        <f t="shared" si="230"/>
        <v>81</v>
      </c>
      <c r="AC575" s="46">
        <f t="shared" si="230"/>
        <v>626</v>
      </c>
      <c r="AD575" s="46">
        <f t="shared" si="230"/>
        <v>0</v>
      </c>
      <c r="AE575" s="43">
        <f t="shared" si="230"/>
        <v>0</v>
      </c>
      <c r="AF575" s="95">
        <f t="shared" si="225"/>
        <v>2</v>
      </c>
      <c r="AG575" s="109">
        <f t="shared" ref="AG575" si="231">SUM(AG49:AG52)</f>
        <v>2862</v>
      </c>
      <c r="AH575" s="47">
        <f t="shared" si="225"/>
        <v>698</v>
      </c>
      <c r="AI575" s="45">
        <f t="shared" si="225"/>
        <v>0</v>
      </c>
      <c r="AJ575" s="43">
        <f t="shared" si="225"/>
        <v>0</v>
      </c>
      <c r="AK575" s="45">
        <f t="shared" ref="AK575" si="232">SUM(AK49:AK52)</f>
        <v>0</v>
      </c>
      <c r="AL575" s="109">
        <f t="shared" si="225"/>
        <v>0</v>
      </c>
      <c r="AM575" s="45">
        <f t="shared" si="225"/>
        <v>2873</v>
      </c>
      <c r="AN575" s="95">
        <f t="shared" si="225"/>
        <v>683</v>
      </c>
      <c r="AO575" s="109">
        <f t="shared" ref="AO575" si="233">SUM(AO49:AO52)</f>
        <v>0</v>
      </c>
      <c r="AP575" s="47">
        <f t="shared" si="225"/>
        <v>0</v>
      </c>
      <c r="AQ575" s="45">
        <f t="shared" ref="AQ575" si="234">SUM(AQ49:AQ52)</f>
        <v>0</v>
      </c>
      <c r="AR575" s="95">
        <f t="shared" si="225"/>
        <v>0</v>
      </c>
      <c r="AS575" s="109">
        <f t="shared" ref="AS575" si="235">SUM(AS49:AS52)</f>
        <v>0</v>
      </c>
      <c r="AT575" s="47">
        <f t="shared" si="225"/>
        <v>0</v>
      </c>
      <c r="AU575" s="45">
        <f t="shared" ref="AU575:AV575" si="236">SUM(AU49:AU52)</f>
        <v>0</v>
      </c>
      <c r="AV575" s="109">
        <f t="shared" si="236"/>
        <v>0</v>
      </c>
      <c r="AW575" s="109">
        <f t="shared" si="225"/>
        <v>0</v>
      </c>
      <c r="AX575" s="45">
        <f t="shared" ref="AX575" si="237">SUM(AX49:AX52)</f>
        <v>0</v>
      </c>
      <c r="AY575" s="47">
        <f t="shared" si="225"/>
        <v>0</v>
      </c>
      <c r="AZ575" s="45">
        <f t="shared" si="225"/>
        <v>0</v>
      </c>
      <c r="BA575" s="95">
        <f t="shared" si="225"/>
        <v>0</v>
      </c>
      <c r="BB575" s="45">
        <f t="shared" ref="BB575" si="238">SUM(BB49:BB52)</f>
        <v>730</v>
      </c>
      <c r="BC575" s="47">
        <f>SUM(BC49:BC52)</f>
        <v>2770</v>
      </c>
      <c r="BD575" s="45">
        <f t="shared" ref="BD575" si="239">SUM(BD49:BD52)</f>
        <v>700</v>
      </c>
      <c r="BE575" s="95">
        <f>SUM(BE49:BE52)</f>
        <v>2806</v>
      </c>
      <c r="BF575" s="109">
        <f t="shared" ref="BF575" si="240">SUM(BF49:BF52)</f>
        <v>2823</v>
      </c>
      <c r="BG575" s="47">
        <f>SUM(BG49:BG52)</f>
        <v>681</v>
      </c>
      <c r="BH575" s="45">
        <f t="shared" ref="BH575" si="241">SUM(BH49:BH52)</f>
        <v>744</v>
      </c>
      <c r="BI575" s="47">
        <f>SUM(BI49:BI52)</f>
        <v>2743</v>
      </c>
      <c r="BJ575" s="109">
        <f t="shared" ref="BJ575:BK575" si="242">SUM(BJ49:BJ52)</f>
        <v>164</v>
      </c>
      <c r="BK575" s="43">
        <f t="shared" si="242"/>
        <v>635</v>
      </c>
      <c r="BL575" s="95">
        <f t="shared" si="225"/>
        <v>2704</v>
      </c>
      <c r="BM575" s="109">
        <f t="shared" ref="BM575:BN575" si="243">SUM(BM49:BM52)</f>
        <v>2730</v>
      </c>
      <c r="BN575" s="46">
        <f t="shared" si="243"/>
        <v>642</v>
      </c>
      <c r="BO575" s="47">
        <f t="shared" si="225"/>
        <v>138</v>
      </c>
      <c r="BP575" s="45">
        <f t="shared" ref="BP575" si="244">SUM(BP49:BP52)</f>
        <v>721</v>
      </c>
      <c r="BQ575" s="47">
        <f t="shared" ref="BQ575:BR575" si="245">SUM(BQ49:BQ52)</f>
        <v>2765</v>
      </c>
      <c r="BR575" s="45">
        <f t="shared" si="245"/>
        <v>2669</v>
      </c>
      <c r="BS575" s="47">
        <f t="shared" si="225"/>
        <v>851</v>
      </c>
      <c r="BT575" s="45">
        <f t="shared" ref="BT575:BU575" si="246">SUM(BT49:BT52)</f>
        <v>599</v>
      </c>
      <c r="BU575" s="43">
        <f t="shared" si="246"/>
        <v>156</v>
      </c>
      <c r="BV575" s="95">
        <f t="shared" si="225"/>
        <v>2728</v>
      </c>
      <c r="BW575" s="109">
        <f t="shared" ref="BW575" si="247">SUM(BW49:BW52)</f>
        <v>2795</v>
      </c>
      <c r="BX575" s="47">
        <f t="shared" si="225"/>
        <v>740</v>
      </c>
      <c r="BY575" s="45">
        <f t="shared" ref="BY575" si="248">SUM(BY49:BY52)</f>
        <v>2766</v>
      </c>
      <c r="BZ575" s="95">
        <f t="shared" si="225"/>
        <v>669</v>
      </c>
      <c r="CA575" s="109">
        <f t="shared" ref="CA575" si="249">SUM(CA49:CA52)</f>
        <v>725</v>
      </c>
      <c r="CB575" s="47">
        <f t="shared" si="225"/>
        <v>2735</v>
      </c>
      <c r="CC575" s="47">
        <f t="shared" si="225"/>
        <v>1798</v>
      </c>
      <c r="CD575" s="44">
        <f t="shared" si="225"/>
        <v>2996</v>
      </c>
      <c r="CE575" s="109">
        <f t="shared" ref="CE575" si="250">SUM(CE49:CE52)</f>
        <v>1157</v>
      </c>
      <c r="CF575" s="47">
        <f>SUM(CF49:CF52)</f>
        <v>1796</v>
      </c>
      <c r="CG575" s="45">
        <f>SUM(CG49:CG52)</f>
        <v>716</v>
      </c>
      <c r="CH575" s="46">
        <f t="shared" ref="CH575:CJ575" si="251">SUM(CH49:CH52)</f>
        <v>362</v>
      </c>
      <c r="CI575" s="46">
        <f t="shared" si="251"/>
        <v>1693</v>
      </c>
      <c r="CJ575" s="46">
        <f t="shared" si="251"/>
        <v>2012</v>
      </c>
      <c r="CK575" s="95">
        <f>SUM(CK49:CK52)</f>
        <v>633</v>
      </c>
    </row>
    <row r="576" spans="1:89" ht="13" x14ac:dyDescent="0.25">
      <c r="A576" s="91"/>
      <c r="B576" s="92" t="s">
        <v>598</v>
      </c>
      <c r="C576" s="93">
        <f>SUM(C54:C64)</f>
        <v>11088</v>
      </c>
      <c r="D576" s="93">
        <f>SUM(D54:D64)</f>
        <v>6468</v>
      </c>
      <c r="E576" s="89">
        <v>0.41463194882421839</v>
      </c>
      <c r="F576" s="45">
        <f t="shared" ref="F576:CD576" si="252">SUM(F54:F64)</f>
        <v>0</v>
      </c>
      <c r="G576" s="109">
        <f t="shared" si="252"/>
        <v>0</v>
      </c>
      <c r="H576" s="109">
        <f t="shared" ref="H576:Q576" si="253">SUM(H54:H64)</f>
        <v>0</v>
      </c>
      <c r="I576" s="109">
        <f t="shared" si="253"/>
        <v>4</v>
      </c>
      <c r="J576" s="109">
        <f t="shared" ref="J576:K576" si="254">SUM(J54:J64)</f>
        <v>14</v>
      </c>
      <c r="K576" s="109">
        <f t="shared" si="254"/>
        <v>0</v>
      </c>
      <c r="L576" s="109">
        <f t="shared" si="253"/>
        <v>0</v>
      </c>
      <c r="M576" s="109">
        <f t="shared" si="253"/>
        <v>5835</v>
      </c>
      <c r="N576" s="109">
        <f t="shared" si="253"/>
        <v>0</v>
      </c>
      <c r="O576" s="109">
        <f t="shared" si="253"/>
        <v>0</v>
      </c>
      <c r="P576" s="46">
        <f t="shared" si="253"/>
        <v>18</v>
      </c>
      <c r="Q576" s="46">
        <f t="shared" si="253"/>
        <v>10</v>
      </c>
      <c r="R576" s="46">
        <f t="shared" ref="R576" si="255">SUM(R54:R64)</f>
        <v>474</v>
      </c>
      <c r="S576" s="47">
        <f t="shared" si="252"/>
        <v>1</v>
      </c>
      <c r="T576" s="45">
        <f>SUM(T54:T64)</f>
        <v>5689</v>
      </c>
      <c r="U576" s="47">
        <f t="shared" ref="U576:V576" si="256">SUM(U54:U64)</f>
        <v>503</v>
      </c>
      <c r="V576" s="45">
        <f t="shared" si="256"/>
        <v>581</v>
      </c>
      <c r="W576" s="47">
        <f>SUM(W54:W64)</f>
        <v>5664</v>
      </c>
      <c r="X576" s="45">
        <f>SUM(X54:X64)</f>
        <v>5689</v>
      </c>
      <c r="Y576" s="47">
        <f>SUM(Y54:Y64)</f>
        <v>451</v>
      </c>
      <c r="Z576" s="109">
        <f t="shared" ref="Z576:AE576" si="257">SUM(Z54:Z64)</f>
        <v>5697</v>
      </c>
      <c r="AA576" s="46">
        <f t="shared" si="257"/>
        <v>0</v>
      </c>
      <c r="AB576" s="46">
        <f t="shared" si="257"/>
        <v>184</v>
      </c>
      <c r="AC576" s="46">
        <f t="shared" si="257"/>
        <v>404</v>
      </c>
      <c r="AD576" s="46">
        <f t="shared" si="257"/>
        <v>0</v>
      </c>
      <c r="AE576" s="43">
        <f t="shared" si="257"/>
        <v>0</v>
      </c>
      <c r="AF576" s="95">
        <f t="shared" si="252"/>
        <v>2</v>
      </c>
      <c r="AG576" s="109">
        <f t="shared" ref="AG576" si="258">SUM(AG54:AG64)</f>
        <v>5772</v>
      </c>
      <c r="AH576" s="47">
        <f t="shared" si="252"/>
        <v>452</v>
      </c>
      <c r="AI576" s="45">
        <f t="shared" si="252"/>
        <v>0</v>
      </c>
      <c r="AJ576" s="43">
        <f t="shared" si="252"/>
        <v>0</v>
      </c>
      <c r="AK576" s="45">
        <f t="shared" ref="AK576" si="259">SUM(AK54:AK64)</f>
        <v>0</v>
      </c>
      <c r="AL576" s="109">
        <f t="shared" si="252"/>
        <v>0</v>
      </c>
      <c r="AM576" s="45">
        <f t="shared" si="252"/>
        <v>0</v>
      </c>
      <c r="AN576" s="95">
        <f t="shared" si="252"/>
        <v>0</v>
      </c>
      <c r="AO576" s="109">
        <f t="shared" ref="AO576" si="260">SUM(AO54:AO64)</f>
        <v>252</v>
      </c>
      <c r="AP576" s="47">
        <f t="shared" si="252"/>
        <v>3104</v>
      </c>
      <c r="AQ576" s="45">
        <f t="shared" ref="AQ576" si="261">SUM(AQ54:AQ64)</f>
        <v>184</v>
      </c>
      <c r="AR576" s="95">
        <f t="shared" si="252"/>
        <v>2713</v>
      </c>
      <c r="AS576" s="109">
        <f t="shared" ref="AS576" si="262">SUM(AS54:AS64)</f>
        <v>0</v>
      </c>
      <c r="AT576" s="47">
        <f t="shared" si="252"/>
        <v>0</v>
      </c>
      <c r="AU576" s="45">
        <f t="shared" ref="AU576:AV576" si="263">SUM(AU54:AU64)</f>
        <v>0</v>
      </c>
      <c r="AV576" s="109">
        <f t="shared" si="263"/>
        <v>0</v>
      </c>
      <c r="AW576" s="109">
        <f t="shared" si="252"/>
        <v>0</v>
      </c>
      <c r="AX576" s="45">
        <f t="shared" ref="AX576" si="264">SUM(AX54:AX64)</f>
        <v>0</v>
      </c>
      <c r="AY576" s="47">
        <f t="shared" si="252"/>
        <v>0</v>
      </c>
      <c r="AZ576" s="45">
        <f t="shared" si="252"/>
        <v>0</v>
      </c>
      <c r="BA576" s="95">
        <f t="shared" si="252"/>
        <v>0</v>
      </c>
      <c r="BB576" s="45">
        <f t="shared" ref="BB576" si="265">SUM(BB54:BB64)</f>
        <v>524</v>
      </c>
      <c r="BC576" s="47">
        <f>SUM(BC54:BC64)</f>
        <v>5586</v>
      </c>
      <c r="BD576" s="45">
        <f t="shared" ref="BD576" si="266">SUM(BD54:BD64)</f>
        <v>451</v>
      </c>
      <c r="BE576" s="95">
        <f>SUM(BE54:BE64)</f>
        <v>5679</v>
      </c>
      <c r="BF576" s="109">
        <f t="shared" ref="BF576" si="267">SUM(BF54:BF64)</f>
        <v>5650</v>
      </c>
      <c r="BG576" s="47">
        <f>SUM(BG54:BG64)</f>
        <v>451</v>
      </c>
      <c r="BH576" s="45">
        <f t="shared" ref="BH576" si="268">SUM(BH54:BH64)</f>
        <v>581</v>
      </c>
      <c r="BI576" s="47">
        <f>SUM(BI54:BI64)</f>
        <v>5498</v>
      </c>
      <c r="BJ576" s="109">
        <f t="shared" ref="BJ576:BK576" si="269">SUM(BJ54:BJ64)</f>
        <v>143</v>
      </c>
      <c r="BK576" s="43">
        <f t="shared" si="269"/>
        <v>336</v>
      </c>
      <c r="BL576" s="95">
        <f t="shared" si="252"/>
        <v>5796</v>
      </c>
      <c r="BM576" s="109">
        <f t="shared" ref="BM576:BN576" si="270">SUM(BM54:BM64)</f>
        <v>5610</v>
      </c>
      <c r="BN576" s="46">
        <f t="shared" si="270"/>
        <v>366</v>
      </c>
      <c r="BO576" s="47">
        <f t="shared" si="252"/>
        <v>153</v>
      </c>
      <c r="BP576" s="45">
        <f t="shared" ref="BP576" si="271">SUM(BP54:BP64)</f>
        <v>479</v>
      </c>
      <c r="BQ576" s="47">
        <f t="shared" ref="BQ576:BR576" si="272">SUM(BQ54:BQ64)</f>
        <v>5614</v>
      </c>
      <c r="BR576" s="45">
        <f t="shared" si="272"/>
        <v>5417</v>
      </c>
      <c r="BS576" s="47">
        <f t="shared" si="252"/>
        <v>708</v>
      </c>
      <c r="BT576" s="45">
        <f t="shared" ref="BT576:BU576" si="273">SUM(BT54:BT64)</f>
        <v>425</v>
      </c>
      <c r="BU576" s="43">
        <f t="shared" si="273"/>
        <v>176</v>
      </c>
      <c r="BV576" s="95">
        <f t="shared" si="252"/>
        <v>5560</v>
      </c>
      <c r="BW576" s="109">
        <f t="shared" ref="BW576" si="274">SUM(BW54:BW64)</f>
        <v>5728</v>
      </c>
      <c r="BX576" s="47">
        <f t="shared" si="252"/>
        <v>505</v>
      </c>
      <c r="BY576" s="45">
        <f t="shared" ref="BY576" si="275">SUM(BY54:BY64)</f>
        <v>5653</v>
      </c>
      <c r="BZ576" s="95">
        <f t="shared" si="252"/>
        <v>423</v>
      </c>
      <c r="CA576" s="109">
        <f t="shared" ref="CA576" si="276">SUM(CA54:CA64)</f>
        <v>451</v>
      </c>
      <c r="CB576" s="47">
        <f t="shared" si="252"/>
        <v>5675</v>
      </c>
      <c r="CC576" s="47">
        <f t="shared" si="252"/>
        <v>1840</v>
      </c>
      <c r="CD576" s="44">
        <f t="shared" si="252"/>
        <v>5793</v>
      </c>
      <c r="CE576" s="109">
        <f t="shared" ref="CE576" si="277">SUM(CE54:CE64)</f>
        <v>1751</v>
      </c>
      <c r="CF576" s="47">
        <f>SUM(CF54:CF64)</f>
        <v>3486</v>
      </c>
      <c r="CG576" s="45">
        <f>SUM(CG54:CG64)</f>
        <v>1207</v>
      </c>
      <c r="CH576" s="46">
        <f t="shared" ref="CH576:CJ576" si="278">SUM(CH54:CH64)</f>
        <v>400</v>
      </c>
      <c r="CI576" s="46">
        <f t="shared" si="278"/>
        <v>3522</v>
      </c>
      <c r="CJ576" s="46">
        <f t="shared" si="278"/>
        <v>3402</v>
      </c>
      <c r="CK576" s="95">
        <f>SUM(CK54:CK64)</f>
        <v>1118</v>
      </c>
    </row>
    <row r="577" spans="1:89" ht="13" x14ac:dyDescent="0.25">
      <c r="A577" s="91"/>
      <c r="B577" s="92" t="s">
        <v>599</v>
      </c>
      <c r="C577" s="93">
        <f>SUM(C65:C68)</f>
        <v>6074</v>
      </c>
      <c r="D577" s="93">
        <f>SUM(D65:D68)</f>
        <v>3431</v>
      </c>
      <c r="E577" s="89">
        <v>0.42323852617970265</v>
      </c>
      <c r="F577" s="45">
        <f t="shared" ref="F577:CD577" si="279">SUM(F65:F68)</f>
        <v>0</v>
      </c>
      <c r="G577" s="109">
        <f t="shared" si="279"/>
        <v>0</v>
      </c>
      <c r="H577" s="109">
        <f t="shared" ref="H577:Q577" si="280">SUM(H65:H68)</f>
        <v>0</v>
      </c>
      <c r="I577" s="109">
        <f t="shared" si="280"/>
        <v>6</v>
      </c>
      <c r="J577" s="109">
        <f t="shared" ref="J577:K577" si="281">SUM(J65:J68)</f>
        <v>3</v>
      </c>
      <c r="K577" s="109">
        <f t="shared" si="281"/>
        <v>0</v>
      </c>
      <c r="L577" s="109">
        <f t="shared" si="280"/>
        <v>0</v>
      </c>
      <c r="M577" s="109">
        <f t="shared" si="280"/>
        <v>2635</v>
      </c>
      <c r="N577" s="109">
        <f t="shared" si="280"/>
        <v>0</v>
      </c>
      <c r="O577" s="109">
        <f t="shared" si="280"/>
        <v>0</v>
      </c>
      <c r="P577" s="46">
        <f t="shared" si="280"/>
        <v>26</v>
      </c>
      <c r="Q577" s="46">
        <f t="shared" si="280"/>
        <v>2</v>
      </c>
      <c r="R577" s="46">
        <f t="shared" ref="R577" si="282">SUM(R65:R68)</f>
        <v>690</v>
      </c>
      <c r="S577" s="47">
        <f t="shared" si="279"/>
        <v>2</v>
      </c>
      <c r="T577" s="45">
        <f>SUM(T65:T68)</f>
        <v>2564</v>
      </c>
      <c r="U577" s="47">
        <f t="shared" ref="U577:V577" si="283">SUM(U65:U68)</f>
        <v>755</v>
      </c>
      <c r="V577" s="45">
        <f t="shared" si="283"/>
        <v>813</v>
      </c>
      <c r="W577" s="47">
        <f>SUM(W65:W68)</f>
        <v>2518</v>
      </c>
      <c r="X577" s="45">
        <f>SUM(X65:X68)</f>
        <v>2568</v>
      </c>
      <c r="Y577" s="47">
        <f>SUM(Y65:Y68)</f>
        <v>719</v>
      </c>
      <c r="Z577" s="109">
        <f t="shared" ref="Z577:AE577" si="284">SUM(Z65:Z68)</f>
        <v>2635</v>
      </c>
      <c r="AA577" s="46">
        <f t="shared" si="284"/>
        <v>0</v>
      </c>
      <c r="AB577" s="46">
        <f t="shared" si="284"/>
        <v>91</v>
      </c>
      <c r="AC577" s="46">
        <f t="shared" si="284"/>
        <v>638</v>
      </c>
      <c r="AD577" s="46">
        <f t="shared" si="284"/>
        <v>0</v>
      </c>
      <c r="AE577" s="43">
        <f t="shared" si="284"/>
        <v>0</v>
      </c>
      <c r="AF577" s="95">
        <f t="shared" si="279"/>
        <v>1</v>
      </c>
      <c r="AG577" s="109">
        <f t="shared" ref="AG577" si="285">SUM(AG65:AG68)</f>
        <v>2626</v>
      </c>
      <c r="AH577" s="47">
        <f t="shared" si="279"/>
        <v>692</v>
      </c>
      <c r="AI577" s="45">
        <f t="shared" si="279"/>
        <v>0</v>
      </c>
      <c r="AJ577" s="43">
        <f t="shared" si="279"/>
        <v>0</v>
      </c>
      <c r="AK577" s="45">
        <f t="shared" ref="AK577" si="286">SUM(AK65:AK68)</f>
        <v>0</v>
      </c>
      <c r="AL577" s="109">
        <f t="shared" si="279"/>
        <v>0</v>
      </c>
      <c r="AM577" s="45">
        <f t="shared" si="279"/>
        <v>2538</v>
      </c>
      <c r="AN577" s="95">
        <f t="shared" si="279"/>
        <v>721</v>
      </c>
      <c r="AO577" s="109">
        <f t="shared" ref="AO577" si="287">SUM(AO65:AO68)</f>
        <v>0</v>
      </c>
      <c r="AP577" s="47">
        <f t="shared" si="279"/>
        <v>0</v>
      </c>
      <c r="AQ577" s="45">
        <f t="shared" ref="AQ577" si="288">SUM(AQ65:AQ68)</f>
        <v>0</v>
      </c>
      <c r="AR577" s="95">
        <f t="shared" si="279"/>
        <v>0</v>
      </c>
      <c r="AS577" s="109">
        <f t="shared" ref="AS577" si="289">SUM(AS65:AS68)</f>
        <v>0</v>
      </c>
      <c r="AT577" s="47">
        <f t="shared" si="279"/>
        <v>0</v>
      </c>
      <c r="AU577" s="45">
        <f t="shared" ref="AU577:AV577" si="290">SUM(AU65:AU68)</f>
        <v>0</v>
      </c>
      <c r="AV577" s="109">
        <f t="shared" si="290"/>
        <v>0</v>
      </c>
      <c r="AW577" s="109">
        <f t="shared" si="279"/>
        <v>0</v>
      </c>
      <c r="AX577" s="45">
        <f t="shared" ref="AX577" si="291">SUM(AX65:AX68)</f>
        <v>0</v>
      </c>
      <c r="AY577" s="47">
        <f t="shared" si="279"/>
        <v>0</v>
      </c>
      <c r="AZ577" s="45">
        <f t="shared" si="279"/>
        <v>0</v>
      </c>
      <c r="BA577" s="95">
        <f t="shared" si="279"/>
        <v>0</v>
      </c>
      <c r="BB577" s="45">
        <f t="shared" ref="BB577" si="292">SUM(BB65:BB68)</f>
        <v>770</v>
      </c>
      <c r="BC577" s="47">
        <f>SUM(BC65:BC68)</f>
        <v>2479</v>
      </c>
      <c r="BD577" s="45">
        <f t="shared" ref="BD577" si="293">SUM(BD65:BD68)</f>
        <v>730</v>
      </c>
      <c r="BE577" s="95">
        <f>SUM(BE65:BE68)</f>
        <v>2511</v>
      </c>
      <c r="BF577" s="109">
        <f t="shared" ref="BF577" si="294">SUM(BF65:BF68)</f>
        <v>2492</v>
      </c>
      <c r="BG577" s="47">
        <f>SUM(BG65:BG68)</f>
        <v>736</v>
      </c>
      <c r="BH577" s="45">
        <f t="shared" ref="BH577" si="295">SUM(BH65:BH68)</f>
        <v>816</v>
      </c>
      <c r="BI577" s="47">
        <f>SUM(BI65:BI68)</f>
        <v>2406</v>
      </c>
      <c r="BJ577" s="109">
        <f t="shared" ref="BJ577:BK577" si="296">SUM(BJ65:BJ68)</f>
        <v>122</v>
      </c>
      <c r="BK577" s="43">
        <f t="shared" si="296"/>
        <v>680</v>
      </c>
      <c r="BL577" s="95">
        <f t="shared" si="279"/>
        <v>2449</v>
      </c>
      <c r="BM577" s="109">
        <f t="shared" ref="BM577:BN577" si="297">SUM(BM65:BM68)</f>
        <v>2494</v>
      </c>
      <c r="BN577" s="46">
        <f t="shared" si="297"/>
        <v>659</v>
      </c>
      <c r="BO577" s="47">
        <f t="shared" si="279"/>
        <v>97</v>
      </c>
      <c r="BP577" s="45">
        <f t="shared" ref="BP577" si="298">SUM(BP65:BP68)</f>
        <v>768</v>
      </c>
      <c r="BQ577" s="47">
        <f t="shared" ref="BQ577:BR577" si="299">SUM(BQ65:BQ68)</f>
        <v>2453</v>
      </c>
      <c r="BR577" s="45">
        <f t="shared" si="299"/>
        <v>2357</v>
      </c>
      <c r="BS577" s="47">
        <f t="shared" si="279"/>
        <v>921</v>
      </c>
      <c r="BT577" s="45">
        <f t="shared" ref="BT577:BU577" si="300">SUM(BT65:BT68)</f>
        <v>687</v>
      </c>
      <c r="BU577" s="43">
        <f t="shared" si="300"/>
        <v>122</v>
      </c>
      <c r="BV577" s="95">
        <f t="shared" si="279"/>
        <v>2419</v>
      </c>
      <c r="BW577" s="109">
        <f t="shared" ref="BW577" si="301">SUM(BW65:BW68)</f>
        <v>2557</v>
      </c>
      <c r="BX577" s="47">
        <f t="shared" si="279"/>
        <v>732</v>
      </c>
      <c r="BY577" s="45">
        <f t="shared" ref="BY577" si="302">SUM(BY65:BY68)</f>
        <v>2503</v>
      </c>
      <c r="BZ577" s="95">
        <f t="shared" si="279"/>
        <v>679</v>
      </c>
      <c r="CA577" s="109">
        <f t="shared" ref="CA577" si="303">SUM(CA65:CA68)</f>
        <v>745</v>
      </c>
      <c r="CB577" s="47">
        <f t="shared" si="279"/>
        <v>2474</v>
      </c>
      <c r="CC577" s="47">
        <f t="shared" si="279"/>
        <v>1593</v>
      </c>
      <c r="CD577" s="44">
        <f t="shared" si="279"/>
        <v>2783</v>
      </c>
      <c r="CE577" s="109">
        <f t="shared" ref="CE577" si="304">SUM(CE65:CE68)</f>
        <v>1051</v>
      </c>
      <c r="CF577" s="47">
        <f>SUM(CF65:CF68)</f>
        <v>1707</v>
      </c>
      <c r="CG577" s="45">
        <f>SUM(CG65:CG68)</f>
        <v>704</v>
      </c>
      <c r="CH577" s="46">
        <f t="shared" ref="CH577:CJ577" si="305">SUM(CH65:CH68)</f>
        <v>375</v>
      </c>
      <c r="CI577" s="46">
        <f t="shared" si="305"/>
        <v>1578</v>
      </c>
      <c r="CJ577" s="46">
        <f t="shared" si="305"/>
        <v>1762</v>
      </c>
      <c r="CK577" s="95">
        <f>SUM(CK65:CK68)</f>
        <v>763</v>
      </c>
    </row>
    <row r="578" spans="1:89" ht="13" x14ac:dyDescent="0.25">
      <c r="A578" s="91"/>
      <c r="B578" s="92" t="s">
        <v>600</v>
      </c>
      <c r="C578" s="93">
        <f>SUM(C69:C72)</f>
        <v>5059</v>
      </c>
      <c r="D578" s="93">
        <f>SUM(D69:D72)</f>
        <v>2619</v>
      </c>
      <c r="E578" s="89">
        <v>0.35862210375230674</v>
      </c>
      <c r="F578" s="45">
        <f t="shared" ref="F578:CD578" si="306">SUM(F69:F72)</f>
        <v>0</v>
      </c>
      <c r="G578" s="109">
        <f t="shared" si="306"/>
        <v>0</v>
      </c>
      <c r="H578" s="109">
        <f t="shared" ref="H578:Q578" si="307">SUM(H69:H72)</f>
        <v>0</v>
      </c>
      <c r="I578" s="109">
        <f t="shared" si="307"/>
        <v>3</v>
      </c>
      <c r="J578" s="109">
        <f t="shared" ref="J578:K578" si="308">SUM(J69:J72)</f>
        <v>6</v>
      </c>
      <c r="K578" s="109">
        <f t="shared" si="308"/>
        <v>0</v>
      </c>
      <c r="L578" s="109">
        <f t="shared" si="307"/>
        <v>0</v>
      </c>
      <c r="M578" s="109">
        <f t="shared" si="307"/>
        <v>2216</v>
      </c>
      <c r="N578" s="109">
        <f t="shared" si="307"/>
        <v>0</v>
      </c>
      <c r="O578" s="109">
        <f t="shared" si="307"/>
        <v>0</v>
      </c>
      <c r="P578" s="46">
        <f t="shared" si="307"/>
        <v>11</v>
      </c>
      <c r="Q578" s="46">
        <f t="shared" si="307"/>
        <v>6</v>
      </c>
      <c r="R578" s="46">
        <f t="shared" ref="R578" si="309">SUM(R69:R72)</f>
        <v>333</v>
      </c>
      <c r="S578" s="47">
        <f t="shared" si="306"/>
        <v>2</v>
      </c>
      <c r="T578" s="45">
        <f>SUM(T69:T72)</f>
        <v>2149</v>
      </c>
      <c r="U578" s="47">
        <f t="shared" ref="U578:V578" si="310">SUM(U69:U72)</f>
        <v>351</v>
      </c>
      <c r="V578" s="45">
        <f t="shared" si="310"/>
        <v>392</v>
      </c>
      <c r="W578" s="47">
        <f>SUM(W69:W72)</f>
        <v>2115</v>
      </c>
      <c r="X578" s="45">
        <f>SUM(X69:X72)</f>
        <v>2143</v>
      </c>
      <c r="Y578" s="47">
        <f>SUM(Y69:Y72)</f>
        <v>325</v>
      </c>
      <c r="Z578" s="109">
        <f t="shared" ref="Z578:AE578" si="311">SUM(Z69:Z72)</f>
        <v>2193</v>
      </c>
      <c r="AA578" s="46">
        <f t="shared" si="311"/>
        <v>0</v>
      </c>
      <c r="AB578" s="46">
        <f t="shared" si="311"/>
        <v>67</v>
      </c>
      <c r="AC578" s="46">
        <f t="shared" si="311"/>
        <v>287</v>
      </c>
      <c r="AD578" s="46">
        <f t="shared" si="311"/>
        <v>0</v>
      </c>
      <c r="AE578" s="43">
        <f t="shared" si="311"/>
        <v>0</v>
      </c>
      <c r="AF578" s="95">
        <f t="shared" si="306"/>
        <v>0</v>
      </c>
      <c r="AG578" s="109">
        <f t="shared" ref="AG578" si="312">SUM(AG69:AG72)</f>
        <v>2173</v>
      </c>
      <c r="AH578" s="47">
        <f t="shared" si="306"/>
        <v>318</v>
      </c>
      <c r="AI578" s="45">
        <f t="shared" si="306"/>
        <v>0</v>
      </c>
      <c r="AJ578" s="43">
        <f t="shared" si="306"/>
        <v>0</v>
      </c>
      <c r="AK578" s="45">
        <f t="shared" ref="AK578" si="313">SUM(AK69:AK72)</f>
        <v>0</v>
      </c>
      <c r="AL578" s="109">
        <f t="shared" si="306"/>
        <v>0</v>
      </c>
      <c r="AM578" s="45">
        <f t="shared" si="306"/>
        <v>0</v>
      </c>
      <c r="AN578" s="95">
        <f t="shared" si="306"/>
        <v>0</v>
      </c>
      <c r="AO578" s="109">
        <f t="shared" ref="AO578" si="314">SUM(AO69:AO72)</f>
        <v>304</v>
      </c>
      <c r="AP578" s="47">
        <f t="shared" si="306"/>
        <v>2205</v>
      </c>
      <c r="AQ578" s="45">
        <f t="shared" ref="AQ578" si="315">SUM(AQ69:AQ72)</f>
        <v>0</v>
      </c>
      <c r="AR578" s="95">
        <f t="shared" si="306"/>
        <v>0</v>
      </c>
      <c r="AS578" s="109">
        <f t="shared" ref="AS578" si="316">SUM(AS69:AS72)</f>
        <v>0</v>
      </c>
      <c r="AT578" s="47">
        <f t="shared" si="306"/>
        <v>0</v>
      </c>
      <c r="AU578" s="45">
        <f t="shared" ref="AU578:AV578" si="317">SUM(AU69:AU72)</f>
        <v>0</v>
      </c>
      <c r="AV578" s="109">
        <f t="shared" si="317"/>
        <v>0</v>
      </c>
      <c r="AW578" s="109">
        <f t="shared" si="306"/>
        <v>0</v>
      </c>
      <c r="AX578" s="45">
        <f t="shared" ref="AX578" si="318">SUM(AX69:AX72)</f>
        <v>0</v>
      </c>
      <c r="AY578" s="47">
        <f t="shared" si="306"/>
        <v>0</v>
      </c>
      <c r="AZ578" s="45">
        <f t="shared" si="306"/>
        <v>0</v>
      </c>
      <c r="BA578" s="95">
        <f t="shared" si="306"/>
        <v>0</v>
      </c>
      <c r="BB578" s="45">
        <f t="shared" ref="BB578" si="319">SUM(BB69:BB72)</f>
        <v>370</v>
      </c>
      <c r="BC578" s="47">
        <f>SUM(BC69:BC72)</f>
        <v>2082</v>
      </c>
      <c r="BD578" s="45">
        <f t="shared" ref="BD578" si="320">SUM(BD69:BD72)</f>
        <v>326</v>
      </c>
      <c r="BE578" s="95">
        <f>SUM(BE69:BE72)</f>
        <v>2127</v>
      </c>
      <c r="BF578" s="109">
        <f t="shared" ref="BF578" si="321">SUM(BF69:BF72)</f>
        <v>2118</v>
      </c>
      <c r="BG578" s="47">
        <f>SUM(BG69:BG72)</f>
        <v>322</v>
      </c>
      <c r="BH578" s="45">
        <f t="shared" ref="BH578" si="322">SUM(BH69:BH72)</f>
        <v>373</v>
      </c>
      <c r="BI578" s="47">
        <f>SUM(BI69:BI72)</f>
        <v>2058</v>
      </c>
      <c r="BJ578" s="109">
        <f t="shared" ref="BJ578:BK578" si="323">SUM(BJ69:BJ72)</f>
        <v>72</v>
      </c>
      <c r="BK578" s="43">
        <f t="shared" si="323"/>
        <v>287</v>
      </c>
      <c r="BL578" s="95">
        <f t="shared" si="306"/>
        <v>2135</v>
      </c>
      <c r="BM578" s="109">
        <f t="shared" ref="BM578:BN578" si="324">SUM(BM69:BM72)</f>
        <v>2092</v>
      </c>
      <c r="BN578" s="46">
        <f t="shared" si="324"/>
        <v>302</v>
      </c>
      <c r="BO578" s="47">
        <f t="shared" si="306"/>
        <v>65</v>
      </c>
      <c r="BP578" s="45">
        <f t="shared" ref="BP578" si="325">SUM(BP69:BP72)</f>
        <v>333</v>
      </c>
      <c r="BQ578" s="47">
        <f t="shared" ref="BQ578:BR578" si="326">SUM(BQ69:BQ72)</f>
        <v>2120</v>
      </c>
      <c r="BR578" s="45">
        <f t="shared" si="326"/>
        <v>2042</v>
      </c>
      <c r="BS578" s="47">
        <f t="shared" si="306"/>
        <v>425</v>
      </c>
      <c r="BT578" s="45">
        <f t="shared" ref="BT578:BU578" si="327">SUM(BT69:BT72)</f>
        <v>324</v>
      </c>
      <c r="BU578" s="43">
        <f t="shared" si="327"/>
        <v>83</v>
      </c>
      <c r="BV578" s="95">
        <f t="shared" si="306"/>
        <v>2054</v>
      </c>
      <c r="BW578" s="109">
        <f t="shared" ref="BW578" si="328">SUM(BW69:BW72)</f>
        <v>2153</v>
      </c>
      <c r="BX578" s="47">
        <f t="shared" si="306"/>
        <v>340</v>
      </c>
      <c r="BY578" s="45">
        <f t="shared" ref="BY578" si="329">SUM(BY69:BY72)</f>
        <v>2116</v>
      </c>
      <c r="BZ578" s="95">
        <f t="shared" si="306"/>
        <v>321</v>
      </c>
      <c r="CA578" s="109">
        <f t="shared" ref="CA578" si="330">SUM(CA69:CA72)</f>
        <v>344</v>
      </c>
      <c r="CB578" s="47">
        <f t="shared" si="306"/>
        <v>2104</v>
      </c>
      <c r="CC578" s="47">
        <f t="shared" si="306"/>
        <v>991</v>
      </c>
      <c r="CD578" s="44">
        <f t="shared" si="306"/>
        <v>2210</v>
      </c>
      <c r="CE578" s="109">
        <f t="shared" ref="CE578" si="331">SUM(CE69:CE72)</f>
        <v>823</v>
      </c>
      <c r="CF578" s="47">
        <f>SUM(CF69:CF72)</f>
        <v>1230</v>
      </c>
      <c r="CG578" s="45">
        <f>SUM(CG69:CG72)</f>
        <v>528</v>
      </c>
      <c r="CH578" s="46">
        <f t="shared" ref="CH578:CJ578" si="332">SUM(CH69:CH72)</f>
        <v>239</v>
      </c>
      <c r="CI578" s="46">
        <f t="shared" si="332"/>
        <v>1181</v>
      </c>
      <c r="CJ578" s="46">
        <f t="shared" si="332"/>
        <v>1303</v>
      </c>
      <c r="CK578" s="95">
        <f>SUM(CK69:CK72)</f>
        <v>472</v>
      </c>
    </row>
    <row r="579" spans="1:89" ht="13" x14ac:dyDescent="0.25">
      <c r="A579" s="91"/>
      <c r="B579" s="92" t="s">
        <v>601</v>
      </c>
      <c r="C579" s="93">
        <f>SUM(C73:C75)</f>
        <v>4325</v>
      </c>
      <c r="D579" s="93">
        <f>SUM(D73:D75)</f>
        <v>2086</v>
      </c>
      <c r="E579" s="89">
        <v>0.35261707988980717</v>
      </c>
      <c r="F579" s="45">
        <f t="shared" ref="F579:CD579" si="333">SUM(F73:F75)</f>
        <v>0</v>
      </c>
      <c r="G579" s="109">
        <f t="shared" si="333"/>
        <v>0</v>
      </c>
      <c r="H579" s="109">
        <f t="shared" ref="H579:Q579" si="334">SUM(H73:H75)</f>
        <v>0</v>
      </c>
      <c r="I579" s="109">
        <f t="shared" si="334"/>
        <v>7</v>
      </c>
      <c r="J579" s="109">
        <f t="shared" ref="J579:K579" si="335">SUM(J73:J75)</f>
        <v>0</v>
      </c>
      <c r="K579" s="109">
        <f t="shared" si="335"/>
        <v>0</v>
      </c>
      <c r="L579" s="109">
        <f t="shared" si="334"/>
        <v>0</v>
      </c>
      <c r="M579" s="109">
        <f t="shared" si="334"/>
        <v>1665</v>
      </c>
      <c r="N579" s="109">
        <f t="shared" si="334"/>
        <v>0</v>
      </c>
      <c r="O579" s="109">
        <f t="shared" si="334"/>
        <v>0</v>
      </c>
      <c r="P579" s="46">
        <f t="shared" si="334"/>
        <v>14</v>
      </c>
      <c r="Q579" s="46">
        <f t="shared" si="334"/>
        <v>10</v>
      </c>
      <c r="R579" s="46">
        <f t="shared" ref="R579" si="336">SUM(R73:R75)</f>
        <v>359</v>
      </c>
      <c r="S579" s="47">
        <f t="shared" si="333"/>
        <v>1</v>
      </c>
      <c r="T579" s="45">
        <f>SUM(T73:T75)</f>
        <v>1621</v>
      </c>
      <c r="U579" s="47">
        <f t="shared" ref="U579:V579" si="337">SUM(U73:U75)</f>
        <v>397</v>
      </c>
      <c r="V579" s="45">
        <f t="shared" si="337"/>
        <v>427</v>
      </c>
      <c r="W579" s="47">
        <f>SUM(W73:W75)</f>
        <v>1593</v>
      </c>
      <c r="X579" s="45">
        <f>SUM(X73:X75)</f>
        <v>1629</v>
      </c>
      <c r="Y579" s="47">
        <f>SUM(Y73:Y75)</f>
        <v>371</v>
      </c>
      <c r="Z579" s="109">
        <f t="shared" ref="Z579:AE579" si="338">SUM(Z73:Z75)</f>
        <v>1642</v>
      </c>
      <c r="AA579" s="46">
        <f t="shared" si="338"/>
        <v>0</v>
      </c>
      <c r="AB579" s="46">
        <f t="shared" si="338"/>
        <v>64</v>
      </c>
      <c r="AC579" s="46">
        <f t="shared" si="338"/>
        <v>337</v>
      </c>
      <c r="AD579" s="46">
        <f t="shared" si="338"/>
        <v>0</v>
      </c>
      <c r="AE579" s="43">
        <f t="shared" si="338"/>
        <v>0</v>
      </c>
      <c r="AF579" s="95">
        <f t="shared" si="333"/>
        <v>1</v>
      </c>
      <c r="AG579" s="109">
        <f t="shared" ref="AG579" si="339">SUM(AG73:AG75)</f>
        <v>1627</v>
      </c>
      <c r="AH579" s="47">
        <f t="shared" si="333"/>
        <v>370</v>
      </c>
      <c r="AI579" s="45">
        <f t="shared" si="333"/>
        <v>0</v>
      </c>
      <c r="AJ579" s="43">
        <f t="shared" si="333"/>
        <v>0</v>
      </c>
      <c r="AK579" s="45">
        <f t="shared" ref="AK579" si="340">SUM(AK73:AK75)</f>
        <v>0</v>
      </c>
      <c r="AL579" s="109">
        <f t="shared" si="333"/>
        <v>0</v>
      </c>
      <c r="AM579" s="45">
        <f t="shared" si="333"/>
        <v>1628</v>
      </c>
      <c r="AN579" s="95">
        <f t="shared" si="333"/>
        <v>364</v>
      </c>
      <c r="AO579" s="109">
        <f t="shared" ref="AO579" si="341">SUM(AO73:AO75)</f>
        <v>0</v>
      </c>
      <c r="AP579" s="47">
        <f t="shared" si="333"/>
        <v>0</v>
      </c>
      <c r="AQ579" s="45">
        <f t="shared" ref="AQ579" si="342">SUM(AQ73:AQ75)</f>
        <v>0</v>
      </c>
      <c r="AR579" s="95">
        <f t="shared" si="333"/>
        <v>0</v>
      </c>
      <c r="AS579" s="109">
        <f t="shared" ref="AS579" si="343">SUM(AS73:AS75)</f>
        <v>0</v>
      </c>
      <c r="AT579" s="47">
        <f t="shared" si="333"/>
        <v>0</v>
      </c>
      <c r="AU579" s="45">
        <f t="shared" ref="AU579:AV579" si="344">SUM(AU73:AU75)</f>
        <v>0</v>
      </c>
      <c r="AV579" s="109">
        <f t="shared" si="344"/>
        <v>0</v>
      </c>
      <c r="AW579" s="109">
        <f t="shared" si="333"/>
        <v>0</v>
      </c>
      <c r="AX579" s="45">
        <f t="shared" ref="AX579" si="345">SUM(AX73:AX75)</f>
        <v>0</v>
      </c>
      <c r="AY579" s="47">
        <f t="shared" si="333"/>
        <v>0</v>
      </c>
      <c r="AZ579" s="45">
        <f t="shared" si="333"/>
        <v>0</v>
      </c>
      <c r="BA579" s="95">
        <f t="shared" si="333"/>
        <v>0</v>
      </c>
      <c r="BB579" s="45">
        <f t="shared" ref="BB579" si="346">SUM(BB73:BB75)</f>
        <v>392</v>
      </c>
      <c r="BC579" s="47">
        <f>SUM(BC73:BC75)</f>
        <v>1590</v>
      </c>
      <c r="BD579" s="45">
        <f t="shared" ref="BD579" si="347">SUM(BD73:BD75)</f>
        <v>374</v>
      </c>
      <c r="BE579" s="95">
        <f>SUM(BE73:BE75)</f>
        <v>1603</v>
      </c>
      <c r="BF579" s="109">
        <f t="shared" ref="BF579" si="348">SUM(BF73:BF75)</f>
        <v>1587</v>
      </c>
      <c r="BG579" s="47">
        <f>SUM(BG73:BG75)</f>
        <v>383</v>
      </c>
      <c r="BH579" s="45">
        <f t="shared" ref="BH579" si="349">SUM(BH73:BH75)</f>
        <v>409</v>
      </c>
      <c r="BI579" s="47">
        <f>SUM(BI73:BI75)</f>
        <v>1555</v>
      </c>
      <c r="BJ579" s="109">
        <f t="shared" ref="BJ579:BK579" si="350">SUM(BJ73:BJ75)</f>
        <v>88</v>
      </c>
      <c r="BK579" s="43">
        <f t="shared" si="350"/>
        <v>342</v>
      </c>
      <c r="BL579" s="95">
        <f t="shared" si="333"/>
        <v>1566</v>
      </c>
      <c r="BM579" s="109">
        <f t="shared" ref="BM579:BN579" si="351">SUM(BM73:BM75)</f>
        <v>1573</v>
      </c>
      <c r="BN579" s="46">
        <f t="shared" si="351"/>
        <v>330</v>
      </c>
      <c r="BO579" s="47">
        <f t="shared" si="333"/>
        <v>90</v>
      </c>
      <c r="BP579" s="45">
        <f t="shared" ref="BP579" si="352">SUM(BP73:BP75)</f>
        <v>374</v>
      </c>
      <c r="BQ579" s="47">
        <f t="shared" ref="BQ579:BR579" si="353">SUM(BQ73:BQ75)</f>
        <v>1598</v>
      </c>
      <c r="BR579" s="45">
        <f t="shared" si="353"/>
        <v>1537</v>
      </c>
      <c r="BS579" s="47">
        <f t="shared" si="333"/>
        <v>436</v>
      </c>
      <c r="BT579" s="45">
        <f t="shared" ref="BT579:BU579" si="354">SUM(BT73:BT75)</f>
        <v>330</v>
      </c>
      <c r="BU579" s="43">
        <f t="shared" si="354"/>
        <v>94</v>
      </c>
      <c r="BV579" s="95">
        <f t="shared" si="333"/>
        <v>1546</v>
      </c>
      <c r="BW579" s="109">
        <f t="shared" ref="BW579" si="355">SUM(BW73:BW75)</f>
        <v>1608</v>
      </c>
      <c r="BX579" s="47">
        <f t="shared" si="333"/>
        <v>388</v>
      </c>
      <c r="BY579" s="45">
        <f t="shared" ref="BY579" si="356">SUM(BY73:BY75)</f>
        <v>1598</v>
      </c>
      <c r="BZ579" s="95">
        <f t="shared" si="333"/>
        <v>352</v>
      </c>
      <c r="CA579" s="109">
        <f t="shared" ref="CA579" si="357">SUM(CA73:CA75)</f>
        <v>380</v>
      </c>
      <c r="CB579" s="47">
        <f t="shared" si="333"/>
        <v>1576</v>
      </c>
      <c r="CC579" s="47">
        <f t="shared" si="333"/>
        <v>885</v>
      </c>
      <c r="CD579" s="44">
        <f t="shared" si="333"/>
        <v>1697</v>
      </c>
      <c r="CE579" s="109">
        <f t="shared" ref="CE579" si="358">SUM(CE73:CE75)</f>
        <v>649</v>
      </c>
      <c r="CF579" s="47">
        <f>SUM(CF73:CF75)</f>
        <v>1007</v>
      </c>
      <c r="CG579" s="45">
        <f>SUM(CG73:CG75)</f>
        <v>389</v>
      </c>
      <c r="CH579" s="46">
        <f t="shared" ref="CH579:CJ579" si="359">SUM(CH73:CH75)</f>
        <v>229</v>
      </c>
      <c r="CI579" s="46">
        <f t="shared" si="359"/>
        <v>966</v>
      </c>
      <c r="CJ579" s="46">
        <f t="shared" si="359"/>
        <v>1092</v>
      </c>
      <c r="CK579" s="95">
        <f>SUM(CK73:CK75)</f>
        <v>404</v>
      </c>
    </row>
    <row r="580" spans="1:89" ht="13" x14ac:dyDescent="0.25">
      <c r="A580" s="91"/>
      <c r="B580" s="92" t="s">
        <v>602</v>
      </c>
      <c r="C580" s="93">
        <f>SUM(C76:C78)</f>
        <v>3468</v>
      </c>
      <c r="D580" s="93">
        <f>SUM(D76:D78)</f>
        <v>1560</v>
      </c>
      <c r="E580" s="89">
        <v>0.27901430842607311</v>
      </c>
      <c r="F580" s="45">
        <f t="shared" ref="F580:CD580" si="360">SUM(F76:F78)</f>
        <v>0</v>
      </c>
      <c r="G580" s="109">
        <f t="shared" si="360"/>
        <v>0</v>
      </c>
      <c r="H580" s="109">
        <f t="shared" ref="H580:Q580" si="361">SUM(H76:H78)</f>
        <v>0</v>
      </c>
      <c r="I580" s="109">
        <f t="shared" si="361"/>
        <v>4</v>
      </c>
      <c r="J580" s="109">
        <f t="shared" ref="J580:K580" si="362">SUM(J76:J78)</f>
        <v>0</v>
      </c>
      <c r="K580" s="109">
        <f t="shared" si="362"/>
        <v>0</v>
      </c>
      <c r="L580" s="109">
        <f t="shared" si="361"/>
        <v>0</v>
      </c>
      <c r="M580" s="109">
        <f t="shared" si="361"/>
        <v>1183</v>
      </c>
      <c r="N580" s="109">
        <f t="shared" si="361"/>
        <v>0</v>
      </c>
      <c r="O580" s="109">
        <f t="shared" si="361"/>
        <v>0</v>
      </c>
      <c r="P580" s="46">
        <f t="shared" si="361"/>
        <v>15</v>
      </c>
      <c r="Q580" s="46">
        <f t="shared" si="361"/>
        <v>4</v>
      </c>
      <c r="R580" s="46">
        <f t="shared" ref="R580" si="363">SUM(R76:R78)</f>
        <v>332</v>
      </c>
      <c r="S580" s="47">
        <f t="shared" si="360"/>
        <v>4</v>
      </c>
      <c r="T580" s="45">
        <f>SUM(T76:T78)</f>
        <v>1169</v>
      </c>
      <c r="U580" s="47">
        <f t="shared" ref="U580:V580" si="364">SUM(U76:U78)</f>
        <v>326</v>
      </c>
      <c r="V580" s="45">
        <f t="shared" si="364"/>
        <v>321</v>
      </c>
      <c r="W580" s="47">
        <f>SUM(W76:W78)</f>
        <v>1175</v>
      </c>
      <c r="X580" s="45">
        <f>SUM(X76:X78)</f>
        <v>1188</v>
      </c>
      <c r="Y580" s="47">
        <f>SUM(Y76:Y78)</f>
        <v>297</v>
      </c>
      <c r="Z580" s="109">
        <f t="shared" ref="Z580:AE580" si="365">SUM(Z76:Z78)</f>
        <v>1184</v>
      </c>
      <c r="AA580" s="46">
        <f t="shared" si="365"/>
        <v>0</v>
      </c>
      <c r="AB580" s="46">
        <f t="shared" si="365"/>
        <v>56</v>
      </c>
      <c r="AC580" s="46">
        <f t="shared" si="365"/>
        <v>286</v>
      </c>
      <c r="AD580" s="46">
        <f t="shared" si="365"/>
        <v>0</v>
      </c>
      <c r="AE580" s="43">
        <f t="shared" si="365"/>
        <v>0</v>
      </c>
      <c r="AF580" s="95">
        <f t="shared" si="360"/>
        <v>1</v>
      </c>
      <c r="AG580" s="109">
        <f t="shared" ref="AG580" si="366">SUM(AG76:AG78)</f>
        <v>1168</v>
      </c>
      <c r="AH580" s="47">
        <f t="shared" si="360"/>
        <v>312</v>
      </c>
      <c r="AI580" s="45">
        <f t="shared" si="360"/>
        <v>0</v>
      </c>
      <c r="AJ580" s="43">
        <f t="shared" si="360"/>
        <v>0</v>
      </c>
      <c r="AK580" s="45">
        <f t="shared" ref="AK580" si="367">SUM(AK76:AK78)</f>
        <v>0</v>
      </c>
      <c r="AL580" s="109">
        <f t="shared" si="360"/>
        <v>0</v>
      </c>
      <c r="AM580" s="45">
        <f t="shared" si="360"/>
        <v>1162</v>
      </c>
      <c r="AN580" s="95">
        <f t="shared" si="360"/>
        <v>298</v>
      </c>
      <c r="AO580" s="109">
        <f t="shared" ref="AO580" si="368">SUM(AO76:AO78)</f>
        <v>0</v>
      </c>
      <c r="AP580" s="47">
        <f t="shared" si="360"/>
        <v>0</v>
      </c>
      <c r="AQ580" s="45">
        <f t="shared" ref="AQ580" si="369">SUM(AQ76:AQ78)</f>
        <v>0</v>
      </c>
      <c r="AR580" s="95">
        <f t="shared" si="360"/>
        <v>0</v>
      </c>
      <c r="AS580" s="109">
        <f t="shared" ref="AS580" si="370">SUM(AS76:AS78)</f>
        <v>0</v>
      </c>
      <c r="AT580" s="47">
        <f t="shared" si="360"/>
        <v>0</v>
      </c>
      <c r="AU580" s="45">
        <f t="shared" ref="AU580:AV580" si="371">SUM(AU76:AU78)</f>
        <v>0</v>
      </c>
      <c r="AV580" s="109">
        <f t="shared" si="371"/>
        <v>0</v>
      </c>
      <c r="AW580" s="109">
        <f t="shared" si="360"/>
        <v>0</v>
      </c>
      <c r="AX580" s="45">
        <f t="shared" ref="AX580" si="372">SUM(AX76:AX78)</f>
        <v>0</v>
      </c>
      <c r="AY580" s="47">
        <f t="shared" si="360"/>
        <v>0</v>
      </c>
      <c r="AZ580" s="45">
        <f t="shared" si="360"/>
        <v>0</v>
      </c>
      <c r="BA580" s="95">
        <f t="shared" si="360"/>
        <v>0</v>
      </c>
      <c r="BB580" s="45">
        <f t="shared" ref="BB580" si="373">SUM(BB76:BB78)</f>
        <v>312</v>
      </c>
      <c r="BC580" s="47">
        <f>SUM(BC76:BC78)</f>
        <v>1146</v>
      </c>
      <c r="BD580" s="45">
        <f t="shared" ref="BD580" si="374">SUM(BD76:BD78)</f>
        <v>296</v>
      </c>
      <c r="BE580" s="95">
        <f>SUM(BE76:BE78)</f>
        <v>1158</v>
      </c>
      <c r="BF580" s="109">
        <f t="shared" ref="BF580" si="375">SUM(BF76:BF78)</f>
        <v>1143</v>
      </c>
      <c r="BG580" s="47">
        <f>SUM(BG76:BG78)</f>
        <v>303</v>
      </c>
      <c r="BH580" s="45">
        <f t="shared" ref="BH580" si="376">SUM(BH76:BH78)</f>
        <v>305</v>
      </c>
      <c r="BI580" s="47">
        <f>SUM(BI76:BI78)</f>
        <v>1133</v>
      </c>
      <c r="BJ580" s="109">
        <f t="shared" ref="BJ580:BK580" si="377">SUM(BJ76:BJ78)</f>
        <v>95</v>
      </c>
      <c r="BK580" s="43">
        <f t="shared" si="377"/>
        <v>264</v>
      </c>
      <c r="BL580" s="95">
        <f t="shared" si="360"/>
        <v>1105</v>
      </c>
      <c r="BM580" s="109">
        <f t="shared" ref="BM580:BN580" si="378">SUM(BM76:BM78)</f>
        <v>1117</v>
      </c>
      <c r="BN580" s="46">
        <f t="shared" si="378"/>
        <v>265</v>
      </c>
      <c r="BO580" s="47">
        <f t="shared" si="360"/>
        <v>78</v>
      </c>
      <c r="BP580" s="45">
        <f t="shared" ref="BP580" si="379">SUM(BP76:BP78)</f>
        <v>316</v>
      </c>
      <c r="BQ580" s="47">
        <f t="shared" ref="BQ580:BR580" si="380">SUM(BQ76:BQ78)</f>
        <v>1128</v>
      </c>
      <c r="BR580" s="45">
        <f t="shared" si="380"/>
        <v>1111</v>
      </c>
      <c r="BS580" s="47">
        <f t="shared" si="360"/>
        <v>346</v>
      </c>
      <c r="BT580" s="45">
        <f t="shared" ref="BT580:BU580" si="381">SUM(BT76:BT78)</f>
        <v>264</v>
      </c>
      <c r="BU580" s="43">
        <f t="shared" si="381"/>
        <v>86</v>
      </c>
      <c r="BV580" s="95">
        <f t="shared" si="360"/>
        <v>1099</v>
      </c>
      <c r="BW580" s="109">
        <f t="shared" ref="BW580" si="382">SUM(BW76:BW78)</f>
        <v>1154</v>
      </c>
      <c r="BX580" s="47">
        <f t="shared" si="360"/>
        <v>315</v>
      </c>
      <c r="BY580" s="45">
        <f t="shared" ref="BY580" si="383">SUM(BY76:BY78)</f>
        <v>1149</v>
      </c>
      <c r="BZ580" s="95">
        <f t="shared" si="360"/>
        <v>286</v>
      </c>
      <c r="CA580" s="109">
        <f t="shared" ref="CA580" si="384">SUM(CA76:CA78)</f>
        <v>320</v>
      </c>
      <c r="CB580" s="47">
        <f t="shared" si="360"/>
        <v>1136</v>
      </c>
      <c r="CC580" s="47">
        <f t="shared" si="360"/>
        <v>740</v>
      </c>
      <c r="CD580" s="44">
        <f t="shared" si="360"/>
        <v>1249</v>
      </c>
      <c r="CE580" s="109">
        <f t="shared" ref="CE580" si="385">SUM(CE76:CE78)</f>
        <v>519</v>
      </c>
      <c r="CF580" s="47">
        <f>SUM(CF76:CF78)</f>
        <v>685</v>
      </c>
      <c r="CG580" s="45">
        <f>SUM(CG76:CG78)</f>
        <v>320</v>
      </c>
      <c r="CH580" s="46">
        <f t="shared" ref="CH580:CJ580" si="386">SUM(CH76:CH78)</f>
        <v>167</v>
      </c>
      <c r="CI580" s="46">
        <f t="shared" si="386"/>
        <v>630</v>
      </c>
      <c r="CJ580" s="46">
        <f t="shared" si="386"/>
        <v>750</v>
      </c>
      <c r="CK580" s="95">
        <f>SUM(CK76:CK78)</f>
        <v>282</v>
      </c>
    </row>
    <row r="581" spans="1:89" ht="13" x14ac:dyDescent="0.25">
      <c r="A581" s="91"/>
      <c r="B581" s="92" t="s">
        <v>603</v>
      </c>
      <c r="C581" s="93">
        <f>SUM(C80:C84)</f>
        <v>5257</v>
      </c>
      <c r="D581" s="93">
        <f>SUM(D80:D84)</f>
        <v>2141</v>
      </c>
      <c r="E581" s="89">
        <v>0.22040816326530613</v>
      </c>
      <c r="F581" s="45">
        <f t="shared" ref="F581:CD581" si="387">SUM(F80:F84)</f>
        <v>0</v>
      </c>
      <c r="G581" s="109">
        <f t="shared" si="387"/>
        <v>0</v>
      </c>
      <c r="H581" s="109">
        <f t="shared" ref="H581:Q581" si="388">SUM(H80:H84)</f>
        <v>0</v>
      </c>
      <c r="I581" s="109">
        <f t="shared" si="388"/>
        <v>6</v>
      </c>
      <c r="J581" s="109">
        <f t="shared" ref="J581:K581" si="389">SUM(J80:J84)</f>
        <v>1</v>
      </c>
      <c r="K581" s="109">
        <f t="shared" si="389"/>
        <v>0</v>
      </c>
      <c r="L581" s="109">
        <f t="shared" si="388"/>
        <v>0</v>
      </c>
      <c r="M581" s="109">
        <f t="shared" si="388"/>
        <v>1677</v>
      </c>
      <c r="N581" s="109">
        <f t="shared" si="388"/>
        <v>0</v>
      </c>
      <c r="O581" s="109">
        <f t="shared" si="388"/>
        <v>0</v>
      </c>
      <c r="P581" s="46">
        <f t="shared" si="388"/>
        <v>11</v>
      </c>
      <c r="Q581" s="46">
        <f t="shared" si="388"/>
        <v>4</v>
      </c>
      <c r="R581" s="46">
        <f t="shared" ref="R581" si="390">SUM(R80:R84)</f>
        <v>395</v>
      </c>
      <c r="S581" s="47">
        <f t="shared" si="387"/>
        <v>1</v>
      </c>
      <c r="T581" s="45">
        <f>SUM(T80:T84)</f>
        <v>1651</v>
      </c>
      <c r="U581" s="47">
        <f t="shared" ref="U581:V581" si="391">SUM(U80:U84)</f>
        <v>374</v>
      </c>
      <c r="V581" s="45">
        <f t="shared" si="391"/>
        <v>367</v>
      </c>
      <c r="W581" s="47">
        <f>SUM(W80:W84)</f>
        <v>1637</v>
      </c>
      <c r="X581" s="45">
        <f>SUM(X80:X84)</f>
        <v>1629</v>
      </c>
      <c r="Y581" s="47">
        <f>SUM(Y80:Y84)</f>
        <v>354</v>
      </c>
      <c r="Z581" s="109">
        <f t="shared" ref="Z581:AE581" si="392">SUM(Z80:Z84)</f>
        <v>1680</v>
      </c>
      <c r="AA581" s="46">
        <f t="shared" si="392"/>
        <v>0</v>
      </c>
      <c r="AB581" s="46">
        <f t="shared" si="392"/>
        <v>59</v>
      </c>
      <c r="AC581" s="46">
        <f t="shared" si="392"/>
        <v>318</v>
      </c>
      <c r="AD581" s="46">
        <f t="shared" si="392"/>
        <v>0</v>
      </c>
      <c r="AE581" s="43">
        <f t="shared" si="392"/>
        <v>0</v>
      </c>
      <c r="AF581" s="95">
        <f t="shared" si="387"/>
        <v>0</v>
      </c>
      <c r="AG581" s="109">
        <f t="shared" ref="AG581" si="393">SUM(AG80:AG84)</f>
        <v>1615</v>
      </c>
      <c r="AH581" s="47">
        <f t="shared" si="387"/>
        <v>367</v>
      </c>
      <c r="AI581" s="45">
        <f t="shared" si="387"/>
        <v>0</v>
      </c>
      <c r="AJ581" s="43">
        <f t="shared" si="387"/>
        <v>0</v>
      </c>
      <c r="AK581" s="45">
        <f t="shared" ref="AK581" si="394">SUM(AK80:AK84)</f>
        <v>0</v>
      </c>
      <c r="AL581" s="109">
        <f t="shared" si="387"/>
        <v>0</v>
      </c>
      <c r="AM581" s="45">
        <f t="shared" si="387"/>
        <v>0</v>
      </c>
      <c r="AN581" s="95">
        <f t="shared" si="387"/>
        <v>0</v>
      </c>
      <c r="AO581" s="109">
        <f t="shared" ref="AO581" si="395">SUM(AO80:AO84)</f>
        <v>330</v>
      </c>
      <c r="AP581" s="47">
        <f t="shared" si="387"/>
        <v>1640</v>
      </c>
      <c r="AQ581" s="45">
        <f t="shared" ref="AQ581" si="396">SUM(AQ80:AQ84)</f>
        <v>0</v>
      </c>
      <c r="AR581" s="95">
        <f t="shared" si="387"/>
        <v>0</v>
      </c>
      <c r="AS581" s="109">
        <f t="shared" ref="AS581" si="397">SUM(AS80:AS84)</f>
        <v>0</v>
      </c>
      <c r="AT581" s="47">
        <f t="shared" si="387"/>
        <v>0</v>
      </c>
      <c r="AU581" s="45">
        <f t="shared" ref="AU581:AV581" si="398">SUM(AU80:AU84)</f>
        <v>0</v>
      </c>
      <c r="AV581" s="109">
        <f t="shared" si="398"/>
        <v>0</v>
      </c>
      <c r="AW581" s="109">
        <f t="shared" si="387"/>
        <v>0</v>
      </c>
      <c r="AX581" s="45">
        <f t="shared" ref="AX581" si="399">SUM(AX80:AX84)</f>
        <v>0</v>
      </c>
      <c r="AY581" s="47">
        <f t="shared" si="387"/>
        <v>0</v>
      </c>
      <c r="AZ581" s="45">
        <f t="shared" si="387"/>
        <v>0</v>
      </c>
      <c r="BA581" s="95">
        <f t="shared" si="387"/>
        <v>0</v>
      </c>
      <c r="BB581" s="45">
        <f t="shared" ref="BB581" si="400">SUM(BB80:BB84)</f>
        <v>361</v>
      </c>
      <c r="BC581" s="47">
        <f>SUM(BC80:BC84)</f>
        <v>1573</v>
      </c>
      <c r="BD581" s="45">
        <f t="shared" ref="BD581" si="401">SUM(BD80:BD84)</f>
        <v>326</v>
      </c>
      <c r="BE581" s="95">
        <f>SUM(BE80:BE84)</f>
        <v>1600</v>
      </c>
      <c r="BF581" s="109">
        <f t="shared" ref="BF581" si="402">SUM(BF80:BF84)</f>
        <v>1572</v>
      </c>
      <c r="BG581" s="47">
        <f>SUM(BG80:BG84)</f>
        <v>349</v>
      </c>
      <c r="BH581" s="45">
        <f t="shared" ref="BH581" si="403">SUM(BH80:BH84)</f>
        <v>364</v>
      </c>
      <c r="BI581" s="47">
        <f>SUM(BI80:BI84)</f>
        <v>1542</v>
      </c>
      <c r="BJ581" s="109">
        <f t="shared" ref="BJ581:BK581" si="404">SUM(BJ80:BJ84)</f>
        <v>107</v>
      </c>
      <c r="BK581" s="43">
        <f t="shared" si="404"/>
        <v>298</v>
      </c>
      <c r="BL581" s="95">
        <f t="shared" si="387"/>
        <v>1521</v>
      </c>
      <c r="BM581" s="109">
        <f t="shared" ref="BM581:BN581" si="405">SUM(BM80:BM84)</f>
        <v>1510</v>
      </c>
      <c r="BN581" s="46">
        <f t="shared" si="405"/>
        <v>318</v>
      </c>
      <c r="BO581" s="47">
        <f t="shared" si="387"/>
        <v>91</v>
      </c>
      <c r="BP581" s="45">
        <f t="shared" ref="BP581" si="406">SUM(BP80:BP84)</f>
        <v>344</v>
      </c>
      <c r="BQ581" s="47">
        <f t="shared" ref="BQ581:BR581" si="407">SUM(BQ80:BQ84)</f>
        <v>1566</v>
      </c>
      <c r="BR581" s="45">
        <f t="shared" si="407"/>
        <v>1519</v>
      </c>
      <c r="BS581" s="47">
        <f t="shared" si="387"/>
        <v>396</v>
      </c>
      <c r="BT581" s="45">
        <f t="shared" ref="BT581:BU581" si="408">SUM(BT80:BT84)</f>
        <v>313</v>
      </c>
      <c r="BU581" s="43">
        <f t="shared" si="408"/>
        <v>100</v>
      </c>
      <c r="BV581" s="95">
        <f t="shared" si="387"/>
        <v>1503</v>
      </c>
      <c r="BW581" s="109">
        <f t="shared" ref="BW581" si="409">SUM(BW80:BW84)</f>
        <v>1588</v>
      </c>
      <c r="BX581" s="47">
        <f t="shared" si="387"/>
        <v>350</v>
      </c>
      <c r="BY581" s="45">
        <f t="shared" ref="BY581" si="410">SUM(BY80:BY84)</f>
        <v>1565</v>
      </c>
      <c r="BZ581" s="95">
        <f t="shared" si="387"/>
        <v>324</v>
      </c>
      <c r="CA581" s="109">
        <f t="shared" ref="CA581" si="411">SUM(CA80:CA84)</f>
        <v>359</v>
      </c>
      <c r="CB581" s="47">
        <f t="shared" si="387"/>
        <v>1548</v>
      </c>
      <c r="CC581" s="47">
        <f t="shared" si="387"/>
        <v>1029</v>
      </c>
      <c r="CD581" s="44">
        <f t="shared" si="387"/>
        <v>1733</v>
      </c>
      <c r="CE581" s="109">
        <f t="shared" ref="CE581" si="412">SUM(CE80:CE84)</f>
        <v>768</v>
      </c>
      <c r="CF581" s="47">
        <f>SUM(CF80:CF84)</f>
        <v>868</v>
      </c>
      <c r="CG581" s="45">
        <f>SUM(CG80:CG84)</f>
        <v>477</v>
      </c>
      <c r="CH581" s="46">
        <f t="shared" ref="CH581:CJ581" si="413">SUM(CH80:CH84)</f>
        <v>202</v>
      </c>
      <c r="CI581" s="46">
        <f t="shared" si="413"/>
        <v>818</v>
      </c>
      <c r="CJ581" s="46">
        <f t="shared" si="413"/>
        <v>990</v>
      </c>
      <c r="CK581" s="95">
        <f>SUM(CK80:CK84)</f>
        <v>332</v>
      </c>
    </row>
    <row r="582" spans="1:89" ht="13" x14ac:dyDescent="0.25">
      <c r="A582" s="91"/>
      <c r="B582" s="92" t="s">
        <v>604</v>
      </c>
      <c r="C582" s="93">
        <f>SUM(C85:C92)</f>
        <v>9201</v>
      </c>
      <c r="D582" s="93">
        <f>SUM(D85:D92)</f>
        <v>4465</v>
      </c>
      <c r="E582" s="89">
        <v>0.33187819420783643</v>
      </c>
      <c r="F582" s="45">
        <f t="shared" ref="F582:CD582" si="414">SUM(F85:F92)</f>
        <v>0</v>
      </c>
      <c r="G582" s="109">
        <f t="shared" si="414"/>
        <v>0</v>
      </c>
      <c r="H582" s="109">
        <f t="shared" ref="H582:Q582" si="415">SUM(H85:H92)</f>
        <v>0</v>
      </c>
      <c r="I582" s="109">
        <f t="shared" si="415"/>
        <v>2</v>
      </c>
      <c r="J582" s="109">
        <f t="shared" ref="J582:K582" si="416">SUM(J85:J92)</f>
        <v>14</v>
      </c>
      <c r="K582" s="109">
        <f t="shared" si="416"/>
        <v>0</v>
      </c>
      <c r="L582" s="109">
        <f t="shared" si="415"/>
        <v>0</v>
      </c>
      <c r="M582" s="109">
        <f t="shared" si="415"/>
        <v>3911</v>
      </c>
      <c r="N582" s="109">
        <f t="shared" si="415"/>
        <v>0</v>
      </c>
      <c r="O582" s="109">
        <f t="shared" si="415"/>
        <v>0</v>
      </c>
      <c r="P582" s="46">
        <f t="shared" si="415"/>
        <v>13</v>
      </c>
      <c r="Q582" s="46">
        <f t="shared" si="415"/>
        <v>5</v>
      </c>
      <c r="R582" s="46">
        <f t="shared" ref="R582" si="417">SUM(R85:R92)</f>
        <v>452</v>
      </c>
      <c r="S582" s="47">
        <f t="shared" si="414"/>
        <v>3</v>
      </c>
      <c r="T582" s="45">
        <f>SUM(T85:T92)</f>
        <v>3799</v>
      </c>
      <c r="U582" s="47">
        <f t="shared" ref="U582:V582" si="418">SUM(U85:U92)</f>
        <v>495</v>
      </c>
      <c r="V582" s="45">
        <f t="shared" si="418"/>
        <v>551</v>
      </c>
      <c r="W582" s="47">
        <f>SUM(W85:W92)</f>
        <v>3764</v>
      </c>
      <c r="X582" s="45">
        <f>SUM(X85:X92)</f>
        <v>3796</v>
      </c>
      <c r="Y582" s="47">
        <f>SUM(Y85:Y92)</f>
        <v>438</v>
      </c>
      <c r="Z582" s="109">
        <f t="shared" ref="Z582:AE582" si="419">SUM(Z85:Z92)</f>
        <v>3853</v>
      </c>
      <c r="AA582" s="46">
        <f t="shared" si="419"/>
        <v>0</v>
      </c>
      <c r="AB582" s="46">
        <f t="shared" si="419"/>
        <v>98</v>
      </c>
      <c r="AC582" s="46">
        <f t="shared" si="419"/>
        <v>392</v>
      </c>
      <c r="AD582" s="46">
        <f t="shared" si="419"/>
        <v>0</v>
      </c>
      <c r="AE582" s="43">
        <f t="shared" si="419"/>
        <v>0</v>
      </c>
      <c r="AF582" s="95">
        <f t="shared" si="414"/>
        <v>0</v>
      </c>
      <c r="AG582" s="109">
        <f t="shared" ref="AG582" si="420">SUM(AG85:AG92)</f>
        <v>3861</v>
      </c>
      <c r="AH582" s="47">
        <f t="shared" si="414"/>
        <v>418</v>
      </c>
      <c r="AI582" s="45">
        <f t="shared" si="414"/>
        <v>0</v>
      </c>
      <c r="AJ582" s="43">
        <f t="shared" si="414"/>
        <v>0</v>
      </c>
      <c r="AK582" s="45">
        <f t="shared" ref="AK582" si="421">SUM(AK85:AK92)</f>
        <v>0</v>
      </c>
      <c r="AL582" s="109">
        <f t="shared" si="414"/>
        <v>0</v>
      </c>
      <c r="AM582" s="45">
        <f t="shared" si="414"/>
        <v>0</v>
      </c>
      <c r="AN582" s="95">
        <f t="shared" si="414"/>
        <v>0</v>
      </c>
      <c r="AO582" s="109">
        <f t="shared" ref="AO582" si="422">SUM(AO85:AO92)</f>
        <v>402</v>
      </c>
      <c r="AP582" s="47">
        <f t="shared" si="414"/>
        <v>3917</v>
      </c>
      <c r="AQ582" s="45">
        <f t="shared" ref="AQ582" si="423">SUM(AQ85:AQ92)</f>
        <v>0</v>
      </c>
      <c r="AR582" s="95">
        <f t="shared" si="414"/>
        <v>0</v>
      </c>
      <c r="AS582" s="109">
        <f t="shared" ref="AS582" si="424">SUM(AS85:AS92)</f>
        <v>0</v>
      </c>
      <c r="AT582" s="47">
        <f t="shared" si="414"/>
        <v>0</v>
      </c>
      <c r="AU582" s="45">
        <f t="shared" ref="AU582:AV582" si="425">SUM(AU85:AU92)</f>
        <v>0</v>
      </c>
      <c r="AV582" s="109">
        <f t="shared" si="425"/>
        <v>0</v>
      </c>
      <c r="AW582" s="109">
        <f t="shared" si="414"/>
        <v>0</v>
      </c>
      <c r="AX582" s="45">
        <f t="shared" ref="AX582" si="426">SUM(AX85:AX92)</f>
        <v>0</v>
      </c>
      <c r="AY582" s="47">
        <f t="shared" si="414"/>
        <v>0</v>
      </c>
      <c r="AZ582" s="45">
        <f t="shared" si="414"/>
        <v>0</v>
      </c>
      <c r="BA582" s="95">
        <f t="shared" si="414"/>
        <v>0</v>
      </c>
      <c r="BB582" s="45">
        <f t="shared" ref="BB582" si="427">SUM(BB85:BB92)</f>
        <v>486</v>
      </c>
      <c r="BC582" s="47">
        <f>SUM(BC85:BC92)</f>
        <v>3753</v>
      </c>
      <c r="BD582" s="45">
        <f t="shared" ref="BD582" si="428">SUM(BD85:BD92)</f>
        <v>426</v>
      </c>
      <c r="BE582" s="95">
        <f>SUM(BE85:BE92)</f>
        <v>3808</v>
      </c>
      <c r="BF582" s="109">
        <f t="shared" ref="BF582" si="429">SUM(BF85:BF92)</f>
        <v>3760</v>
      </c>
      <c r="BG582" s="47">
        <f>SUM(BG85:BG92)</f>
        <v>445</v>
      </c>
      <c r="BH582" s="45">
        <f t="shared" ref="BH582" si="430">SUM(BH85:BH92)</f>
        <v>505</v>
      </c>
      <c r="BI582" s="47">
        <f>SUM(BI85:BI92)</f>
        <v>3706</v>
      </c>
      <c r="BJ582" s="109">
        <f t="shared" ref="BJ582:BK582" si="431">SUM(BJ85:BJ92)</f>
        <v>98</v>
      </c>
      <c r="BK582" s="43">
        <f t="shared" si="431"/>
        <v>345</v>
      </c>
      <c r="BL582" s="95">
        <f t="shared" si="414"/>
        <v>3861</v>
      </c>
      <c r="BM582" s="109">
        <f t="shared" ref="BM582:BN582" si="432">SUM(BM85:BM92)</f>
        <v>3749</v>
      </c>
      <c r="BN582" s="46">
        <f t="shared" si="432"/>
        <v>381</v>
      </c>
      <c r="BO582" s="47">
        <f t="shared" si="414"/>
        <v>102</v>
      </c>
      <c r="BP582" s="45">
        <f t="shared" ref="BP582" si="433">SUM(BP85:BP92)</f>
        <v>466</v>
      </c>
      <c r="BQ582" s="47">
        <f t="shared" ref="BQ582:BR582" si="434">SUM(BQ85:BQ92)</f>
        <v>3740</v>
      </c>
      <c r="BR582" s="45">
        <f t="shared" si="434"/>
        <v>3577</v>
      </c>
      <c r="BS582" s="47">
        <f t="shared" si="414"/>
        <v>661</v>
      </c>
      <c r="BT582" s="45">
        <f t="shared" ref="BT582:BU582" si="435">SUM(BT85:BT92)</f>
        <v>418</v>
      </c>
      <c r="BU582" s="43">
        <f t="shared" si="435"/>
        <v>134</v>
      </c>
      <c r="BV582" s="95">
        <f t="shared" si="414"/>
        <v>3691</v>
      </c>
      <c r="BW582" s="109">
        <f t="shared" ref="BW582" si="436">SUM(BW85:BW92)</f>
        <v>3823</v>
      </c>
      <c r="BX582" s="47">
        <f t="shared" si="414"/>
        <v>475</v>
      </c>
      <c r="BY582" s="45">
        <f t="shared" ref="BY582" si="437">SUM(BY85:BY92)</f>
        <v>3766</v>
      </c>
      <c r="BZ582" s="95">
        <f t="shared" si="414"/>
        <v>413</v>
      </c>
      <c r="CA582" s="109">
        <f t="shared" ref="CA582" si="438">SUM(CA85:CA92)</f>
        <v>433</v>
      </c>
      <c r="CB582" s="47">
        <f t="shared" si="414"/>
        <v>3784</v>
      </c>
      <c r="CC582" s="47">
        <f t="shared" si="414"/>
        <v>1470</v>
      </c>
      <c r="CD582" s="44">
        <f t="shared" si="414"/>
        <v>3910</v>
      </c>
      <c r="CE582" s="109">
        <f t="shared" ref="CE582" si="439">SUM(CE85:CE92)</f>
        <v>1277</v>
      </c>
      <c r="CF582" s="47">
        <f>SUM(CF85:CF92)</f>
        <v>2322</v>
      </c>
      <c r="CG582" s="45">
        <f>SUM(CG85:CG92)</f>
        <v>868</v>
      </c>
      <c r="CH582" s="46">
        <f t="shared" ref="CH582:CJ582" si="440">SUM(CH85:CH92)</f>
        <v>303</v>
      </c>
      <c r="CI582" s="46">
        <f t="shared" si="440"/>
        <v>2299</v>
      </c>
      <c r="CJ582" s="46">
        <f t="shared" si="440"/>
        <v>2381</v>
      </c>
      <c r="CK582" s="95">
        <f>SUM(CK85:CK92)</f>
        <v>793</v>
      </c>
    </row>
    <row r="583" spans="1:89" ht="13" x14ac:dyDescent="0.25">
      <c r="A583" s="91"/>
      <c r="B583" s="92" t="s">
        <v>605</v>
      </c>
      <c r="C583" s="93">
        <f>SUM(C93:C101)</f>
        <v>10377</v>
      </c>
      <c r="D583" s="93">
        <f>SUM(D93:D101)</f>
        <v>7663</v>
      </c>
      <c r="E583" s="89">
        <v>0.57434765924788944</v>
      </c>
      <c r="F583" s="45">
        <f t="shared" ref="F583:CD583" si="441">SUM(F93:F101)</f>
        <v>0</v>
      </c>
      <c r="G583" s="109">
        <f t="shared" si="441"/>
        <v>0</v>
      </c>
      <c r="H583" s="109">
        <f t="shared" ref="H583:Q583" si="442">SUM(H93:H101)</f>
        <v>0</v>
      </c>
      <c r="I583" s="109">
        <f t="shared" si="442"/>
        <v>8</v>
      </c>
      <c r="J583" s="109">
        <f t="shared" ref="J583:K583" si="443">SUM(J93:J101)</f>
        <v>13</v>
      </c>
      <c r="K583" s="109">
        <f t="shared" si="443"/>
        <v>0</v>
      </c>
      <c r="L583" s="109">
        <f t="shared" si="442"/>
        <v>0</v>
      </c>
      <c r="M583" s="109">
        <f t="shared" si="442"/>
        <v>6302</v>
      </c>
      <c r="N583" s="109">
        <f t="shared" si="442"/>
        <v>0</v>
      </c>
      <c r="O583" s="109">
        <f t="shared" si="442"/>
        <v>0</v>
      </c>
      <c r="P583" s="46">
        <f t="shared" si="442"/>
        <v>37</v>
      </c>
      <c r="Q583" s="46">
        <f t="shared" si="442"/>
        <v>19</v>
      </c>
      <c r="R583" s="46">
        <f t="shared" ref="R583" si="444">SUM(R93:R101)</f>
        <v>1185</v>
      </c>
      <c r="S583" s="47">
        <f t="shared" si="441"/>
        <v>3</v>
      </c>
      <c r="T583" s="45">
        <f>SUM(T93:T101)</f>
        <v>6107</v>
      </c>
      <c r="U583" s="47">
        <f t="shared" ref="U583:V583" si="445">SUM(U93:U101)</f>
        <v>1307</v>
      </c>
      <c r="V583" s="45">
        <f t="shared" si="445"/>
        <v>1427</v>
      </c>
      <c r="W583" s="47">
        <f>SUM(W93:W101)</f>
        <v>6008</v>
      </c>
      <c r="X583" s="45">
        <f>SUM(X93:X101)</f>
        <v>6092</v>
      </c>
      <c r="Y583" s="47">
        <f>SUM(Y93:Y101)</f>
        <v>1219</v>
      </c>
      <c r="Z583" s="109">
        <f t="shared" ref="Z583:AE583" si="446">SUM(Z93:Z101)</f>
        <v>6311</v>
      </c>
      <c r="AA583" s="46">
        <f t="shared" si="446"/>
        <v>2</v>
      </c>
      <c r="AB583" s="46">
        <f t="shared" si="446"/>
        <v>186</v>
      </c>
      <c r="AC583" s="46">
        <f t="shared" si="446"/>
        <v>1032</v>
      </c>
      <c r="AD583" s="46">
        <f t="shared" si="446"/>
        <v>0</v>
      </c>
      <c r="AE583" s="43">
        <f t="shared" si="446"/>
        <v>0</v>
      </c>
      <c r="AF583" s="95">
        <f t="shared" si="441"/>
        <v>0</v>
      </c>
      <c r="AG583" s="109">
        <f t="shared" ref="AG583" si="447">SUM(AG93:AG101)</f>
        <v>6276</v>
      </c>
      <c r="AH583" s="47">
        <f t="shared" si="441"/>
        <v>1153</v>
      </c>
      <c r="AI583" s="45">
        <f t="shared" si="441"/>
        <v>0</v>
      </c>
      <c r="AJ583" s="43">
        <f t="shared" si="441"/>
        <v>0</v>
      </c>
      <c r="AK583" s="45">
        <f t="shared" ref="AK583" si="448">SUM(AK93:AK101)</f>
        <v>0</v>
      </c>
      <c r="AL583" s="47">
        <f t="shared" si="441"/>
        <v>0</v>
      </c>
      <c r="AM583" s="45">
        <f t="shared" si="441"/>
        <v>0</v>
      </c>
      <c r="AN583" s="95">
        <f t="shared" si="441"/>
        <v>0</v>
      </c>
      <c r="AO583" s="109">
        <f t="shared" ref="AO583" si="449">SUM(AO93:AO101)</f>
        <v>0</v>
      </c>
      <c r="AP583" s="47">
        <f t="shared" si="441"/>
        <v>0</v>
      </c>
      <c r="AQ583" s="45">
        <f t="shared" ref="AQ583" si="450">SUM(AQ93:AQ101)</f>
        <v>1202</v>
      </c>
      <c r="AR583" s="95">
        <f t="shared" si="441"/>
        <v>6085</v>
      </c>
      <c r="AS583" s="109">
        <f t="shared" ref="AS583" si="451">SUM(AS93:AS101)</f>
        <v>0</v>
      </c>
      <c r="AT583" s="47">
        <f t="shared" si="441"/>
        <v>0</v>
      </c>
      <c r="AU583" s="45">
        <f t="shared" ref="AU583:AV583" si="452">SUM(AU93:AU101)</f>
        <v>0</v>
      </c>
      <c r="AV583" s="109">
        <f t="shared" si="452"/>
        <v>0</v>
      </c>
      <c r="AW583" s="109">
        <f t="shared" si="441"/>
        <v>0</v>
      </c>
      <c r="AX583" s="45">
        <f t="shared" ref="AX583" si="453">SUM(AX93:AX101)</f>
        <v>0</v>
      </c>
      <c r="AY583" s="47">
        <f t="shared" si="441"/>
        <v>0</v>
      </c>
      <c r="AZ583" s="45">
        <f t="shared" si="441"/>
        <v>0</v>
      </c>
      <c r="BA583" s="95">
        <f t="shared" si="441"/>
        <v>0</v>
      </c>
      <c r="BB583" s="45">
        <f t="shared" ref="BB583" si="454">SUM(BB93:BB101)</f>
        <v>1292</v>
      </c>
      <c r="BC583" s="47">
        <f>SUM(BC93:BC101)</f>
        <v>5966</v>
      </c>
      <c r="BD583" s="45">
        <f t="shared" ref="BD583" si="455">SUM(BD93:BD101)</f>
        <v>1198</v>
      </c>
      <c r="BE583" s="95">
        <f>SUM(BE93:BE101)</f>
        <v>6047</v>
      </c>
      <c r="BF583" s="109">
        <f t="shared" ref="BF583" si="456">SUM(BF93:BF101)</f>
        <v>5980</v>
      </c>
      <c r="BG583" s="47">
        <f>SUM(BG93:BG101)</f>
        <v>1227</v>
      </c>
      <c r="BH583" s="45">
        <f t="shared" ref="BH583" si="457">SUM(BH93:BH101)</f>
        <v>1385</v>
      </c>
      <c r="BI583" s="47">
        <f>SUM(BI93:BI101)</f>
        <v>5819</v>
      </c>
      <c r="BJ583" s="109">
        <f t="shared" ref="BJ583:BK583" si="458">SUM(BJ93:BJ101)</f>
        <v>299</v>
      </c>
      <c r="BK583" s="43">
        <f t="shared" si="458"/>
        <v>1063</v>
      </c>
      <c r="BL583" s="95">
        <f t="shared" si="441"/>
        <v>5957</v>
      </c>
      <c r="BM583" s="109">
        <f t="shared" ref="BM583:BN583" si="459">SUM(BM93:BM101)</f>
        <v>6031</v>
      </c>
      <c r="BN583" s="46">
        <f t="shared" si="459"/>
        <v>1050</v>
      </c>
      <c r="BO583" s="47">
        <f t="shared" si="441"/>
        <v>235</v>
      </c>
      <c r="BP583" s="45">
        <f t="shared" ref="BP583" si="460">SUM(BP93:BP101)</f>
        <v>1282</v>
      </c>
      <c r="BQ583" s="47">
        <f t="shared" ref="BQ583:BR583" si="461">SUM(BQ93:BQ101)</f>
        <v>5959</v>
      </c>
      <c r="BR583" s="45">
        <f t="shared" si="461"/>
        <v>5723</v>
      </c>
      <c r="BS583" s="47">
        <f t="shared" si="441"/>
        <v>1562</v>
      </c>
      <c r="BT583" s="45">
        <f t="shared" ref="BT583:BU583" si="462">SUM(BT93:BT101)</f>
        <v>1097</v>
      </c>
      <c r="BU583" s="43">
        <f t="shared" si="462"/>
        <v>275</v>
      </c>
      <c r="BV583" s="95">
        <f t="shared" si="441"/>
        <v>5866</v>
      </c>
      <c r="BW583" s="109">
        <f t="shared" ref="BW583" si="463">SUM(BW93:BW101)</f>
        <v>6148</v>
      </c>
      <c r="BX583" s="47">
        <f t="shared" si="441"/>
        <v>1252</v>
      </c>
      <c r="BY583" s="45">
        <f t="shared" ref="BY583" si="464">SUM(BY93:BY101)</f>
        <v>6019</v>
      </c>
      <c r="BZ583" s="95">
        <f t="shared" si="441"/>
        <v>1140</v>
      </c>
      <c r="CA583" s="109">
        <f t="shared" ref="CA583" si="465">SUM(CA93:CA101)</f>
        <v>1175</v>
      </c>
      <c r="CB583" s="47">
        <f t="shared" si="441"/>
        <v>6052</v>
      </c>
      <c r="CC583" s="47">
        <f t="shared" si="441"/>
        <v>3044</v>
      </c>
      <c r="CD583" s="44">
        <f t="shared" si="441"/>
        <v>6396</v>
      </c>
      <c r="CE583" s="109">
        <f t="shared" ref="CE583" si="466">SUM(CE93:CE101)</f>
        <v>1888</v>
      </c>
      <c r="CF583" s="47">
        <f>SUM(CF93:CF101)</f>
        <v>4477</v>
      </c>
      <c r="CG583" s="45">
        <f>SUM(CG93:CG101)</f>
        <v>1425</v>
      </c>
      <c r="CH583" s="46">
        <f t="shared" ref="CH583:CJ583" si="467">SUM(CH93:CH101)</f>
        <v>668</v>
      </c>
      <c r="CI583" s="46">
        <f t="shared" si="467"/>
        <v>4108</v>
      </c>
      <c r="CJ583" s="46">
        <f t="shared" si="467"/>
        <v>4404</v>
      </c>
      <c r="CK583" s="95">
        <f>SUM(CK93:CK101)</f>
        <v>1349</v>
      </c>
    </row>
    <row r="584" spans="1:89" ht="13" x14ac:dyDescent="0.25">
      <c r="A584" s="91"/>
      <c r="B584" s="92" t="s">
        <v>606</v>
      </c>
      <c r="C584" s="93">
        <f>SUM(C102:C111)</f>
        <v>10765</v>
      </c>
      <c r="D584" s="93">
        <f>SUM(D102:D111)</f>
        <v>6650</v>
      </c>
      <c r="E584" s="89">
        <v>0.48442396313364056</v>
      </c>
      <c r="F584" s="45">
        <f t="shared" ref="F584:CD584" si="468">SUM(F102:F111)</f>
        <v>0</v>
      </c>
      <c r="G584" s="109">
        <f t="shared" si="468"/>
        <v>0</v>
      </c>
      <c r="H584" s="109">
        <f t="shared" ref="H584:Q584" si="469">SUM(H102:H111)</f>
        <v>0</v>
      </c>
      <c r="I584" s="109">
        <f t="shared" si="469"/>
        <v>22</v>
      </c>
      <c r="J584" s="109">
        <f t="shared" ref="J584:K584" si="470">SUM(J102:J111)</f>
        <v>14</v>
      </c>
      <c r="K584" s="109">
        <f t="shared" si="470"/>
        <v>0</v>
      </c>
      <c r="L584" s="109">
        <f t="shared" si="469"/>
        <v>0</v>
      </c>
      <c r="M584" s="109">
        <f t="shared" si="469"/>
        <v>5715</v>
      </c>
      <c r="N584" s="109">
        <f t="shared" si="469"/>
        <v>0</v>
      </c>
      <c r="O584" s="109">
        <f t="shared" si="469"/>
        <v>0</v>
      </c>
      <c r="P584" s="46">
        <f t="shared" si="469"/>
        <v>34</v>
      </c>
      <c r="Q584" s="46">
        <f t="shared" si="469"/>
        <v>10</v>
      </c>
      <c r="R584" s="46">
        <f t="shared" ref="R584" si="471">SUM(R102:R111)</f>
        <v>721</v>
      </c>
      <c r="S584" s="47">
        <f t="shared" si="468"/>
        <v>2</v>
      </c>
      <c r="T584" s="45">
        <f>SUM(T102:T111)</f>
        <v>5639</v>
      </c>
      <c r="U584" s="47">
        <f t="shared" ref="U584:V584" si="472">SUM(U102:U111)</f>
        <v>834</v>
      </c>
      <c r="V584" s="45">
        <f t="shared" si="472"/>
        <v>904</v>
      </c>
      <c r="W584" s="47">
        <f>SUM(W102:W111)</f>
        <v>5573</v>
      </c>
      <c r="X584" s="45">
        <f>SUM(X102:X111)</f>
        <v>5641</v>
      </c>
      <c r="Y584" s="47">
        <f>SUM(Y102:Y111)</f>
        <v>754</v>
      </c>
      <c r="Z584" s="109">
        <f t="shared" ref="Z584:AE584" si="473">SUM(Z102:Z111)</f>
        <v>5720</v>
      </c>
      <c r="AA584" s="46">
        <f t="shared" si="473"/>
        <v>0</v>
      </c>
      <c r="AB584" s="46">
        <f t="shared" si="473"/>
        <v>141</v>
      </c>
      <c r="AC584" s="46">
        <f t="shared" si="473"/>
        <v>666</v>
      </c>
      <c r="AD584" s="46">
        <f t="shared" si="473"/>
        <v>0</v>
      </c>
      <c r="AE584" s="43">
        <f t="shared" si="473"/>
        <v>0</v>
      </c>
      <c r="AF584" s="95">
        <f t="shared" si="468"/>
        <v>1</v>
      </c>
      <c r="AG584" s="109">
        <f t="shared" ref="AG584" si="474">SUM(AG102:AG111)</f>
        <v>5654</v>
      </c>
      <c r="AH584" s="47">
        <f t="shared" si="468"/>
        <v>742</v>
      </c>
      <c r="AI584" s="45">
        <f t="shared" si="468"/>
        <v>0</v>
      </c>
      <c r="AJ584" s="43">
        <f t="shared" si="468"/>
        <v>0</v>
      </c>
      <c r="AK584" s="45">
        <f t="shared" ref="AK584" si="475">SUM(AK102:AK111)</f>
        <v>0</v>
      </c>
      <c r="AL584" s="47">
        <f t="shared" si="468"/>
        <v>0</v>
      </c>
      <c r="AM584" s="45">
        <f t="shared" si="468"/>
        <v>0</v>
      </c>
      <c r="AN584" s="95">
        <f t="shared" si="468"/>
        <v>0</v>
      </c>
      <c r="AO584" s="109">
        <f t="shared" ref="AO584" si="476">SUM(AO102:AO111)</f>
        <v>737</v>
      </c>
      <c r="AP584" s="47">
        <f t="shared" si="468"/>
        <v>5715</v>
      </c>
      <c r="AQ584" s="45">
        <f t="shared" ref="AQ584" si="477">SUM(AQ102:AQ111)</f>
        <v>0</v>
      </c>
      <c r="AR584" s="95">
        <f t="shared" si="468"/>
        <v>0</v>
      </c>
      <c r="AS584" s="109">
        <f t="shared" ref="AS584" si="478">SUM(AS102:AS111)</f>
        <v>0</v>
      </c>
      <c r="AT584" s="47">
        <f t="shared" si="468"/>
        <v>0</v>
      </c>
      <c r="AU584" s="45">
        <f t="shared" ref="AU584:AV584" si="479">SUM(AU102:AU111)</f>
        <v>0</v>
      </c>
      <c r="AV584" s="109">
        <f t="shared" si="479"/>
        <v>0</v>
      </c>
      <c r="AW584" s="109">
        <f t="shared" si="468"/>
        <v>0</v>
      </c>
      <c r="AX584" s="45">
        <f t="shared" ref="AX584" si="480">SUM(AX102:AX111)</f>
        <v>0</v>
      </c>
      <c r="AY584" s="47">
        <f t="shared" si="468"/>
        <v>0</v>
      </c>
      <c r="AZ584" s="45">
        <f t="shared" si="468"/>
        <v>0</v>
      </c>
      <c r="BA584" s="95">
        <f t="shared" si="468"/>
        <v>0</v>
      </c>
      <c r="BB584" s="45">
        <f t="shared" ref="BB584" si="481">SUM(BB102:BB111)</f>
        <v>825</v>
      </c>
      <c r="BC584" s="47">
        <f>SUM(BC102:BC111)</f>
        <v>5529</v>
      </c>
      <c r="BD584" s="45">
        <f t="shared" ref="BD584" si="482">SUM(BD102:BD111)</f>
        <v>768</v>
      </c>
      <c r="BE584" s="95">
        <f>SUM(BE102:BE111)</f>
        <v>5573</v>
      </c>
      <c r="BF584" s="109">
        <f t="shared" ref="BF584" si="483">SUM(BF102:BF111)</f>
        <v>5550</v>
      </c>
      <c r="BG584" s="47">
        <f>SUM(BG102:BG111)</f>
        <v>763</v>
      </c>
      <c r="BH584" s="45">
        <f t="shared" ref="BH584" si="484">SUM(BH102:BH111)</f>
        <v>924</v>
      </c>
      <c r="BI584" s="47">
        <f>SUM(BI102:BI111)</f>
        <v>5374</v>
      </c>
      <c r="BJ584" s="109">
        <f t="shared" ref="BJ584:BK584" si="485">SUM(BJ102:BJ111)</f>
        <v>230</v>
      </c>
      <c r="BK584" s="43">
        <f t="shared" si="485"/>
        <v>715</v>
      </c>
      <c r="BL584" s="95">
        <f t="shared" si="468"/>
        <v>5458</v>
      </c>
      <c r="BM584" s="109">
        <f t="shared" ref="BM584:BN584" si="486">SUM(BM102:BM111)</f>
        <v>5555</v>
      </c>
      <c r="BN584" s="46">
        <f t="shared" si="486"/>
        <v>675</v>
      </c>
      <c r="BO584" s="47">
        <f t="shared" si="468"/>
        <v>168</v>
      </c>
      <c r="BP584" s="45">
        <f t="shared" ref="BP584" si="487">SUM(BP102:BP111)</f>
        <v>838</v>
      </c>
      <c r="BQ584" s="47">
        <f t="shared" ref="BQ584:BR584" si="488">SUM(BQ102:BQ111)</f>
        <v>5512</v>
      </c>
      <c r="BR584" s="45">
        <f t="shared" si="488"/>
        <v>5328</v>
      </c>
      <c r="BS584" s="47">
        <f t="shared" si="468"/>
        <v>1031</v>
      </c>
      <c r="BT584" s="45">
        <f t="shared" ref="BT584:BU584" si="489">SUM(BT102:BT111)</f>
        <v>717</v>
      </c>
      <c r="BU584" s="43">
        <f t="shared" si="489"/>
        <v>233</v>
      </c>
      <c r="BV584" s="95">
        <f t="shared" si="468"/>
        <v>5420</v>
      </c>
      <c r="BW584" s="109">
        <f t="shared" ref="BW584" si="490">SUM(BW102:BW111)</f>
        <v>5609</v>
      </c>
      <c r="BX584" s="47">
        <f t="shared" si="468"/>
        <v>807</v>
      </c>
      <c r="BY584" s="45">
        <f t="shared" ref="BY584" si="491">SUM(BY102:BY111)</f>
        <v>5527</v>
      </c>
      <c r="BZ584" s="95">
        <f t="shared" si="468"/>
        <v>757</v>
      </c>
      <c r="CA584" s="109">
        <f t="shared" ref="CA584" si="492">SUM(CA102:CA111)</f>
        <v>796</v>
      </c>
      <c r="CB584" s="47">
        <f t="shared" si="468"/>
        <v>5531</v>
      </c>
      <c r="CC584" s="47">
        <f t="shared" si="468"/>
        <v>2410</v>
      </c>
      <c r="CD584" s="44">
        <f t="shared" si="468"/>
        <v>5714</v>
      </c>
      <c r="CE584" s="109">
        <f t="shared" ref="CE584" si="493">SUM(CE102:CE111)</f>
        <v>1721</v>
      </c>
      <c r="CF584" s="43">
        <f>SUM(CF102:CF111)</f>
        <v>3730</v>
      </c>
      <c r="CG584" s="45">
        <f>SUM(CG102:CG111)</f>
        <v>1192</v>
      </c>
      <c r="CH584" s="46">
        <f t="shared" ref="CH584:CJ584" si="494">SUM(CH102:CH111)</f>
        <v>446</v>
      </c>
      <c r="CI584" s="46">
        <f t="shared" si="494"/>
        <v>3603</v>
      </c>
      <c r="CJ584" s="46">
        <f t="shared" si="494"/>
        <v>3965</v>
      </c>
      <c r="CK584" s="95">
        <f>SUM(CK102:CK111)</f>
        <v>1065</v>
      </c>
    </row>
    <row r="585" spans="1:89" ht="13" x14ac:dyDescent="0.25">
      <c r="A585" s="91"/>
      <c r="B585" s="92" t="s">
        <v>607</v>
      </c>
      <c r="C585" s="93">
        <f>SUM(C112)</f>
        <v>1389</v>
      </c>
      <c r="D585" s="93">
        <f>SUM(D112)</f>
        <v>489</v>
      </c>
      <c r="E585" s="89">
        <v>0.21352313167259787</v>
      </c>
      <c r="F585" s="45">
        <f t="shared" ref="F585:CD585" si="495">SUM(F112)</f>
        <v>0</v>
      </c>
      <c r="G585" s="109">
        <f t="shared" si="495"/>
        <v>0</v>
      </c>
      <c r="H585" s="109">
        <f t="shared" ref="H585:Q585" si="496">SUM(H112)</f>
        <v>0</v>
      </c>
      <c r="I585" s="109">
        <f t="shared" si="496"/>
        <v>1</v>
      </c>
      <c r="J585" s="109">
        <f t="shared" ref="J585:K585" si="497">SUM(J112)</f>
        <v>2</v>
      </c>
      <c r="K585" s="109">
        <f t="shared" si="497"/>
        <v>0</v>
      </c>
      <c r="L585" s="109">
        <f t="shared" si="496"/>
        <v>0</v>
      </c>
      <c r="M585" s="109">
        <f t="shared" si="496"/>
        <v>399</v>
      </c>
      <c r="N585" s="109">
        <f t="shared" si="496"/>
        <v>0</v>
      </c>
      <c r="O585" s="109">
        <f t="shared" si="496"/>
        <v>0</v>
      </c>
      <c r="P585" s="46">
        <f t="shared" si="496"/>
        <v>2</v>
      </c>
      <c r="Q585" s="46">
        <f t="shared" si="496"/>
        <v>0</v>
      </c>
      <c r="R585" s="46">
        <f t="shared" ref="R585" si="498">SUM(R112)</f>
        <v>74</v>
      </c>
      <c r="S585" s="47">
        <f t="shared" si="495"/>
        <v>0</v>
      </c>
      <c r="T585" s="45">
        <f>SUM(T112)</f>
        <v>386</v>
      </c>
      <c r="U585" s="47">
        <f t="shared" ref="U585:V585" si="499">SUM(U112)</f>
        <v>82</v>
      </c>
      <c r="V585" s="45">
        <f t="shared" si="499"/>
        <v>89</v>
      </c>
      <c r="W585" s="47">
        <f>SUM(W112)</f>
        <v>378</v>
      </c>
      <c r="X585" s="45">
        <f>SUM(X112)</f>
        <v>387</v>
      </c>
      <c r="Y585" s="47">
        <f>SUM(Y112)</f>
        <v>77</v>
      </c>
      <c r="Z585" s="109">
        <f t="shared" ref="Z585:AE585" si="500">SUM(Z112)</f>
        <v>392</v>
      </c>
      <c r="AA585" s="46">
        <f t="shared" si="500"/>
        <v>0</v>
      </c>
      <c r="AB585" s="46">
        <f t="shared" si="500"/>
        <v>20</v>
      </c>
      <c r="AC585" s="46">
        <f t="shared" si="500"/>
        <v>57</v>
      </c>
      <c r="AD585" s="46">
        <f t="shared" si="500"/>
        <v>0</v>
      </c>
      <c r="AE585" s="43">
        <f t="shared" si="500"/>
        <v>0</v>
      </c>
      <c r="AF585" s="95">
        <f t="shared" si="495"/>
        <v>0</v>
      </c>
      <c r="AG585" s="109">
        <f t="shared" ref="AG585" si="501">SUM(AG112)</f>
        <v>383</v>
      </c>
      <c r="AH585" s="47">
        <f t="shared" si="495"/>
        <v>77</v>
      </c>
      <c r="AI585" s="45">
        <f t="shared" si="495"/>
        <v>0</v>
      </c>
      <c r="AJ585" s="43">
        <f t="shared" si="495"/>
        <v>0</v>
      </c>
      <c r="AK585" s="45">
        <f t="shared" ref="AK585" si="502">SUM(AK112)</f>
        <v>0</v>
      </c>
      <c r="AL585" s="47">
        <f t="shared" si="495"/>
        <v>0</v>
      </c>
      <c r="AM585" s="45">
        <f t="shared" si="495"/>
        <v>378</v>
      </c>
      <c r="AN585" s="95">
        <f t="shared" si="495"/>
        <v>82</v>
      </c>
      <c r="AO585" s="109">
        <f t="shared" ref="AO585" si="503">SUM(AO112)</f>
        <v>0</v>
      </c>
      <c r="AP585" s="47">
        <f t="shared" si="495"/>
        <v>0</v>
      </c>
      <c r="AQ585" s="45">
        <f t="shared" ref="AQ585" si="504">SUM(AQ112)</f>
        <v>0</v>
      </c>
      <c r="AR585" s="95">
        <f t="shared" si="495"/>
        <v>0</v>
      </c>
      <c r="AS585" s="109">
        <f t="shared" ref="AS585" si="505">SUM(AS112)</f>
        <v>0</v>
      </c>
      <c r="AT585" s="47">
        <f t="shared" si="495"/>
        <v>0</v>
      </c>
      <c r="AU585" s="45">
        <f t="shared" ref="AU585:AV585" si="506">SUM(AU112)</f>
        <v>0</v>
      </c>
      <c r="AV585" s="109">
        <f t="shared" si="506"/>
        <v>0</v>
      </c>
      <c r="AW585" s="109">
        <f t="shared" si="495"/>
        <v>0</v>
      </c>
      <c r="AX585" s="45">
        <f t="shared" ref="AX585" si="507">SUM(AX112)</f>
        <v>0</v>
      </c>
      <c r="AY585" s="47">
        <f t="shared" si="495"/>
        <v>0</v>
      </c>
      <c r="AZ585" s="45">
        <f t="shared" si="495"/>
        <v>0</v>
      </c>
      <c r="BA585" s="95">
        <f t="shared" si="495"/>
        <v>0</v>
      </c>
      <c r="BB585" s="45">
        <f t="shared" ref="BB585" si="508">SUM(BB112)</f>
        <v>89</v>
      </c>
      <c r="BC585" s="47">
        <f>SUM(BC112)</f>
        <v>369</v>
      </c>
      <c r="BD585" s="45">
        <f t="shared" ref="BD585" si="509">SUM(BD112)</f>
        <v>78</v>
      </c>
      <c r="BE585" s="95">
        <f>SUM(BE112)</f>
        <v>376</v>
      </c>
      <c r="BF585" s="109">
        <f t="shared" ref="BF585" si="510">SUM(BF112)</f>
        <v>364</v>
      </c>
      <c r="BG585" s="47">
        <f>SUM(BG112)</f>
        <v>88</v>
      </c>
      <c r="BH585" s="45">
        <f t="shared" ref="BH585" si="511">SUM(BH112)</f>
        <v>95</v>
      </c>
      <c r="BI585" s="47">
        <f>SUM(BI112)</f>
        <v>359</v>
      </c>
      <c r="BJ585" s="109">
        <f t="shared" ref="BJ585:BK585" si="512">SUM(BJ112)</f>
        <v>13</v>
      </c>
      <c r="BK585" s="43">
        <f t="shared" si="512"/>
        <v>69</v>
      </c>
      <c r="BL585" s="95">
        <f t="shared" si="495"/>
        <v>376</v>
      </c>
      <c r="BM585" s="109">
        <f t="shared" ref="BM585:BN585" si="513">SUM(BM112)</f>
        <v>375</v>
      </c>
      <c r="BN585" s="46">
        <f t="shared" si="513"/>
        <v>71</v>
      </c>
      <c r="BO585" s="47">
        <f t="shared" si="495"/>
        <v>11</v>
      </c>
      <c r="BP585" s="45">
        <f t="shared" ref="BP585" si="514">SUM(BP112)</f>
        <v>82</v>
      </c>
      <c r="BQ585" s="47">
        <f t="shared" ref="BQ585:BR585" si="515">SUM(BQ112)</f>
        <v>371</v>
      </c>
      <c r="BR585" s="45">
        <f t="shared" si="515"/>
        <v>343</v>
      </c>
      <c r="BS585" s="47">
        <f t="shared" si="495"/>
        <v>117</v>
      </c>
      <c r="BT585" s="45">
        <f t="shared" ref="BT585:BU585" si="516">SUM(BT112)</f>
        <v>79</v>
      </c>
      <c r="BU585" s="43">
        <f t="shared" si="516"/>
        <v>18</v>
      </c>
      <c r="BV585" s="95">
        <f t="shared" si="495"/>
        <v>353</v>
      </c>
      <c r="BW585" s="109">
        <f t="shared" ref="BW585" si="517">SUM(BW112)</f>
        <v>380</v>
      </c>
      <c r="BX585" s="47">
        <f t="shared" si="495"/>
        <v>84</v>
      </c>
      <c r="BY585" s="45">
        <f t="shared" ref="BY585" si="518">SUM(BY112)</f>
        <v>372</v>
      </c>
      <c r="BZ585" s="95">
        <f t="shared" si="495"/>
        <v>80</v>
      </c>
      <c r="CA585" s="109">
        <f t="shared" ref="CA585" si="519">SUM(CA112)</f>
        <v>83</v>
      </c>
      <c r="CB585" s="47">
        <f t="shared" si="495"/>
        <v>367</v>
      </c>
      <c r="CC585" s="47">
        <f t="shared" si="495"/>
        <v>194</v>
      </c>
      <c r="CD585" s="44">
        <f t="shared" si="495"/>
        <v>414</v>
      </c>
      <c r="CE585" s="109">
        <f t="shared" ref="CE585" si="520">SUM(CE112)</f>
        <v>153</v>
      </c>
      <c r="CF585" s="43">
        <f>SUM(CF112)</f>
        <v>219</v>
      </c>
      <c r="CG585" s="45">
        <f>SUM(CG112)</f>
        <v>115</v>
      </c>
      <c r="CH585" s="46">
        <f t="shared" ref="CH585:CJ585" si="521">SUM(CH112)</f>
        <v>42</v>
      </c>
      <c r="CI585" s="46">
        <f t="shared" si="521"/>
        <v>174</v>
      </c>
      <c r="CJ585" s="46">
        <f t="shared" si="521"/>
        <v>214</v>
      </c>
      <c r="CK585" s="95">
        <f>SUM(CK112)</f>
        <v>124</v>
      </c>
    </row>
    <row r="586" spans="1:89" ht="13" x14ac:dyDescent="0.25">
      <c r="A586" s="91"/>
      <c r="B586" s="92" t="s">
        <v>608</v>
      </c>
      <c r="C586" s="93">
        <f>SUM(C113:C115)</f>
        <v>4322</v>
      </c>
      <c r="D586" s="93">
        <f>SUM(D113:D115)</f>
        <v>1986</v>
      </c>
      <c r="E586" s="89">
        <v>0.31101362271992611</v>
      </c>
      <c r="F586" s="45">
        <f t="shared" ref="F586:CD586" si="522">SUM(F113:F115)</f>
        <v>0</v>
      </c>
      <c r="G586" s="109">
        <f t="shared" si="522"/>
        <v>0</v>
      </c>
      <c r="H586" s="109">
        <f t="shared" ref="H586:Q586" si="523">SUM(H113:H115)</f>
        <v>0</v>
      </c>
      <c r="I586" s="109">
        <f t="shared" si="523"/>
        <v>0</v>
      </c>
      <c r="J586" s="109">
        <f t="shared" ref="J586:K586" si="524">SUM(J113:J115)</f>
        <v>5</v>
      </c>
      <c r="K586" s="109">
        <f t="shared" si="524"/>
        <v>0</v>
      </c>
      <c r="L586" s="109">
        <f t="shared" si="523"/>
        <v>0</v>
      </c>
      <c r="M586" s="109">
        <f t="shared" si="523"/>
        <v>1727</v>
      </c>
      <c r="N586" s="109">
        <f t="shared" si="523"/>
        <v>0</v>
      </c>
      <c r="O586" s="109">
        <f t="shared" si="523"/>
        <v>0</v>
      </c>
      <c r="P586" s="46">
        <f t="shared" si="523"/>
        <v>12</v>
      </c>
      <c r="Q586" s="46">
        <f t="shared" si="523"/>
        <v>1</v>
      </c>
      <c r="R586" s="46">
        <f t="shared" ref="R586" si="525">SUM(R113:R115)</f>
        <v>194</v>
      </c>
      <c r="S586" s="47">
        <f t="shared" si="522"/>
        <v>1</v>
      </c>
      <c r="T586" s="45">
        <f>SUM(T113:T115)</f>
        <v>1674</v>
      </c>
      <c r="U586" s="47">
        <f t="shared" ref="U586:V586" si="526">SUM(U113:U115)</f>
        <v>222</v>
      </c>
      <c r="V586" s="45">
        <f t="shared" si="526"/>
        <v>245</v>
      </c>
      <c r="W586" s="47">
        <f>SUM(W113:W115)</f>
        <v>1659</v>
      </c>
      <c r="X586" s="45">
        <f>SUM(X113:X115)</f>
        <v>1667</v>
      </c>
      <c r="Y586" s="47">
        <f>SUM(Y113:Y115)</f>
        <v>206</v>
      </c>
      <c r="Z586" s="109">
        <f t="shared" ref="Z586:AE586" si="527">SUM(Z113:Z115)</f>
        <v>1674</v>
      </c>
      <c r="AA586" s="46">
        <f t="shared" si="527"/>
        <v>0</v>
      </c>
      <c r="AB586" s="46">
        <f t="shared" si="527"/>
        <v>72</v>
      </c>
      <c r="AC586" s="46">
        <f t="shared" si="527"/>
        <v>172</v>
      </c>
      <c r="AD586" s="46">
        <f t="shared" si="527"/>
        <v>0</v>
      </c>
      <c r="AE586" s="43">
        <f t="shared" si="527"/>
        <v>0</v>
      </c>
      <c r="AF586" s="95">
        <f t="shared" si="522"/>
        <v>0</v>
      </c>
      <c r="AG586" s="109">
        <f t="shared" ref="AG586" si="528">SUM(AG113:AG115)</f>
        <v>1686</v>
      </c>
      <c r="AH586" s="47">
        <f t="shared" si="522"/>
        <v>206</v>
      </c>
      <c r="AI586" s="45">
        <f t="shared" si="522"/>
        <v>0</v>
      </c>
      <c r="AJ586" s="43">
        <f t="shared" si="522"/>
        <v>0</v>
      </c>
      <c r="AK586" s="45">
        <f t="shared" ref="AK586" si="529">SUM(AK113:AK115)</f>
        <v>0</v>
      </c>
      <c r="AL586" s="47">
        <f t="shared" si="522"/>
        <v>0</v>
      </c>
      <c r="AM586" s="45">
        <f t="shared" si="522"/>
        <v>1679</v>
      </c>
      <c r="AN586" s="95">
        <f t="shared" si="522"/>
        <v>191</v>
      </c>
      <c r="AO586" s="109">
        <f t="shared" ref="AO586" si="530">SUM(AO113:AO115)</f>
        <v>0</v>
      </c>
      <c r="AP586" s="47">
        <f t="shared" si="522"/>
        <v>0</v>
      </c>
      <c r="AQ586" s="45">
        <f t="shared" ref="AQ586" si="531">SUM(AQ113:AQ115)</f>
        <v>0</v>
      </c>
      <c r="AR586" s="95">
        <f t="shared" si="522"/>
        <v>0</v>
      </c>
      <c r="AS586" s="109">
        <f t="shared" ref="AS586" si="532">SUM(AS113:AS115)</f>
        <v>0</v>
      </c>
      <c r="AT586" s="47">
        <f t="shared" si="522"/>
        <v>0</v>
      </c>
      <c r="AU586" s="45">
        <f t="shared" ref="AU586:AV586" si="533">SUM(AU113:AU115)</f>
        <v>0</v>
      </c>
      <c r="AV586" s="109">
        <f t="shared" si="533"/>
        <v>0</v>
      </c>
      <c r="AW586" s="109">
        <f t="shared" si="522"/>
        <v>0</v>
      </c>
      <c r="AX586" s="45">
        <f t="shared" ref="AX586" si="534">SUM(AX113:AX115)</f>
        <v>0</v>
      </c>
      <c r="AY586" s="47">
        <f t="shared" si="522"/>
        <v>0</v>
      </c>
      <c r="AZ586" s="45">
        <f t="shared" si="522"/>
        <v>0</v>
      </c>
      <c r="BA586" s="95">
        <f t="shared" si="522"/>
        <v>0</v>
      </c>
      <c r="BB586" s="45">
        <f t="shared" ref="BB586" si="535">SUM(BB113:BB115)</f>
        <v>219</v>
      </c>
      <c r="BC586" s="47">
        <f>SUM(BC113:BC115)</f>
        <v>1626</v>
      </c>
      <c r="BD586" s="45">
        <f t="shared" ref="BD586" si="536">SUM(BD113:BD115)</f>
        <v>189</v>
      </c>
      <c r="BE586" s="95">
        <f>SUM(BE113:BE115)</f>
        <v>1648</v>
      </c>
      <c r="BF586" s="109">
        <f t="shared" ref="BF586" si="537">SUM(BF113:BF115)</f>
        <v>1615</v>
      </c>
      <c r="BG586" s="47">
        <f>SUM(BG113:BG115)</f>
        <v>219</v>
      </c>
      <c r="BH586" s="45">
        <f t="shared" ref="BH586" si="538">SUM(BH113:BH115)</f>
        <v>224</v>
      </c>
      <c r="BI586" s="47">
        <f>SUM(BI113:BI115)</f>
        <v>1591</v>
      </c>
      <c r="BJ586" s="109">
        <f t="shared" ref="BJ586:BK586" si="539">SUM(BJ113:BJ115)</f>
        <v>73</v>
      </c>
      <c r="BK586" s="43">
        <f t="shared" si="539"/>
        <v>166</v>
      </c>
      <c r="BL586" s="95">
        <f t="shared" si="522"/>
        <v>1637</v>
      </c>
      <c r="BM586" s="109">
        <f t="shared" ref="BM586:BN586" si="540">SUM(BM113:BM115)</f>
        <v>1622</v>
      </c>
      <c r="BN586" s="46">
        <f t="shared" si="540"/>
        <v>174</v>
      </c>
      <c r="BO586" s="47">
        <f t="shared" si="522"/>
        <v>63</v>
      </c>
      <c r="BP586" s="45">
        <f t="shared" ref="BP586" si="541">SUM(BP113:BP115)</f>
        <v>209</v>
      </c>
      <c r="BQ586" s="47">
        <f t="shared" ref="BQ586:BR586" si="542">SUM(BQ113:BQ115)</f>
        <v>1626</v>
      </c>
      <c r="BR586" s="45">
        <f t="shared" si="542"/>
        <v>1561</v>
      </c>
      <c r="BS586" s="47">
        <f t="shared" si="522"/>
        <v>297</v>
      </c>
      <c r="BT586" s="45">
        <f t="shared" ref="BT586:BU586" si="543">SUM(BT113:BT115)</f>
        <v>189</v>
      </c>
      <c r="BU586" s="43">
        <f t="shared" si="543"/>
        <v>73</v>
      </c>
      <c r="BV586" s="95">
        <f t="shared" si="522"/>
        <v>1590</v>
      </c>
      <c r="BW586" s="109">
        <f t="shared" ref="BW586" si="544">SUM(BW113:BW115)</f>
        <v>1669</v>
      </c>
      <c r="BX586" s="47">
        <f t="shared" si="522"/>
        <v>212</v>
      </c>
      <c r="BY586" s="45">
        <f t="shared" ref="BY586" si="545">SUM(BY113:BY115)</f>
        <v>1638</v>
      </c>
      <c r="BZ586" s="95">
        <f t="shared" si="522"/>
        <v>193</v>
      </c>
      <c r="CA586" s="109">
        <f t="shared" ref="CA586" si="546">SUM(CA113:CA115)</f>
        <v>214</v>
      </c>
      <c r="CB586" s="47">
        <f t="shared" si="522"/>
        <v>1634</v>
      </c>
      <c r="CC586" s="47">
        <f t="shared" si="522"/>
        <v>675</v>
      </c>
      <c r="CD586" s="44">
        <f t="shared" si="522"/>
        <v>1697</v>
      </c>
      <c r="CE586" s="109">
        <f t="shared" ref="CE586" si="547">SUM(CE113:CE115)</f>
        <v>623</v>
      </c>
      <c r="CF586" s="43">
        <f>SUM(CF113:CF115)</f>
        <v>924</v>
      </c>
      <c r="CG586" s="45">
        <f>SUM(CG113:CG115)</f>
        <v>409</v>
      </c>
      <c r="CH586" s="46">
        <f t="shared" ref="CH586:CJ586" si="548">SUM(CH113:CH115)</f>
        <v>122</v>
      </c>
      <c r="CI586" s="46">
        <f t="shared" si="548"/>
        <v>924</v>
      </c>
      <c r="CJ586" s="46">
        <f t="shared" si="548"/>
        <v>970</v>
      </c>
      <c r="CK586" s="95">
        <f>SUM(CK113:CK115)</f>
        <v>344</v>
      </c>
    </row>
    <row r="587" spans="1:89" ht="13" x14ac:dyDescent="0.25">
      <c r="A587" s="91"/>
      <c r="B587" s="92" t="s">
        <v>609</v>
      </c>
      <c r="C587" s="93">
        <f>SUM(C116:C117)</f>
        <v>1781</v>
      </c>
      <c r="D587" s="93">
        <f>SUM(D116:D117)</f>
        <v>648</v>
      </c>
      <c r="E587" s="89">
        <v>0.22276422764227644</v>
      </c>
      <c r="F587" s="45">
        <f t="shared" ref="F587:CD587" si="549">SUM(F116:F117)</f>
        <v>0</v>
      </c>
      <c r="G587" s="109">
        <f t="shared" si="549"/>
        <v>0</v>
      </c>
      <c r="H587" s="109">
        <f t="shared" ref="H587:Q587" si="550">SUM(H116:H117)</f>
        <v>0</v>
      </c>
      <c r="I587" s="109">
        <f t="shared" si="550"/>
        <v>2</v>
      </c>
      <c r="J587" s="109">
        <f t="shared" ref="J587:K587" si="551">SUM(J116:J117)</f>
        <v>5</v>
      </c>
      <c r="K587" s="109">
        <f t="shared" si="551"/>
        <v>0</v>
      </c>
      <c r="L587" s="109">
        <f t="shared" si="550"/>
        <v>0</v>
      </c>
      <c r="M587" s="109">
        <f t="shared" si="550"/>
        <v>569</v>
      </c>
      <c r="N587" s="109">
        <f t="shared" si="550"/>
        <v>0</v>
      </c>
      <c r="O587" s="109">
        <f t="shared" si="550"/>
        <v>0</v>
      </c>
      <c r="P587" s="46">
        <f t="shared" si="550"/>
        <v>1</v>
      </c>
      <c r="Q587" s="46">
        <f t="shared" si="550"/>
        <v>0</v>
      </c>
      <c r="R587" s="46">
        <f t="shared" ref="R587" si="552">SUM(R116:R117)</f>
        <v>60</v>
      </c>
      <c r="S587" s="47">
        <f t="shared" si="549"/>
        <v>0</v>
      </c>
      <c r="T587" s="45">
        <f>SUM(T116:T117)</f>
        <v>546</v>
      </c>
      <c r="U587" s="47">
        <f t="shared" ref="U587:V587" si="553">SUM(U116:U117)</f>
        <v>75</v>
      </c>
      <c r="V587" s="45">
        <f t="shared" si="553"/>
        <v>81</v>
      </c>
      <c r="W587" s="47">
        <f>SUM(W116:W117)</f>
        <v>533</v>
      </c>
      <c r="X587" s="45">
        <f>SUM(X116:X117)</f>
        <v>555</v>
      </c>
      <c r="Y587" s="47">
        <f>SUM(Y116:Y117)</f>
        <v>50</v>
      </c>
      <c r="Z587" s="109">
        <f t="shared" ref="Z587:AE587" si="554">SUM(Z116:Z117)</f>
        <v>549</v>
      </c>
      <c r="AA587" s="46">
        <f t="shared" si="554"/>
        <v>0</v>
      </c>
      <c r="AB587" s="46">
        <f t="shared" si="554"/>
        <v>30</v>
      </c>
      <c r="AC587" s="46">
        <f t="shared" si="554"/>
        <v>49</v>
      </c>
      <c r="AD587" s="46">
        <f t="shared" si="554"/>
        <v>0</v>
      </c>
      <c r="AE587" s="43">
        <f t="shared" si="554"/>
        <v>0</v>
      </c>
      <c r="AF587" s="95">
        <f t="shared" si="549"/>
        <v>0</v>
      </c>
      <c r="AG587" s="109">
        <f t="shared" ref="AG587" si="555">SUM(AG116:AG117)</f>
        <v>557</v>
      </c>
      <c r="AH587" s="47">
        <f t="shared" si="549"/>
        <v>54</v>
      </c>
      <c r="AI587" s="45">
        <f t="shared" si="549"/>
        <v>0</v>
      </c>
      <c r="AJ587" s="43">
        <f t="shared" si="549"/>
        <v>0</v>
      </c>
      <c r="AK587" s="45">
        <f t="shared" ref="AK587" si="556">SUM(AK116:AK117)</f>
        <v>0</v>
      </c>
      <c r="AL587" s="47">
        <f t="shared" si="549"/>
        <v>0</v>
      </c>
      <c r="AM587" s="45">
        <f t="shared" si="549"/>
        <v>555</v>
      </c>
      <c r="AN587" s="95">
        <f t="shared" si="549"/>
        <v>57</v>
      </c>
      <c r="AO587" s="109">
        <f t="shared" ref="AO587" si="557">SUM(AO116:AO117)</f>
        <v>0</v>
      </c>
      <c r="AP587" s="47">
        <f t="shared" si="549"/>
        <v>0</v>
      </c>
      <c r="AQ587" s="45">
        <f t="shared" ref="AQ587" si="558">SUM(AQ116:AQ117)</f>
        <v>0</v>
      </c>
      <c r="AR587" s="95">
        <f t="shared" si="549"/>
        <v>0</v>
      </c>
      <c r="AS587" s="109">
        <f t="shared" ref="AS587" si="559">SUM(AS116:AS117)</f>
        <v>0</v>
      </c>
      <c r="AT587" s="47">
        <f t="shared" si="549"/>
        <v>0</v>
      </c>
      <c r="AU587" s="45">
        <f t="shared" ref="AU587:AV587" si="560">SUM(AU116:AU117)</f>
        <v>0</v>
      </c>
      <c r="AV587" s="109">
        <f t="shared" si="560"/>
        <v>0</v>
      </c>
      <c r="AW587" s="109">
        <f t="shared" si="549"/>
        <v>0</v>
      </c>
      <c r="AX587" s="45">
        <f t="shared" ref="AX587" si="561">SUM(AX116:AX117)</f>
        <v>0</v>
      </c>
      <c r="AY587" s="47">
        <f t="shared" si="549"/>
        <v>0</v>
      </c>
      <c r="AZ587" s="45">
        <f t="shared" si="549"/>
        <v>0</v>
      </c>
      <c r="BA587" s="95">
        <f t="shared" si="549"/>
        <v>0</v>
      </c>
      <c r="BB587" s="45">
        <f t="shared" ref="BB587" si="562">SUM(BB116:BB117)</f>
        <v>59</v>
      </c>
      <c r="BC587" s="47">
        <f>SUM(BC116:BC117)</f>
        <v>544</v>
      </c>
      <c r="BD587" s="45">
        <f t="shared" ref="BD587" si="563">SUM(BD116:BD117)</f>
        <v>56</v>
      </c>
      <c r="BE587" s="95">
        <f>SUM(BE116:BE117)</f>
        <v>545</v>
      </c>
      <c r="BF587" s="109">
        <f t="shared" ref="BF587" si="564">SUM(BF116:BF117)</f>
        <v>543</v>
      </c>
      <c r="BG587" s="47">
        <f>SUM(BG116:BG117)</f>
        <v>58</v>
      </c>
      <c r="BH587" s="45">
        <f t="shared" ref="BH587" si="565">SUM(BH116:BH117)</f>
        <v>63</v>
      </c>
      <c r="BI587" s="47">
        <f>SUM(BI116:BI117)</f>
        <v>531</v>
      </c>
      <c r="BJ587" s="109">
        <f t="shared" ref="BJ587:BK587" si="566">SUM(BJ116:BJ117)</f>
        <v>27</v>
      </c>
      <c r="BK587" s="43">
        <f t="shared" si="566"/>
        <v>42</v>
      </c>
      <c r="BL587" s="95">
        <f t="shared" si="549"/>
        <v>547</v>
      </c>
      <c r="BM587" s="109">
        <f t="shared" ref="BM587:BN587" si="567">SUM(BM116:BM117)</f>
        <v>531</v>
      </c>
      <c r="BN587" s="46">
        <f t="shared" si="567"/>
        <v>46</v>
      </c>
      <c r="BO587" s="47">
        <f t="shared" si="549"/>
        <v>21</v>
      </c>
      <c r="BP587" s="45">
        <f t="shared" ref="BP587" si="568">SUM(BP116:BP117)</f>
        <v>54</v>
      </c>
      <c r="BQ587" s="47">
        <f t="shared" ref="BQ587:BR587" si="569">SUM(BQ116:BQ117)</f>
        <v>544</v>
      </c>
      <c r="BR587" s="45">
        <f t="shared" si="569"/>
        <v>522</v>
      </c>
      <c r="BS587" s="47">
        <f t="shared" si="549"/>
        <v>87</v>
      </c>
      <c r="BT587" s="45">
        <f t="shared" ref="BT587:BU587" si="570">SUM(BT116:BT117)</f>
        <v>48</v>
      </c>
      <c r="BU587" s="43">
        <f t="shared" si="570"/>
        <v>32</v>
      </c>
      <c r="BV587" s="95">
        <f t="shared" si="549"/>
        <v>525</v>
      </c>
      <c r="BW587" s="109">
        <f t="shared" ref="BW587" si="571">SUM(BW116:BW117)</f>
        <v>547</v>
      </c>
      <c r="BX587" s="47">
        <f t="shared" si="549"/>
        <v>62</v>
      </c>
      <c r="BY587" s="45">
        <f t="shared" ref="BY587" si="572">SUM(BY116:BY117)</f>
        <v>545</v>
      </c>
      <c r="BZ587" s="95">
        <f t="shared" si="549"/>
        <v>56</v>
      </c>
      <c r="CA587" s="109">
        <f t="shared" ref="CA587" si="573">SUM(CA116:CA117)</f>
        <v>51</v>
      </c>
      <c r="CB587" s="47">
        <f t="shared" si="549"/>
        <v>551</v>
      </c>
      <c r="CC587" s="47">
        <f t="shared" si="549"/>
        <v>201</v>
      </c>
      <c r="CD587" s="44">
        <f t="shared" si="549"/>
        <v>564</v>
      </c>
      <c r="CE587" s="109">
        <f t="shared" ref="CE587" si="574">SUM(CE116:CE117)</f>
        <v>213</v>
      </c>
      <c r="CF587" s="43">
        <f>SUM(CF116:CF117)</f>
        <v>300</v>
      </c>
      <c r="CG587" s="45">
        <f>SUM(CG116:CG117)</f>
        <v>135</v>
      </c>
      <c r="CH587" s="46">
        <f t="shared" ref="CH587:CJ587" si="575">SUM(CH116:CH117)</f>
        <v>42</v>
      </c>
      <c r="CI587" s="46">
        <f t="shared" si="575"/>
        <v>271</v>
      </c>
      <c r="CJ587" s="46">
        <f t="shared" si="575"/>
        <v>289</v>
      </c>
      <c r="CK587" s="95">
        <f>SUM(CK116:CK117)</f>
        <v>140</v>
      </c>
    </row>
    <row r="588" spans="1:89" ht="13" x14ac:dyDescent="0.25">
      <c r="A588" s="91"/>
      <c r="B588" s="92" t="s">
        <v>610</v>
      </c>
      <c r="C588" s="93">
        <f>SUM(C118:C121)</f>
        <v>4060</v>
      </c>
      <c r="D588" s="93">
        <f>SUM(D118:D121)</f>
        <v>2384</v>
      </c>
      <c r="E588" s="89">
        <v>0.42171654711847639</v>
      </c>
      <c r="F588" s="45">
        <f t="shared" ref="F588:CD588" si="576">SUM(F118:F121)</f>
        <v>0</v>
      </c>
      <c r="G588" s="109">
        <f t="shared" si="576"/>
        <v>0</v>
      </c>
      <c r="H588" s="109">
        <f t="shared" ref="H588:Q588" si="577">SUM(H118:H121)</f>
        <v>0</v>
      </c>
      <c r="I588" s="109">
        <f t="shared" si="577"/>
        <v>0</v>
      </c>
      <c r="J588" s="109">
        <f t="shared" ref="J588:K588" si="578">SUM(J118:J121)</f>
        <v>7</v>
      </c>
      <c r="K588" s="109">
        <f t="shared" si="578"/>
        <v>0</v>
      </c>
      <c r="L588" s="109">
        <f t="shared" si="577"/>
        <v>0</v>
      </c>
      <c r="M588" s="109">
        <f t="shared" si="577"/>
        <v>872</v>
      </c>
      <c r="N588" s="109">
        <f t="shared" si="577"/>
        <v>0</v>
      </c>
      <c r="O588" s="109">
        <f t="shared" si="577"/>
        <v>0</v>
      </c>
      <c r="P588" s="46">
        <f t="shared" si="577"/>
        <v>17</v>
      </c>
      <c r="Q588" s="46">
        <f t="shared" si="577"/>
        <v>0</v>
      </c>
      <c r="R588" s="46">
        <f t="shared" ref="R588" si="579">SUM(R118:R121)</f>
        <v>1458</v>
      </c>
      <c r="S588" s="47">
        <f t="shared" si="576"/>
        <v>0</v>
      </c>
      <c r="T588" s="45">
        <f>SUM(T118:T121)</f>
        <v>857</v>
      </c>
      <c r="U588" s="47">
        <f t="shared" ref="U588:V588" si="580">SUM(U118:U121)</f>
        <v>1423</v>
      </c>
      <c r="V588" s="45">
        <f t="shared" si="580"/>
        <v>1493</v>
      </c>
      <c r="W588" s="47">
        <f>SUM(W118:W121)</f>
        <v>810</v>
      </c>
      <c r="X588" s="45">
        <f>SUM(X118:X121)</f>
        <v>888</v>
      </c>
      <c r="Y588" s="47">
        <f>SUM(Y118:Y121)</f>
        <v>1360</v>
      </c>
      <c r="Z588" s="109">
        <f t="shared" ref="Z588:AE588" si="581">SUM(Z118:Z121)</f>
        <v>915</v>
      </c>
      <c r="AA588" s="46">
        <f t="shared" si="581"/>
        <v>0</v>
      </c>
      <c r="AB588" s="46">
        <f t="shared" si="581"/>
        <v>110</v>
      </c>
      <c r="AC588" s="46">
        <f t="shared" si="581"/>
        <v>1315</v>
      </c>
      <c r="AD588" s="46">
        <f t="shared" si="581"/>
        <v>0</v>
      </c>
      <c r="AE588" s="43">
        <f t="shared" si="581"/>
        <v>0</v>
      </c>
      <c r="AF588" s="95">
        <f t="shared" si="576"/>
        <v>1</v>
      </c>
      <c r="AG588" s="109">
        <f t="shared" ref="AG588" si="582">SUM(AG118:AG121)</f>
        <v>992</v>
      </c>
      <c r="AH588" s="47">
        <f t="shared" si="576"/>
        <v>1288</v>
      </c>
      <c r="AI588" s="45">
        <f t="shared" si="576"/>
        <v>0</v>
      </c>
      <c r="AJ588" s="43">
        <f t="shared" si="576"/>
        <v>0</v>
      </c>
      <c r="AK588" s="45">
        <f t="shared" ref="AK588" si="583">SUM(AK118:AK121)</f>
        <v>0</v>
      </c>
      <c r="AL588" s="47">
        <f t="shared" si="576"/>
        <v>0</v>
      </c>
      <c r="AM588" s="45">
        <f t="shared" si="576"/>
        <v>841</v>
      </c>
      <c r="AN588" s="95">
        <f t="shared" si="576"/>
        <v>1390</v>
      </c>
      <c r="AO588" s="109">
        <f t="shared" ref="AO588" si="584">SUM(AO118:AO121)</f>
        <v>0</v>
      </c>
      <c r="AP588" s="47">
        <f t="shared" si="576"/>
        <v>0</v>
      </c>
      <c r="AQ588" s="45">
        <f t="shared" ref="AQ588" si="585">SUM(AQ118:AQ121)</f>
        <v>0</v>
      </c>
      <c r="AR588" s="95">
        <f t="shared" si="576"/>
        <v>0</v>
      </c>
      <c r="AS588" s="109">
        <f t="shared" ref="AS588" si="586">SUM(AS118:AS121)</f>
        <v>0</v>
      </c>
      <c r="AT588" s="47">
        <f t="shared" si="576"/>
        <v>0</v>
      </c>
      <c r="AU588" s="45">
        <f t="shared" ref="AU588:AV588" si="587">SUM(AU118:AU121)</f>
        <v>0</v>
      </c>
      <c r="AV588" s="109">
        <f t="shared" si="587"/>
        <v>0</v>
      </c>
      <c r="AW588" s="109">
        <f t="shared" si="576"/>
        <v>0</v>
      </c>
      <c r="AX588" s="45">
        <f t="shared" ref="AX588" si="588">SUM(AX118:AX121)</f>
        <v>0</v>
      </c>
      <c r="AY588" s="47">
        <f t="shared" si="576"/>
        <v>0</v>
      </c>
      <c r="AZ588" s="45">
        <f t="shared" si="576"/>
        <v>0</v>
      </c>
      <c r="BA588" s="95">
        <f t="shared" si="576"/>
        <v>0</v>
      </c>
      <c r="BB588" s="45">
        <f t="shared" ref="BB588" si="589">SUM(BB118:BB121)</f>
        <v>1406</v>
      </c>
      <c r="BC588" s="47">
        <f>SUM(BC118:BC121)</f>
        <v>823</v>
      </c>
      <c r="BD588" s="45">
        <f t="shared" ref="BD588" si="590">SUM(BD118:BD121)</f>
        <v>1356</v>
      </c>
      <c r="BE588" s="95">
        <f>SUM(BE118:BE121)</f>
        <v>864</v>
      </c>
      <c r="BF588" s="109">
        <f t="shared" ref="BF588" si="591">SUM(BF118:BF121)</f>
        <v>833</v>
      </c>
      <c r="BG588" s="47">
        <f>SUM(BG118:BG121)</f>
        <v>1371</v>
      </c>
      <c r="BH588" s="45">
        <f t="shared" ref="BH588" si="592">SUM(BH118:BH121)</f>
        <v>1447</v>
      </c>
      <c r="BI588" s="47">
        <f>SUM(BI118:BI121)</f>
        <v>770</v>
      </c>
      <c r="BJ588" s="109">
        <f t="shared" ref="BJ588:BK588" si="593">SUM(BJ118:BJ121)</f>
        <v>137</v>
      </c>
      <c r="BK588" s="43">
        <f t="shared" si="593"/>
        <v>1264</v>
      </c>
      <c r="BL588" s="95">
        <f t="shared" si="576"/>
        <v>844</v>
      </c>
      <c r="BM588" s="109">
        <f t="shared" ref="BM588:BN588" si="594">SUM(BM118:BM121)</f>
        <v>906</v>
      </c>
      <c r="BN588" s="46">
        <f t="shared" si="594"/>
        <v>1249</v>
      </c>
      <c r="BO588" s="47">
        <f t="shared" si="576"/>
        <v>94</v>
      </c>
      <c r="BP588" s="45">
        <f t="shared" ref="BP588" si="595">SUM(BP118:BP121)</f>
        <v>1386</v>
      </c>
      <c r="BQ588" s="47">
        <f t="shared" ref="BQ588:BR588" si="596">SUM(BQ118:BQ121)</f>
        <v>833</v>
      </c>
      <c r="BR588" s="45">
        <f t="shared" si="596"/>
        <v>770</v>
      </c>
      <c r="BS588" s="47">
        <f t="shared" si="576"/>
        <v>1489</v>
      </c>
      <c r="BT588" s="45">
        <f t="shared" ref="BT588:BU588" si="597">SUM(BT118:BT121)</f>
        <v>1317</v>
      </c>
      <c r="BU588" s="43">
        <f t="shared" si="597"/>
        <v>115</v>
      </c>
      <c r="BV588" s="95">
        <f t="shared" si="576"/>
        <v>784</v>
      </c>
      <c r="BW588" s="109">
        <f t="shared" ref="BW588" si="598">SUM(BW118:BW121)</f>
        <v>811</v>
      </c>
      <c r="BX588" s="47">
        <f t="shared" si="576"/>
        <v>1501</v>
      </c>
      <c r="BY588" s="45">
        <f t="shared" ref="BY588" si="599">SUM(BY118:BY121)</f>
        <v>872</v>
      </c>
      <c r="BZ588" s="95">
        <f t="shared" si="576"/>
        <v>1321</v>
      </c>
      <c r="CA588" s="109">
        <f t="shared" ref="CA588" si="600">SUM(CA118:CA121)</f>
        <v>1327</v>
      </c>
      <c r="CB588" s="47">
        <f t="shared" si="576"/>
        <v>874</v>
      </c>
      <c r="CC588" s="47">
        <f t="shared" si="576"/>
        <v>1704</v>
      </c>
      <c r="CD588" s="44">
        <f t="shared" si="576"/>
        <v>1501</v>
      </c>
      <c r="CE588" s="109">
        <f t="shared" ref="CE588" si="601">SUM(CE118:CE121)</f>
        <v>1104</v>
      </c>
      <c r="CF588" s="43">
        <f>SUM(CF118:CF121)</f>
        <v>762</v>
      </c>
      <c r="CG588" s="45">
        <f>SUM(CG118:CG121)</f>
        <v>619</v>
      </c>
      <c r="CH588" s="46">
        <f t="shared" ref="CH588:CJ588" si="602">SUM(CH118:CH121)</f>
        <v>728</v>
      </c>
      <c r="CI588" s="46">
        <f t="shared" si="602"/>
        <v>399</v>
      </c>
      <c r="CJ588" s="46">
        <f t="shared" si="602"/>
        <v>479</v>
      </c>
      <c r="CK588" s="95">
        <f>SUM(CK118:CK121)</f>
        <v>1193</v>
      </c>
    </row>
    <row r="589" spans="1:89" ht="13" x14ac:dyDescent="0.25">
      <c r="A589" s="91"/>
      <c r="B589" s="92" t="s">
        <v>611</v>
      </c>
      <c r="C589" s="93">
        <f>SUM(C122:C126)</f>
        <v>6210</v>
      </c>
      <c r="D589" s="93">
        <f>SUM(D122:D126)</f>
        <v>2962</v>
      </c>
      <c r="E589" s="89">
        <v>0.28352193458378544</v>
      </c>
      <c r="F589" s="45">
        <f t="shared" ref="F589:CD589" si="603">SUM(F122:F126)</f>
        <v>1</v>
      </c>
      <c r="G589" s="109">
        <f t="shared" si="603"/>
        <v>0</v>
      </c>
      <c r="H589" s="109">
        <f t="shared" ref="H589:Q589" si="604">SUM(H122:H126)</f>
        <v>0</v>
      </c>
      <c r="I589" s="109">
        <f t="shared" si="604"/>
        <v>4</v>
      </c>
      <c r="J589" s="109">
        <f t="shared" ref="J589:K589" si="605">SUM(J122:J126)</f>
        <v>8</v>
      </c>
      <c r="K589" s="109">
        <f t="shared" si="605"/>
        <v>0</v>
      </c>
      <c r="L589" s="109">
        <f t="shared" si="604"/>
        <v>0</v>
      </c>
      <c r="M589" s="109">
        <f t="shared" si="604"/>
        <v>1947</v>
      </c>
      <c r="N589" s="109">
        <f t="shared" si="604"/>
        <v>0</v>
      </c>
      <c r="O589" s="109">
        <f t="shared" si="604"/>
        <v>0</v>
      </c>
      <c r="P589" s="46">
        <f t="shared" si="604"/>
        <v>15</v>
      </c>
      <c r="Q589" s="46">
        <f t="shared" si="604"/>
        <v>2</v>
      </c>
      <c r="R589" s="46">
        <f t="shared" ref="R589" si="606">SUM(R122:R126)</f>
        <v>927</v>
      </c>
      <c r="S589" s="47">
        <f t="shared" si="603"/>
        <v>2</v>
      </c>
      <c r="T589" s="45">
        <f>SUM(T122:T126)</f>
        <v>1918</v>
      </c>
      <c r="U589" s="47">
        <f t="shared" ref="U589:V589" si="607">SUM(U122:U126)</f>
        <v>936</v>
      </c>
      <c r="V589" s="45">
        <f t="shared" si="607"/>
        <v>1012</v>
      </c>
      <c r="W589" s="47">
        <f>SUM(W122:W126)</f>
        <v>1855</v>
      </c>
      <c r="X589" s="45">
        <f>SUM(X122:X126)</f>
        <v>1920</v>
      </c>
      <c r="Y589" s="47">
        <f>SUM(Y122:Y126)</f>
        <v>879</v>
      </c>
      <c r="Z589" s="109">
        <f t="shared" ref="Z589:AE589" si="608">SUM(Z122:Z126)</f>
        <v>1968</v>
      </c>
      <c r="AA589" s="46">
        <f t="shared" si="608"/>
        <v>0</v>
      </c>
      <c r="AB589" s="46">
        <f t="shared" si="608"/>
        <v>132</v>
      </c>
      <c r="AC589" s="46">
        <f t="shared" si="608"/>
        <v>780</v>
      </c>
      <c r="AD589" s="46">
        <f t="shared" si="608"/>
        <v>0</v>
      </c>
      <c r="AE589" s="43">
        <f t="shared" si="608"/>
        <v>0</v>
      </c>
      <c r="AF589" s="95">
        <f t="shared" si="603"/>
        <v>1</v>
      </c>
      <c r="AG589" s="109">
        <f t="shared" ref="AG589" si="609">SUM(AG122:AG126)</f>
        <v>2008</v>
      </c>
      <c r="AH589" s="47">
        <f t="shared" si="603"/>
        <v>814</v>
      </c>
      <c r="AI589" s="45">
        <f t="shared" si="603"/>
        <v>0</v>
      </c>
      <c r="AJ589" s="43">
        <f t="shared" si="603"/>
        <v>0</v>
      </c>
      <c r="AK589" s="45">
        <f t="shared" ref="AK589" si="610">SUM(AK122:AK126)</f>
        <v>0</v>
      </c>
      <c r="AL589" s="47">
        <f t="shared" si="603"/>
        <v>0</v>
      </c>
      <c r="AM589" s="45">
        <f t="shared" si="603"/>
        <v>1902</v>
      </c>
      <c r="AN589" s="95">
        <f t="shared" si="603"/>
        <v>904</v>
      </c>
      <c r="AO589" s="109">
        <f t="shared" ref="AO589" si="611">SUM(AO122:AO126)</f>
        <v>0</v>
      </c>
      <c r="AP589" s="47">
        <f t="shared" si="603"/>
        <v>0</v>
      </c>
      <c r="AQ589" s="45">
        <f t="shared" ref="AQ589" si="612">SUM(AQ122:AQ126)</f>
        <v>0</v>
      </c>
      <c r="AR589" s="95">
        <f t="shared" si="603"/>
        <v>0</v>
      </c>
      <c r="AS589" s="109">
        <f t="shared" ref="AS589" si="613">SUM(AS122:AS126)</f>
        <v>0</v>
      </c>
      <c r="AT589" s="47">
        <f t="shared" si="603"/>
        <v>0</v>
      </c>
      <c r="AU589" s="45">
        <f t="shared" ref="AU589:AV589" si="614">SUM(AU122:AU126)</f>
        <v>0</v>
      </c>
      <c r="AV589" s="109">
        <f t="shared" si="614"/>
        <v>0</v>
      </c>
      <c r="AW589" s="109">
        <f t="shared" si="603"/>
        <v>0</v>
      </c>
      <c r="AX589" s="45">
        <f t="shared" ref="AX589" si="615">SUM(AX122:AX126)</f>
        <v>0</v>
      </c>
      <c r="AY589" s="47">
        <f t="shared" si="603"/>
        <v>0</v>
      </c>
      <c r="AZ589" s="45">
        <f t="shared" si="603"/>
        <v>0</v>
      </c>
      <c r="BA589" s="95">
        <f t="shared" si="603"/>
        <v>0</v>
      </c>
      <c r="BB589" s="45">
        <f t="shared" ref="BB589" si="616">SUM(BB122:BB126)</f>
        <v>922</v>
      </c>
      <c r="BC589" s="47">
        <f>SUM(BC122:BC126)</f>
        <v>1871</v>
      </c>
      <c r="BD589" s="45">
        <f t="shared" ref="BD589" si="617">SUM(BD122:BD126)</f>
        <v>878</v>
      </c>
      <c r="BE589" s="95">
        <f>SUM(BE122:BE126)</f>
        <v>1900</v>
      </c>
      <c r="BF589" s="109">
        <f t="shared" ref="BF589" si="618">SUM(BF122:BF126)</f>
        <v>1882</v>
      </c>
      <c r="BG589" s="47">
        <f>SUM(BG122:BG126)</f>
        <v>887</v>
      </c>
      <c r="BH589" s="45">
        <f t="shared" ref="BH589" si="619">SUM(BH122:BH126)</f>
        <v>965</v>
      </c>
      <c r="BI589" s="47">
        <f>SUM(BI122:BI126)</f>
        <v>1797</v>
      </c>
      <c r="BJ589" s="109">
        <f t="shared" ref="BJ589:BK589" si="620">SUM(BJ122:BJ126)</f>
        <v>138</v>
      </c>
      <c r="BK589" s="43">
        <f t="shared" si="620"/>
        <v>786</v>
      </c>
      <c r="BL589" s="95">
        <f t="shared" si="603"/>
        <v>1894</v>
      </c>
      <c r="BM589" s="109">
        <f t="shared" ref="BM589:BN589" si="621">SUM(BM122:BM126)</f>
        <v>1906</v>
      </c>
      <c r="BN589" s="46">
        <f t="shared" si="621"/>
        <v>773</v>
      </c>
      <c r="BO589" s="47">
        <f t="shared" si="603"/>
        <v>122</v>
      </c>
      <c r="BP589" s="45">
        <f t="shared" ref="BP589" si="622">SUM(BP122:BP126)</f>
        <v>905</v>
      </c>
      <c r="BQ589" s="47">
        <f t="shared" ref="BQ589:BR589" si="623">SUM(BQ122:BQ126)</f>
        <v>1870</v>
      </c>
      <c r="BR589" s="45">
        <f t="shared" si="623"/>
        <v>1755</v>
      </c>
      <c r="BS589" s="47">
        <f t="shared" si="603"/>
        <v>1054</v>
      </c>
      <c r="BT589" s="45">
        <f t="shared" ref="BT589:BU589" si="624">SUM(BT122:BT126)</f>
        <v>832</v>
      </c>
      <c r="BU589" s="43">
        <f t="shared" si="624"/>
        <v>160</v>
      </c>
      <c r="BV589" s="95">
        <f t="shared" si="603"/>
        <v>1798</v>
      </c>
      <c r="BW589" s="109">
        <f t="shared" ref="BW589" si="625">SUM(BW122:BW126)</f>
        <v>1919</v>
      </c>
      <c r="BX589" s="47">
        <f t="shared" si="603"/>
        <v>936</v>
      </c>
      <c r="BY589" s="45">
        <f t="shared" ref="BY589" si="626">SUM(BY122:BY126)</f>
        <v>1903</v>
      </c>
      <c r="BZ589" s="95">
        <f t="shared" si="603"/>
        <v>845</v>
      </c>
      <c r="CA589" s="109">
        <f t="shared" ref="CA589" si="627">SUM(CA122:CA126)</f>
        <v>870</v>
      </c>
      <c r="CB589" s="47">
        <f t="shared" si="603"/>
        <v>1905</v>
      </c>
      <c r="CC589" s="47">
        <f t="shared" si="603"/>
        <v>1495</v>
      </c>
      <c r="CD589" s="44">
        <f t="shared" si="603"/>
        <v>2289</v>
      </c>
      <c r="CE589" s="109">
        <f t="shared" ref="CE589" si="628">SUM(CE122:CE126)</f>
        <v>1122</v>
      </c>
      <c r="CF589" s="43">
        <f>SUM(CF122:CF126)</f>
        <v>1270</v>
      </c>
      <c r="CG589" s="45">
        <f>SUM(CG122:CG126)</f>
        <v>629</v>
      </c>
      <c r="CH589" s="46">
        <f t="shared" ref="CH589:CJ589" si="629">SUM(CH122:CH126)</f>
        <v>455</v>
      </c>
      <c r="CI589" s="46">
        <f t="shared" si="629"/>
        <v>1002</v>
      </c>
      <c r="CJ589" s="46">
        <f t="shared" si="629"/>
        <v>1159</v>
      </c>
      <c r="CK589" s="95">
        <f>SUM(CK122:CK126)</f>
        <v>990</v>
      </c>
    </row>
    <row r="590" spans="1:89" ht="13" x14ac:dyDescent="0.25">
      <c r="A590" s="91"/>
      <c r="B590" s="92" t="s">
        <v>612</v>
      </c>
      <c r="C590" s="93">
        <f>SUM(C127:C131)</f>
        <v>4270</v>
      </c>
      <c r="D590" s="93">
        <f>SUM(D127:D131)</f>
        <v>1585</v>
      </c>
      <c r="E590" s="89">
        <v>0.20317820658342792</v>
      </c>
      <c r="F590" s="45">
        <f t="shared" ref="F590:CD590" si="630">SUM(F127:F131)</f>
        <v>0</v>
      </c>
      <c r="G590" s="109">
        <f t="shared" si="630"/>
        <v>0</v>
      </c>
      <c r="H590" s="109">
        <f t="shared" ref="H590:Q590" si="631">SUM(H127:H131)</f>
        <v>0</v>
      </c>
      <c r="I590" s="109">
        <f t="shared" si="631"/>
        <v>3</v>
      </c>
      <c r="J590" s="109">
        <f t="shared" ref="J590:K590" si="632">SUM(J127:J131)</f>
        <v>3</v>
      </c>
      <c r="K590" s="109">
        <f t="shared" si="632"/>
        <v>0</v>
      </c>
      <c r="L590" s="109">
        <f t="shared" si="631"/>
        <v>0</v>
      </c>
      <c r="M590" s="109">
        <f t="shared" si="631"/>
        <v>1173</v>
      </c>
      <c r="N590" s="109">
        <f t="shared" si="631"/>
        <v>0</v>
      </c>
      <c r="O590" s="109">
        <f t="shared" si="631"/>
        <v>0</v>
      </c>
      <c r="P590" s="46">
        <f t="shared" si="631"/>
        <v>5</v>
      </c>
      <c r="Q590" s="46">
        <f t="shared" si="631"/>
        <v>1</v>
      </c>
      <c r="R590" s="46">
        <f t="shared" ref="R590" si="633">SUM(R127:R131)</f>
        <v>377</v>
      </c>
      <c r="S590" s="47">
        <f t="shared" si="630"/>
        <v>0</v>
      </c>
      <c r="T590" s="45">
        <f>SUM(T127:T131)</f>
        <v>1149</v>
      </c>
      <c r="U590" s="47">
        <f t="shared" ref="U590:V590" si="634">SUM(U127:U131)</f>
        <v>365</v>
      </c>
      <c r="V590" s="45">
        <f t="shared" si="634"/>
        <v>405</v>
      </c>
      <c r="W590" s="47">
        <f>SUM(W127:W131)</f>
        <v>1112</v>
      </c>
      <c r="X590" s="45">
        <f>SUM(X127:X131)</f>
        <v>1159</v>
      </c>
      <c r="Y590" s="47">
        <f>SUM(Y127:Y131)</f>
        <v>329</v>
      </c>
      <c r="Z590" s="109">
        <f t="shared" ref="Z590:AE590" si="635">SUM(Z127:Z131)</f>
        <v>1149</v>
      </c>
      <c r="AA590" s="46">
        <f t="shared" si="635"/>
        <v>0</v>
      </c>
      <c r="AB590" s="46">
        <f t="shared" si="635"/>
        <v>80</v>
      </c>
      <c r="AC590" s="46">
        <f t="shared" si="635"/>
        <v>315</v>
      </c>
      <c r="AD590" s="46">
        <f t="shared" si="635"/>
        <v>0</v>
      </c>
      <c r="AE590" s="43">
        <f t="shared" si="635"/>
        <v>0</v>
      </c>
      <c r="AF590" s="95">
        <f t="shared" si="630"/>
        <v>0</v>
      </c>
      <c r="AG590" s="109">
        <f t="shared" ref="AG590" si="636">SUM(AG127:AG131)</f>
        <v>1184</v>
      </c>
      <c r="AH590" s="47">
        <f t="shared" si="630"/>
        <v>314</v>
      </c>
      <c r="AI590" s="45">
        <f t="shared" si="630"/>
        <v>0</v>
      </c>
      <c r="AJ590" s="43">
        <f t="shared" si="630"/>
        <v>0</v>
      </c>
      <c r="AK590" s="45">
        <f t="shared" ref="AK590" si="637">SUM(AK127:AK131)</f>
        <v>0</v>
      </c>
      <c r="AL590" s="47">
        <f t="shared" si="630"/>
        <v>0</v>
      </c>
      <c r="AM590" s="45">
        <f t="shared" si="630"/>
        <v>1139</v>
      </c>
      <c r="AN590" s="95">
        <f t="shared" si="630"/>
        <v>365</v>
      </c>
      <c r="AO590" s="109">
        <f t="shared" ref="AO590" si="638">SUM(AO127:AO131)</f>
        <v>0</v>
      </c>
      <c r="AP590" s="47">
        <f t="shared" si="630"/>
        <v>0</v>
      </c>
      <c r="AQ590" s="45">
        <f t="shared" ref="AQ590" si="639">SUM(AQ127:AQ131)</f>
        <v>0</v>
      </c>
      <c r="AR590" s="95">
        <f t="shared" si="630"/>
        <v>0</v>
      </c>
      <c r="AS590" s="109">
        <f t="shared" ref="AS590" si="640">SUM(AS127:AS131)</f>
        <v>0</v>
      </c>
      <c r="AT590" s="47">
        <f t="shared" si="630"/>
        <v>0</v>
      </c>
      <c r="AU590" s="45">
        <f t="shared" ref="AU590:AV590" si="641">SUM(AU127:AU131)</f>
        <v>0</v>
      </c>
      <c r="AV590" s="109">
        <f t="shared" si="641"/>
        <v>0</v>
      </c>
      <c r="AW590" s="109">
        <f t="shared" si="630"/>
        <v>0</v>
      </c>
      <c r="AX590" s="45">
        <f t="shared" ref="AX590" si="642">SUM(AX127:AX131)</f>
        <v>0</v>
      </c>
      <c r="AY590" s="47">
        <f t="shared" si="630"/>
        <v>0</v>
      </c>
      <c r="AZ590" s="45">
        <f t="shared" si="630"/>
        <v>0</v>
      </c>
      <c r="BA590" s="95">
        <f t="shared" si="630"/>
        <v>0</v>
      </c>
      <c r="BB590" s="45">
        <f t="shared" ref="BB590" si="643">SUM(BB127:BB131)</f>
        <v>362</v>
      </c>
      <c r="BC590" s="47">
        <f>SUM(BC127:BC131)</f>
        <v>1128</v>
      </c>
      <c r="BD590" s="45">
        <f t="shared" ref="BD590" si="644">SUM(BD127:BD131)</f>
        <v>352</v>
      </c>
      <c r="BE590" s="95">
        <f>SUM(BE127:BE131)</f>
        <v>1135</v>
      </c>
      <c r="BF590" s="109">
        <f t="shared" ref="BF590" si="645">SUM(BF127:BF131)</f>
        <v>1133</v>
      </c>
      <c r="BG590" s="47">
        <f>SUM(BG127:BG131)</f>
        <v>345</v>
      </c>
      <c r="BH590" s="45">
        <f t="shared" ref="BH590" si="646">SUM(BH127:BH131)</f>
        <v>375</v>
      </c>
      <c r="BI590" s="47">
        <f>SUM(BI127:BI131)</f>
        <v>1101</v>
      </c>
      <c r="BJ590" s="109">
        <f t="shared" ref="BJ590:BK590" si="647">SUM(BJ127:BJ131)</f>
        <v>53</v>
      </c>
      <c r="BK590" s="43">
        <f t="shared" si="647"/>
        <v>293</v>
      </c>
      <c r="BL590" s="95">
        <f t="shared" si="630"/>
        <v>1178</v>
      </c>
      <c r="BM590" s="109">
        <f t="shared" ref="BM590:BN590" si="648">SUM(BM127:BM131)</f>
        <v>1149</v>
      </c>
      <c r="BN590" s="46">
        <f t="shared" si="648"/>
        <v>295</v>
      </c>
      <c r="BO590" s="47">
        <f t="shared" si="630"/>
        <v>49</v>
      </c>
      <c r="BP590" s="45">
        <f t="shared" ref="BP590" si="649">SUM(BP127:BP131)</f>
        <v>343</v>
      </c>
      <c r="BQ590" s="47">
        <f t="shared" ref="BQ590:BR590" si="650">SUM(BQ127:BQ131)</f>
        <v>1148</v>
      </c>
      <c r="BR590" s="45">
        <f t="shared" si="650"/>
        <v>1095</v>
      </c>
      <c r="BS590" s="47">
        <f t="shared" si="630"/>
        <v>400</v>
      </c>
      <c r="BT590" s="45">
        <f t="shared" ref="BT590:BU590" si="651">SUM(BT127:BT131)</f>
        <v>334</v>
      </c>
      <c r="BU590" s="43">
        <f t="shared" si="651"/>
        <v>67</v>
      </c>
      <c r="BV590" s="95">
        <f t="shared" si="630"/>
        <v>1102</v>
      </c>
      <c r="BW590" s="109">
        <f t="shared" ref="BW590" si="652">SUM(BW127:BW131)</f>
        <v>1149</v>
      </c>
      <c r="BX590" s="47">
        <f t="shared" si="630"/>
        <v>373</v>
      </c>
      <c r="BY590" s="45">
        <f t="shared" ref="BY590" si="653">SUM(BY127:BY131)</f>
        <v>1151</v>
      </c>
      <c r="BZ590" s="95">
        <f t="shared" si="630"/>
        <v>322</v>
      </c>
      <c r="CA590" s="109">
        <f t="shared" ref="CA590" si="654">SUM(CA127:CA131)</f>
        <v>338</v>
      </c>
      <c r="CB590" s="47">
        <f t="shared" si="630"/>
        <v>1155</v>
      </c>
      <c r="CC590" s="47">
        <f t="shared" si="630"/>
        <v>707</v>
      </c>
      <c r="CD590" s="44">
        <f t="shared" si="630"/>
        <v>1298</v>
      </c>
      <c r="CE590" s="109">
        <f t="shared" ref="CE590" si="655">SUM(CE127:CE131)</f>
        <v>582</v>
      </c>
      <c r="CF590" s="43">
        <f>SUM(CF127:CF131)</f>
        <v>702</v>
      </c>
      <c r="CG590" s="45">
        <f>SUM(CG127:CG131)</f>
        <v>344</v>
      </c>
      <c r="CH590" s="46">
        <f t="shared" ref="CH590:CJ590" si="656">SUM(CH127:CH131)</f>
        <v>193</v>
      </c>
      <c r="CI590" s="46">
        <f t="shared" si="656"/>
        <v>547</v>
      </c>
      <c r="CJ590" s="46">
        <f t="shared" si="656"/>
        <v>611</v>
      </c>
      <c r="CK590" s="95">
        <f>SUM(CK127:CK131)</f>
        <v>466</v>
      </c>
    </row>
    <row r="591" spans="1:89" ht="13" x14ac:dyDescent="0.25">
      <c r="A591" s="91"/>
      <c r="B591" s="92" t="s">
        <v>613</v>
      </c>
      <c r="C591" s="93">
        <f>SUM(C132:C134)</f>
        <v>4143</v>
      </c>
      <c r="D591" s="93">
        <f>SUM(D132:D134)</f>
        <v>1898</v>
      </c>
      <c r="E591" s="89">
        <v>0.31269958241218376</v>
      </c>
      <c r="F591" s="45">
        <f t="shared" ref="F591:CD591" si="657">SUM(F132:F134)</f>
        <v>0</v>
      </c>
      <c r="G591" s="109">
        <f t="shared" si="657"/>
        <v>0</v>
      </c>
      <c r="H591" s="109">
        <f t="shared" ref="H591:Q591" si="658">SUM(H132:H134)</f>
        <v>0</v>
      </c>
      <c r="I591" s="109">
        <f t="shared" si="658"/>
        <v>2</v>
      </c>
      <c r="J591" s="109">
        <f t="shared" ref="J591:K591" si="659">SUM(J132:J134)</f>
        <v>1</v>
      </c>
      <c r="K591" s="109">
        <f t="shared" si="659"/>
        <v>0</v>
      </c>
      <c r="L591" s="109">
        <f t="shared" si="658"/>
        <v>0</v>
      </c>
      <c r="M591" s="109">
        <f t="shared" si="658"/>
        <v>1639</v>
      </c>
      <c r="N591" s="109">
        <f t="shared" si="658"/>
        <v>0</v>
      </c>
      <c r="O591" s="109">
        <f t="shared" si="658"/>
        <v>0</v>
      </c>
      <c r="P591" s="46">
        <f t="shared" si="658"/>
        <v>6</v>
      </c>
      <c r="Q591" s="46">
        <f t="shared" si="658"/>
        <v>4</v>
      </c>
      <c r="R591" s="46">
        <f t="shared" ref="R591" si="660">SUM(R132:R134)</f>
        <v>216</v>
      </c>
      <c r="S591" s="47">
        <f t="shared" si="657"/>
        <v>1</v>
      </c>
      <c r="T591" s="45">
        <f>SUM(T132:T134)</f>
        <v>1630</v>
      </c>
      <c r="U591" s="47">
        <f t="shared" ref="U591:V591" si="661">SUM(U132:U134)</f>
        <v>218</v>
      </c>
      <c r="V591" s="45">
        <f t="shared" si="661"/>
        <v>258</v>
      </c>
      <c r="W591" s="47">
        <f>SUM(W132:W134)</f>
        <v>1583</v>
      </c>
      <c r="X591" s="45">
        <f>SUM(X132:X134)</f>
        <v>1620</v>
      </c>
      <c r="Y591" s="47">
        <f>SUM(Y132:Y134)</f>
        <v>201</v>
      </c>
      <c r="Z591" s="109">
        <f t="shared" ref="Z591:AE591" si="662">SUM(Z132:Z134)</f>
        <v>1592</v>
      </c>
      <c r="AA591" s="46">
        <f t="shared" si="662"/>
        <v>0</v>
      </c>
      <c r="AB591" s="46">
        <f t="shared" si="662"/>
        <v>70</v>
      </c>
      <c r="AC591" s="46">
        <f t="shared" si="662"/>
        <v>185</v>
      </c>
      <c r="AD591" s="46">
        <f t="shared" si="662"/>
        <v>0</v>
      </c>
      <c r="AE591" s="43">
        <f t="shared" si="662"/>
        <v>0</v>
      </c>
      <c r="AF591" s="95">
        <f t="shared" si="657"/>
        <v>4</v>
      </c>
      <c r="AG591" s="109">
        <f t="shared" ref="AG591" si="663">SUM(AG132:AG134)</f>
        <v>1590</v>
      </c>
      <c r="AH591" s="47">
        <f t="shared" si="657"/>
        <v>210</v>
      </c>
      <c r="AI591" s="45">
        <f t="shared" si="657"/>
        <v>0</v>
      </c>
      <c r="AJ591" s="43">
        <f t="shared" si="657"/>
        <v>0</v>
      </c>
      <c r="AK591" s="45">
        <f t="shared" ref="AK591" si="664">SUM(AK132:AK134)</f>
        <v>0</v>
      </c>
      <c r="AL591" s="47">
        <f t="shared" si="657"/>
        <v>0</v>
      </c>
      <c r="AM591" s="45">
        <f t="shared" si="657"/>
        <v>0</v>
      </c>
      <c r="AN591" s="95">
        <f t="shared" si="657"/>
        <v>0</v>
      </c>
      <c r="AO591" s="109">
        <f t="shared" ref="AO591" si="665">SUM(AO132:AO134)</f>
        <v>205</v>
      </c>
      <c r="AP591" s="47">
        <f t="shared" si="657"/>
        <v>1637</v>
      </c>
      <c r="AQ591" s="45">
        <f t="shared" ref="AQ591" si="666">SUM(AQ132:AQ134)</f>
        <v>0</v>
      </c>
      <c r="AR591" s="95">
        <f t="shared" si="657"/>
        <v>0</v>
      </c>
      <c r="AS591" s="109">
        <f t="shared" ref="AS591" si="667">SUM(AS132:AS134)</f>
        <v>0</v>
      </c>
      <c r="AT591" s="47">
        <f t="shared" si="657"/>
        <v>0</v>
      </c>
      <c r="AU591" s="45">
        <f t="shared" ref="AU591:AV591" si="668">SUM(AU132:AU134)</f>
        <v>0</v>
      </c>
      <c r="AV591" s="109">
        <f t="shared" si="668"/>
        <v>0</v>
      </c>
      <c r="AW591" s="109">
        <f t="shared" si="657"/>
        <v>0</v>
      </c>
      <c r="AX591" s="45">
        <f t="shared" ref="AX591" si="669">SUM(AX132:AX134)</f>
        <v>0</v>
      </c>
      <c r="AY591" s="47">
        <f t="shared" si="657"/>
        <v>0</v>
      </c>
      <c r="AZ591" s="45">
        <f t="shared" si="657"/>
        <v>0</v>
      </c>
      <c r="BA591" s="95">
        <f t="shared" si="657"/>
        <v>0</v>
      </c>
      <c r="BB591" s="45">
        <f t="shared" ref="BB591" si="670">SUM(BB132:BB134)</f>
        <v>232</v>
      </c>
      <c r="BC591" s="47">
        <f>SUM(BC132:BC134)</f>
        <v>1573</v>
      </c>
      <c r="BD591" s="45">
        <f t="shared" ref="BD591" si="671">SUM(BD132:BD134)</f>
        <v>205</v>
      </c>
      <c r="BE591" s="95">
        <f>SUM(BE132:BE134)</f>
        <v>1602</v>
      </c>
      <c r="BF591" s="109">
        <f t="shared" ref="BF591" si="672">SUM(BF132:BF134)</f>
        <v>1595</v>
      </c>
      <c r="BG591" s="47">
        <f>SUM(BG132:BG134)</f>
        <v>203</v>
      </c>
      <c r="BH591" s="45">
        <f t="shared" ref="BH591" si="673">SUM(BH132:BH134)</f>
        <v>228</v>
      </c>
      <c r="BI591" s="47">
        <f>SUM(BI132:BI134)</f>
        <v>1561</v>
      </c>
      <c r="BJ591" s="109">
        <f t="shared" ref="BJ591:BK591" si="674">SUM(BJ132:BJ134)</f>
        <v>83</v>
      </c>
      <c r="BK591" s="43">
        <f t="shared" si="674"/>
        <v>176</v>
      </c>
      <c r="BL591" s="95">
        <f t="shared" si="657"/>
        <v>1575</v>
      </c>
      <c r="BM591" s="109">
        <f t="shared" ref="BM591:BN591" si="675">SUM(BM132:BM134)</f>
        <v>1565</v>
      </c>
      <c r="BN591" s="46">
        <f t="shared" si="675"/>
        <v>179</v>
      </c>
      <c r="BO591" s="47">
        <f t="shared" si="657"/>
        <v>67</v>
      </c>
      <c r="BP591" s="45">
        <f t="shared" ref="BP591" si="676">SUM(BP132:BP134)</f>
        <v>213</v>
      </c>
      <c r="BQ591" s="47">
        <f t="shared" ref="BQ591:BR591" si="677">SUM(BQ132:BQ134)</f>
        <v>1597</v>
      </c>
      <c r="BR591" s="45">
        <f t="shared" si="677"/>
        <v>1547</v>
      </c>
      <c r="BS591" s="47">
        <f t="shared" si="657"/>
        <v>270</v>
      </c>
      <c r="BT591" s="45">
        <f t="shared" ref="BT591:BU591" si="678">SUM(BT132:BT134)</f>
        <v>196</v>
      </c>
      <c r="BU591" s="43">
        <f t="shared" si="678"/>
        <v>66</v>
      </c>
      <c r="BV591" s="95">
        <f t="shared" si="657"/>
        <v>1557</v>
      </c>
      <c r="BW591" s="109">
        <f t="shared" ref="BW591" si="679">SUM(BW132:BW134)</f>
        <v>1608</v>
      </c>
      <c r="BX591" s="47">
        <f t="shared" si="657"/>
        <v>216</v>
      </c>
      <c r="BY591" s="45">
        <f t="shared" ref="BY591" si="680">SUM(BY132:BY134)</f>
        <v>1598</v>
      </c>
      <c r="BZ591" s="95">
        <f t="shared" si="657"/>
        <v>203</v>
      </c>
      <c r="CA591" s="109">
        <f t="shared" ref="CA591" si="681">SUM(CA132:CA134)</f>
        <v>227</v>
      </c>
      <c r="CB591" s="47">
        <f t="shared" si="657"/>
        <v>1589</v>
      </c>
      <c r="CC591" s="47">
        <f t="shared" si="657"/>
        <v>674</v>
      </c>
      <c r="CD591" s="44">
        <f t="shared" si="657"/>
        <v>1655</v>
      </c>
      <c r="CE591" s="109">
        <f t="shared" ref="CE591" si="682">SUM(CE132:CE134)</f>
        <v>535</v>
      </c>
      <c r="CF591" s="43">
        <f>SUM(CF132:CF134)</f>
        <v>999</v>
      </c>
      <c r="CG591" s="45">
        <f>SUM(CG132:CG134)</f>
        <v>353</v>
      </c>
      <c r="CH591" s="46">
        <f t="shared" ref="CH591:CJ591" si="683">SUM(CH132:CH134)</f>
        <v>131</v>
      </c>
      <c r="CI591" s="46">
        <f t="shared" si="683"/>
        <v>922</v>
      </c>
      <c r="CJ591" s="46">
        <f t="shared" si="683"/>
        <v>1018</v>
      </c>
      <c r="CK591" s="95">
        <f>SUM(CK132:CK134)</f>
        <v>304</v>
      </c>
    </row>
    <row r="592" spans="1:89" ht="13" x14ac:dyDescent="0.25">
      <c r="A592" s="91"/>
      <c r="B592" s="92" t="s">
        <v>614</v>
      </c>
      <c r="C592" s="93">
        <f>SUM(C135:C152)</f>
        <v>19604</v>
      </c>
      <c r="D592" s="93">
        <f>SUM(D135:D152)</f>
        <v>12482</v>
      </c>
      <c r="E592" s="89">
        <v>0.47504734606131954</v>
      </c>
      <c r="F592" s="45">
        <f t="shared" ref="F592:CD592" si="684">SUM(F135:F152)</f>
        <v>0</v>
      </c>
      <c r="G592" s="109">
        <f t="shared" si="684"/>
        <v>0</v>
      </c>
      <c r="H592" s="109">
        <f t="shared" ref="H592:Q592" si="685">SUM(H135:H152)</f>
        <v>0</v>
      </c>
      <c r="I592" s="109">
        <f t="shared" si="685"/>
        <v>16</v>
      </c>
      <c r="J592" s="109">
        <f t="shared" ref="J592:K592" si="686">SUM(J135:J152)</f>
        <v>15</v>
      </c>
      <c r="K592" s="109">
        <f t="shared" si="686"/>
        <v>0</v>
      </c>
      <c r="L592" s="109">
        <f t="shared" si="685"/>
        <v>0</v>
      </c>
      <c r="M592" s="109">
        <f t="shared" si="685"/>
        <v>10235</v>
      </c>
      <c r="N592" s="109">
        <f t="shared" si="685"/>
        <v>0</v>
      </c>
      <c r="O592" s="109">
        <f t="shared" si="685"/>
        <v>0</v>
      </c>
      <c r="P592" s="46">
        <f t="shared" si="685"/>
        <v>42</v>
      </c>
      <c r="Q592" s="46">
        <f t="shared" si="685"/>
        <v>30</v>
      </c>
      <c r="R592" s="46">
        <f t="shared" ref="R592" si="687">SUM(R135:R152)</f>
        <v>1917</v>
      </c>
      <c r="S592" s="47">
        <f t="shared" si="684"/>
        <v>8</v>
      </c>
      <c r="T592" s="45">
        <f>SUM(T135:T152)</f>
        <v>10003</v>
      </c>
      <c r="U592" s="47">
        <f t="shared" ref="U592:V592" si="688">SUM(U135:U152)</f>
        <v>2101</v>
      </c>
      <c r="V592" s="45">
        <f t="shared" si="688"/>
        <v>2386</v>
      </c>
      <c r="W592" s="47">
        <f>SUM(W135:W152)</f>
        <v>9756</v>
      </c>
      <c r="X592" s="45">
        <f>SUM(X135:X152)</f>
        <v>9999</v>
      </c>
      <c r="Y592" s="47">
        <f>SUM(Y135:Y152)</f>
        <v>1984</v>
      </c>
      <c r="Z592" s="109">
        <f t="shared" ref="Z592:AE592" si="689">SUM(Z135:Z152)</f>
        <v>10167</v>
      </c>
      <c r="AA592" s="46">
        <f t="shared" si="689"/>
        <v>0</v>
      </c>
      <c r="AB592" s="46">
        <f t="shared" si="689"/>
        <v>332</v>
      </c>
      <c r="AC592" s="46">
        <f t="shared" si="689"/>
        <v>1759</v>
      </c>
      <c r="AD592" s="46">
        <f t="shared" si="689"/>
        <v>0</v>
      </c>
      <c r="AE592" s="43">
        <f t="shared" si="689"/>
        <v>0</v>
      </c>
      <c r="AF592" s="95">
        <f t="shared" si="684"/>
        <v>2</v>
      </c>
      <c r="AG592" s="109">
        <f t="shared" ref="AG592" si="690">SUM(AG135:AG152)</f>
        <v>10171</v>
      </c>
      <c r="AH592" s="47">
        <f t="shared" si="684"/>
        <v>1846</v>
      </c>
      <c r="AI592" s="45">
        <f t="shared" si="684"/>
        <v>0</v>
      </c>
      <c r="AJ592" s="43">
        <f t="shared" si="684"/>
        <v>0</v>
      </c>
      <c r="AK592" s="45">
        <f t="shared" ref="AK592" si="691">SUM(AK135:AK152)</f>
        <v>0</v>
      </c>
      <c r="AL592" s="47">
        <f t="shared" si="684"/>
        <v>0</v>
      </c>
      <c r="AM592" s="45">
        <f t="shared" si="684"/>
        <v>0</v>
      </c>
      <c r="AN592" s="95">
        <f t="shared" si="684"/>
        <v>0</v>
      </c>
      <c r="AO592" s="109">
        <f t="shared" ref="AO592" si="692">SUM(AO135:AO152)</f>
        <v>1877</v>
      </c>
      <c r="AP592" s="47">
        <f t="shared" si="684"/>
        <v>10230</v>
      </c>
      <c r="AQ592" s="45">
        <f t="shared" ref="AQ592" si="693">SUM(AQ135:AQ152)</f>
        <v>0</v>
      </c>
      <c r="AR592" s="95">
        <f t="shared" si="684"/>
        <v>0</v>
      </c>
      <c r="AS592" s="109">
        <f t="shared" ref="AS592" si="694">SUM(AS135:AS152)</f>
        <v>0</v>
      </c>
      <c r="AT592" s="47">
        <f t="shared" si="684"/>
        <v>0</v>
      </c>
      <c r="AU592" s="45">
        <f t="shared" ref="AU592:AV592" si="695">SUM(AU135:AU152)</f>
        <v>0</v>
      </c>
      <c r="AV592" s="109">
        <f t="shared" si="695"/>
        <v>0</v>
      </c>
      <c r="AW592" s="109">
        <f t="shared" si="684"/>
        <v>0</v>
      </c>
      <c r="AX592" s="45">
        <f t="shared" ref="AX592" si="696">SUM(AX135:AX152)</f>
        <v>0</v>
      </c>
      <c r="AY592" s="47">
        <f t="shared" si="684"/>
        <v>0</v>
      </c>
      <c r="AZ592" s="45">
        <f t="shared" si="684"/>
        <v>0</v>
      </c>
      <c r="BA592" s="95">
        <f t="shared" si="684"/>
        <v>0</v>
      </c>
      <c r="BB592" s="45">
        <f t="shared" ref="BB592" si="697">SUM(BB135:BB152)</f>
        <v>2176</v>
      </c>
      <c r="BC592" s="47">
        <f>SUM(BC135:BC152)</f>
        <v>9693</v>
      </c>
      <c r="BD592" s="45">
        <f t="shared" ref="BD592" si="698">SUM(BD135:BD152)</f>
        <v>1981</v>
      </c>
      <c r="BE592" s="95">
        <f>SUM(BE135:BE152)</f>
        <v>9923</v>
      </c>
      <c r="BF592" s="109">
        <f t="shared" ref="BF592" si="699">SUM(BF135:BF152)</f>
        <v>9872</v>
      </c>
      <c r="BG592" s="47">
        <f>SUM(BG135:BG152)</f>
        <v>1986</v>
      </c>
      <c r="BH592" s="45">
        <f t="shared" ref="BH592" si="700">SUM(BH135:BH152)</f>
        <v>2314</v>
      </c>
      <c r="BI592" s="47">
        <f>SUM(BI135:BI152)</f>
        <v>9542</v>
      </c>
      <c r="BJ592" s="109">
        <f t="shared" ref="BJ592:BK592" si="701">SUM(BJ135:BJ152)</f>
        <v>331</v>
      </c>
      <c r="BK592" s="43">
        <f t="shared" si="701"/>
        <v>1715</v>
      </c>
      <c r="BL592" s="95">
        <f t="shared" si="684"/>
        <v>10031</v>
      </c>
      <c r="BM592" s="109">
        <f t="shared" ref="BM592:BN592" si="702">SUM(BM135:BM152)</f>
        <v>9956</v>
      </c>
      <c r="BN592" s="46">
        <f t="shared" si="702"/>
        <v>1734</v>
      </c>
      <c r="BO592" s="47">
        <f t="shared" si="684"/>
        <v>294</v>
      </c>
      <c r="BP592" s="45">
        <f t="shared" ref="BP592" si="703">SUM(BP135:BP152)</f>
        <v>2082</v>
      </c>
      <c r="BQ592" s="47">
        <f t="shared" ref="BQ592:BR592" si="704">SUM(BQ135:BQ152)</f>
        <v>9825</v>
      </c>
      <c r="BR592" s="45">
        <f t="shared" si="704"/>
        <v>9380</v>
      </c>
      <c r="BS592" s="47">
        <f t="shared" si="684"/>
        <v>2595</v>
      </c>
      <c r="BT592" s="45">
        <f t="shared" ref="BT592:BU592" si="705">SUM(BT135:BT152)</f>
        <v>1898</v>
      </c>
      <c r="BU592" s="43">
        <f t="shared" si="705"/>
        <v>393</v>
      </c>
      <c r="BV592" s="95">
        <f t="shared" si="684"/>
        <v>9643</v>
      </c>
      <c r="BW592" s="109">
        <f t="shared" ref="BW592" si="706">SUM(BW135:BW152)</f>
        <v>10046</v>
      </c>
      <c r="BX592" s="47">
        <f t="shared" si="684"/>
        <v>2048</v>
      </c>
      <c r="BY592" s="45">
        <f t="shared" ref="BY592" si="707">SUM(BY135:BY152)</f>
        <v>9931</v>
      </c>
      <c r="BZ592" s="95">
        <f t="shared" si="684"/>
        <v>1897</v>
      </c>
      <c r="CA592" s="109">
        <f t="shared" ref="CA592" si="708">SUM(CA135:CA152)</f>
        <v>1942</v>
      </c>
      <c r="CB592" s="47">
        <f t="shared" si="684"/>
        <v>9977</v>
      </c>
      <c r="CC592" s="47">
        <f t="shared" si="684"/>
        <v>4839</v>
      </c>
      <c r="CD592" s="44">
        <f t="shared" si="684"/>
        <v>10633</v>
      </c>
      <c r="CE592" s="109">
        <f t="shared" ref="CE592" si="709">SUM(CE135:CE152)</f>
        <v>3749</v>
      </c>
      <c r="CF592" s="43">
        <f>SUM(CF135:CF152)</f>
        <v>6572</v>
      </c>
      <c r="CG592" s="45">
        <f>SUM(CG135:CG152)</f>
        <v>2637</v>
      </c>
      <c r="CH592" s="46">
        <f t="shared" ref="CH592:CJ592" si="710">SUM(CH135:CH152)</f>
        <v>1135</v>
      </c>
      <c r="CI592" s="46">
        <f t="shared" si="710"/>
        <v>6141</v>
      </c>
      <c r="CJ592" s="46">
        <f t="shared" si="710"/>
        <v>6477</v>
      </c>
      <c r="CK592" s="95">
        <f>SUM(CK135:CK152)</f>
        <v>2751</v>
      </c>
    </row>
    <row r="593" spans="1:89" ht="13" x14ac:dyDescent="0.25">
      <c r="A593" s="91"/>
      <c r="B593" s="92" t="s">
        <v>615</v>
      </c>
      <c r="C593" s="93">
        <f>SUM(C153:C161)</f>
        <v>10127</v>
      </c>
      <c r="D593" s="93">
        <f>SUM(D153:D161)</f>
        <v>5094</v>
      </c>
      <c r="E593" s="89">
        <v>0.34135880690125742</v>
      </c>
      <c r="F593" s="45">
        <f t="shared" ref="F593:CD593" si="711">SUM(F153:F161)</f>
        <v>0</v>
      </c>
      <c r="G593" s="109">
        <f t="shared" si="711"/>
        <v>0</v>
      </c>
      <c r="H593" s="109">
        <f t="shared" ref="H593:Q593" si="712">SUM(H153:H161)</f>
        <v>0</v>
      </c>
      <c r="I593" s="109">
        <f t="shared" si="712"/>
        <v>1</v>
      </c>
      <c r="J593" s="109">
        <f t="shared" ref="J593:K593" si="713">SUM(J153:J161)</f>
        <v>16</v>
      </c>
      <c r="K593" s="109">
        <f t="shared" si="713"/>
        <v>0</v>
      </c>
      <c r="L593" s="109">
        <f t="shared" si="712"/>
        <v>0</v>
      </c>
      <c r="M593" s="109">
        <f t="shared" si="712"/>
        <v>3926</v>
      </c>
      <c r="N593" s="109">
        <f t="shared" si="712"/>
        <v>0</v>
      </c>
      <c r="O593" s="109">
        <f t="shared" si="712"/>
        <v>0</v>
      </c>
      <c r="P593" s="46">
        <f t="shared" si="712"/>
        <v>21</v>
      </c>
      <c r="Q593" s="46">
        <f t="shared" si="712"/>
        <v>9</v>
      </c>
      <c r="R593" s="46">
        <f t="shared" ref="R593" si="714">SUM(R153:R161)</f>
        <v>1027</v>
      </c>
      <c r="S593" s="47">
        <f t="shared" si="711"/>
        <v>6</v>
      </c>
      <c r="T593" s="45">
        <f>SUM(T153:T161)</f>
        <v>3868</v>
      </c>
      <c r="U593" s="47">
        <f t="shared" ref="U593:V593" si="715">SUM(U153:U161)</f>
        <v>1055</v>
      </c>
      <c r="V593" s="45">
        <f t="shared" si="715"/>
        <v>1180</v>
      </c>
      <c r="W593" s="47">
        <f>SUM(W153:W161)</f>
        <v>3766</v>
      </c>
      <c r="X593" s="45">
        <f>SUM(X153:X161)</f>
        <v>3855</v>
      </c>
      <c r="Y593" s="47">
        <f>SUM(Y153:Y161)</f>
        <v>1000</v>
      </c>
      <c r="Z593" s="109">
        <f t="shared" ref="Z593:AE593" si="716">SUM(Z153:Z161)</f>
        <v>3854</v>
      </c>
      <c r="AA593" s="46">
        <f t="shared" si="716"/>
        <v>0</v>
      </c>
      <c r="AB593" s="46">
        <f t="shared" si="716"/>
        <v>198</v>
      </c>
      <c r="AC593" s="46">
        <f t="shared" si="716"/>
        <v>930</v>
      </c>
      <c r="AD593" s="46">
        <f t="shared" si="716"/>
        <v>0</v>
      </c>
      <c r="AE593" s="43">
        <f t="shared" si="716"/>
        <v>0</v>
      </c>
      <c r="AF593" s="95">
        <f t="shared" si="711"/>
        <v>2</v>
      </c>
      <c r="AG593" s="109">
        <f t="shared" ref="AG593" si="717">SUM(AG153:AG161)</f>
        <v>3947</v>
      </c>
      <c r="AH593" s="47">
        <f t="shared" si="711"/>
        <v>945</v>
      </c>
      <c r="AI593" s="45">
        <f t="shared" si="711"/>
        <v>0</v>
      </c>
      <c r="AJ593" s="43">
        <f t="shared" si="711"/>
        <v>0</v>
      </c>
      <c r="AK593" s="45">
        <f t="shared" ref="AK593" si="718">SUM(AK153:AK161)</f>
        <v>0</v>
      </c>
      <c r="AL593" s="47">
        <f t="shared" si="711"/>
        <v>0</v>
      </c>
      <c r="AM593" s="45">
        <f t="shared" si="711"/>
        <v>0</v>
      </c>
      <c r="AN593" s="95">
        <f t="shared" si="711"/>
        <v>0</v>
      </c>
      <c r="AO593" s="109">
        <f t="shared" ref="AO593" si="719">SUM(AO153:AO161)</f>
        <v>962</v>
      </c>
      <c r="AP593" s="47">
        <f t="shared" si="711"/>
        <v>3966</v>
      </c>
      <c r="AQ593" s="45">
        <f t="shared" ref="AQ593" si="720">SUM(AQ153:AQ161)</f>
        <v>0</v>
      </c>
      <c r="AR593" s="95">
        <f t="shared" si="711"/>
        <v>0</v>
      </c>
      <c r="AS593" s="109">
        <f t="shared" ref="AS593" si="721">SUM(AS153:AS161)</f>
        <v>0</v>
      </c>
      <c r="AT593" s="47">
        <f t="shared" si="711"/>
        <v>0</v>
      </c>
      <c r="AU593" s="45">
        <f t="shared" ref="AU593:AV593" si="722">SUM(AU153:AU161)</f>
        <v>0</v>
      </c>
      <c r="AV593" s="109">
        <f t="shared" si="722"/>
        <v>0</v>
      </c>
      <c r="AW593" s="109">
        <f t="shared" si="711"/>
        <v>0</v>
      </c>
      <c r="AX593" s="45">
        <f t="shared" ref="AX593" si="723">SUM(AX153:AX161)</f>
        <v>0</v>
      </c>
      <c r="AY593" s="47">
        <f t="shared" si="711"/>
        <v>0</v>
      </c>
      <c r="AZ593" s="45">
        <f t="shared" si="711"/>
        <v>0</v>
      </c>
      <c r="BA593" s="95">
        <f t="shared" si="711"/>
        <v>0</v>
      </c>
      <c r="BB593" s="45">
        <f t="shared" ref="BB593" si="724">SUM(BB153:BB161)</f>
        <v>1062</v>
      </c>
      <c r="BC593" s="47">
        <f>SUM(BC153:BC161)</f>
        <v>3790</v>
      </c>
      <c r="BD593" s="45">
        <f t="shared" ref="BD593" si="725">SUM(BD153:BD161)</f>
        <v>989</v>
      </c>
      <c r="BE593" s="95">
        <f>SUM(BE153:BE161)</f>
        <v>3847</v>
      </c>
      <c r="BF593" s="109">
        <f t="shared" ref="BF593" si="726">SUM(BF153:BF161)</f>
        <v>3826</v>
      </c>
      <c r="BG593" s="47">
        <f>SUM(BG153:BG161)</f>
        <v>1003</v>
      </c>
      <c r="BH593" s="45">
        <f t="shared" ref="BH593" si="727">SUM(BH153:BH161)</f>
        <v>1105</v>
      </c>
      <c r="BI593" s="47">
        <f>SUM(BI153:BI161)</f>
        <v>3711</v>
      </c>
      <c r="BJ593" s="109">
        <f t="shared" ref="BJ593:BK593" si="728">SUM(BJ153:BJ161)</f>
        <v>170</v>
      </c>
      <c r="BK593" s="43">
        <f t="shared" si="728"/>
        <v>876</v>
      </c>
      <c r="BL593" s="95">
        <f t="shared" si="711"/>
        <v>3882</v>
      </c>
      <c r="BM593" s="109">
        <f t="shared" ref="BM593:BN593" si="729">SUM(BM153:BM161)</f>
        <v>3799</v>
      </c>
      <c r="BN593" s="46">
        <f t="shared" si="729"/>
        <v>909</v>
      </c>
      <c r="BO593" s="47">
        <f t="shared" si="711"/>
        <v>154</v>
      </c>
      <c r="BP593" s="45">
        <f t="shared" ref="BP593" si="730">SUM(BP153:BP161)</f>
        <v>1028</v>
      </c>
      <c r="BQ593" s="47">
        <f t="shared" ref="BQ593:BR593" si="731">SUM(BQ153:BQ161)</f>
        <v>3822</v>
      </c>
      <c r="BR593" s="45">
        <f t="shared" si="731"/>
        <v>3620</v>
      </c>
      <c r="BS593" s="47">
        <f t="shared" si="711"/>
        <v>1227</v>
      </c>
      <c r="BT593" s="45">
        <f t="shared" ref="BT593:BU593" si="732">SUM(BT153:BT161)</f>
        <v>960</v>
      </c>
      <c r="BU593" s="43">
        <f t="shared" si="732"/>
        <v>180</v>
      </c>
      <c r="BV593" s="95">
        <f t="shared" si="711"/>
        <v>3714</v>
      </c>
      <c r="BW593" s="109">
        <f t="shared" ref="BW593" si="733">SUM(BW153:BW161)</f>
        <v>3848</v>
      </c>
      <c r="BX593" s="47">
        <f t="shared" si="711"/>
        <v>1063</v>
      </c>
      <c r="BY593" s="45">
        <f t="shared" ref="BY593" si="734">SUM(BY153:BY161)</f>
        <v>3842</v>
      </c>
      <c r="BZ593" s="95">
        <f t="shared" si="711"/>
        <v>954</v>
      </c>
      <c r="CA593" s="109">
        <f t="shared" ref="CA593" si="735">SUM(CA153:CA161)</f>
        <v>1029</v>
      </c>
      <c r="CB593" s="47">
        <f t="shared" si="711"/>
        <v>3810</v>
      </c>
      <c r="CC593" s="47">
        <f t="shared" si="711"/>
        <v>2092</v>
      </c>
      <c r="CD593" s="44">
        <f t="shared" si="711"/>
        <v>4286</v>
      </c>
      <c r="CE593" s="109">
        <f t="shared" ref="CE593" si="736">SUM(CE153:CE161)</f>
        <v>1607</v>
      </c>
      <c r="CF593" s="43">
        <f>SUM(CF153:CF161)</f>
        <v>2618</v>
      </c>
      <c r="CG593" s="45">
        <f>SUM(CG153:CG161)</f>
        <v>1066</v>
      </c>
      <c r="CH593" s="46">
        <f t="shared" ref="CH593:CJ593" si="737">SUM(CH153:CH161)</f>
        <v>510</v>
      </c>
      <c r="CI593" s="46">
        <f t="shared" si="737"/>
        <v>2358</v>
      </c>
      <c r="CJ593" s="46">
        <f t="shared" si="737"/>
        <v>2377</v>
      </c>
      <c r="CK593" s="95">
        <f>SUM(CK153:CK161)</f>
        <v>1202</v>
      </c>
    </row>
    <row r="594" spans="1:89" ht="13" x14ac:dyDescent="0.25">
      <c r="A594" s="91"/>
      <c r="B594" s="92" t="s">
        <v>616</v>
      </c>
      <c r="C594" s="93">
        <f>SUM(C162:C173)</f>
        <v>13694</v>
      </c>
      <c r="D594" s="93">
        <f>SUM(D162:D173)</f>
        <v>7557</v>
      </c>
      <c r="E594" s="89">
        <v>0.34630433236110125</v>
      </c>
      <c r="F594" s="45">
        <f t="shared" ref="F594:CD594" si="738">SUM(F162:F173)</f>
        <v>0</v>
      </c>
      <c r="G594" s="109">
        <f t="shared" si="738"/>
        <v>0</v>
      </c>
      <c r="H594" s="109">
        <f t="shared" ref="H594:Q594" si="739">SUM(H162:H173)</f>
        <v>0</v>
      </c>
      <c r="I594" s="109">
        <f t="shared" si="739"/>
        <v>6</v>
      </c>
      <c r="J594" s="109">
        <f t="shared" ref="J594:K594" si="740">SUM(J162:J173)</f>
        <v>19</v>
      </c>
      <c r="K594" s="109">
        <f t="shared" si="740"/>
        <v>0</v>
      </c>
      <c r="L594" s="109">
        <f t="shared" si="739"/>
        <v>0</v>
      </c>
      <c r="M594" s="109">
        <f t="shared" si="739"/>
        <v>4656</v>
      </c>
      <c r="N594" s="109">
        <f t="shared" si="739"/>
        <v>0</v>
      </c>
      <c r="O594" s="109">
        <f t="shared" si="739"/>
        <v>0</v>
      </c>
      <c r="P594" s="46">
        <f t="shared" si="739"/>
        <v>41</v>
      </c>
      <c r="Q594" s="46">
        <f t="shared" si="739"/>
        <v>18</v>
      </c>
      <c r="R594" s="46">
        <f t="shared" ref="R594" si="741">SUM(R162:R173)</f>
        <v>2668</v>
      </c>
      <c r="S594" s="47">
        <f t="shared" si="738"/>
        <v>3</v>
      </c>
      <c r="T594" s="45">
        <f>SUM(T162:T173)</f>
        <v>4586</v>
      </c>
      <c r="U594" s="47">
        <f t="shared" ref="U594:V594" si="742">SUM(U162:U173)</f>
        <v>2685</v>
      </c>
      <c r="V594" s="45">
        <f t="shared" si="742"/>
        <v>2863</v>
      </c>
      <c r="W594" s="47">
        <f>SUM(W162:W173)</f>
        <v>4422</v>
      </c>
      <c r="X594" s="45">
        <f>SUM(X162:X173)</f>
        <v>4631</v>
      </c>
      <c r="Y594" s="47">
        <f>SUM(Y162:Y173)</f>
        <v>2533</v>
      </c>
      <c r="Z594" s="109">
        <f t="shared" ref="Z594:AE594" si="743">SUM(Z162:Z173)</f>
        <v>4695</v>
      </c>
      <c r="AA594" s="46">
        <f t="shared" si="743"/>
        <v>0</v>
      </c>
      <c r="AB594" s="46">
        <f t="shared" si="743"/>
        <v>326</v>
      </c>
      <c r="AC594" s="46">
        <f t="shared" si="743"/>
        <v>2351</v>
      </c>
      <c r="AD594" s="46">
        <f t="shared" si="743"/>
        <v>0</v>
      </c>
      <c r="AE594" s="43">
        <f t="shared" si="743"/>
        <v>0</v>
      </c>
      <c r="AF594" s="95">
        <f t="shared" si="738"/>
        <v>5</v>
      </c>
      <c r="AG594" s="109">
        <f t="shared" ref="AG594" si="744">SUM(AG162:AG173)</f>
        <v>4813</v>
      </c>
      <c r="AH594" s="47">
        <f t="shared" si="738"/>
        <v>2415</v>
      </c>
      <c r="AI594" s="45">
        <f t="shared" si="738"/>
        <v>0</v>
      </c>
      <c r="AJ594" s="43">
        <f t="shared" si="738"/>
        <v>0</v>
      </c>
      <c r="AK594" s="45">
        <f t="shared" ref="AK594" si="745">SUM(AK162:AK173)</f>
        <v>0</v>
      </c>
      <c r="AL594" s="47">
        <f t="shared" si="738"/>
        <v>0</v>
      </c>
      <c r="AM594" s="45">
        <f t="shared" si="738"/>
        <v>4597</v>
      </c>
      <c r="AN594" s="95">
        <f t="shared" si="738"/>
        <v>2555</v>
      </c>
      <c r="AO594" s="109">
        <f t="shared" ref="AO594" si="746">SUM(AO162:AO173)</f>
        <v>0</v>
      </c>
      <c r="AP594" s="47">
        <f t="shared" si="738"/>
        <v>0</v>
      </c>
      <c r="AQ594" s="45">
        <f t="shared" ref="AQ594" si="747">SUM(AQ162:AQ173)</f>
        <v>0</v>
      </c>
      <c r="AR594" s="95">
        <f t="shared" si="738"/>
        <v>0</v>
      </c>
      <c r="AS594" s="109">
        <f t="shared" ref="AS594" si="748">SUM(AS162:AS173)</f>
        <v>0</v>
      </c>
      <c r="AT594" s="47">
        <f t="shared" si="738"/>
        <v>0</v>
      </c>
      <c r="AU594" s="45">
        <f t="shared" ref="AU594:AV594" si="749">SUM(AU162:AU173)</f>
        <v>0</v>
      </c>
      <c r="AV594" s="109">
        <f t="shared" si="749"/>
        <v>0</v>
      </c>
      <c r="AW594" s="109">
        <f t="shared" si="738"/>
        <v>0</v>
      </c>
      <c r="AX594" s="45">
        <f t="shared" ref="AX594" si="750">SUM(AX162:AX173)</f>
        <v>0</v>
      </c>
      <c r="AY594" s="47">
        <f t="shared" si="738"/>
        <v>0</v>
      </c>
      <c r="AZ594" s="45">
        <f t="shared" si="738"/>
        <v>0</v>
      </c>
      <c r="BA594" s="95">
        <f t="shared" si="738"/>
        <v>0</v>
      </c>
      <c r="BB594" s="45">
        <f t="shared" ref="BB594" si="751">SUM(BB162:BB173)</f>
        <v>2653</v>
      </c>
      <c r="BC594" s="47">
        <f>SUM(BC162:BC173)</f>
        <v>4471</v>
      </c>
      <c r="BD594" s="45">
        <f t="shared" ref="BD594" si="752">SUM(BD162:BD173)</f>
        <v>2508</v>
      </c>
      <c r="BE594" s="95">
        <f>SUM(BE162:BE173)</f>
        <v>4579</v>
      </c>
      <c r="BF594" s="109">
        <f t="shared" ref="BF594" si="753">SUM(BF162:BF173)</f>
        <v>4549</v>
      </c>
      <c r="BG594" s="47">
        <f>SUM(BG162:BG173)</f>
        <v>2513</v>
      </c>
      <c r="BH594" s="45">
        <f t="shared" ref="BH594" si="754">SUM(BH162:BH173)</f>
        <v>2723</v>
      </c>
      <c r="BI594" s="47">
        <f>SUM(BI162:BI173)</f>
        <v>4366</v>
      </c>
      <c r="BJ594" s="109">
        <f t="shared" ref="BJ594:BK594" si="755">SUM(BJ162:BJ173)</f>
        <v>359</v>
      </c>
      <c r="BK594" s="43">
        <f t="shared" si="755"/>
        <v>2296</v>
      </c>
      <c r="BL594" s="95">
        <f t="shared" si="738"/>
        <v>4553</v>
      </c>
      <c r="BM594" s="109">
        <f t="shared" ref="BM594:BN594" si="756">SUM(BM162:BM173)</f>
        <v>4619</v>
      </c>
      <c r="BN594" s="46">
        <f t="shared" si="756"/>
        <v>2275</v>
      </c>
      <c r="BO594" s="47">
        <f t="shared" si="738"/>
        <v>295</v>
      </c>
      <c r="BP594" s="45">
        <f t="shared" ref="BP594" si="757">SUM(BP162:BP173)</f>
        <v>2584</v>
      </c>
      <c r="BQ594" s="47">
        <f t="shared" ref="BQ594:BR594" si="758">SUM(BQ162:BQ173)</f>
        <v>4487</v>
      </c>
      <c r="BR594" s="45">
        <f t="shared" si="758"/>
        <v>4242</v>
      </c>
      <c r="BS594" s="47">
        <f t="shared" si="738"/>
        <v>2931</v>
      </c>
      <c r="BT594" s="45">
        <f t="shared" ref="BT594:BU594" si="759">SUM(BT162:BT173)</f>
        <v>2398</v>
      </c>
      <c r="BU594" s="43">
        <f t="shared" si="759"/>
        <v>403</v>
      </c>
      <c r="BV594" s="95">
        <f t="shared" si="738"/>
        <v>4323</v>
      </c>
      <c r="BW594" s="109">
        <f t="shared" ref="BW594" si="760">SUM(BW162:BW173)</f>
        <v>4603</v>
      </c>
      <c r="BX594" s="47">
        <f t="shared" si="738"/>
        <v>2653</v>
      </c>
      <c r="BY594" s="45">
        <f t="shared" ref="BY594" si="761">SUM(BY162:BY173)</f>
        <v>4621</v>
      </c>
      <c r="BZ594" s="95">
        <f t="shared" si="738"/>
        <v>2428</v>
      </c>
      <c r="CA594" s="109">
        <f t="shared" ref="CA594" si="762">SUM(CA162:CA173)</f>
        <v>2476</v>
      </c>
      <c r="CB594" s="47">
        <f t="shared" si="738"/>
        <v>4619</v>
      </c>
      <c r="CC594" s="47">
        <f t="shared" si="738"/>
        <v>4047</v>
      </c>
      <c r="CD594" s="44">
        <f t="shared" si="738"/>
        <v>5756</v>
      </c>
      <c r="CE594" s="109">
        <f t="shared" ref="CE594" si="763">SUM(CE162:CE173)</f>
        <v>2949</v>
      </c>
      <c r="CF594" s="43">
        <f>SUM(CF162:CF173)</f>
        <v>3169</v>
      </c>
      <c r="CG594" s="45">
        <f>SUM(CG162:CG173)</f>
        <v>1766</v>
      </c>
      <c r="CH594" s="46">
        <f t="shared" ref="CH594:CJ594" si="764">SUM(CH162:CH173)</f>
        <v>1305</v>
      </c>
      <c r="CI594" s="46">
        <f t="shared" si="764"/>
        <v>2460</v>
      </c>
      <c r="CJ594" s="46">
        <f t="shared" si="764"/>
        <v>2730</v>
      </c>
      <c r="CK594" s="95">
        <f>SUM(CK162:CK173)</f>
        <v>2619</v>
      </c>
    </row>
    <row r="595" spans="1:89" ht="13" x14ac:dyDescent="0.25">
      <c r="A595" s="91"/>
      <c r="B595" s="92" t="s">
        <v>617</v>
      </c>
      <c r="C595" s="93">
        <f>SUM(C174:C192)</f>
        <v>20067</v>
      </c>
      <c r="D595" s="93">
        <f>SUM(D174:D192)</f>
        <v>10590</v>
      </c>
      <c r="E595" s="89">
        <v>0.34587497550460511</v>
      </c>
      <c r="F595" s="45">
        <f t="shared" ref="F595:CD595" si="765">SUM(F174:F192)</f>
        <v>0</v>
      </c>
      <c r="G595" s="109">
        <f t="shared" si="765"/>
        <v>0</v>
      </c>
      <c r="H595" s="109">
        <f t="shared" ref="H595:Q595" si="766">SUM(H174:H192)</f>
        <v>0</v>
      </c>
      <c r="I595" s="109">
        <f t="shared" si="766"/>
        <v>15</v>
      </c>
      <c r="J595" s="109">
        <f t="shared" ref="J595:K595" si="767">SUM(J174:J192)</f>
        <v>39</v>
      </c>
      <c r="K595" s="109">
        <f t="shared" si="767"/>
        <v>0</v>
      </c>
      <c r="L595" s="109">
        <f t="shared" si="766"/>
        <v>0</v>
      </c>
      <c r="M595" s="109">
        <f t="shared" si="766"/>
        <v>7623</v>
      </c>
      <c r="N595" s="109">
        <f t="shared" si="766"/>
        <v>0</v>
      </c>
      <c r="O595" s="109">
        <f t="shared" si="766"/>
        <v>0</v>
      </c>
      <c r="P595" s="46">
        <f t="shared" si="766"/>
        <v>56</v>
      </c>
      <c r="Q595" s="46">
        <f t="shared" si="766"/>
        <v>16</v>
      </c>
      <c r="R595" s="46">
        <f t="shared" ref="R595" si="768">SUM(R174:R192)</f>
        <v>2633</v>
      </c>
      <c r="S595" s="47">
        <f t="shared" si="765"/>
        <v>5</v>
      </c>
      <c r="T595" s="45">
        <f>SUM(T174:T192)</f>
        <v>7494</v>
      </c>
      <c r="U595" s="47">
        <f t="shared" ref="U595:V595" si="769">SUM(U174:U192)</f>
        <v>2678</v>
      </c>
      <c r="V595" s="45">
        <f t="shared" si="769"/>
        <v>2917</v>
      </c>
      <c r="W595" s="47">
        <f>SUM(W174:W192)</f>
        <v>7281</v>
      </c>
      <c r="X595" s="45">
        <f>SUM(X174:X192)</f>
        <v>7503</v>
      </c>
      <c r="Y595" s="47">
        <f>SUM(Y174:Y192)</f>
        <v>2532</v>
      </c>
      <c r="Z595" s="109">
        <f t="shared" ref="Z595:AE595" si="770">SUM(Z174:Z192)</f>
        <v>7609</v>
      </c>
      <c r="AA595" s="46">
        <f t="shared" si="770"/>
        <v>0</v>
      </c>
      <c r="AB595" s="46">
        <f t="shared" si="770"/>
        <v>378</v>
      </c>
      <c r="AC595" s="46">
        <f t="shared" si="770"/>
        <v>2331</v>
      </c>
      <c r="AD595" s="46">
        <f t="shared" si="770"/>
        <v>0</v>
      </c>
      <c r="AE595" s="43">
        <f t="shared" si="770"/>
        <v>0</v>
      </c>
      <c r="AF595" s="95">
        <f t="shared" si="765"/>
        <v>5</v>
      </c>
      <c r="AG595" s="109">
        <f t="shared" ref="AG595" si="771">SUM(AG174:AG192)</f>
        <v>7702</v>
      </c>
      <c r="AH595" s="47">
        <f t="shared" si="765"/>
        <v>2376</v>
      </c>
      <c r="AI595" s="45">
        <f t="shared" si="765"/>
        <v>0</v>
      </c>
      <c r="AJ595" s="43">
        <f t="shared" si="765"/>
        <v>0</v>
      </c>
      <c r="AK595" s="45">
        <f t="shared" ref="AK595" si="772">SUM(AK174:AK192)</f>
        <v>0</v>
      </c>
      <c r="AL595" s="47">
        <f t="shared" si="765"/>
        <v>0</v>
      </c>
      <c r="AM595" s="45">
        <f t="shared" si="765"/>
        <v>7437</v>
      </c>
      <c r="AN595" s="95">
        <f t="shared" si="765"/>
        <v>2574</v>
      </c>
      <c r="AO595" s="109">
        <f t="shared" ref="AO595" si="773">SUM(AO174:AO192)</f>
        <v>0</v>
      </c>
      <c r="AP595" s="47">
        <f t="shared" si="765"/>
        <v>0</v>
      </c>
      <c r="AQ595" s="45">
        <f t="shared" ref="AQ595" si="774">SUM(AQ174:AQ192)</f>
        <v>0</v>
      </c>
      <c r="AR595" s="95">
        <f t="shared" si="765"/>
        <v>0</v>
      </c>
      <c r="AS595" s="109">
        <f t="shared" ref="AS595" si="775">SUM(AS174:AS192)</f>
        <v>0</v>
      </c>
      <c r="AT595" s="47">
        <f t="shared" si="765"/>
        <v>0</v>
      </c>
      <c r="AU595" s="45">
        <f t="shared" ref="AU595:AV595" si="776">SUM(AU174:AU192)</f>
        <v>0</v>
      </c>
      <c r="AV595" s="109">
        <f t="shared" si="776"/>
        <v>0</v>
      </c>
      <c r="AW595" s="109">
        <f t="shared" si="765"/>
        <v>0</v>
      </c>
      <c r="AX595" s="45">
        <f t="shared" ref="AX595" si="777">SUM(AX174:AX192)</f>
        <v>0</v>
      </c>
      <c r="AY595" s="47">
        <f t="shared" si="765"/>
        <v>0</v>
      </c>
      <c r="AZ595" s="45">
        <f t="shared" si="765"/>
        <v>0</v>
      </c>
      <c r="BA595" s="95">
        <f t="shared" si="765"/>
        <v>0</v>
      </c>
      <c r="BB595" s="45">
        <f t="shared" ref="BB595" si="778">SUM(BB174:BB192)</f>
        <v>2664</v>
      </c>
      <c r="BC595" s="47">
        <f>SUM(BC174:BC192)</f>
        <v>7288</v>
      </c>
      <c r="BD595" s="45">
        <f t="shared" ref="BD595" si="779">SUM(BD174:BD192)</f>
        <v>2518</v>
      </c>
      <c r="BE595" s="95">
        <f>SUM(BE174:BE192)</f>
        <v>7387</v>
      </c>
      <c r="BF595" s="109">
        <f t="shared" ref="BF595" si="780">SUM(BF174:BF192)</f>
        <v>7302</v>
      </c>
      <c r="BG595" s="47">
        <f>SUM(BG174:BG192)</f>
        <v>2561</v>
      </c>
      <c r="BH595" s="45">
        <f t="shared" ref="BH595" si="781">SUM(BH174:BH192)</f>
        <v>2798</v>
      </c>
      <c r="BI595" s="47">
        <f>SUM(BI174:BI192)</f>
        <v>7059</v>
      </c>
      <c r="BJ595" s="109">
        <f t="shared" ref="BJ595:BK595" si="782">SUM(BJ174:BJ192)</f>
        <v>395</v>
      </c>
      <c r="BK595" s="43">
        <f t="shared" si="782"/>
        <v>2227</v>
      </c>
      <c r="BL595" s="95">
        <f t="shared" si="765"/>
        <v>7493</v>
      </c>
      <c r="BM595" s="109">
        <f t="shared" ref="BM595:BN595" si="783">SUM(BM174:BM192)</f>
        <v>7451</v>
      </c>
      <c r="BN595" s="46">
        <f t="shared" si="783"/>
        <v>2192</v>
      </c>
      <c r="BO595" s="47">
        <f t="shared" si="765"/>
        <v>363</v>
      </c>
      <c r="BP595" s="45">
        <f t="shared" ref="BP595" si="784">SUM(BP174:BP192)</f>
        <v>2586</v>
      </c>
      <c r="BQ595" s="47">
        <f t="shared" ref="BQ595:BR595" si="785">SUM(BQ174:BQ192)</f>
        <v>7343</v>
      </c>
      <c r="BR595" s="45">
        <f t="shared" si="785"/>
        <v>6965</v>
      </c>
      <c r="BS595" s="47">
        <f t="shared" si="765"/>
        <v>3066</v>
      </c>
      <c r="BT595" s="45">
        <f t="shared" ref="BT595:BU595" si="786">SUM(BT174:BT192)</f>
        <v>2391</v>
      </c>
      <c r="BU595" s="43">
        <f t="shared" si="786"/>
        <v>455</v>
      </c>
      <c r="BV595" s="95">
        <f t="shared" si="765"/>
        <v>7108</v>
      </c>
      <c r="BW595" s="109">
        <f t="shared" ref="BW595" si="787">SUM(BW174:BW192)</f>
        <v>7514</v>
      </c>
      <c r="BX595" s="47">
        <f t="shared" si="765"/>
        <v>2652</v>
      </c>
      <c r="BY595" s="45">
        <f t="shared" ref="BY595" si="788">SUM(BY174:BY192)</f>
        <v>7424</v>
      </c>
      <c r="BZ595" s="95">
        <f t="shared" si="765"/>
        <v>2417</v>
      </c>
      <c r="CA595" s="109">
        <f t="shared" ref="CA595" si="789">SUM(CA174:CA192)</f>
        <v>2515</v>
      </c>
      <c r="CB595" s="47">
        <f t="shared" si="765"/>
        <v>7405</v>
      </c>
      <c r="CC595" s="47">
        <f t="shared" si="765"/>
        <v>4722</v>
      </c>
      <c r="CD595" s="44">
        <f t="shared" si="765"/>
        <v>8460</v>
      </c>
      <c r="CE595" s="109">
        <f t="shared" ref="CE595" si="790">SUM(CE174:CE192)</f>
        <v>3790</v>
      </c>
      <c r="CF595" s="43">
        <f>SUM(CF174:CF192)</f>
        <v>4726</v>
      </c>
      <c r="CG595" s="45">
        <f>SUM(CG174:CG192)</f>
        <v>2394</v>
      </c>
      <c r="CH595" s="46">
        <f t="shared" ref="CH595:CJ595" si="791">SUM(CH174:CH192)</f>
        <v>1465</v>
      </c>
      <c r="CI595" s="46">
        <f t="shared" si="791"/>
        <v>4000</v>
      </c>
      <c r="CJ595" s="46">
        <f t="shared" si="791"/>
        <v>4357</v>
      </c>
      <c r="CK595" s="95">
        <f>SUM(CK174:CK192)</f>
        <v>3076</v>
      </c>
    </row>
    <row r="596" spans="1:89" ht="13" x14ac:dyDescent="0.25">
      <c r="A596" s="91"/>
      <c r="B596" s="92" t="s">
        <v>618</v>
      </c>
      <c r="C596" s="93">
        <f>SUM(C193:C203)</f>
        <v>10625</v>
      </c>
      <c r="D596" s="93">
        <f>SUM(D193:D203)</f>
        <v>8189</v>
      </c>
      <c r="E596" s="89">
        <v>0.63028715560729531</v>
      </c>
      <c r="F596" s="45">
        <f t="shared" ref="F596:CD596" si="792">SUM(F193:F203)</f>
        <v>1</v>
      </c>
      <c r="G596" s="109">
        <f t="shared" si="792"/>
        <v>0</v>
      </c>
      <c r="H596" s="109">
        <f t="shared" ref="H596:Q596" si="793">SUM(H193:H203)</f>
        <v>1</v>
      </c>
      <c r="I596" s="109">
        <f t="shared" si="793"/>
        <v>4</v>
      </c>
      <c r="J596" s="109">
        <f t="shared" ref="J596:K596" si="794">SUM(J193:J203)</f>
        <v>13</v>
      </c>
      <c r="K596" s="109">
        <f t="shared" si="794"/>
        <v>0</v>
      </c>
      <c r="L596" s="109">
        <f t="shared" si="793"/>
        <v>0</v>
      </c>
      <c r="M596" s="109">
        <f t="shared" si="793"/>
        <v>4663</v>
      </c>
      <c r="N596" s="109">
        <f t="shared" si="793"/>
        <v>0</v>
      </c>
      <c r="O596" s="109">
        <f t="shared" si="793"/>
        <v>0</v>
      </c>
      <c r="P596" s="46">
        <f t="shared" si="793"/>
        <v>66</v>
      </c>
      <c r="Q596" s="46">
        <f t="shared" si="793"/>
        <v>12</v>
      </c>
      <c r="R596" s="46">
        <f t="shared" ref="R596" si="795">SUM(R193:R203)</f>
        <v>3281</v>
      </c>
      <c r="S596" s="47">
        <f t="shared" si="792"/>
        <v>2</v>
      </c>
      <c r="T596" s="45">
        <f>SUM(T193:T203)</f>
        <v>4481</v>
      </c>
      <c r="U596" s="47">
        <f t="shared" ref="U596:V596" si="796">SUM(U193:U203)</f>
        <v>3433</v>
      </c>
      <c r="V596" s="45">
        <f t="shared" si="796"/>
        <v>3599</v>
      </c>
      <c r="W596" s="47">
        <f>SUM(W193:W203)</f>
        <v>4338</v>
      </c>
      <c r="X596" s="45">
        <f>SUM(X193:X203)</f>
        <v>4495</v>
      </c>
      <c r="Y596" s="47">
        <f>SUM(Y193:Y203)</f>
        <v>3324</v>
      </c>
      <c r="Z596" s="109">
        <f t="shared" ref="Z596:AE596" si="797">SUM(Z193:Z203)</f>
        <v>4767</v>
      </c>
      <c r="AA596" s="46">
        <f t="shared" si="797"/>
        <v>0</v>
      </c>
      <c r="AB596" s="46">
        <f t="shared" si="797"/>
        <v>210</v>
      </c>
      <c r="AC596" s="46">
        <f t="shared" si="797"/>
        <v>3062</v>
      </c>
      <c r="AD596" s="46">
        <f t="shared" si="797"/>
        <v>0</v>
      </c>
      <c r="AE596" s="43">
        <f t="shared" si="797"/>
        <v>0</v>
      </c>
      <c r="AF596" s="95">
        <f t="shared" si="792"/>
        <v>2</v>
      </c>
      <c r="AG596" s="109">
        <f t="shared" ref="AG596" si="798">SUM(AG193:AG203)</f>
        <v>4747</v>
      </c>
      <c r="AH596" s="47">
        <f t="shared" si="792"/>
        <v>3163</v>
      </c>
      <c r="AI596" s="45">
        <f t="shared" si="792"/>
        <v>0</v>
      </c>
      <c r="AJ596" s="43">
        <f t="shared" si="792"/>
        <v>0</v>
      </c>
      <c r="AK596" s="45">
        <f t="shared" ref="AK596" si="799">SUM(AK193:AK203)</f>
        <v>0</v>
      </c>
      <c r="AL596" s="47">
        <f t="shared" si="792"/>
        <v>0</v>
      </c>
      <c r="AM596" s="45">
        <f t="shared" si="792"/>
        <v>0</v>
      </c>
      <c r="AN596" s="95">
        <f t="shared" si="792"/>
        <v>0</v>
      </c>
      <c r="AO596" s="109">
        <f t="shared" ref="AO596" si="800">SUM(AO193:AO203)</f>
        <v>0</v>
      </c>
      <c r="AP596" s="47">
        <f t="shared" si="792"/>
        <v>0</v>
      </c>
      <c r="AQ596" s="45">
        <f t="shared" ref="AQ596" si="801">SUM(AQ193:AQ203)</f>
        <v>0</v>
      </c>
      <c r="AR596" s="95">
        <f t="shared" si="792"/>
        <v>0</v>
      </c>
      <c r="AS596" s="109">
        <f t="shared" ref="AS596" si="802">SUM(AS193:AS203)</f>
        <v>0</v>
      </c>
      <c r="AT596" s="47">
        <f t="shared" si="792"/>
        <v>0</v>
      </c>
      <c r="AU596" s="45">
        <f t="shared" ref="AU596:AV596" si="803">SUM(AU193:AU203)</f>
        <v>4500</v>
      </c>
      <c r="AV596" s="109">
        <f t="shared" si="803"/>
        <v>0</v>
      </c>
      <c r="AW596" s="109">
        <f t="shared" si="792"/>
        <v>3311</v>
      </c>
      <c r="AX596" s="45">
        <f t="shared" ref="AX596" si="804">SUM(AX193:AX203)</f>
        <v>0</v>
      </c>
      <c r="AY596" s="47">
        <f t="shared" si="792"/>
        <v>0</v>
      </c>
      <c r="AZ596" s="45">
        <f t="shared" si="792"/>
        <v>0</v>
      </c>
      <c r="BA596" s="95">
        <f t="shared" si="792"/>
        <v>0</v>
      </c>
      <c r="BB596" s="45">
        <f t="shared" ref="BB596" si="805">SUM(BB193:BB203)</f>
        <v>3475</v>
      </c>
      <c r="BC596" s="47">
        <f>SUM(BC193:BC203)</f>
        <v>4239</v>
      </c>
      <c r="BD596" s="45">
        <f t="shared" ref="BD596" si="806">SUM(BD193:BD203)</f>
        <v>3375</v>
      </c>
      <c r="BE596" s="95">
        <f>SUM(BE193:BE203)</f>
        <v>4319</v>
      </c>
      <c r="BF596" s="109">
        <f t="shared" ref="BF596" si="807">SUM(BF193:BF203)</f>
        <v>4321</v>
      </c>
      <c r="BG596" s="47">
        <f>SUM(BG193:BG203)</f>
        <v>3330</v>
      </c>
      <c r="BH596" s="45">
        <f t="shared" ref="BH596" si="808">SUM(BH193:BH203)</f>
        <v>3616</v>
      </c>
      <c r="BI596" s="47">
        <f>SUM(BI193:BI203)</f>
        <v>4055</v>
      </c>
      <c r="BJ596" s="109">
        <f t="shared" ref="BJ596:BK596" si="809">SUM(BJ193:BJ203)</f>
        <v>332</v>
      </c>
      <c r="BK596" s="43">
        <f t="shared" si="809"/>
        <v>3135</v>
      </c>
      <c r="BL596" s="95">
        <f t="shared" si="792"/>
        <v>4268</v>
      </c>
      <c r="BM596" s="109">
        <f t="shared" ref="BM596:BN596" si="810">SUM(BM193:BM203)</f>
        <v>4369</v>
      </c>
      <c r="BN596" s="46">
        <f t="shared" si="810"/>
        <v>3108</v>
      </c>
      <c r="BO596" s="47">
        <f t="shared" si="792"/>
        <v>248</v>
      </c>
      <c r="BP596" s="45">
        <f t="shared" ref="BP596" si="811">SUM(BP193:BP203)</f>
        <v>3329</v>
      </c>
      <c r="BQ596" s="47">
        <f t="shared" ref="BQ596:BR596" si="812">SUM(BQ193:BQ203)</f>
        <v>4383</v>
      </c>
      <c r="BR596" s="45">
        <f t="shared" si="812"/>
        <v>4015</v>
      </c>
      <c r="BS596" s="47">
        <f t="shared" si="792"/>
        <v>3781</v>
      </c>
      <c r="BT596" s="45">
        <f t="shared" ref="BT596:BU596" si="813">SUM(BT193:BT203)</f>
        <v>3166</v>
      </c>
      <c r="BU596" s="43">
        <f t="shared" si="813"/>
        <v>287</v>
      </c>
      <c r="BV596" s="95">
        <f t="shared" si="792"/>
        <v>4212</v>
      </c>
      <c r="BW596" s="109">
        <f t="shared" ref="BW596" si="814">SUM(BW193:BW203)</f>
        <v>4440</v>
      </c>
      <c r="BX596" s="47">
        <f t="shared" si="792"/>
        <v>3387</v>
      </c>
      <c r="BY596" s="45">
        <f t="shared" ref="BY596" si="815">SUM(BY193:BY203)</f>
        <v>4318</v>
      </c>
      <c r="BZ596" s="95">
        <f t="shared" si="792"/>
        <v>3261</v>
      </c>
      <c r="CA596" s="109">
        <f t="shared" ref="CA596" si="816">SUM(CA193:CA203)</f>
        <v>3250</v>
      </c>
      <c r="CB596" s="47">
        <f t="shared" si="792"/>
        <v>4399</v>
      </c>
      <c r="CC596" s="47">
        <f t="shared" si="792"/>
        <v>4992</v>
      </c>
      <c r="CD596" s="44">
        <f t="shared" si="792"/>
        <v>5875</v>
      </c>
      <c r="CE596" s="109">
        <f t="shared" ref="CE596" si="817">SUM(CE193:CE203)</f>
        <v>3270</v>
      </c>
      <c r="CF596" s="43">
        <f>SUM(CF193:CF203)</f>
        <v>3255</v>
      </c>
      <c r="CG596" s="45">
        <f>SUM(CG193:CG203)</f>
        <v>1949</v>
      </c>
      <c r="CH596" s="46">
        <f t="shared" ref="CH596:CJ596" si="818">SUM(CH193:CH203)</f>
        <v>1654</v>
      </c>
      <c r="CI596" s="46">
        <f t="shared" si="818"/>
        <v>2547</v>
      </c>
      <c r="CJ596" s="46">
        <f t="shared" si="818"/>
        <v>2940</v>
      </c>
      <c r="CK596" s="95">
        <f>SUM(CK193:CK203)</f>
        <v>3077</v>
      </c>
    </row>
    <row r="597" spans="1:89" ht="13" x14ac:dyDescent="0.25">
      <c r="A597" s="91"/>
      <c r="B597" s="92" t="s">
        <v>619</v>
      </c>
      <c r="C597" s="93">
        <f>SUM(C204:C207)</f>
        <v>6059</v>
      </c>
      <c r="D597" s="93">
        <f>SUM(D204:D207)</f>
        <v>3812</v>
      </c>
      <c r="E597" s="89">
        <v>0.43265935572309799</v>
      </c>
      <c r="F597" s="45">
        <f t="shared" ref="F597:CD597" si="819">SUM(F204:F207)</f>
        <v>0</v>
      </c>
      <c r="G597" s="109">
        <f t="shared" si="819"/>
        <v>0</v>
      </c>
      <c r="H597" s="109">
        <f t="shared" ref="H597:Q597" si="820">SUM(H204:H207)</f>
        <v>1</v>
      </c>
      <c r="I597" s="109">
        <f t="shared" si="820"/>
        <v>5</v>
      </c>
      <c r="J597" s="109">
        <f t="shared" ref="J597:K597" si="821">SUM(J204:J207)</f>
        <v>8</v>
      </c>
      <c r="K597" s="109">
        <f t="shared" si="821"/>
        <v>0</v>
      </c>
      <c r="L597" s="109">
        <f t="shared" si="820"/>
        <v>0</v>
      </c>
      <c r="M597" s="109">
        <f t="shared" si="820"/>
        <v>1923</v>
      </c>
      <c r="N597" s="109">
        <f t="shared" si="820"/>
        <v>0</v>
      </c>
      <c r="O597" s="109">
        <f t="shared" si="820"/>
        <v>0</v>
      </c>
      <c r="P597" s="46">
        <f t="shared" si="820"/>
        <v>25</v>
      </c>
      <c r="Q597" s="46">
        <f t="shared" si="820"/>
        <v>8</v>
      </c>
      <c r="R597" s="46">
        <f t="shared" ref="R597" si="822">SUM(R204:R207)</f>
        <v>1765</v>
      </c>
      <c r="S597" s="47">
        <f t="shared" si="819"/>
        <v>0</v>
      </c>
      <c r="T597" s="45">
        <f>SUM(T204:T207)</f>
        <v>1921</v>
      </c>
      <c r="U597" s="47">
        <f t="shared" ref="U597:V597" si="823">SUM(U204:U207)</f>
        <v>1745</v>
      </c>
      <c r="V597" s="45">
        <f t="shared" si="823"/>
        <v>1859</v>
      </c>
      <c r="W597" s="47">
        <f>SUM(W204:W207)</f>
        <v>1830</v>
      </c>
      <c r="X597" s="45">
        <f>SUM(X204:X207)</f>
        <v>1953</v>
      </c>
      <c r="Y597" s="47">
        <f>SUM(Y204:Y207)</f>
        <v>1672</v>
      </c>
      <c r="Z597" s="109">
        <f t="shared" ref="Z597:AE597" si="824">SUM(Z204:Z207)</f>
        <v>1975</v>
      </c>
      <c r="AA597" s="46">
        <f t="shared" si="824"/>
        <v>0</v>
      </c>
      <c r="AB597" s="46">
        <f t="shared" si="824"/>
        <v>187</v>
      </c>
      <c r="AC597" s="46">
        <f t="shared" si="824"/>
        <v>1558</v>
      </c>
      <c r="AD597" s="46">
        <f t="shared" si="824"/>
        <v>0</v>
      </c>
      <c r="AE597" s="43">
        <f t="shared" si="824"/>
        <v>0</v>
      </c>
      <c r="AF597" s="95">
        <f t="shared" si="819"/>
        <v>2</v>
      </c>
      <c r="AG597" s="109">
        <f t="shared" ref="AG597" si="825">SUM(AG204:AG207)</f>
        <v>0</v>
      </c>
      <c r="AH597" s="47">
        <f t="shared" si="819"/>
        <v>0</v>
      </c>
      <c r="AI597" s="45">
        <f t="shared" si="819"/>
        <v>1680</v>
      </c>
      <c r="AJ597" s="43">
        <f t="shared" si="819"/>
        <v>1918</v>
      </c>
      <c r="AK597" s="45">
        <f t="shared" ref="AK597" si="826">SUM(AK204:AK207)</f>
        <v>1698</v>
      </c>
      <c r="AL597" s="47">
        <f t="shared" si="819"/>
        <v>1918</v>
      </c>
      <c r="AM597" s="45">
        <f t="shared" si="819"/>
        <v>0</v>
      </c>
      <c r="AN597" s="95">
        <f t="shared" si="819"/>
        <v>0</v>
      </c>
      <c r="AO597" s="109">
        <f t="shared" ref="AO597" si="827">SUM(AO204:AO207)</f>
        <v>0</v>
      </c>
      <c r="AP597" s="47">
        <f t="shared" si="819"/>
        <v>0</v>
      </c>
      <c r="AQ597" s="45">
        <f t="shared" ref="AQ597" si="828">SUM(AQ204:AQ207)</f>
        <v>0</v>
      </c>
      <c r="AR597" s="95">
        <f t="shared" si="819"/>
        <v>0</v>
      </c>
      <c r="AS597" s="109">
        <f t="shared" ref="AS597" si="829">SUM(AS204:AS207)</f>
        <v>0</v>
      </c>
      <c r="AT597" s="47">
        <f t="shared" si="819"/>
        <v>0</v>
      </c>
      <c r="AU597" s="45">
        <f t="shared" ref="AU597:AV597" si="830">SUM(AU204:AU207)</f>
        <v>0</v>
      </c>
      <c r="AV597" s="109">
        <f t="shared" si="830"/>
        <v>0</v>
      </c>
      <c r="AW597" s="109">
        <f t="shared" si="819"/>
        <v>0</v>
      </c>
      <c r="AX597" s="45">
        <f t="shared" ref="AX597" si="831">SUM(AX204:AX207)</f>
        <v>0</v>
      </c>
      <c r="AY597" s="47">
        <f t="shared" si="819"/>
        <v>0</v>
      </c>
      <c r="AZ597" s="45">
        <f t="shared" si="819"/>
        <v>1966</v>
      </c>
      <c r="BA597" s="95">
        <f t="shared" si="819"/>
        <v>1645</v>
      </c>
      <c r="BB597" s="45">
        <f t="shared" ref="BB597" si="832">SUM(BB204:BB207)</f>
        <v>1719</v>
      </c>
      <c r="BC597" s="47">
        <f>SUM(BC204:BC207)</f>
        <v>1867</v>
      </c>
      <c r="BD597" s="45">
        <f t="shared" ref="BD597" si="833">SUM(BD204:BD207)</f>
        <v>1654</v>
      </c>
      <c r="BE597" s="95">
        <f>SUM(BE204:BE207)</f>
        <v>1917</v>
      </c>
      <c r="BF597" s="109">
        <f t="shared" ref="BF597" si="834">SUM(BF204:BF207)</f>
        <v>1883</v>
      </c>
      <c r="BG597" s="47">
        <f>SUM(BG204:BG207)</f>
        <v>1666</v>
      </c>
      <c r="BH597" s="45">
        <f t="shared" ref="BH597" si="835">SUM(BH204:BH207)</f>
        <v>1782</v>
      </c>
      <c r="BI597" s="47">
        <f>SUM(BI204:BI207)</f>
        <v>1804</v>
      </c>
      <c r="BJ597" s="109">
        <f t="shared" ref="BJ597:BK597" si="836">SUM(BJ204:BJ207)</f>
        <v>242</v>
      </c>
      <c r="BK597" s="43">
        <f t="shared" si="836"/>
        <v>1489</v>
      </c>
      <c r="BL597" s="95">
        <f t="shared" si="819"/>
        <v>1879</v>
      </c>
      <c r="BM597" s="109">
        <f t="shared" ref="BM597:BN597" si="837">SUM(BM204:BM207)</f>
        <v>1932</v>
      </c>
      <c r="BN597" s="46">
        <f t="shared" si="837"/>
        <v>1524</v>
      </c>
      <c r="BO597" s="47">
        <f t="shared" si="819"/>
        <v>163</v>
      </c>
      <c r="BP597" s="45">
        <f t="shared" ref="BP597" si="838">SUM(BP204:BP207)</f>
        <v>1719</v>
      </c>
      <c r="BQ597" s="47">
        <f t="shared" ref="BQ597:BR597" si="839">SUM(BQ204:BQ207)</f>
        <v>1862</v>
      </c>
      <c r="BR597" s="45">
        <f t="shared" si="839"/>
        <v>1755</v>
      </c>
      <c r="BS597" s="47">
        <f t="shared" si="819"/>
        <v>1867</v>
      </c>
      <c r="BT597" s="45">
        <f t="shared" ref="BT597:BU597" si="840">SUM(BT204:BT207)</f>
        <v>1555</v>
      </c>
      <c r="BU597" s="43">
        <f t="shared" si="840"/>
        <v>232</v>
      </c>
      <c r="BV597" s="95">
        <f t="shared" si="819"/>
        <v>1788</v>
      </c>
      <c r="BW597" s="109">
        <f t="shared" ref="BW597" si="841">SUM(BW204:BW207)</f>
        <v>1903</v>
      </c>
      <c r="BX597" s="47">
        <f t="shared" si="819"/>
        <v>1756</v>
      </c>
      <c r="BY597" s="45">
        <f t="shared" ref="BY597" si="842">SUM(BY204:BY207)</f>
        <v>1925</v>
      </c>
      <c r="BZ597" s="95">
        <f t="shared" si="819"/>
        <v>1611</v>
      </c>
      <c r="CA597" s="109">
        <f t="shared" ref="CA597" si="843">SUM(CA204:CA207)</f>
        <v>1646</v>
      </c>
      <c r="CB597" s="47">
        <f t="shared" si="819"/>
        <v>1923</v>
      </c>
      <c r="CC597" s="47">
        <f t="shared" si="819"/>
        <v>2355</v>
      </c>
      <c r="CD597" s="44">
        <f t="shared" si="819"/>
        <v>2719</v>
      </c>
      <c r="CE597" s="109">
        <f t="shared" ref="CE597" si="844">SUM(CE204:CE207)</f>
        <v>1693</v>
      </c>
      <c r="CF597" s="43">
        <f>SUM(CF204:CF207)</f>
        <v>1401</v>
      </c>
      <c r="CG597" s="45">
        <f>SUM(CG204:CG207)</f>
        <v>784</v>
      </c>
      <c r="CH597" s="46">
        <f t="shared" ref="CH597:CJ597" si="845">SUM(CH204:CH207)</f>
        <v>974</v>
      </c>
      <c r="CI597" s="46">
        <f t="shared" si="845"/>
        <v>1000</v>
      </c>
      <c r="CJ597" s="46">
        <f t="shared" si="845"/>
        <v>1194</v>
      </c>
      <c r="CK597" s="95">
        <f>SUM(CK204:CK207)</f>
        <v>1671</v>
      </c>
    </row>
    <row r="598" spans="1:89" ht="13" x14ac:dyDescent="0.25">
      <c r="A598" s="91"/>
      <c r="B598" s="92" t="s">
        <v>620</v>
      </c>
      <c r="C598" s="93">
        <f>SUM(C208:C211)</f>
        <v>4089</v>
      </c>
      <c r="D598" s="93">
        <f>SUM(D208:D211)</f>
        <v>3090</v>
      </c>
      <c r="E598" s="89">
        <v>0.55530360292265057</v>
      </c>
      <c r="F598" s="45">
        <f t="shared" ref="F598:CD598" si="846">SUM(F208:F211)</f>
        <v>0</v>
      </c>
      <c r="G598" s="109">
        <f t="shared" si="846"/>
        <v>0</v>
      </c>
      <c r="H598" s="109">
        <f t="shared" ref="H598:Q598" si="847">SUM(H208:H211)</f>
        <v>0</v>
      </c>
      <c r="I598" s="109">
        <f t="shared" si="847"/>
        <v>0</v>
      </c>
      <c r="J598" s="109">
        <f t="shared" ref="J598:K598" si="848">SUM(J208:J211)</f>
        <v>8</v>
      </c>
      <c r="K598" s="109">
        <f t="shared" si="848"/>
        <v>0</v>
      </c>
      <c r="L598" s="109">
        <f t="shared" si="847"/>
        <v>0</v>
      </c>
      <c r="M598" s="109">
        <f t="shared" si="847"/>
        <v>1583</v>
      </c>
      <c r="N598" s="109">
        <f t="shared" si="847"/>
        <v>0</v>
      </c>
      <c r="O598" s="109">
        <f t="shared" si="847"/>
        <v>0</v>
      </c>
      <c r="P598" s="46">
        <f t="shared" si="847"/>
        <v>29</v>
      </c>
      <c r="Q598" s="46">
        <f t="shared" si="847"/>
        <v>7</v>
      </c>
      <c r="R598" s="46">
        <f t="shared" ref="R598" si="849">SUM(R208:R211)</f>
        <v>1420</v>
      </c>
      <c r="S598" s="47">
        <f t="shared" si="846"/>
        <v>0</v>
      </c>
      <c r="T598" s="45">
        <f>SUM(T208:T211)</f>
        <v>1532</v>
      </c>
      <c r="U598" s="47">
        <f t="shared" ref="U598:V598" si="850">SUM(U208:U211)</f>
        <v>1450</v>
      </c>
      <c r="V598" s="45">
        <f t="shared" si="850"/>
        <v>1564</v>
      </c>
      <c r="W598" s="47">
        <f>SUM(W208:W211)</f>
        <v>1435</v>
      </c>
      <c r="X598" s="45">
        <f>SUM(X208:X211)</f>
        <v>1512</v>
      </c>
      <c r="Y598" s="47">
        <f>SUM(Y208:Y211)</f>
        <v>1422</v>
      </c>
      <c r="Z598" s="109">
        <f t="shared" ref="Z598:AE598" si="851">SUM(Z208:Z211)</f>
        <v>1607</v>
      </c>
      <c r="AA598" s="46">
        <f t="shared" si="851"/>
        <v>0</v>
      </c>
      <c r="AB598" s="46">
        <f t="shared" si="851"/>
        <v>138</v>
      </c>
      <c r="AC598" s="46">
        <f t="shared" si="851"/>
        <v>1281</v>
      </c>
      <c r="AD598" s="46">
        <f t="shared" si="851"/>
        <v>0</v>
      </c>
      <c r="AE598" s="43">
        <f t="shared" si="851"/>
        <v>0</v>
      </c>
      <c r="AF598" s="95">
        <f t="shared" si="846"/>
        <v>0</v>
      </c>
      <c r="AG598" s="109">
        <f t="shared" ref="AG598" si="852">SUM(AG208:AG211)</f>
        <v>1624</v>
      </c>
      <c r="AH598" s="47">
        <f t="shared" si="846"/>
        <v>1345</v>
      </c>
      <c r="AI598" s="45">
        <f t="shared" si="846"/>
        <v>0</v>
      </c>
      <c r="AJ598" s="43">
        <f t="shared" si="846"/>
        <v>0</v>
      </c>
      <c r="AK598" s="45">
        <f t="shared" ref="AK598" si="853">SUM(AK208:AK211)</f>
        <v>0</v>
      </c>
      <c r="AL598" s="47">
        <f t="shared" si="846"/>
        <v>0</v>
      </c>
      <c r="AM598" s="45">
        <f t="shared" si="846"/>
        <v>0</v>
      </c>
      <c r="AN598" s="95">
        <f t="shared" si="846"/>
        <v>0</v>
      </c>
      <c r="AO598" s="109">
        <f t="shared" ref="AO598" si="854">SUM(AO208:AO211)</f>
        <v>0</v>
      </c>
      <c r="AP598" s="47">
        <f t="shared" si="846"/>
        <v>0</v>
      </c>
      <c r="AQ598" s="45">
        <f t="shared" ref="AQ598" si="855">SUM(AQ208:AQ211)</f>
        <v>0</v>
      </c>
      <c r="AR598" s="95">
        <f t="shared" si="846"/>
        <v>0</v>
      </c>
      <c r="AS598" s="109">
        <f t="shared" ref="AS598" si="856">SUM(AS208:AS211)</f>
        <v>0</v>
      </c>
      <c r="AT598" s="47">
        <f t="shared" si="846"/>
        <v>0</v>
      </c>
      <c r="AU598" s="45">
        <f t="shared" ref="AU598:AV598" si="857">SUM(AU208:AU211)</f>
        <v>1504</v>
      </c>
      <c r="AV598" s="109">
        <f t="shared" si="857"/>
        <v>0</v>
      </c>
      <c r="AW598" s="109">
        <f t="shared" si="846"/>
        <v>1397</v>
      </c>
      <c r="AX598" s="45">
        <f t="shared" ref="AX598" si="858">SUM(AX208:AX211)</f>
        <v>0</v>
      </c>
      <c r="AY598" s="47">
        <f t="shared" si="846"/>
        <v>0</v>
      </c>
      <c r="AZ598" s="45">
        <f t="shared" si="846"/>
        <v>0</v>
      </c>
      <c r="BA598" s="95">
        <f t="shared" si="846"/>
        <v>0</v>
      </c>
      <c r="BB598" s="45">
        <f t="shared" ref="BB598" si="859">SUM(BB208:BB211)</f>
        <v>1456</v>
      </c>
      <c r="BC598" s="47">
        <f>SUM(BC208:BC211)</f>
        <v>1415</v>
      </c>
      <c r="BD598" s="45">
        <f t="shared" ref="BD598" si="860">SUM(BD208:BD211)</f>
        <v>1420</v>
      </c>
      <c r="BE598" s="95">
        <f>SUM(BE208:BE211)</f>
        <v>1437</v>
      </c>
      <c r="BF598" s="109">
        <f t="shared" ref="BF598" si="861">SUM(BF208:BF211)</f>
        <v>1466</v>
      </c>
      <c r="BG598" s="47">
        <f>SUM(BG208:BG211)</f>
        <v>1391</v>
      </c>
      <c r="BH598" s="45">
        <f t="shared" ref="BH598" si="862">SUM(BH208:BH211)</f>
        <v>1500</v>
      </c>
      <c r="BI598" s="47">
        <f>SUM(BI208:BI211)</f>
        <v>1358</v>
      </c>
      <c r="BJ598" s="109">
        <f t="shared" ref="BJ598:BK598" si="863">SUM(BJ208:BJ211)</f>
        <v>154</v>
      </c>
      <c r="BK598" s="43">
        <f t="shared" si="863"/>
        <v>1297</v>
      </c>
      <c r="BL598" s="95">
        <f t="shared" si="846"/>
        <v>1440</v>
      </c>
      <c r="BM598" s="109">
        <f t="shared" ref="BM598:BN598" si="864">SUM(BM208:BM211)</f>
        <v>1455</v>
      </c>
      <c r="BN598" s="46">
        <f t="shared" si="864"/>
        <v>1299</v>
      </c>
      <c r="BO598" s="47">
        <f t="shared" si="846"/>
        <v>127</v>
      </c>
      <c r="BP598" s="45">
        <f t="shared" ref="BP598" si="865">SUM(BP208:BP211)</f>
        <v>1414</v>
      </c>
      <c r="BQ598" s="47">
        <f t="shared" ref="BQ598:BR598" si="866">SUM(BQ208:BQ211)</f>
        <v>1471</v>
      </c>
      <c r="BR598" s="45">
        <f t="shared" si="866"/>
        <v>1344</v>
      </c>
      <c r="BS598" s="47">
        <f t="shared" si="846"/>
        <v>1561</v>
      </c>
      <c r="BT598" s="45">
        <f t="shared" ref="BT598:BU598" si="867">SUM(BT208:BT211)</f>
        <v>1333</v>
      </c>
      <c r="BU598" s="43">
        <f t="shared" si="867"/>
        <v>153</v>
      </c>
      <c r="BV598" s="95">
        <f t="shared" si="846"/>
        <v>1380</v>
      </c>
      <c r="BW598" s="109">
        <f t="shared" ref="BW598" si="868">SUM(BW208:BW211)</f>
        <v>1532</v>
      </c>
      <c r="BX598" s="47">
        <f t="shared" si="846"/>
        <v>1420</v>
      </c>
      <c r="BY598" s="45">
        <f t="shared" ref="BY598" si="869">SUM(BY208:BY211)</f>
        <v>1466</v>
      </c>
      <c r="BZ598" s="95">
        <f t="shared" si="846"/>
        <v>1357</v>
      </c>
      <c r="CA598" s="109">
        <f t="shared" ref="CA598" si="870">SUM(CA208:CA211)</f>
        <v>1369</v>
      </c>
      <c r="CB598" s="47">
        <f t="shared" si="846"/>
        <v>1487</v>
      </c>
      <c r="CC598" s="47">
        <f t="shared" si="846"/>
        <v>1934</v>
      </c>
      <c r="CD598" s="44">
        <f t="shared" si="846"/>
        <v>2139</v>
      </c>
      <c r="CE598" s="109">
        <f t="shared" ref="CE598" si="871">SUM(CE208:CE211)</f>
        <v>1265</v>
      </c>
      <c r="CF598" s="43">
        <f>SUM(CF208:CF211)</f>
        <v>1136</v>
      </c>
      <c r="CG598" s="45">
        <f>SUM(CG208:CG211)</f>
        <v>697</v>
      </c>
      <c r="CH598" s="46">
        <f t="shared" ref="CH598:CJ598" si="872">SUM(CH208:CH211)</f>
        <v>729</v>
      </c>
      <c r="CI598" s="46">
        <f t="shared" si="872"/>
        <v>811</v>
      </c>
      <c r="CJ598" s="46">
        <f t="shared" si="872"/>
        <v>962</v>
      </c>
      <c r="CK598" s="95">
        <f>SUM(CK208:CK211)</f>
        <v>1231</v>
      </c>
    </row>
    <row r="599" spans="1:89" ht="13" x14ac:dyDescent="0.25">
      <c r="A599" s="91"/>
      <c r="B599" s="92" t="s">
        <v>621</v>
      </c>
      <c r="C599" s="93">
        <f>SUM(C212:C224)</f>
        <v>12330</v>
      </c>
      <c r="D599" s="93">
        <f>SUM(D212:D224)</f>
        <v>8050</v>
      </c>
      <c r="E599" s="89">
        <v>0.43518741472028255</v>
      </c>
      <c r="F599" s="45">
        <f t="shared" ref="F599:CD599" si="873">SUM(F212:F224)</f>
        <v>0</v>
      </c>
      <c r="G599" s="109">
        <f t="shared" si="873"/>
        <v>0</v>
      </c>
      <c r="H599" s="109">
        <f t="shared" ref="H599:Q599" si="874">SUM(H212:H224)</f>
        <v>0</v>
      </c>
      <c r="I599" s="109">
        <f t="shared" si="874"/>
        <v>1</v>
      </c>
      <c r="J599" s="109">
        <f t="shared" ref="J599:K599" si="875">SUM(J212:J224)</f>
        <v>25</v>
      </c>
      <c r="K599" s="109">
        <f t="shared" si="875"/>
        <v>0</v>
      </c>
      <c r="L599" s="109">
        <f t="shared" si="874"/>
        <v>0</v>
      </c>
      <c r="M599" s="109">
        <f t="shared" si="874"/>
        <v>6389</v>
      </c>
      <c r="N599" s="109">
        <f t="shared" si="874"/>
        <v>0</v>
      </c>
      <c r="O599" s="109">
        <f t="shared" si="874"/>
        <v>0</v>
      </c>
      <c r="P599" s="46">
        <f t="shared" si="874"/>
        <v>36</v>
      </c>
      <c r="Q599" s="46">
        <f t="shared" si="874"/>
        <v>15</v>
      </c>
      <c r="R599" s="46">
        <f t="shared" ref="R599" si="876">SUM(R212:R224)</f>
        <v>1467</v>
      </c>
      <c r="S599" s="47">
        <f t="shared" si="873"/>
        <v>2</v>
      </c>
      <c r="T599" s="45">
        <f>SUM(T212:T224)</f>
        <v>6314</v>
      </c>
      <c r="U599" s="47">
        <f t="shared" ref="U599:V599" si="877">SUM(U212:U224)</f>
        <v>1483</v>
      </c>
      <c r="V599" s="45">
        <f t="shared" si="877"/>
        <v>1560</v>
      </c>
      <c r="W599" s="47">
        <f>SUM(W212:W224)</f>
        <v>6244</v>
      </c>
      <c r="X599" s="45">
        <f>SUM(X212:X224)</f>
        <v>6325</v>
      </c>
      <c r="Y599" s="47">
        <f>SUM(Y212:Y224)</f>
        <v>1381</v>
      </c>
      <c r="Z599" s="109">
        <f t="shared" ref="Z599:AE599" si="878">SUM(Z212:Z224)</f>
        <v>6375</v>
      </c>
      <c r="AA599" s="46">
        <f t="shared" si="878"/>
        <v>0</v>
      </c>
      <c r="AB599" s="46">
        <f t="shared" si="878"/>
        <v>247</v>
      </c>
      <c r="AC599" s="46">
        <f t="shared" si="878"/>
        <v>1247</v>
      </c>
      <c r="AD599" s="46">
        <f t="shared" si="878"/>
        <v>0</v>
      </c>
      <c r="AE599" s="43">
        <f t="shared" si="878"/>
        <v>0</v>
      </c>
      <c r="AF599" s="95">
        <f t="shared" si="873"/>
        <v>3</v>
      </c>
      <c r="AG599" s="109">
        <f t="shared" ref="AG599" si="879">SUM(AG212:AG224)</f>
        <v>0</v>
      </c>
      <c r="AH599" s="47">
        <f t="shared" si="873"/>
        <v>0</v>
      </c>
      <c r="AI599" s="45">
        <f t="shared" si="873"/>
        <v>1360</v>
      </c>
      <c r="AJ599" s="43">
        <f t="shared" si="873"/>
        <v>6338</v>
      </c>
      <c r="AK599" s="45">
        <f t="shared" ref="AK599" si="880">SUM(AK212:AK224)</f>
        <v>0</v>
      </c>
      <c r="AL599" s="47">
        <f t="shared" si="873"/>
        <v>0</v>
      </c>
      <c r="AM599" s="45">
        <f t="shared" si="873"/>
        <v>0</v>
      </c>
      <c r="AN599" s="95">
        <f t="shared" si="873"/>
        <v>0</v>
      </c>
      <c r="AO599" s="109">
        <f t="shared" ref="AO599" si="881">SUM(AO212:AO224)</f>
        <v>0</v>
      </c>
      <c r="AP599" s="47">
        <f t="shared" si="873"/>
        <v>0</v>
      </c>
      <c r="AQ599" s="45">
        <f t="shared" ref="AQ599" si="882">SUM(AQ212:AQ224)</f>
        <v>0</v>
      </c>
      <c r="AR599" s="95">
        <f t="shared" si="873"/>
        <v>0</v>
      </c>
      <c r="AS599" s="109">
        <f t="shared" ref="AS599" si="883">SUM(AS212:AS224)</f>
        <v>0</v>
      </c>
      <c r="AT599" s="47">
        <f t="shared" si="873"/>
        <v>0</v>
      </c>
      <c r="AU599" s="45">
        <f t="shared" ref="AU599:AV599" si="884">SUM(AU212:AU224)</f>
        <v>6330</v>
      </c>
      <c r="AV599" s="109">
        <f t="shared" si="884"/>
        <v>3</v>
      </c>
      <c r="AW599" s="109">
        <f t="shared" si="873"/>
        <v>1383</v>
      </c>
      <c r="AX599" s="45">
        <f t="shared" ref="AX599" si="885">SUM(AX212:AX224)</f>
        <v>0</v>
      </c>
      <c r="AY599" s="47">
        <f t="shared" si="873"/>
        <v>0</v>
      </c>
      <c r="AZ599" s="45">
        <f t="shared" si="873"/>
        <v>0</v>
      </c>
      <c r="BA599" s="95">
        <f t="shared" si="873"/>
        <v>0</v>
      </c>
      <c r="BB599" s="45">
        <f t="shared" ref="BB599" si="886">SUM(BB212:BB224)</f>
        <v>1442</v>
      </c>
      <c r="BC599" s="47">
        <f>SUM(BC212:BC224)</f>
        <v>6223</v>
      </c>
      <c r="BD599" s="45">
        <f t="shared" ref="BD599" si="887">SUM(BD212:BD224)</f>
        <v>1387</v>
      </c>
      <c r="BE599" s="95">
        <f>SUM(BE212:BE224)</f>
        <v>6262</v>
      </c>
      <c r="BF599" s="109">
        <f t="shared" ref="BF599" si="888">SUM(BF212:BF224)</f>
        <v>6259</v>
      </c>
      <c r="BG599" s="47">
        <f>SUM(BG212:BG224)</f>
        <v>1379</v>
      </c>
      <c r="BH599" s="45">
        <f t="shared" ref="BH599" si="889">SUM(BH212:BH224)</f>
        <v>1505</v>
      </c>
      <c r="BI599" s="47">
        <f>SUM(BI212:BI224)</f>
        <v>6107</v>
      </c>
      <c r="BJ599" s="109">
        <f t="shared" ref="BJ599:BK599" si="890">SUM(BJ212:BJ224)</f>
        <v>231</v>
      </c>
      <c r="BK599" s="43">
        <f t="shared" si="890"/>
        <v>1188</v>
      </c>
      <c r="BL599" s="95">
        <f t="shared" si="873"/>
        <v>6340</v>
      </c>
      <c r="BM599" s="109">
        <f t="shared" ref="BM599:BN599" si="891">SUM(BM212:BM224)</f>
        <v>6230</v>
      </c>
      <c r="BN599" s="46">
        <f t="shared" si="891"/>
        <v>1227</v>
      </c>
      <c r="BO599" s="47">
        <f t="shared" si="873"/>
        <v>215</v>
      </c>
      <c r="BP599" s="45">
        <f t="shared" ref="BP599" si="892">SUM(BP212:BP224)</f>
        <v>1333</v>
      </c>
      <c r="BQ599" s="47">
        <f t="shared" ref="BQ599:BR599" si="893">SUM(BQ212:BQ224)</f>
        <v>6353</v>
      </c>
      <c r="BR599" s="45">
        <f t="shared" si="893"/>
        <v>6032</v>
      </c>
      <c r="BS599" s="47">
        <f t="shared" si="873"/>
        <v>1646</v>
      </c>
      <c r="BT599" s="45">
        <f t="shared" ref="BT599:BU599" si="894">SUM(BT212:BT224)</f>
        <v>1314</v>
      </c>
      <c r="BU599" s="43">
        <f t="shared" si="894"/>
        <v>281</v>
      </c>
      <c r="BV599" s="95">
        <f t="shared" si="873"/>
        <v>6070</v>
      </c>
      <c r="BW599" s="109">
        <f t="shared" ref="BW599" si="895">SUM(BW212:BW224)</f>
        <v>6308</v>
      </c>
      <c r="BX599" s="47">
        <f t="shared" si="873"/>
        <v>1453</v>
      </c>
      <c r="BY599" s="45">
        <f t="shared" ref="BY599" si="896">SUM(BY212:BY224)</f>
        <v>6235</v>
      </c>
      <c r="BZ599" s="95">
        <f t="shared" si="873"/>
        <v>1328</v>
      </c>
      <c r="CA599" s="109">
        <f t="shared" ref="CA599" si="897">SUM(CA212:CA224)</f>
        <v>1366</v>
      </c>
      <c r="CB599" s="47">
        <f t="shared" si="873"/>
        <v>6292</v>
      </c>
      <c r="CC599" s="47">
        <f t="shared" si="873"/>
        <v>3189</v>
      </c>
      <c r="CD599" s="44">
        <f t="shared" si="873"/>
        <v>6906</v>
      </c>
      <c r="CE599" s="109">
        <f t="shared" ref="CE599" si="898">SUM(CE212:CE224)</f>
        <v>2546</v>
      </c>
      <c r="CF599" s="43">
        <f>SUM(CF212:CF224)</f>
        <v>4188</v>
      </c>
      <c r="CG599" s="45">
        <f>SUM(CG212:CG224)</f>
        <v>1500</v>
      </c>
      <c r="CH599" s="46">
        <f t="shared" ref="CH599:CJ599" si="899">SUM(CH212:CH224)</f>
        <v>728</v>
      </c>
      <c r="CI599" s="46">
        <f t="shared" si="899"/>
        <v>3985</v>
      </c>
      <c r="CJ599" s="46">
        <f t="shared" si="899"/>
        <v>4043</v>
      </c>
      <c r="CK599" s="95">
        <f>SUM(CK212:CK224)</f>
        <v>1788</v>
      </c>
    </row>
    <row r="600" spans="1:89" ht="13" x14ac:dyDescent="0.25">
      <c r="A600" s="91"/>
      <c r="B600" s="96" t="s">
        <v>622</v>
      </c>
      <c r="C600" s="93">
        <f>SUM(C225:C231)</f>
        <v>9686</v>
      </c>
      <c r="D600" s="93">
        <f>SUM(D225:D231)</f>
        <v>7218</v>
      </c>
      <c r="E600" s="89">
        <v>0.49196592257090477</v>
      </c>
      <c r="F600" s="45">
        <f t="shared" ref="F600:CD600" si="900">SUM(F225:F231)</f>
        <v>0</v>
      </c>
      <c r="G600" s="109">
        <f t="shared" si="900"/>
        <v>0</v>
      </c>
      <c r="H600" s="109">
        <f t="shared" ref="H600:Q600" si="901">SUM(H225:H231)</f>
        <v>0</v>
      </c>
      <c r="I600" s="109">
        <f t="shared" si="901"/>
        <v>0</v>
      </c>
      <c r="J600" s="109">
        <f t="shared" ref="J600:K600" si="902">SUM(J225:J231)</f>
        <v>15</v>
      </c>
      <c r="K600" s="109">
        <f t="shared" si="902"/>
        <v>0</v>
      </c>
      <c r="L600" s="109">
        <f t="shared" si="901"/>
        <v>0</v>
      </c>
      <c r="M600" s="109">
        <f t="shared" si="901"/>
        <v>1577</v>
      </c>
      <c r="N600" s="109">
        <f t="shared" si="901"/>
        <v>0</v>
      </c>
      <c r="O600" s="109">
        <f t="shared" si="901"/>
        <v>0</v>
      </c>
      <c r="P600" s="46">
        <f t="shared" si="901"/>
        <v>44</v>
      </c>
      <c r="Q600" s="46">
        <f t="shared" si="901"/>
        <v>8</v>
      </c>
      <c r="R600" s="46">
        <f t="shared" ref="R600" si="903">SUM(R225:R231)</f>
        <v>5525</v>
      </c>
      <c r="S600" s="47">
        <f t="shared" si="900"/>
        <v>0</v>
      </c>
      <c r="T600" s="45">
        <f>SUM(T225:T231)</f>
        <v>1502</v>
      </c>
      <c r="U600" s="47">
        <f t="shared" ref="U600:V600" si="904">SUM(U225:U231)</f>
        <v>5424</v>
      </c>
      <c r="V600" s="45">
        <f t="shared" si="904"/>
        <v>5530</v>
      </c>
      <c r="W600" s="47">
        <f>SUM(W225:W231)</f>
        <v>1442</v>
      </c>
      <c r="X600" s="45">
        <f>SUM(X225:X231)</f>
        <v>1569</v>
      </c>
      <c r="Y600" s="47">
        <f>SUM(Y225:Y231)</f>
        <v>5212</v>
      </c>
      <c r="Z600" s="109">
        <f t="shared" ref="Z600:AE600" si="905">SUM(Z225:Z231)</f>
        <v>1768</v>
      </c>
      <c r="AA600" s="46">
        <f t="shared" si="905"/>
        <v>0</v>
      </c>
      <c r="AB600" s="46">
        <f t="shared" si="905"/>
        <v>322</v>
      </c>
      <c r="AC600" s="46">
        <f t="shared" si="905"/>
        <v>4949</v>
      </c>
      <c r="AD600" s="46">
        <f t="shared" si="905"/>
        <v>0</v>
      </c>
      <c r="AE600" s="43">
        <f t="shared" si="905"/>
        <v>0</v>
      </c>
      <c r="AF600" s="95">
        <f t="shared" si="900"/>
        <v>0</v>
      </c>
      <c r="AG600" s="109">
        <f t="shared" ref="AG600" si="906">SUM(AG225:AG231)</f>
        <v>0</v>
      </c>
      <c r="AH600" s="47">
        <f t="shared" si="900"/>
        <v>0</v>
      </c>
      <c r="AI600" s="45">
        <f t="shared" si="900"/>
        <v>5245</v>
      </c>
      <c r="AJ600" s="43">
        <f t="shared" si="900"/>
        <v>1525</v>
      </c>
      <c r="AK600" s="45">
        <f t="shared" ref="AK600" si="907">SUM(AK225:AK231)</f>
        <v>5280</v>
      </c>
      <c r="AL600" s="47">
        <f t="shared" si="900"/>
        <v>1504</v>
      </c>
      <c r="AM600" s="45">
        <f t="shared" si="900"/>
        <v>0</v>
      </c>
      <c r="AN600" s="95">
        <f t="shared" si="900"/>
        <v>0</v>
      </c>
      <c r="AO600" s="109">
        <f t="shared" ref="AO600" si="908">SUM(AO225:AO231)</f>
        <v>0</v>
      </c>
      <c r="AP600" s="47">
        <f t="shared" si="900"/>
        <v>0</v>
      </c>
      <c r="AQ600" s="45">
        <f t="shared" ref="AQ600" si="909">SUM(AQ225:AQ231)</f>
        <v>0</v>
      </c>
      <c r="AR600" s="95">
        <f t="shared" si="900"/>
        <v>0</v>
      </c>
      <c r="AS600" s="109">
        <f t="shared" ref="AS600" si="910">SUM(AS225:AS231)</f>
        <v>0</v>
      </c>
      <c r="AT600" s="47">
        <f t="shared" si="900"/>
        <v>0</v>
      </c>
      <c r="AU600" s="45">
        <f t="shared" ref="AU600:AV600" si="911">SUM(AU225:AU231)</f>
        <v>0</v>
      </c>
      <c r="AV600" s="109">
        <f t="shared" si="911"/>
        <v>0</v>
      </c>
      <c r="AW600" s="109">
        <f t="shared" si="900"/>
        <v>0</v>
      </c>
      <c r="AX600" s="45">
        <f t="shared" ref="AX600" si="912">SUM(AX225:AX231)</f>
        <v>5396</v>
      </c>
      <c r="AY600" s="47">
        <f t="shared" si="900"/>
        <v>1459</v>
      </c>
      <c r="AZ600" s="45">
        <f t="shared" si="900"/>
        <v>0</v>
      </c>
      <c r="BA600" s="95">
        <f t="shared" si="900"/>
        <v>0</v>
      </c>
      <c r="BB600" s="45">
        <f t="shared" ref="BB600" si="913">SUM(BB225:BB231)</f>
        <v>5279</v>
      </c>
      <c r="BC600" s="47">
        <f>SUM(BC225:BC231)</f>
        <v>1428</v>
      </c>
      <c r="BD600" s="45">
        <f t="shared" ref="BD600" si="914">SUM(BD225:BD231)</f>
        <v>5174</v>
      </c>
      <c r="BE600" s="95">
        <f>SUM(BE225:BE231)</f>
        <v>1480</v>
      </c>
      <c r="BF600" s="109">
        <f t="shared" ref="BF600" si="915">SUM(BF225:BF231)</f>
        <v>1476</v>
      </c>
      <c r="BG600" s="47">
        <f>SUM(BG225:BG231)</f>
        <v>5137</v>
      </c>
      <c r="BH600" s="45">
        <f t="shared" ref="BH600" si="916">SUM(BH225:BH231)</f>
        <v>5377</v>
      </c>
      <c r="BI600" s="47">
        <f>SUM(BI225:BI231)</f>
        <v>1327</v>
      </c>
      <c r="BJ600" s="109">
        <f t="shared" ref="BJ600:BK600" si="917">SUM(BJ225:BJ231)</f>
        <v>367</v>
      </c>
      <c r="BK600" s="43">
        <f t="shared" si="917"/>
        <v>4871</v>
      </c>
      <c r="BL600" s="95">
        <f t="shared" si="900"/>
        <v>1502</v>
      </c>
      <c r="BM600" s="109">
        <f t="shared" ref="BM600:BN600" si="918">SUM(BM225:BM231)</f>
        <v>1571</v>
      </c>
      <c r="BN600" s="46">
        <f t="shared" si="918"/>
        <v>4876</v>
      </c>
      <c r="BO600" s="47">
        <f t="shared" si="900"/>
        <v>258</v>
      </c>
      <c r="BP600" s="45">
        <f t="shared" ref="BP600" si="919">SUM(BP225:BP231)</f>
        <v>5233</v>
      </c>
      <c r="BQ600" s="47">
        <f t="shared" ref="BQ600:BR600" si="920">SUM(BQ225:BQ231)</f>
        <v>1450</v>
      </c>
      <c r="BR600" s="45">
        <f t="shared" si="920"/>
        <v>1268</v>
      </c>
      <c r="BS600" s="47">
        <f t="shared" si="900"/>
        <v>5537</v>
      </c>
      <c r="BT600" s="45">
        <f t="shared" ref="BT600:BU600" si="921">SUM(BT225:BT231)</f>
        <v>4989</v>
      </c>
      <c r="BU600" s="43">
        <f t="shared" si="921"/>
        <v>356</v>
      </c>
      <c r="BV600" s="95">
        <f t="shared" si="900"/>
        <v>1329</v>
      </c>
      <c r="BW600" s="109">
        <f t="shared" ref="BW600" si="922">SUM(BW225:BW231)</f>
        <v>1553</v>
      </c>
      <c r="BX600" s="47">
        <f t="shared" si="900"/>
        <v>5337</v>
      </c>
      <c r="BY600" s="45">
        <f t="shared" ref="BY600" si="923">SUM(BY225:BY231)</f>
        <v>1511</v>
      </c>
      <c r="BZ600" s="95">
        <f t="shared" si="900"/>
        <v>5062</v>
      </c>
      <c r="CA600" s="109">
        <f t="shared" ref="CA600" si="924">SUM(CA225:CA231)</f>
        <v>5114</v>
      </c>
      <c r="CB600" s="47">
        <f t="shared" si="900"/>
        <v>1536</v>
      </c>
      <c r="CC600" s="47">
        <f t="shared" si="900"/>
        <v>5621</v>
      </c>
      <c r="CD600" s="44">
        <f t="shared" si="900"/>
        <v>4193</v>
      </c>
      <c r="CE600" s="109">
        <f t="shared" ref="CE600" si="925">SUM(CE225:CE231)</f>
        <v>3679</v>
      </c>
      <c r="CF600" s="43">
        <f>SUM(CF225:CF231)</f>
        <v>1799</v>
      </c>
      <c r="CG600" s="45">
        <f>SUM(CG225:CG231)</f>
        <v>1633</v>
      </c>
      <c r="CH600" s="46">
        <f t="shared" ref="CH600:CJ600" si="926">SUM(CH225:CH231)</f>
        <v>2419</v>
      </c>
      <c r="CI600" s="46">
        <f t="shared" si="926"/>
        <v>718</v>
      </c>
      <c r="CJ600" s="46">
        <f t="shared" si="926"/>
        <v>976</v>
      </c>
      <c r="CK600" s="95">
        <f>SUM(CK225:CK231)</f>
        <v>4314</v>
      </c>
    </row>
    <row r="601" spans="1:89" ht="13" x14ac:dyDescent="0.25">
      <c r="A601" s="91"/>
      <c r="B601" s="96" t="s">
        <v>623</v>
      </c>
      <c r="C601" s="93">
        <f>SUM(C232:C237)</f>
        <v>5327</v>
      </c>
      <c r="D601" s="93">
        <f>SUM(D232:D237)</f>
        <v>4237</v>
      </c>
      <c r="E601" s="89">
        <v>0.66994514847739739</v>
      </c>
      <c r="F601" s="45">
        <f t="shared" ref="F601:CD601" si="927">SUM(F232:F237)</f>
        <v>0</v>
      </c>
      <c r="G601" s="109">
        <f t="shared" si="927"/>
        <v>0</v>
      </c>
      <c r="H601" s="109">
        <f t="shared" ref="H601:Q601" si="928">SUM(H232:H237)</f>
        <v>0</v>
      </c>
      <c r="I601" s="109">
        <f t="shared" si="928"/>
        <v>1</v>
      </c>
      <c r="J601" s="109">
        <f t="shared" ref="J601:K601" si="929">SUM(J232:J237)</f>
        <v>4</v>
      </c>
      <c r="K601" s="109">
        <f t="shared" si="929"/>
        <v>0</v>
      </c>
      <c r="L601" s="109">
        <f t="shared" si="928"/>
        <v>0</v>
      </c>
      <c r="M601" s="109">
        <f t="shared" si="928"/>
        <v>1785</v>
      </c>
      <c r="N601" s="109">
        <f t="shared" si="928"/>
        <v>0</v>
      </c>
      <c r="O601" s="109">
        <f t="shared" si="928"/>
        <v>0</v>
      </c>
      <c r="P601" s="46">
        <f t="shared" si="928"/>
        <v>29</v>
      </c>
      <c r="Q601" s="46">
        <f t="shared" si="928"/>
        <v>2</v>
      </c>
      <c r="R601" s="46">
        <f t="shared" ref="R601" si="930">SUM(R232:R237)</f>
        <v>2324</v>
      </c>
      <c r="S601" s="47">
        <f t="shared" si="927"/>
        <v>1</v>
      </c>
      <c r="T601" s="45">
        <f>SUM(T232:T237)</f>
        <v>1531</v>
      </c>
      <c r="U601" s="47">
        <f t="shared" ref="U601:V601" si="931">SUM(U232:U237)</f>
        <v>2607</v>
      </c>
      <c r="V601" s="45">
        <f t="shared" si="931"/>
        <v>2650</v>
      </c>
      <c r="W601" s="47">
        <f>SUM(W232:W237)</f>
        <v>1489</v>
      </c>
      <c r="X601" s="45">
        <f>SUM(X232:X237)</f>
        <v>1590</v>
      </c>
      <c r="Y601" s="47">
        <f>SUM(Y232:Y237)</f>
        <v>2483</v>
      </c>
      <c r="Z601" s="109">
        <f t="shared" ref="Z601:AE601" si="932">SUM(Z232:Z237)</f>
        <v>1757</v>
      </c>
      <c r="AA601" s="46">
        <f t="shared" si="932"/>
        <v>0</v>
      </c>
      <c r="AB601" s="46">
        <f t="shared" si="932"/>
        <v>81</v>
      </c>
      <c r="AC601" s="46">
        <f t="shared" si="932"/>
        <v>2331</v>
      </c>
      <c r="AD601" s="46">
        <f t="shared" si="932"/>
        <v>0</v>
      </c>
      <c r="AE601" s="43">
        <f t="shared" si="932"/>
        <v>0</v>
      </c>
      <c r="AF601" s="95">
        <f t="shared" si="927"/>
        <v>1</v>
      </c>
      <c r="AG601" s="109">
        <f t="shared" ref="AG601" si="933">SUM(AG232:AG237)</f>
        <v>1725</v>
      </c>
      <c r="AH601" s="47">
        <f t="shared" si="927"/>
        <v>2386</v>
      </c>
      <c r="AI601" s="45">
        <f t="shared" si="927"/>
        <v>0</v>
      </c>
      <c r="AJ601" s="43">
        <f t="shared" si="927"/>
        <v>0</v>
      </c>
      <c r="AK601" s="45">
        <f t="shared" ref="AK601" si="934">SUM(AK232:AK237)</f>
        <v>2500</v>
      </c>
      <c r="AL601" s="47">
        <f t="shared" si="927"/>
        <v>1537</v>
      </c>
      <c r="AM601" s="45">
        <f t="shared" si="927"/>
        <v>0</v>
      </c>
      <c r="AN601" s="95">
        <f t="shared" si="927"/>
        <v>0</v>
      </c>
      <c r="AO601" s="109">
        <f t="shared" ref="AO601" si="935">SUM(AO232:AO237)</f>
        <v>0</v>
      </c>
      <c r="AP601" s="47">
        <f t="shared" si="927"/>
        <v>0</v>
      </c>
      <c r="AQ601" s="45">
        <f t="shared" ref="AQ601" si="936">SUM(AQ232:AQ237)</f>
        <v>0</v>
      </c>
      <c r="AR601" s="95">
        <f t="shared" si="927"/>
        <v>0</v>
      </c>
      <c r="AS601" s="109">
        <f t="shared" ref="AS601" si="937">SUM(AS232:AS237)</f>
        <v>1580</v>
      </c>
      <c r="AT601" s="47">
        <f t="shared" si="927"/>
        <v>2455</v>
      </c>
      <c r="AU601" s="45">
        <f t="shared" ref="AU601:AV601" si="938">SUM(AU232:AU237)</f>
        <v>0</v>
      </c>
      <c r="AV601" s="109">
        <f t="shared" si="938"/>
        <v>0</v>
      </c>
      <c r="AW601" s="109">
        <f t="shared" si="927"/>
        <v>0</v>
      </c>
      <c r="AX601" s="45">
        <f t="shared" ref="AX601" si="939">SUM(AX232:AX237)</f>
        <v>0</v>
      </c>
      <c r="AY601" s="47">
        <f t="shared" si="927"/>
        <v>0</v>
      </c>
      <c r="AZ601" s="45">
        <f t="shared" si="927"/>
        <v>0</v>
      </c>
      <c r="BA601" s="95">
        <f t="shared" si="927"/>
        <v>0</v>
      </c>
      <c r="BB601" s="45">
        <f t="shared" ref="BB601" si="940">SUM(BB232:BB237)</f>
        <v>2600</v>
      </c>
      <c r="BC601" s="47">
        <f>SUM(BC232:BC237)</f>
        <v>1419</v>
      </c>
      <c r="BD601" s="45">
        <f t="shared" ref="BD601" si="941">SUM(BD232:BD237)</f>
        <v>2514</v>
      </c>
      <c r="BE601" s="95">
        <f>SUM(BE232:BE237)</f>
        <v>1481</v>
      </c>
      <c r="BF601" s="109">
        <f t="shared" ref="BF601" si="942">SUM(BF232:BF237)</f>
        <v>1452</v>
      </c>
      <c r="BG601" s="47">
        <f>SUM(BG232:BG237)</f>
        <v>2515</v>
      </c>
      <c r="BH601" s="45">
        <f t="shared" ref="BH601" si="943">SUM(BH232:BH237)</f>
        <v>2736</v>
      </c>
      <c r="BI601" s="47">
        <f>SUM(BI232:BI237)</f>
        <v>1300</v>
      </c>
      <c r="BJ601" s="109">
        <f t="shared" ref="BJ601:BK601" si="944">SUM(BJ232:BJ237)</f>
        <v>182</v>
      </c>
      <c r="BK601" s="43">
        <f t="shared" si="944"/>
        <v>2468</v>
      </c>
      <c r="BL601" s="95">
        <f t="shared" si="927"/>
        <v>1366</v>
      </c>
      <c r="BM601" s="109">
        <f t="shared" ref="BM601:BN601" si="945">SUM(BM232:BM237)</f>
        <v>1492</v>
      </c>
      <c r="BN601" s="46">
        <f t="shared" si="945"/>
        <v>2413</v>
      </c>
      <c r="BO601" s="47">
        <f t="shared" si="927"/>
        <v>130</v>
      </c>
      <c r="BP601" s="45">
        <f t="shared" ref="BP601" si="946">SUM(BP232:BP237)</f>
        <v>2601</v>
      </c>
      <c r="BQ601" s="47">
        <f t="shared" ref="BQ601:BR601" si="947">SUM(BQ232:BQ237)</f>
        <v>1415</v>
      </c>
      <c r="BR601" s="45">
        <f t="shared" si="947"/>
        <v>1262</v>
      </c>
      <c r="BS601" s="47">
        <f t="shared" si="927"/>
        <v>2799</v>
      </c>
      <c r="BT601" s="45">
        <f t="shared" ref="BT601:BU601" si="948">SUM(BT232:BT237)</f>
        <v>2409</v>
      </c>
      <c r="BU601" s="43">
        <f t="shared" si="948"/>
        <v>163</v>
      </c>
      <c r="BV601" s="95">
        <f t="shared" si="927"/>
        <v>1397</v>
      </c>
      <c r="BW601" s="109">
        <f t="shared" ref="BW601" si="949">SUM(BW232:BW237)</f>
        <v>1491</v>
      </c>
      <c r="BX601" s="47">
        <f t="shared" si="927"/>
        <v>2551</v>
      </c>
      <c r="BY601" s="45">
        <f t="shared" ref="BY601" si="950">SUM(BY232:BY237)</f>
        <v>1457</v>
      </c>
      <c r="BZ601" s="95">
        <f t="shared" si="927"/>
        <v>2469</v>
      </c>
      <c r="CA601" s="109">
        <f t="shared" ref="CA601" si="951">SUM(CA232:CA237)</f>
        <v>2515</v>
      </c>
      <c r="CB601" s="47">
        <f t="shared" si="927"/>
        <v>1448</v>
      </c>
      <c r="CC601" s="47">
        <f t="shared" si="927"/>
        <v>3086</v>
      </c>
      <c r="CD601" s="44">
        <f t="shared" si="927"/>
        <v>2744</v>
      </c>
      <c r="CE601" s="109">
        <f t="shared" ref="CE601" si="952">SUM(CE232:CE237)</f>
        <v>2125</v>
      </c>
      <c r="CF601" s="43">
        <f>SUM(CF232:CF237)</f>
        <v>1163</v>
      </c>
      <c r="CG601" s="45">
        <f>SUM(CG232:CG237)</f>
        <v>1203</v>
      </c>
      <c r="CH601" s="46">
        <f t="shared" ref="CH601:CJ601" si="953">SUM(CH232:CH237)</f>
        <v>1449</v>
      </c>
      <c r="CI601" s="46">
        <f t="shared" si="953"/>
        <v>762</v>
      </c>
      <c r="CJ601" s="46">
        <f t="shared" si="953"/>
        <v>947</v>
      </c>
      <c r="CK601" s="95">
        <f>SUM(CK232:CK237)</f>
        <v>2153</v>
      </c>
    </row>
    <row r="602" spans="1:89" ht="13" x14ac:dyDescent="0.25">
      <c r="A602" s="91"/>
      <c r="B602" s="96" t="s">
        <v>624</v>
      </c>
      <c r="C602" s="93">
        <f>SUM(C238:C244)</f>
        <v>6838</v>
      </c>
      <c r="D602" s="93">
        <f>SUM(D238:D244)</f>
        <v>5310</v>
      </c>
      <c r="E602" s="89">
        <v>0.60586222288349945</v>
      </c>
      <c r="F602" s="45">
        <f t="shared" ref="F602:CD602" si="954">SUM(F238:F244)</f>
        <v>0</v>
      </c>
      <c r="G602" s="109">
        <f t="shared" si="954"/>
        <v>0</v>
      </c>
      <c r="H602" s="109">
        <f t="shared" ref="H602:Q602" si="955">SUM(H238:H244)</f>
        <v>0</v>
      </c>
      <c r="I602" s="109">
        <f t="shared" si="955"/>
        <v>0</v>
      </c>
      <c r="J602" s="109">
        <f t="shared" ref="J602:K602" si="956">SUM(J238:J244)</f>
        <v>9</v>
      </c>
      <c r="K602" s="109">
        <f t="shared" si="956"/>
        <v>0</v>
      </c>
      <c r="L602" s="109">
        <f t="shared" si="955"/>
        <v>0</v>
      </c>
      <c r="M602" s="109">
        <f t="shared" si="955"/>
        <v>2367</v>
      </c>
      <c r="N602" s="109">
        <f t="shared" si="955"/>
        <v>0</v>
      </c>
      <c r="O602" s="109">
        <f t="shared" si="955"/>
        <v>0</v>
      </c>
      <c r="P602" s="46">
        <f t="shared" si="955"/>
        <v>30</v>
      </c>
      <c r="Q602" s="46">
        <f t="shared" si="955"/>
        <v>12</v>
      </c>
      <c r="R602" s="46">
        <f t="shared" ref="R602" si="957">SUM(R238:R244)</f>
        <v>2814</v>
      </c>
      <c r="S602" s="47">
        <f t="shared" si="954"/>
        <v>0</v>
      </c>
      <c r="T602" s="45">
        <f>SUM(T238:T244)</f>
        <v>2223</v>
      </c>
      <c r="U602" s="47">
        <f t="shared" ref="U602:V602" si="958">SUM(U238:U244)</f>
        <v>2852</v>
      </c>
      <c r="V602" s="45">
        <f t="shared" si="958"/>
        <v>2957</v>
      </c>
      <c r="W602" s="47">
        <f>SUM(W238:W244)</f>
        <v>2130</v>
      </c>
      <c r="X602" s="45">
        <f>SUM(X238:X244)</f>
        <v>2254</v>
      </c>
      <c r="Y602" s="47">
        <f>SUM(Y238:Y244)</f>
        <v>2731</v>
      </c>
      <c r="Z602" s="109">
        <f t="shared" ref="Z602:AE602" si="959">SUM(Z238:Z244)</f>
        <v>2396</v>
      </c>
      <c r="AA602" s="46">
        <f t="shared" si="959"/>
        <v>0</v>
      </c>
      <c r="AB602" s="46">
        <f t="shared" si="959"/>
        <v>204</v>
      </c>
      <c r="AC602" s="46">
        <f t="shared" si="959"/>
        <v>2572</v>
      </c>
      <c r="AD602" s="46">
        <f t="shared" si="959"/>
        <v>0</v>
      </c>
      <c r="AE602" s="43">
        <f t="shared" si="959"/>
        <v>0</v>
      </c>
      <c r="AF602" s="95">
        <f t="shared" si="954"/>
        <v>0</v>
      </c>
      <c r="AG602" s="109">
        <f t="shared" ref="AG602" si="960">SUM(AG238:AG244)</f>
        <v>2451</v>
      </c>
      <c r="AH602" s="47">
        <f t="shared" si="954"/>
        <v>2617</v>
      </c>
      <c r="AI602" s="45">
        <f t="shared" si="954"/>
        <v>0</v>
      </c>
      <c r="AJ602" s="43">
        <f t="shared" si="954"/>
        <v>0</v>
      </c>
      <c r="AK602" s="45">
        <f t="shared" ref="AK602" si="961">SUM(AK238:AK244)</f>
        <v>0</v>
      </c>
      <c r="AL602" s="47">
        <f t="shared" si="954"/>
        <v>0</v>
      </c>
      <c r="AM602" s="45">
        <f t="shared" si="954"/>
        <v>0</v>
      </c>
      <c r="AN602" s="95">
        <f t="shared" si="954"/>
        <v>0</v>
      </c>
      <c r="AO602" s="109">
        <f t="shared" ref="AO602" si="962">SUM(AO238:AO244)</f>
        <v>0</v>
      </c>
      <c r="AP602" s="47">
        <f t="shared" si="954"/>
        <v>0</v>
      </c>
      <c r="AQ602" s="45">
        <f t="shared" ref="AQ602" si="963">SUM(AQ238:AQ244)</f>
        <v>0</v>
      </c>
      <c r="AR602" s="95">
        <f t="shared" si="954"/>
        <v>0</v>
      </c>
      <c r="AS602" s="109">
        <f t="shared" ref="AS602" si="964">SUM(AS238:AS244)</f>
        <v>0</v>
      </c>
      <c r="AT602" s="47">
        <f t="shared" si="954"/>
        <v>0</v>
      </c>
      <c r="AU602" s="45">
        <f t="shared" ref="AU602:AV602" si="965">SUM(AU238:AU244)</f>
        <v>2210</v>
      </c>
      <c r="AV602" s="109">
        <f t="shared" si="965"/>
        <v>0</v>
      </c>
      <c r="AW602" s="109">
        <f t="shared" si="954"/>
        <v>2775</v>
      </c>
      <c r="AX602" s="45">
        <f t="shared" ref="AX602" si="966">SUM(AX238:AX244)</f>
        <v>0</v>
      </c>
      <c r="AY602" s="47">
        <f t="shared" si="954"/>
        <v>0</v>
      </c>
      <c r="AZ602" s="45">
        <f t="shared" si="954"/>
        <v>0</v>
      </c>
      <c r="BA602" s="95">
        <f t="shared" si="954"/>
        <v>0</v>
      </c>
      <c r="BB602" s="45">
        <f t="shared" ref="BB602" si="967">SUM(BB238:BB244)</f>
        <v>2791</v>
      </c>
      <c r="BC602" s="47">
        <f>SUM(BC238:BC244)</f>
        <v>2116</v>
      </c>
      <c r="BD602" s="45">
        <f t="shared" ref="BD602" si="968">SUM(BD238:BD244)</f>
        <v>2739</v>
      </c>
      <c r="BE602" s="95">
        <f>SUM(BE238:BE244)</f>
        <v>2140</v>
      </c>
      <c r="BF602" s="109">
        <f t="shared" ref="BF602" si="969">SUM(BF238:BF244)</f>
        <v>2153</v>
      </c>
      <c r="BG602" s="47">
        <f>SUM(BG238:BG244)</f>
        <v>2712</v>
      </c>
      <c r="BH602" s="45">
        <f t="shared" ref="BH602" si="970">SUM(BH238:BH244)</f>
        <v>2835</v>
      </c>
      <c r="BI602" s="47">
        <f>SUM(BI238:BI244)</f>
        <v>2037</v>
      </c>
      <c r="BJ602" s="109">
        <f t="shared" ref="BJ602:BK602" si="971">SUM(BJ238:BJ244)</f>
        <v>253</v>
      </c>
      <c r="BK602" s="43">
        <f t="shared" si="971"/>
        <v>2540</v>
      </c>
      <c r="BL602" s="95">
        <f t="shared" si="954"/>
        <v>2122</v>
      </c>
      <c r="BM602" s="109">
        <f t="shared" ref="BM602:BN602" si="972">SUM(BM238:BM244)</f>
        <v>2141</v>
      </c>
      <c r="BN602" s="46">
        <f t="shared" si="972"/>
        <v>2564</v>
      </c>
      <c r="BO602" s="47">
        <f t="shared" si="954"/>
        <v>205</v>
      </c>
      <c r="BP602" s="45">
        <f t="shared" ref="BP602" si="973">SUM(BP238:BP244)</f>
        <v>2798</v>
      </c>
      <c r="BQ602" s="47">
        <f t="shared" ref="BQ602:BR602" si="974">SUM(BQ238:BQ244)</f>
        <v>2103</v>
      </c>
      <c r="BR602" s="45">
        <f t="shared" si="974"/>
        <v>1971</v>
      </c>
      <c r="BS602" s="47">
        <f t="shared" si="954"/>
        <v>3000</v>
      </c>
      <c r="BT602" s="45">
        <f t="shared" ref="BT602:BU602" si="975">SUM(BT238:BT244)</f>
        <v>2579</v>
      </c>
      <c r="BU602" s="43">
        <f t="shared" si="975"/>
        <v>243</v>
      </c>
      <c r="BV602" s="95">
        <f t="shared" si="954"/>
        <v>2029</v>
      </c>
      <c r="BW602" s="109">
        <f t="shared" ref="BW602" si="976">SUM(BW238:BW244)</f>
        <v>2257</v>
      </c>
      <c r="BX602" s="47">
        <f t="shared" si="954"/>
        <v>2755</v>
      </c>
      <c r="BY602" s="45">
        <f t="shared" ref="BY602" si="977">SUM(BY238:BY244)</f>
        <v>2136</v>
      </c>
      <c r="BZ602" s="95">
        <f t="shared" si="954"/>
        <v>2663</v>
      </c>
      <c r="CA602" s="109">
        <f t="shared" ref="CA602" si="978">SUM(CA238:CA244)</f>
        <v>2702</v>
      </c>
      <c r="CB602" s="47">
        <f t="shared" si="954"/>
        <v>2172</v>
      </c>
      <c r="CC602" s="47">
        <f t="shared" si="954"/>
        <v>3507</v>
      </c>
      <c r="CD602" s="44">
        <f t="shared" si="954"/>
        <v>3424</v>
      </c>
      <c r="CE602" s="109">
        <f t="shared" ref="CE602" si="979">SUM(CE238:CE244)</f>
        <v>2324</v>
      </c>
      <c r="CF602" s="43">
        <f>SUM(CF238:CF244)</f>
        <v>1718</v>
      </c>
      <c r="CG602" s="45">
        <f>SUM(CG238:CG244)</f>
        <v>1103</v>
      </c>
      <c r="CH602" s="46">
        <f t="shared" ref="CH602:CJ602" si="980">SUM(CH238:CH244)</f>
        <v>1370</v>
      </c>
      <c r="CI602" s="46">
        <f t="shared" si="980"/>
        <v>1266</v>
      </c>
      <c r="CJ602" s="46">
        <f t="shared" si="980"/>
        <v>1571</v>
      </c>
      <c r="CK602" s="95">
        <f>SUM(CK238:CK244)</f>
        <v>2203</v>
      </c>
    </row>
    <row r="603" spans="1:89" ht="13" x14ac:dyDescent="0.25">
      <c r="A603" s="91"/>
      <c r="B603" s="96" t="s">
        <v>625</v>
      </c>
      <c r="C603" s="93">
        <f>SUM(C245:C252)</f>
        <v>7427</v>
      </c>
      <c r="D603" s="93">
        <f>SUM(D245:D252)</f>
        <v>6170</v>
      </c>
      <c r="E603" s="89">
        <v>0.6970114309323785</v>
      </c>
      <c r="F603" s="45">
        <f t="shared" ref="F603:CD603" si="981">SUM(F245:F252)</f>
        <v>0</v>
      </c>
      <c r="G603" s="109">
        <f t="shared" si="981"/>
        <v>0</v>
      </c>
      <c r="H603" s="109">
        <f t="shared" ref="H603:Q603" si="982">SUM(H245:H252)</f>
        <v>0</v>
      </c>
      <c r="I603" s="109">
        <f t="shared" si="982"/>
        <v>2</v>
      </c>
      <c r="J603" s="109">
        <f t="shared" ref="J603:K603" si="983">SUM(J245:J252)</f>
        <v>14</v>
      </c>
      <c r="K603" s="109">
        <f t="shared" si="983"/>
        <v>0</v>
      </c>
      <c r="L603" s="109">
        <f t="shared" si="982"/>
        <v>0</v>
      </c>
      <c r="M603" s="109">
        <f t="shared" si="982"/>
        <v>3261</v>
      </c>
      <c r="N603" s="109">
        <f t="shared" si="982"/>
        <v>0</v>
      </c>
      <c r="O603" s="109">
        <f t="shared" si="982"/>
        <v>0</v>
      </c>
      <c r="P603" s="46">
        <f t="shared" si="982"/>
        <v>43</v>
      </c>
      <c r="Q603" s="46">
        <f t="shared" si="982"/>
        <v>18</v>
      </c>
      <c r="R603" s="46">
        <f t="shared" ref="R603" si="984">SUM(R245:R252)</f>
        <v>2719</v>
      </c>
      <c r="S603" s="47">
        <f t="shared" si="981"/>
        <v>1</v>
      </c>
      <c r="T603" s="45">
        <f>SUM(T245:T252)</f>
        <v>2949</v>
      </c>
      <c r="U603" s="47">
        <f t="shared" ref="U603:V603" si="985">SUM(U245:U252)</f>
        <v>2961</v>
      </c>
      <c r="V603" s="45">
        <f t="shared" si="985"/>
        <v>3095</v>
      </c>
      <c r="W603" s="47">
        <f>SUM(W245:W252)</f>
        <v>2860</v>
      </c>
      <c r="X603" s="45">
        <f>SUM(X245:X252)</f>
        <v>2992</v>
      </c>
      <c r="Y603" s="47">
        <f>SUM(Y245:Y252)</f>
        <v>2825</v>
      </c>
      <c r="Z603" s="109">
        <f t="shared" ref="Z603:AE603" si="986">SUM(Z245:Z252)</f>
        <v>3296</v>
      </c>
      <c r="AA603" s="46">
        <f t="shared" si="986"/>
        <v>0</v>
      </c>
      <c r="AB603" s="46">
        <f t="shared" si="986"/>
        <v>147</v>
      </c>
      <c r="AC603" s="46">
        <f t="shared" si="986"/>
        <v>2588</v>
      </c>
      <c r="AD603" s="46">
        <f t="shared" si="986"/>
        <v>0</v>
      </c>
      <c r="AE603" s="43">
        <f t="shared" si="986"/>
        <v>0</v>
      </c>
      <c r="AF603" s="95">
        <f t="shared" si="981"/>
        <v>0</v>
      </c>
      <c r="AG603" s="109">
        <f t="shared" ref="AG603" si="987">SUM(AG245:AG252)</f>
        <v>3254</v>
      </c>
      <c r="AH603" s="47">
        <f t="shared" si="981"/>
        <v>2672</v>
      </c>
      <c r="AI603" s="45">
        <f t="shared" si="981"/>
        <v>0</v>
      </c>
      <c r="AJ603" s="43">
        <f t="shared" si="981"/>
        <v>0</v>
      </c>
      <c r="AK603" s="45">
        <f t="shared" ref="AK603" si="988">SUM(AK245:AK252)</f>
        <v>2873</v>
      </c>
      <c r="AL603" s="47">
        <f t="shared" si="981"/>
        <v>2939</v>
      </c>
      <c r="AM603" s="45">
        <f t="shared" si="981"/>
        <v>0</v>
      </c>
      <c r="AN603" s="95">
        <f t="shared" si="981"/>
        <v>0</v>
      </c>
      <c r="AO603" s="109">
        <f t="shared" ref="AO603" si="989">SUM(AO245:AO252)</f>
        <v>0</v>
      </c>
      <c r="AP603" s="47">
        <f t="shared" si="981"/>
        <v>0</v>
      </c>
      <c r="AQ603" s="45">
        <f t="shared" ref="AQ603" si="990">SUM(AQ245:AQ252)</f>
        <v>0</v>
      </c>
      <c r="AR603" s="95">
        <f t="shared" si="981"/>
        <v>0</v>
      </c>
      <c r="AS603" s="109">
        <f t="shared" ref="AS603" si="991">SUM(AS245:AS252)</f>
        <v>3034</v>
      </c>
      <c r="AT603" s="47">
        <f t="shared" si="981"/>
        <v>2740</v>
      </c>
      <c r="AU603" s="45">
        <f t="shared" ref="AU603:AV603" si="992">SUM(AU245:AU252)</f>
        <v>0</v>
      </c>
      <c r="AV603" s="109">
        <f t="shared" si="992"/>
        <v>0</v>
      </c>
      <c r="AW603" s="109">
        <f t="shared" si="981"/>
        <v>0</v>
      </c>
      <c r="AX603" s="45">
        <f t="shared" ref="AX603" si="993">SUM(AX245:AX252)</f>
        <v>0</v>
      </c>
      <c r="AY603" s="47">
        <f t="shared" si="981"/>
        <v>0</v>
      </c>
      <c r="AZ603" s="45">
        <f t="shared" si="981"/>
        <v>0</v>
      </c>
      <c r="BA603" s="95">
        <f t="shared" si="981"/>
        <v>0</v>
      </c>
      <c r="BB603" s="45">
        <f t="shared" ref="BB603" si="994">SUM(BB245:BB252)</f>
        <v>2900</v>
      </c>
      <c r="BC603" s="47">
        <f>SUM(BC245:BC252)</f>
        <v>2795</v>
      </c>
      <c r="BD603" s="45">
        <f t="shared" ref="BD603" si="995">SUM(BD245:BD252)</f>
        <v>2785</v>
      </c>
      <c r="BE603" s="95">
        <f>SUM(BE245:BE252)</f>
        <v>2897</v>
      </c>
      <c r="BF603" s="109">
        <f t="shared" ref="BF603" si="996">SUM(BF245:BF252)</f>
        <v>2816</v>
      </c>
      <c r="BG603" s="47">
        <f>SUM(BG245:BG252)</f>
        <v>2833</v>
      </c>
      <c r="BH603" s="45">
        <f t="shared" ref="BH603" si="997">SUM(BH245:BH252)</f>
        <v>3071</v>
      </c>
      <c r="BI603" s="47">
        <f>SUM(BI245:BI252)</f>
        <v>2636</v>
      </c>
      <c r="BJ603" s="109">
        <f t="shared" ref="BJ603:BK603" si="998">SUM(BJ245:BJ252)</f>
        <v>259</v>
      </c>
      <c r="BK603" s="43">
        <f t="shared" si="998"/>
        <v>2653</v>
      </c>
      <c r="BL603" s="95">
        <f t="shared" si="981"/>
        <v>2809</v>
      </c>
      <c r="BM603" s="109">
        <f t="shared" ref="BM603:BN603" si="999">SUM(BM245:BM252)</f>
        <v>2979</v>
      </c>
      <c r="BN603" s="46">
        <f t="shared" si="999"/>
        <v>2587</v>
      </c>
      <c r="BO603" s="47">
        <f t="shared" si="981"/>
        <v>178</v>
      </c>
      <c r="BP603" s="45">
        <f t="shared" ref="BP603" si="1000">SUM(BP245:BP252)</f>
        <v>2815</v>
      </c>
      <c r="BQ603" s="47">
        <f t="shared" ref="BQ603:BR603" si="1001">SUM(BQ245:BQ252)</f>
        <v>2940</v>
      </c>
      <c r="BR603" s="45">
        <f t="shared" si="1001"/>
        <v>2586</v>
      </c>
      <c r="BS603" s="47">
        <f t="shared" si="981"/>
        <v>3212</v>
      </c>
      <c r="BT603" s="45">
        <f t="shared" ref="BT603:BU603" si="1002">SUM(BT245:BT252)</f>
        <v>2637</v>
      </c>
      <c r="BU603" s="43">
        <f t="shared" si="1002"/>
        <v>225</v>
      </c>
      <c r="BV603" s="95">
        <f t="shared" si="981"/>
        <v>2771</v>
      </c>
      <c r="BW603" s="109">
        <f t="shared" ref="BW603" si="1003">SUM(BW245:BW252)</f>
        <v>2959</v>
      </c>
      <c r="BX603" s="47">
        <f t="shared" si="981"/>
        <v>2845</v>
      </c>
      <c r="BY603" s="45">
        <f t="shared" ref="BY603" si="1004">SUM(BY245:BY252)</f>
        <v>2885</v>
      </c>
      <c r="BZ603" s="95">
        <f t="shared" si="981"/>
        <v>2698</v>
      </c>
      <c r="CA603" s="109">
        <f t="shared" ref="CA603" si="1005">SUM(CA245:CA252)</f>
        <v>2774</v>
      </c>
      <c r="CB603" s="47">
        <f t="shared" si="981"/>
        <v>2887</v>
      </c>
      <c r="CC603" s="47">
        <f t="shared" si="981"/>
        <v>3820</v>
      </c>
      <c r="CD603" s="44">
        <f t="shared" si="981"/>
        <v>4157</v>
      </c>
      <c r="CE603" s="109">
        <f t="shared" ref="CE603" si="1006">SUM(CE245:CE252)</f>
        <v>2459</v>
      </c>
      <c r="CF603" s="43">
        <f>SUM(CF245:CF252)</f>
        <v>2202</v>
      </c>
      <c r="CG603" s="45">
        <f>SUM(CG245:CG252)</f>
        <v>2355</v>
      </c>
      <c r="CH603" s="46">
        <f t="shared" ref="CH603:CJ603" si="1007">SUM(CH245:CH252)</f>
        <v>1451</v>
      </c>
      <c r="CI603" s="46">
        <f t="shared" si="1007"/>
        <v>1486</v>
      </c>
      <c r="CJ603" s="46">
        <f t="shared" si="1007"/>
        <v>1847</v>
      </c>
      <c r="CK603" s="95">
        <f>SUM(CK245:CK252)</f>
        <v>2312</v>
      </c>
    </row>
    <row r="604" spans="1:89" ht="13" x14ac:dyDescent="0.25">
      <c r="A604" s="91"/>
      <c r="B604" s="96" t="s">
        <v>626</v>
      </c>
      <c r="C604" s="93">
        <f>SUM(C397:C397)</f>
        <v>92</v>
      </c>
      <c r="D604" s="93">
        <f>SUM(D397:D397)</f>
        <v>64</v>
      </c>
      <c r="E604" s="89">
        <v>1.6363636363636365</v>
      </c>
      <c r="F604" s="45">
        <f t="shared" ref="F604:CD604" si="1008">SUM(F397:F397)</f>
        <v>0</v>
      </c>
      <c r="G604" s="109">
        <f t="shared" si="1008"/>
        <v>0</v>
      </c>
      <c r="H604" s="109">
        <f t="shared" ref="H604:Q604" si="1009">SUM(H397:H397)</f>
        <v>0</v>
      </c>
      <c r="I604" s="109">
        <f t="shared" si="1009"/>
        <v>0</v>
      </c>
      <c r="J604" s="109">
        <f t="shared" ref="J604:K604" si="1010">SUM(J397:J397)</f>
        <v>0</v>
      </c>
      <c r="K604" s="109">
        <f t="shared" si="1010"/>
        <v>0</v>
      </c>
      <c r="L604" s="109">
        <f t="shared" si="1009"/>
        <v>0</v>
      </c>
      <c r="M604" s="109">
        <f t="shared" si="1009"/>
        <v>37</v>
      </c>
      <c r="N604" s="109">
        <f t="shared" si="1009"/>
        <v>0</v>
      </c>
      <c r="O604" s="109">
        <f t="shared" si="1009"/>
        <v>0</v>
      </c>
      <c r="P604" s="46">
        <f t="shared" si="1009"/>
        <v>0</v>
      </c>
      <c r="Q604" s="46">
        <f t="shared" si="1009"/>
        <v>0</v>
      </c>
      <c r="R604" s="46">
        <f t="shared" ref="R604" si="1011">SUM(R397:R397)</f>
        <v>24</v>
      </c>
      <c r="S604" s="47">
        <f t="shared" si="1008"/>
        <v>0</v>
      </c>
      <c r="T604" s="45">
        <f>SUM(T397:T397)</f>
        <v>38</v>
      </c>
      <c r="U604" s="47">
        <f t="shared" ref="U604:V604" si="1012">SUM(U397:U397)</f>
        <v>23</v>
      </c>
      <c r="V604" s="45">
        <f t="shared" si="1012"/>
        <v>25</v>
      </c>
      <c r="W604" s="47">
        <f>SUM(W397:W397)</f>
        <v>37</v>
      </c>
      <c r="X604" s="45">
        <f>SUM(X397:X397)</f>
        <v>37</v>
      </c>
      <c r="Y604" s="47">
        <f>SUM(Y397:Y397)</f>
        <v>24</v>
      </c>
      <c r="Z604" s="109">
        <f t="shared" ref="Z604:AE604" si="1013">SUM(Z397:Z397)</f>
        <v>39</v>
      </c>
      <c r="AA604" s="46">
        <f t="shared" si="1013"/>
        <v>0</v>
      </c>
      <c r="AB604" s="46">
        <f t="shared" si="1013"/>
        <v>1</v>
      </c>
      <c r="AC604" s="46">
        <f t="shared" si="1013"/>
        <v>23</v>
      </c>
      <c r="AD604" s="46">
        <f t="shared" si="1013"/>
        <v>0</v>
      </c>
      <c r="AE604" s="43">
        <f t="shared" si="1013"/>
        <v>0</v>
      </c>
      <c r="AF604" s="95">
        <f t="shared" si="1008"/>
        <v>0</v>
      </c>
      <c r="AG604" s="109">
        <f t="shared" ref="AG604" si="1014">SUM(AG397:AG397)</f>
        <v>39</v>
      </c>
      <c r="AH604" s="47">
        <f t="shared" si="1008"/>
        <v>22</v>
      </c>
      <c r="AI604" s="45">
        <f t="shared" si="1008"/>
        <v>0</v>
      </c>
      <c r="AJ604" s="43">
        <f t="shared" si="1008"/>
        <v>0</v>
      </c>
      <c r="AK604" s="45">
        <f t="shared" ref="AK604" si="1015">SUM(AK397:AK397)</f>
        <v>0</v>
      </c>
      <c r="AL604" s="47">
        <f t="shared" si="1008"/>
        <v>0</v>
      </c>
      <c r="AM604" s="45">
        <f t="shared" si="1008"/>
        <v>0</v>
      </c>
      <c r="AN604" s="95">
        <f t="shared" si="1008"/>
        <v>0</v>
      </c>
      <c r="AO604" s="109">
        <f t="shared" ref="AO604" si="1016">SUM(AO397:AO397)</f>
        <v>0</v>
      </c>
      <c r="AP604" s="47">
        <f t="shared" si="1008"/>
        <v>0</v>
      </c>
      <c r="AQ604" s="45">
        <f t="shared" ref="AQ604" si="1017">SUM(AQ397:AQ397)</f>
        <v>22</v>
      </c>
      <c r="AR604" s="95">
        <f t="shared" si="1008"/>
        <v>39</v>
      </c>
      <c r="AS604" s="109">
        <f t="shared" ref="AS604" si="1018">SUM(AS397:AS397)</f>
        <v>0</v>
      </c>
      <c r="AT604" s="47">
        <f t="shared" si="1008"/>
        <v>0</v>
      </c>
      <c r="AU604" s="45">
        <f t="shared" ref="AU604:AV604" si="1019">SUM(AU397:AU397)</f>
        <v>0</v>
      </c>
      <c r="AV604" s="109">
        <f t="shared" si="1019"/>
        <v>0</v>
      </c>
      <c r="AW604" s="109">
        <f t="shared" si="1008"/>
        <v>0</v>
      </c>
      <c r="AX604" s="45">
        <f t="shared" ref="AX604" si="1020">SUM(AX397:AX397)</f>
        <v>0</v>
      </c>
      <c r="AY604" s="47">
        <f t="shared" si="1008"/>
        <v>0</v>
      </c>
      <c r="AZ604" s="45">
        <f t="shared" si="1008"/>
        <v>0</v>
      </c>
      <c r="BA604" s="95">
        <f t="shared" si="1008"/>
        <v>0</v>
      </c>
      <c r="BB604" s="45">
        <f t="shared" ref="BB604" si="1021">SUM(BB397:BB397)</f>
        <v>26</v>
      </c>
      <c r="BC604" s="47">
        <f>SUM(BC397:BC397)</f>
        <v>34</v>
      </c>
      <c r="BD604" s="45">
        <f t="shared" ref="BD604" si="1022">SUM(BD397:BD397)</f>
        <v>25</v>
      </c>
      <c r="BE604" s="95">
        <f>SUM(BE397:BE397)</f>
        <v>35</v>
      </c>
      <c r="BF604" s="109">
        <f t="shared" ref="BF604" si="1023">SUM(BF397:BF397)</f>
        <v>35</v>
      </c>
      <c r="BG604" s="47">
        <f>SUM(BG397:BG397)</f>
        <v>25</v>
      </c>
      <c r="BH604" s="45">
        <f t="shared" ref="BH604" si="1024">SUM(BH397:BH397)</f>
        <v>26</v>
      </c>
      <c r="BI604" s="47">
        <f>SUM(BI397:BI397)</f>
        <v>34</v>
      </c>
      <c r="BJ604" s="109">
        <f t="shared" ref="BJ604:BK604" si="1025">SUM(BJ397:BJ397)</f>
        <v>5</v>
      </c>
      <c r="BK604" s="43">
        <f t="shared" si="1025"/>
        <v>21</v>
      </c>
      <c r="BL604" s="95">
        <f t="shared" si="1008"/>
        <v>34</v>
      </c>
      <c r="BM604" s="109">
        <f t="shared" ref="BM604:BN604" si="1026">SUM(BM397:BM397)</f>
        <v>33</v>
      </c>
      <c r="BN604" s="46">
        <f t="shared" si="1026"/>
        <v>22</v>
      </c>
      <c r="BO604" s="47">
        <f t="shared" si="1008"/>
        <v>5</v>
      </c>
      <c r="BP604" s="45">
        <f t="shared" ref="BP604" si="1027">SUM(BP397:BP397)</f>
        <v>25</v>
      </c>
      <c r="BQ604" s="47">
        <f t="shared" ref="BQ604:BR604" si="1028">SUM(BQ397:BQ397)</f>
        <v>35</v>
      </c>
      <c r="BR604" s="45">
        <f t="shared" si="1028"/>
        <v>32</v>
      </c>
      <c r="BS604" s="47">
        <f t="shared" si="1008"/>
        <v>28</v>
      </c>
      <c r="BT604" s="45">
        <f t="shared" ref="BT604:BU604" si="1029">SUM(BT397:BT397)</f>
        <v>21</v>
      </c>
      <c r="BU604" s="43">
        <f t="shared" si="1029"/>
        <v>5</v>
      </c>
      <c r="BV604" s="95">
        <f t="shared" si="1008"/>
        <v>34</v>
      </c>
      <c r="BW604" s="109">
        <f t="shared" ref="BW604" si="1030">SUM(BW397:BW397)</f>
        <v>35</v>
      </c>
      <c r="BX604" s="47">
        <f t="shared" si="1008"/>
        <v>25</v>
      </c>
      <c r="BY604" s="45">
        <f t="shared" ref="BY604" si="1031">SUM(BY397:BY397)</f>
        <v>38</v>
      </c>
      <c r="BZ604" s="95">
        <f t="shared" si="1008"/>
        <v>22</v>
      </c>
      <c r="CA604" s="109">
        <f t="shared" ref="CA604" si="1032">SUM(CA397:CA397)</f>
        <v>26</v>
      </c>
      <c r="CB604" s="47">
        <f t="shared" si="1008"/>
        <v>34</v>
      </c>
      <c r="CC604" s="47">
        <f t="shared" si="1008"/>
        <v>45</v>
      </c>
      <c r="CD604" s="44">
        <f t="shared" si="1008"/>
        <v>52</v>
      </c>
      <c r="CE604" s="109">
        <f t="shared" ref="CE604" si="1033">SUM(CE397:CE397)</f>
        <v>29</v>
      </c>
      <c r="CF604" s="43">
        <f>SUM(CF397:CF397)</f>
        <v>21</v>
      </c>
      <c r="CG604" s="45">
        <f>SUM(CG397:CG397)</f>
        <v>13</v>
      </c>
      <c r="CH604" s="46">
        <f t="shared" ref="CH604:CJ604" si="1034">SUM(CH397:CH397)</f>
        <v>8</v>
      </c>
      <c r="CI604" s="46">
        <f t="shared" si="1034"/>
        <v>21</v>
      </c>
      <c r="CJ604" s="46">
        <f t="shared" si="1034"/>
        <v>24</v>
      </c>
      <c r="CK604" s="95">
        <f>SUM(CK397:CK397)</f>
        <v>22</v>
      </c>
    </row>
    <row r="605" spans="1:89" ht="13" x14ac:dyDescent="0.25">
      <c r="A605" s="91"/>
      <c r="B605" s="96" t="s">
        <v>627</v>
      </c>
      <c r="C605" s="93">
        <f>SUM(C254:C262)</f>
        <v>9136</v>
      </c>
      <c r="D605" s="93">
        <f>SUM(D254:D262)</f>
        <v>7520</v>
      </c>
      <c r="E605" s="89">
        <v>0.70260927743086532</v>
      </c>
      <c r="F605" s="45">
        <f t="shared" ref="F605:CD605" si="1035">SUM(F254:F262)</f>
        <v>0</v>
      </c>
      <c r="G605" s="109">
        <f t="shared" si="1035"/>
        <v>0</v>
      </c>
      <c r="H605" s="109">
        <f t="shared" ref="H605:Q605" si="1036">SUM(H254:H262)</f>
        <v>0</v>
      </c>
      <c r="I605" s="109">
        <f t="shared" si="1036"/>
        <v>1</v>
      </c>
      <c r="J605" s="109">
        <f t="shared" ref="J605:K605" si="1037">SUM(J254:J262)</f>
        <v>14</v>
      </c>
      <c r="K605" s="109">
        <f t="shared" si="1037"/>
        <v>0</v>
      </c>
      <c r="L605" s="109">
        <f t="shared" si="1036"/>
        <v>0</v>
      </c>
      <c r="M605" s="109">
        <f t="shared" si="1036"/>
        <v>4082</v>
      </c>
      <c r="N605" s="109">
        <f t="shared" si="1036"/>
        <v>0</v>
      </c>
      <c r="O605" s="109">
        <f t="shared" si="1036"/>
        <v>0</v>
      </c>
      <c r="P605" s="46">
        <f t="shared" si="1036"/>
        <v>59</v>
      </c>
      <c r="Q605" s="46">
        <f t="shared" si="1036"/>
        <v>13</v>
      </c>
      <c r="R605" s="46">
        <f t="shared" ref="R605" si="1038">SUM(R254:R262)</f>
        <v>3194</v>
      </c>
      <c r="S605" s="47">
        <f t="shared" si="1035"/>
        <v>3</v>
      </c>
      <c r="T605" s="45">
        <f>SUM(T254:T262)</f>
        <v>3744</v>
      </c>
      <c r="U605" s="47">
        <f t="shared" ref="U605:V605" si="1039">SUM(U254:U262)</f>
        <v>3526</v>
      </c>
      <c r="V605" s="45">
        <f t="shared" si="1039"/>
        <v>3711</v>
      </c>
      <c r="W605" s="47">
        <f>SUM(W254:W262)</f>
        <v>3599</v>
      </c>
      <c r="X605" s="45">
        <f>SUM(X254:X262)</f>
        <v>3789</v>
      </c>
      <c r="Y605" s="47">
        <f>SUM(Y254:Y262)</f>
        <v>3403</v>
      </c>
      <c r="Z605" s="109">
        <f t="shared" ref="Z605:AE605" si="1040">SUM(Z254:Z262)</f>
        <v>4098</v>
      </c>
      <c r="AA605" s="46">
        <f t="shared" si="1040"/>
        <v>0</v>
      </c>
      <c r="AB605" s="46">
        <f t="shared" si="1040"/>
        <v>163</v>
      </c>
      <c r="AC605" s="46">
        <f t="shared" si="1040"/>
        <v>3128</v>
      </c>
      <c r="AD605" s="46">
        <f t="shared" si="1040"/>
        <v>0</v>
      </c>
      <c r="AE605" s="43">
        <f t="shared" si="1040"/>
        <v>0</v>
      </c>
      <c r="AF605" s="95">
        <f t="shared" si="1035"/>
        <v>0</v>
      </c>
      <c r="AG605" s="109">
        <f t="shared" ref="AG605" si="1041">SUM(AG254:AG262)</f>
        <v>4055</v>
      </c>
      <c r="AH605" s="47">
        <f t="shared" si="1035"/>
        <v>3240</v>
      </c>
      <c r="AI605" s="45">
        <f t="shared" si="1035"/>
        <v>0</v>
      </c>
      <c r="AJ605" s="43">
        <f t="shared" si="1035"/>
        <v>0</v>
      </c>
      <c r="AK605" s="45">
        <f t="shared" ref="AK605" si="1042">SUM(AK254:AK262)</f>
        <v>0</v>
      </c>
      <c r="AL605" s="47">
        <f t="shared" si="1035"/>
        <v>0</v>
      </c>
      <c r="AM605" s="45">
        <f t="shared" si="1035"/>
        <v>0</v>
      </c>
      <c r="AN605" s="95">
        <f t="shared" si="1035"/>
        <v>0</v>
      </c>
      <c r="AO605" s="109">
        <f t="shared" ref="AO605" si="1043">SUM(AO254:AO262)</f>
        <v>0</v>
      </c>
      <c r="AP605" s="47">
        <f t="shared" si="1035"/>
        <v>0</v>
      </c>
      <c r="AQ605" s="45">
        <f t="shared" ref="AQ605" si="1044">SUM(AQ254:AQ262)</f>
        <v>0</v>
      </c>
      <c r="AR605" s="95">
        <f t="shared" si="1035"/>
        <v>0</v>
      </c>
      <c r="AS605" s="109">
        <f t="shared" ref="AS605" si="1045">SUM(AS254:AS262)</f>
        <v>0</v>
      </c>
      <c r="AT605" s="47">
        <f t="shared" si="1035"/>
        <v>0</v>
      </c>
      <c r="AU605" s="45">
        <f t="shared" ref="AU605:AV605" si="1046">SUM(AU254:AU262)</f>
        <v>3792</v>
      </c>
      <c r="AV605" s="109">
        <f t="shared" si="1046"/>
        <v>1</v>
      </c>
      <c r="AW605" s="109">
        <f t="shared" si="1035"/>
        <v>3404</v>
      </c>
      <c r="AX605" s="45">
        <f t="shared" ref="AX605" si="1047">SUM(AX254:AX262)</f>
        <v>0</v>
      </c>
      <c r="AY605" s="47">
        <f t="shared" si="1035"/>
        <v>0</v>
      </c>
      <c r="AZ605" s="45">
        <f t="shared" si="1035"/>
        <v>0</v>
      </c>
      <c r="BA605" s="95">
        <f t="shared" si="1035"/>
        <v>0</v>
      </c>
      <c r="BB605" s="45">
        <f t="shared" ref="BB605" si="1048">SUM(BB254:BB262)</f>
        <v>3515</v>
      </c>
      <c r="BC605" s="47">
        <f>SUM(BC254:BC262)</f>
        <v>3535</v>
      </c>
      <c r="BD605" s="45">
        <f t="shared" ref="BD605" si="1049">SUM(BD254:BD262)</f>
        <v>3478</v>
      </c>
      <c r="BE605" s="95">
        <f>SUM(BE254:BE262)</f>
        <v>3564</v>
      </c>
      <c r="BF605" s="109">
        <f t="shared" ref="BF605" si="1050">SUM(BF254:BF262)</f>
        <v>3586</v>
      </c>
      <c r="BG605" s="47">
        <f>SUM(BG254:BG262)</f>
        <v>3412</v>
      </c>
      <c r="BH605" s="45">
        <f t="shared" ref="BH605" si="1051">SUM(BH254:BH262)</f>
        <v>3690</v>
      </c>
      <c r="BI605" s="47">
        <f>SUM(BI254:BI262)</f>
        <v>3335</v>
      </c>
      <c r="BJ605" s="109">
        <f t="shared" ref="BJ605:BK605" si="1052">SUM(BJ254:BJ262)</f>
        <v>270</v>
      </c>
      <c r="BK605" s="43">
        <f t="shared" si="1052"/>
        <v>3294</v>
      </c>
      <c r="BL605" s="95">
        <f t="shared" si="1035"/>
        <v>3518</v>
      </c>
      <c r="BM605" s="109">
        <f t="shared" ref="BM605:BN605" si="1053">SUM(BM254:BM262)</f>
        <v>3656</v>
      </c>
      <c r="BN605" s="46">
        <f t="shared" si="1053"/>
        <v>3226</v>
      </c>
      <c r="BO605" s="47">
        <f t="shared" si="1035"/>
        <v>210</v>
      </c>
      <c r="BP605" s="45">
        <f t="shared" ref="BP605" si="1054">SUM(BP254:BP262)</f>
        <v>3463</v>
      </c>
      <c r="BQ605" s="47">
        <f t="shared" ref="BQ605:BR605" si="1055">SUM(BQ254:BQ262)</f>
        <v>3633</v>
      </c>
      <c r="BR605" s="45">
        <f t="shared" si="1055"/>
        <v>3312</v>
      </c>
      <c r="BS605" s="47">
        <f t="shared" si="1035"/>
        <v>3836</v>
      </c>
      <c r="BT605" s="45">
        <f t="shared" ref="BT605:BU605" si="1056">SUM(BT254:BT262)</f>
        <v>3302</v>
      </c>
      <c r="BU605" s="43">
        <f t="shared" si="1056"/>
        <v>239</v>
      </c>
      <c r="BV605" s="95">
        <f t="shared" si="1035"/>
        <v>3442</v>
      </c>
      <c r="BW605" s="109">
        <f t="shared" ref="BW605" si="1057">SUM(BW254:BW262)</f>
        <v>3725</v>
      </c>
      <c r="BX605" s="47">
        <f t="shared" si="1035"/>
        <v>3446</v>
      </c>
      <c r="BY605" s="45">
        <f t="shared" ref="BY605" si="1058">SUM(BY254:BY262)</f>
        <v>3608</v>
      </c>
      <c r="BZ605" s="95">
        <f t="shared" si="1035"/>
        <v>3327</v>
      </c>
      <c r="CA605" s="109">
        <f t="shared" ref="CA605" si="1059">SUM(CA254:CA262)</f>
        <v>3391</v>
      </c>
      <c r="CB605" s="47">
        <f t="shared" si="1035"/>
        <v>3610</v>
      </c>
      <c r="CC605" s="47">
        <f t="shared" si="1035"/>
        <v>4771</v>
      </c>
      <c r="CD605" s="44">
        <f t="shared" si="1035"/>
        <v>5147</v>
      </c>
      <c r="CE605" s="109">
        <f t="shared" ref="CE605" si="1060">SUM(CE254:CE262)</f>
        <v>3135</v>
      </c>
      <c r="CF605" s="43">
        <f>SUM(CF254:CF262)</f>
        <v>2838</v>
      </c>
      <c r="CG605" s="45">
        <f>SUM(CG254:CG262)</f>
        <v>1637</v>
      </c>
      <c r="CH605" s="46">
        <f t="shared" ref="CH605:CJ605" si="1061">SUM(CH254:CH262)</f>
        <v>1906</v>
      </c>
      <c r="CI605" s="46">
        <f t="shared" si="1061"/>
        <v>2252</v>
      </c>
      <c r="CJ605" s="46">
        <f t="shared" si="1061"/>
        <v>2605</v>
      </c>
      <c r="CK605" s="95">
        <f>SUM(CK254:CK262)</f>
        <v>3110</v>
      </c>
    </row>
    <row r="606" spans="1:89" ht="13" x14ac:dyDescent="0.25">
      <c r="A606" s="91"/>
      <c r="B606" s="96" t="s">
        <v>628</v>
      </c>
      <c r="C606" s="93">
        <f>SUM(C263:C266)</f>
        <v>4427</v>
      </c>
      <c r="D606" s="93">
        <f>SUM(D263:D266)</f>
        <v>2817</v>
      </c>
      <c r="E606" s="89">
        <v>0.41038562664329536</v>
      </c>
      <c r="F606" s="45">
        <f t="shared" ref="F606:CD606" si="1062">SUM(F263:F266)</f>
        <v>0</v>
      </c>
      <c r="G606" s="109">
        <f t="shared" si="1062"/>
        <v>0</v>
      </c>
      <c r="H606" s="109">
        <f t="shared" ref="H606:Q606" si="1063">SUM(H263:H266)</f>
        <v>0</v>
      </c>
      <c r="I606" s="109">
        <f t="shared" si="1063"/>
        <v>2</v>
      </c>
      <c r="J606" s="109">
        <f t="shared" ref="J606:K606" si="1064">SUM(J263:J266)</f>
        <v>9</v>
      </c>
      <c r="K606" s="109">
        <f t="shared" si="1064"/>
        <v>0</v>
      </c>
      <c r="L606" s="109">
        <f t="shared" si="1063"/>
        <v>0</v>
      </c>
      <c r="M606" s="109">
        <f t="shared" si="1063"/>
        <v>1869</v>
      </c>
      <c r="N606" s="109">
        <f t="shared" si="1063"/>
        <v>0</v>
      </c>
      <c r="O606" s="109">
        <f t="shared" si="1063"/>
        <v>0</v>
      </c>
      <c r="P606" s="46">
        <f t="shared" si="1063"/>
        <v>15</v>
      </c>
      <c r="Q606" s="46">
        <f t="shared" si="1063"/>
        <v>6</v>
      </c>
      <c r="R606" s="46">
        <f t="shared" ref="R606" si="1065">SUM(R263:R266)</f>
        <v>854</v>
      </c>
      <c r="S606" s="47">
        <f t="shared" si="1062"/>
        <v>0</v>
      </c>
      <c r="T606" s="45">
        <f>SUM(T263:T266)</f>
        <v>1836</v>
      </c>
      <c r="U606" s="47">
        <f t="shared" ref="U606:V606" si="1066">SUM(U263:U266)</f>
        <v>853</v>
      </c>
      <c r="V606" s="45">
        <f t="shared" si="1066"/>
        <v>944</v>
      </c>
      <c r="W606" s="47">
        <f>SUM(W263:W266)</f>
        <v>1765</v>
      </c>
      <c r="X606" s="45">
        <f>SUM(X263:X266)</f>
        <v>1814</v>
      </c>
      <c r="Y606" s="47">
        <f>SUM(Y263:Y266)</f>
        <v>818</v>
      </c>
      <c r="Z606" s="109">
        <f t="shared" ref="Z606:AE606" si="1067">SUM(Z263:Z266)</f>
        <v>1853</v>
      </c>
      <c r="AA606" s="46">
        <f t="shared" si="1067"/>
        <v>0</v>
      </c>
      <c r="AB606" s="46">
        <f t="shared" si="1067"/>
        <v>133</v>
      </c>
      <c r="AC606" s="46">
        <f t="shared" si="1067"/>
        <v>753</v>
      </c>
      <c r="AD606" s="46">
        <f t="shared" si="1067"/>
        <v>0</v>
      </c>
      <c r="AE606" s="43">
        <f t="shared" si="1067"/>
        <v>0</v>
      </c>
      <c r="AF606" s="95">
        <f t="shared" si="1062"/>
        <v>0</v>
      </c>
      <c r="AG606" s="109">
        <f t="shared" ref="AG606" si="1068">SUM(AG263:AG266)</f>
        <v>0</v>
      </c>
      <c r="AH606" s="47">
        <f t="shared" si="1062"/>
        <v>0</v>
      </c>
      <c r="AI606" s="45">
        <f t="shared" si="1062"/>
        <v>822</v>
      </c>
      <c r="AJ606" s="43">
        <f t="shared" si="1062"/>
        <v>1840</v>
      </c>
      <c r="AK606" s="45">
        <f t="shared" ref="AK606" si="1069">SUM(AK263:AK266)</f>
        <v>847</v>
      </c>
      <c r="AL606" s="47">
        <f t="shared" si="1062"/>
        <v>1812</v>
      </c>
      <c r="AM606" s="45">
        <f t="shared" si="1062"/>
        <v>0</v>
      </c>
      <c r="AN606" s="95">
        <f t="shared" si="1062"/>
        <v>0</v>
      </c>
      <c r="AO606" s="109">
        <f t="shared" ref="AO606" si="1070">SUM(AO263:AO266)</f>
        <v>0</v>
      </c>
      <c r="AP606" s="47">
        <f t="shared" si="1062"/>
        <v>0</v>
      </c>
      <c r="AQ606" s="45">
        <f t="shared" ref="AQ606" si="1071">SUM(AQ263:AQ266)</f>
        <v>0</v>
      </c>
      <c r="AR606" s="95">
        <f t="shared" si="1062"/>
        <v>0</v>
      </c>
      <c r="AS606" s="109">
        <f t="shared" ref="AS606" si="1072">SUM(AS263:AS266)</f>
        <v>0</v>
      </c>
      <c r="AT606" s="47">
        <f t="shared" si="1062"/>
        <v>0</v>
      </c>
      <c r="AU606" s="45">
        <f t="shared" ref="AU606:AV606" si="1073">SUM(AU263:AU266)</f>
        <v>0</v>
      </c>
      <c r="AV606" s="109">
        <f t="shared" si="1073"/>
        <v>0</v>
      </c>
      <c r="AW606" s="109">
        <f t="shared" si="1062"/>
        <v>0</v>
      </c>
      <c r="AX606" s="45">
        <f t="shared" ref="AX606" si="1074">SUM(AX263:AX266)</f>
        <v>858</v>
      </c>
      <c r="AY606" s="47">
        <f t="shared" si="1062"/>
        <v>1796</v>
      </c>
      <c r="AZ606" s="45">
        <f t="shared" si="1062"/>
        <v>0</v>
      </c>
      <c r="BA606" s="95">
        <f t="shared" si="1062"/>
        <v>0</v>
      </c>
      <c r="BB606" s="45">
        <f t="shared" ref="BB606" si="1075">SUM(BB263:BB266)</f>
        <v>833</v>
      </c>
      <c r="BC606" s="47">
        <f>SUM(BC263:BC266)</f>
        <v>1786</v>
      </c>
      <c r="BD606" s="45">
        <f t="shared" ref="BD606" si="1076">SUM(BD263:BD266)</f>
        <v>816</v>
      </c>
      <c r="BE606" s="95">
        <f>SUM(BE263:BE266)</f>
        <v>1798</v>
      </c>
      <c r="BF606" s="109">
        <f t="shared" ref="BF606" si="1077">SUM(BF263:BF266)</f>
        <v>1771</v>
      </c>
      <c r="BG606" s="47">
        <f>SUM(BG263:BG266)</f>
        <v>821</v>
      </c>
      <c r="BH606" s="45">
        <f t="shared" ref="BH606" si="1078">SUM(BH263:BH266)</f>
        <v>884</v>
      </c>
      <c r="BI606" s="47">
        <f>SUM(BI263:BI266)</f>
        <v>1731</v>
      </c>
      <c r="BJ606" s="109">
        <f t="shared" ref="BJ606:BK606" si="1079">SUM(BJ263:BJ266)</f>
        <v>128</v>
      </c>
      <c r="BK606" s="43">
        <f t="shared" si="1079"/>
        <v>709</v>
      </c>
      <c r="BL606" s="95">
        <f t="shared" si="1062"/>
        <v>1824</v>
      </c>
      <c r="BM606" s="109">
        <f t="shared" ref="BM606:BN606" si="1080">SUM(BM263:BM266)</f>
        <v>1814</v>
      </c>
      <c r="BN606" s="46">
        <f t="shared" si="1080"/>
        <v>719</v>
      </c>
      <c r="BO606" s="47">
        <f t="shared" si="1062"/>
        <v>99</v>
      </c>
      <c r="BP606" s="45">
        <f t="shared" ref="BP606" si="1081">SUM(BP263:BP266)</f>
        <v>808</v>
      </c>
      <c r="BQ606" s="47">
        <f t="shared" ref="BQ606:BR606" si="1082">SUM(BQ263:BQ266)</f>
        <v>1814</v>
      </c>
      <c r="BR606" s="45">
        <f t="shared" si="1082"/>
        <v>1698</v>
      </c>
      <c r="BS606" s="47">
        <f t="shared" si="1062"/>
        <v>952</v>
      </c>
      <c r="BT606" s="45">
        <f t="shared" ref="BT606:BU606" si="1083">SUM(BT263:BT266)</f>
        <v>755</v>
      </c>
      <c r="BU606" s="43">
        <f t="shared" si="1083"/>
        <v>130</v>
      </c>
      <c r="BV606" s="95">
        <f t="shared" si="1062"/>
        <v>1734</v>
      </c>
      <c r="BW606" s="109">
        <f t="shared" ref="BW606" si="1084">SUM(BW263:BW266)</f>
        <v>1826</v>
      </c>
      <c r="BX606" s="47">
        <f t="shared" si="1062"/>
        <v>849</v>
      </c>
      <c r="BY606" s="45">
        <f t="shared" ref="BY606" si="1085">SUM(BY263:BY266)</f>
        <v>1816</v>
      </c>
      <c r="BZ606" s="95">
        <f t="shared" si="1062"/>
        <v>776</v>
      </c>
      <c r="CA606" s="109">
        <f t="shared" ref="CA606" si="1086">SUM(CA263:CA266)</f>
        <v>784</v>
      </c>
      <c r="CB606" s="47">
        <f t="shared" si="1062"/>
        <v>1822</v>
      </c>
      <c r="CC606" s="47">
        <f t="shared" si="1062"/>
        <v>1364</v>
      </c>
      <c r="CD606" s="44">
        <f t="shared" si="1062"/>
        <v>2184</v>
      </c>
      <c r="CE606" s="109">
        <f t="shared" ref="CE606" si="1087">SUM(CE263:CE266)</f>
        <v>1037</v>
      </c>
      <c r="CF606" s="43">
        <f>SUM(CF263:CF266)</f>
        <v>1130</v>
      </c>
      <c r="CG606" s="45">
        <f>SUM(CG263:CG266)</f>
        <v>618</v>
      </c>
      <c r="CH606" s="46">
        <f t="shared" ref="CH606:CJ606" si="1088">SUM(CH263:CH266)</f>
        <v>380</v>
      </c>
      <c r="CI606" s="46">
        <f t="shared" si="1088"/>
        <v>949</v>
      </c>
      <c r="CJ606" s="46">
        <f t="shared" si="1088"/>
        <v>1025</v>
      </c>
      <c r="CK606" s="95">
        <f>SUM(CK263:CK266)</f>
        <v>915</v>
      </c>
    </row>
    <row r="607" spans="1:89" ht="13" x14ac:dyDescent="0.25">
      <c r="A607" s="91"/>
      <c r="B607" s="96" t="s">
        <v>629</v>
      </c>
      <c r="C607" s="93">
        <f>SUM(C267:C273)</f>
        <v>6567</v>
      </c>
      <c r="D607" s="93">
        <f>SUM(D267:D273)</f>
        <v>3995</v>
      </c>
      <c r="E607" s="89">
        <v>0.40641876253664561</v>
      </c>
      <c r="F607" s="45">
        <f t="shared" ref="F607:CD607" si="1089">SUM(F267:F273)</f>
        <v>0</v>
      </c>
      <c r="G607" s="109">
        <f t="shared" si="1089"/>
        <v>0</v>
      </c>
      <c r="H607" s="109">
        <f t="shared" ref="H607:Q607" si="1090">SUM(H267:H273)</f>
        <v>0</v>
      </c>
      <c r="I607" s="109">
        <f t="shared" si="1090"/>
        <v>7</v>
      </c>
      <c r="J607" s="109">
        <f t="shared" ref="J607:K607" si="1091">SUM(J267:J273)</f>
        <v>5</v>
      </c>
      <c r="K607" s="109">
        <f t="shared" si="1091"/>
        <v>0</v>
      </c>
      <c r="L607" s="109">
        <f t="shared" si="1090"/>
        <v>0</v>
      </c>
      <c r="M607" s="109">
        <f t="shared" si="1090"/>
        <v>2874</v>
      </c>
      <c r="N607" s="109">
        <f t="shared" si="1090"/>
        <v>0</v>
      </c>
      <c r="O607" s="109">
        <f t="shared" si="1090"/>
        <v>0</v>
      </c>
      <c r="P607" s="46">
        <f t="shared" si="1090"/>
        <v>20</v>
      </c>
      <c r="Q607" s="46">
        <f t="shared" si="1090"/>
        <v>6</v>
      </c>
      <c r="R607" s="46">
        <f t="shared" ref="R607" si="1092">SUM(R267:R273)</f>
        <v>1024</v>
      </c>
      <c r="S607" s="47">
        <f t="shared" si="1089"/>
        <v>0</v>
      </c>
      <c r="T607" s="45">
        <f>SUM(T267:T273)</f>
        <v>2845</v>
      </c>
      <c r="U607" s="47">
        <f t="shared" ref="U607:V607" si="1093">SUM(U267:U273)</f>
        <v>1025</v>
      </c>
      <c r="V607" s="45">
        <f t="shared" si="1093"/>
        <v>1148</v>
      </c>
      <c r="W607" s="47">
        <f>SUM(W267:W273)</f>
        <v>2730</v>
      </c>
      <c r="X607" s="45">
        <f>SUM(X267:X273)</f>
        <v>2830</v>
      </c>
      <c r="Y607" s="47">
        <f>SUM(Y267:Y273)</f>
        <v>967</v>
      </c>
      <c r="Z607" s="109">
        <f t="shared" ref="Z607:AE607" si="1094">SUM(Z267:Z273)</f>
        <v>2875</v>
      </c>
      <c r="AA607" s="46">
        <f t="shared" si="1094"/>
        <v>0</v>
      </c>
      <c r="AB607" s="46">
        <f t="shared" si="1094"/>
        <v>130</v>
      </c>
      <c r="AC607" s="46">
        <f t="shared" si="1094"/>
        <v>897</v>
      </c>
      <c r="AD607" s="46">
        <f t="shared" si="1094"/>
        <v>0</v>
      </c>
      <c r="AE607" s="43">
        <f t="shared" si="1094"/>
        <v>0</v>
      </c>
      <c r="AF607" s="95">
        <f t="shared" si="1089"/>
        <v>0</v>
      </c>
      <c r="AG607" s="109">
        <f t="shared" ref="AG607" si="1095">SUM(AG267:AG273)</f>
        <v>0</v>
      </c>
      <c r="AH607" s="47">
        <f t="shared" si="1089"/>
        <v>0</v>
      </c>
      <c r="AI607" s="45">
        <f t="shared" si="1089"/>
        <v>959</v>
      </c>
      <c r="AJ607" s="43">
        <f t="shared" si="1089"/>
        <v>2858</v>
      </c>
      <c r="AK607" s="45">
        <f t="shared" ref="AK607" si="1096">SUM(AK267:AK273)</f>
        <v>1015</v>
      </c>
      <c r="AL607" s="47">
        <f t="shared" si="1089"/>
        <v>2821</v>
      </c>
      <c r="AM607" s="45">
        <f t="shared" si="1089"/>
        <v>0</v>
      </c>
      <c r="AN607" s="95">
        <f t="shared" si="1089"/>
        <v>0</v>
      </c>
      <c r="AO607" s="109">
        <f t="shared" ref="AO607" si="1097">SUM(AO267:AO273)</f>
        <v>0</v>
      </c>
      <c r="AP607" s="47">
        <f t="shared" si="1089"/>
        <v>0</v>
      </c>
      <c r="AQ607" s="45">
        <f t="shared" ref="AQ607" si="1098">SUM(AQ267:AQ273)</f>
        <v>0</v>
      </c>
      <c r="AR607" s="95">
        <f t="shared" si="1089"/>
        <v>0</v>
      </c>
      <c r="AS607" s="109">
        <f t="shared" ref="AS607" si="1099">SUM(AS267:AS273)</f>
        <v>0</v>
      </c>
      <c r="AT607" s="47">
        <f t="shared" si="1089"/>
        <v>0</v>
      </c>
      <c r="AU607" s="45">
        <f t="shared" ref="AU607:AV607" si="1100">SUM(AU267:AU273)</f>
        <v>0</v>
      </c>
      <c r="AV607" s="109">
        <f t="shared" si="1100"/>
        <v>0</v>
      </c>
      <c r="AW607" s="109">
        <f t="shared" si="1089"/>
        <v>0</v>
      </c>
      <c r="AX607" s="45">
        <f t="shared" ref="AX607" si="1101">SUM(AX267:AX273)</f>
        <v>1054</v>
      </c>
      <c r="AY607" s="47">
        <f t="shared" si="1089"/>
        <v>2748</v>
      </c>
      <c r="AZ607" s="45">
        <f t="shared" si="1089"/>
        <v>0</v>
      </c>
      <c r="BA607" s="95">
        <f t="shared" si="1089"/>
        <v>0</v>
      </c>
      <c r="BB607" s="45">
        <f t="shared" ref="BB607" si="1102">SUM(BB267:BB273)</f>
        <v>994</v>
      </c>
      <c r="BC607" s="47">
        <f>SUM(BC267:BC273)</f>
        <v>2786</v>
      </c>
      <c r="BD607" s="45">
        <f t="shared" ref="BD607" si="1103">SUM(BD267:BD273)</f>
        <v>967</v>
      </c>
      <c r="BE607" s="95">
        <f>SUM(BE267:BE273)</f>
        <v>2818</v>
      </c>
      <c r="BF607" s="109">
        <f t="shared" ref="BF607" si="1104">SUM(BF267:BF273)</f>
        <v>2793</v>
      </c>
      <c r="BG607" s="47">
        <f>SUM(BG267:BG273)</f>
        <v>963</v>
      </c>
      <c r="BH607" s="45">
        <f t="shared" ref="BH607" si="1105">SUM(BH267:BH273)</f>
        <v>1056</v>
      </c>
      <c r="BI607" s="47">
        <f>SUM(BI267:BI273)</f>
        <v>2708</v>
      </c>
      <c r="BJ607" s="109">
        <f t="shared" ref="BJ607:BK607" si="1106">SUM(BJ267:BJ273)</f>
        <v>127</v>
      </c>
      <c r="BK607" s="43">
        <f t="shared" si="1106"/>
        <v>861</v>
      </c>
      <c r="BL607" s="95">
        <f t="shared" si="1089"/>
        <v>2862</v>
      </c>
      <c r="BM607" s="109">
        <f t="shared" ref="BM607:BN607" si="1107">SUM(BM267:BM273)</f>
        <v>2808</v>
      </c>
      <c r="BN607" s="46">
        <f t="shared" si="1107"/>
        <v>878</v>
      </c>
      <c r="BO607" s="47">
        <f t="shared" si="1089"/>
        <v>118</v>
      </c>
      <c r="BP607" s="45">
        <f t="shared" ref="BP607" si="1108">SUM(BP267:BP273)</f>
        <v>1002</v>
      </c>
      <c r="BQ607" s="47">
        <f t="shared" ref="BQ607:BR607" si="1109">SUM(BQ267:BQ273)</f>
        <v>2789</v>
      </c>
      <c r="BR607" s="45">
        <f t="shared" si="1109"/>
        <v>2674</v>
      </c>
      <c r="BS607" s="47">
        <f t="shared" si="1089"/>
        <v>1151</v>
      </c>
      <c r="BT607" s="45">
        <f t="shared" ref="BT607:BU607" si="1110">SUM(BT267:BT273)</f>
        <v>951</v>
      </c>
      <c r="BU607" s="43">
        <f t="shared" si="1110"/>
        <v>130</v>
      </c>
      <c r="BV607" s="95">
        <f t="shared" si="1089"/>
        <v>2713</v>
      </c>
      <c r="BW607" s="109">
        <f t="shared" ref="BW607" si="1111">SUM(BW267:BW273)</f>
        <v>2836</v>
      </c>
      <c r="BX607" s="47">
        <f t="shared" si="1089"/>
        <v>1000</v>
      </c>
      <c r="BY607" s="45">
        <f t="shared" ref="BY607" si="1112">SUM(BY267:BY273)</f>
        <v>2776</v>
      </c>
      <c r="BZ607" s="95">
        <f t="shared" si="1089"/>
        <v>962</v>
      </c>
      <c r="CA607" s="109">
        <f t="shared" ref="CA607" si="1113">SUM(CA267:CA273)</f>
        <v>956</v>
      </c>
      <c r="CB607" s="47">
        <f t="shared" si="1089"/>
        <v>2815</v>
      </c>
      <c r="CC607" s="47">
        <f t="shared" si="1089"/>
        <v>1759</v>
      </c>
      <c r="CD607" s="44">
        <f t="shared" si="1089"/>
        <v>3290</v>
      </c>
      <c r="CE607" s="109">
        <f t="shared" ref="CE607" si="1114">SUM(CE267:CE273)</f>
        <v>1340</v>
      </c>
      <c r="CF607" s="43">
        <f>SUM(CF267:CF273)</f>
        <v>1890</v>
      </c>
      <c r="CG607" s="45">
        <f>SUM(CG267:CG273)</f>
        <v>816</v>
      </c>
      <c r="CH607" s="46">
        <f t="shared" ref="CH607:CJ607" si="1115">SUM(CH267:CH273)</f>
        <v>465</v>
      </c>
      <c r="CI607" s="46">
        <f t="shared" si="1115"/>
        <v>1659</v>
      </c>
      <c r="CJ607" s="46">
        <f t="shared" si="1115"/>
        <v>1697</v>
      </c>
      <c r="CK607" s="95">
        <f>SUM(CK267:CK273)</f>
        <v>1195</v>
      </c>
    </row>
    <row r="608" spans="1:89" ht="13" x14ac:dyDescent="0.25">
      <c r="A608" s="91"/>
      <c r="B608" s="96" t="s">
        <v>630</v>
      </c>
      <c r="C608" s="93">
        <f>SUM(C274:C285)</f>
        <v>13325</v>
      </c>
      <c r="D608" s="97">
        <f>SUM(D274:D285)</f>
        <v>8591</v>
      </c>
      <c r="E608" s="89">
        <v>0.44178003228037815</v>
      </c>
      <c r="F608" s="45">
        <f t="shared" ref="F608:CD608" si="1116">SUM(F274:F285)</f>
        <v>0</v>
      </c>
      <c r="G608" s="109">
        <f t="shared" si="1116"/>
        <v>0</v>
      </c>
      <c r="H608" s="109">
        <f t="shared" ref="H608:Q608" si="1117">SUM(H274:H285)</f>
        <v>0</v>
      </c>
      <c r="I608" s="109">
        <f t="shared" si="1117"/>
        <v>8</v>
      </c>
      <c r="J608" s="109">
        <f t="shared" ref="J608:K608" si="1118">SUM(J274:J285)</f>
        <v>16</v>
      </c>
      <c r="K608" s="109">
        <f t="shared" si="1118"/>
        <v>0</v>
      </c>
      <c r="L608" s="109">
        <f t="shared" si="1117"/>
        <v>0</v>
      </c>
      <c r="M608" s="109">
        <f t="shared" si="1117"/>
        <v>4769</v>
      </c>
      <c r="N608" s="109">
        <f t="shared" si="1117"/>
        <v>0</v>
      </c>
      <c r="O608" s="109">
        <f t="shared" si="1117"/>
        <v>0</v>
      </c>
      <c r="P608" s="46">
        <f t="shared" si="1117"/>
        <v>59</v>
      </c>
      <c r="Q608" s="46">
        <f t="shared" si="1117"/>
        <v>33</v>
      </c>
      <c r="R608" s="46">
        <f t="shared" ref="R608" si="1119">SUM(R274:R285)</f>
        <v>3567</v>
      </c>
      <c r="S608" s="47">
        <f t="shared" si="1116"/>
        <v>1</v>
      </c>
      <c r="T608" s="45">
        <f>SUM(T274:T285)</f>
        <v>4600</v>
      </c>
      <c r="U608" s="47">
        <f t="shared" ref="U608:V608" si="1120">SUM(U274:U285)</f>
        <v>3656</v>
      </c>
      <c r="V608" s="45">
        <f t="shared" si="1120"/>
        <v>3733</v>
      </c>
      <c r="W608" s="47">
        <f>SUM(W274:W285)</f>
        <v>4537</v>
      </c>
      <c r="X608" s="45">
        <f>SUM(X274:X285)</f>
        <v>4692</v>
      </c>
      <c r="Y608" s="47">
        <f>SUM(Y274:Y285)</f>
        <v>3413</v>
      </c>
      <c r="Z608" s="109">
        <f t="shared" ref="Z608:AE608" si="1121">SUM(Z274:Z285)</f>
        <v>4909</v>
      </c>
      <c r="AA608" s="46">
        <f t="shared" si="1121"/>
        <v>0</v>
      </c>
      <c r="AB608" s="46">
        <f t="shared" si="1121"/>
        <v>320</v>
      </c>
      <c r="AC608" s="46">
        <f t="shared" si="1121"/>
        <v>3160</v>
      </c>
      <c r="AD608" s="46">
        <f t="shared" si="1121"/>
        <v>0</v>
      </c>
      <c r="AE608" s="43">
        <f t="shared" si="1121"/>
        <v>0</v>
      </c>
      <c r="AF608" s="95">
        <f t="shared" si="1116"/>
        <v>0</v>
      </c>
      <c r="AG608" s="109">
        <f t="shared" ref="AG608" si="1122">SUM(AG274:AG285)</f>
        <v>4895</v>
      </c>
      <c r="AH608" s="47">
        <f t="shared" si="1116"/>
        <v>3299</v>
      </c>
      <c r="AI608" s="45">
        <f t="shared" si="1116"/>
        <v>0</v>
      </c>
      <c r="AJ608" s="43">
        <f t="shared" si="1116"/>
        <v>0</v>
      </c>
      <c r="AK608" s="45">
        <f t="shared" ref="AK608" si="1123">SUM(AK274:AK285)</f>
        <v>0</v>
      </c>
      <c r="AL608" s="47">
        <f t="shared" si="1116"/>
        <v>0</v>
      </c>
      <c r="AM608" s="45">
        <f t="shared" si="1116"/>
        <v>0</v>
      </c>
      <c r="AN608" s="95">
        <f t="shared" si="1116"/>
        <v>0</v>
      </c>
      <c r="AO608" s="109">
        <f t="shared" ref="AO608" si="1124">SUM(AO274:AO285)</f>
        <v>0</v>
      </c>
      <c r="AP608" s="47">
        <f t="shared" si="1116"/>
        <v>0</v>
      </c>
      <c r="AQ608" s="45">
        <f t="shared" ref="AQ608" si="1125">SUM(AQ274:AQ285)</f>
        <v>3483</v>
      </c>
      <c r="AR608" s="95">
        <f t="shared" si="1116"/>
        <v>4563</v>
      </c>
      <c r="AS608" s="109">
        <f t="shared" ref="AS608" si="1126">SUM(AS274:AS285)</f>
        <v>0</v>
      </c>
      <c r="AT608" s="47">
        <f t="shared" si="1116"/>
        <v>0</v>
      </c>
      <c r="AU608" s="45">
        <f t="shared" ref="AU608:AV608" si="1127">SUM(AU274:AU285)</f>
        <v>0</v>
      </c>
      <c r="AV608" s="109">
        <f t="shared" si="1127"/>
        <v>0</v>
      </c>
      <c r="AW608" s="109">
        <f t="shared" si="1116"/>
        <v>0</v>
      </c>
      <c r="AX608" s="45">
        <f t="shared" ref="AX608" si="1128">SUM(AX274:AX285)</f>
        <v>0</v>
      </c>
      <c r="AY608" s="47">
        <f t="shared" si="1116"/>
        <v>0</v>
      </c>
      <c r="AZ608" s="45">
        <f t="shared" si="1116"/>
        <v>0</v>
      </c>
      <c r="BA608" s="95">
        <f t="shared" si="1116"/>
        <v>0</v>
      </c>
      <c r="BB608" s="45">
        <f t="shared" ref="BB608" si="1129">SUM(BB274:BB285)</f>
        <v>3523</v>
      </c>
      <c r="BC608" s="47">
        <f>SUM(BC274:BC285)</f>
        <v>4454</v>
      </c>
      <c r="BD608" s="45">
        <f t="shared" ref="BD608" si="1130">SUM(BD274:BD285)</f>
        <v>3378</v>
      </c>
      <c r="BE608" s="95">
        <f>SUM(BE274:BE285)</f>
        <v>4573</v>
      </c>
      <c r="BF608" s="109">
        <f t="shared" ref="BF608" si="1131">SUM(BF274:BF285)</f>
        <v>4514</v>
      </c>
      <c r="BG608" s="47">
        <f>SUM(BG274:BG285)</f>
        <v>3408</v>
      </c>
      <c r="BH608" s="45">
        <f t="shared" ref="BH608" si="1132">SUM(BH274:BH285)</f>
        <v>3629</v>
      </c>
      <c r="BI608" s="47">
        <f>SUM(BI274:BI285)</f>
        <v>4321</v>
      </c>
      <c r="BJ608" s="109">
        <f t="shared" ref="BJ608:BK608" si="1133">SUM(BJ274:BJ285)</f>
        <v>459</v>
      </c>
      <c r="BK608" s="43">
        <f t="shared" si="1133"/>
        <v>3100</v>
      </c>
      <c r="BL608" s="95">
        <f t="shared" si="1116"/>
        <v>4484</v>
      </c>
      <c r="BM608" s="109">
        <f t="shared" ref="BM608:BN608" si="1134">SUM(BM274:BM285)</f>
        <v>4566</v>
      </c>
      <c r="BN608" s="46">
        <f t="shared" si="1134"/>
        <v>3106</v>
      </c>
      <c r="BO608" s="47">
        <f t="shared" si="1116"/>
        <v>350</v>
      </c>
      <c r="BP608" s="45">
        <f t="shared" ref="BP608" si="1135">SUM(BP274:BP285)</f>
        <v>3452</v>
      </c>
      <c r="BQ608" s="47">
        <f t="shared" ref="BQ608:BR608" si="1136">SUM(BQ274:BQ285)</f>
        <v>4496</v>
      </c>
      <c r="BR608" s="45">
        <f t="shared" si="1136"/>
        <v>4244</v>
      </c>
      <c r="BS608" s="47">
        <f t="shared" si="1116"/>
        <v>3827</v>
      </c>
      <c r="BT608" s="45">
        <f t="shared" ref="BT608:BU608" si="1137">SUM(BT274:BT285)</f>
        <v>3190</v>
      </c>
      <c r="BU608" s="43">
        <f t="shared" si="1137"/>
        <v>440</v>
      </c>
      <c r="BV608" s="95">
        <f t="shared" si="1116"/>
        <v>4307</v>
      </c>
      <c r="BW608" s="109">
        <f t="shared" ref="BW608" si="1138">SUM(BW274:BW285)</f>
        <v>4648</v>
      </c>
      <c r="BX608" s="47">
        <f t="shared" si="1116"/>
        <v>3514</v>
      </c>
      <c r="BY608" s="45">
        <f t="shared" ref="BY608" si="1139">SUM(BY274:BY285)</f>
        <v>4631</v>
      </c>
      <c r="BZ608" s="95">
        <f t="shared" si="1116"/>
        <v>3214</v>
      </c>
      <c r="CA608" s="109">
        <f t="shared" ref="CA608" si="1140">SUM(CA274:CA285)</f>
        <v>3331</v>
      </c>
      <c r="CB608" s="47">
        <f t="shared" si="1116"/>
        <v>4590</v>
      </c>
      <c r="CC608" s="47">
        <f t="shared" si="1116"/>
        <v>5165</v>
      </c>
      <c r="CD608" s="44">
        <f t="shared" si="1116"/>
        <v>6071</v>
      </c>
      <c r="CE608" s="109">
        <f t="shared" ref="CE608" si="1141">SUM(CE274:CE285)</f>
        <v>3455</v>
      </c>
      <c r="CF608" s="43">
        <f>SUM(CF274:CF285)</f>
        <v>3261</v>
      </c>
      <c r="CG608" s="45">
        <f>SUM(CG274:CG285)</f>
        <v>2052</v>
      </c>
      <c r="CH608" s="46">
        <f t="shared" ref="CH608:CJ608" si="1142">SUM(CH274:CH285)</f>
        <v>1584</v>
      </c>
      <c r="CI608" s="46">
        <f t="shared" si="1142"/>
        <v>2484</v>
      </c>
      <c r="CJ608" s="46">
        <f t="shared" si="1142"/>
        <v>3068</v>
      </c>
      <c r="CK608" s="95">
        <f>SUM(CK274:CK285)</f>
        <v>2914</v>
      </c>
    </row>
    <row r="609" spans="1:89" ht="13" x14ac:dyDescent="0.25">
      <c r="A609" s="91"/>
      <c r="B609" s="96" t="s">
        <v>631</v>
      </c>
      <c r="C609" s="93">
        <f>SUM(C286:C293)</f>
        <v>7298</v>
      </c>
      <c r="D609" s="93">
        <f>SUM(D286:D293)</f>
        <v>5151</v>
      </c>
      <c r="E609" s="89">
        <v>0.49869379898253813</v>
      </c>
      <c r="F609" s="45">
        <f t="shared" ref="F609:CD609" si="1143">SUM(F286:F293)</f>
        <v>0</v>
      </c>
      <c r="G609" s="109">
        <f t="shared" si="1143"/>
        <v>0</v>
      </c>
      <c r="H609" s="109">
        <f t="shared" ref="H609:Q609" si="1144">SUM(H286:H293)</f>
        <v>0</v>
      </c>
      <c r="I609" s="109">
        <f t="shared" si="1144"/>
        <v>0</v>
      </c>
      <c r="J609" s="109">
        <f t="shared" ref="J609:K609" si="1145">SUM(J286:J293)</f>
        <v>12</v>
      </c>
      <c r="K609" s="109">
        <f t="shared" si="1145"/>
        <v>0</v>
      </c>
      <c r="L609" s="109">
        <f t="shared" si="1144"/>
        <v>0</v>
      </c>
      <c r="M609" s="109">
        <f t="shared" si="1144"/>
        <v>1987</v>
      </c>
      <c r="N609" s="109">
        <f t="shared" si="1144"/>
        <v>0</v>
      </c>
      <c r="O609" s="109">
        <f t="shared" si="1144"/>
        <v>0</v>
      </c>
      <c r="P609" s="46">
        <f t="shared" si="1144"/>
        <v>33</v>
      </c>
      <c r="Q609" s="46">
        <f t="shared" si="1144"/>
        <v>10</v>
      </c>
      <c r="R609" s="46">
        <f t="shared" ref="R609" si="1146">SUM(R286:R293)</f>
        <v>3064</v>
      </c>
      <c r="S609" s="47">
        <f t="shared" si="1143"/>
        <v>0</v>
      </c>
      <c r="T609" s="45">
        <f>SUM(T286:T293)</f>
        <v>1923</v>
      </c>
      <c r="U609" s="47">
        <f t="shared" ref="U609:V609" si="1147">SUM(U286:U293)</f>
        <v>3029</v>
      </c>
      <c r="V609" s="45">
        <f t="shared" si="1147"/>
        <v>3149</v>
      </c>
      <c r="W609" s="47">
        <f>SUM(W286:W293)</f>
        <v>1836</v>
      </c>
      <c r="X609" s="45">
        <f>SUM(X286:X293)</f>
        <v>1963</v>
      </c>
      <c r="Y609" s="47">
        <f>SUM(Y286:Y293)</f>
        <v>2917</v>
      </c>
      <c r="Z609" s="109">
        <f t="shared" ref="Z609:AE609" si="1148">SUM(Z286:Z293)</f>
        <v>2079</v>
      </c>
      <c r="AA609" s="46">
        <f t="shared" si="1148"/>
        <v>0</v>
      </c>
      <c r="AB609" s="46">
        <f t="shared" si="1148"/>
        <v>243</v>
      </c>
      <c r="AC609" s="46">
        <f t="shared" si="1148"/>
        <v>2730</v>
      </c>
      <c r="AD609" s="46">
        <f t="shared" si="1148"/>
        <v>0</v>
      </c>
      <c r="AE609" s="43">
        <f t="shared" si="1148"/>
        <v>0</v>
      </c>
      <c r="AF609" s="95">
        <f t="shared" si="1143"/>
        <v>0</v>
      </c>
      <c r="AG609" s="109">
        <f t="shared" ref="AG609" si="1149">SUM(AG286:AG293)</f>
        <v>2201</v>
      </c>
      <c r="AH609" s="47">
        <f t="shared" si="1143"/>
        <v>2733</v>
      </c>
      <c r="AI609" s="45">
        <f t="shared" si="1143"/>
        <v>0</v>
      </c>
      <c r="AJ609" s="43">
        <f t="shared" si="1143"/>
        <v>0</v>
      </c>
      <c r="AK609" s="45">
        <f t="shared" ref="AK609" si="1150">SUM(AK286:AK293)</f>
        <v>2920</v>
      </c>
      <c r="AL609" s="47">
        <f t="shared" si="1143"/>
        <v>1934</v>
      </c>
      <c r="AM609" s="45">
        <f t="shared" si="1143"/>
        <v>0</v>
      </c>
      <c r="AN609" s="95">
        <f t="shared" si="1143"/>
        <v>0</v>
      </c>
      <c r="AO609" s="109">
        <f t="shared" ref="AO609" si="1151">SUM(AO286:AO293)</f>
        <v>0</v>
      </c>
      <c r="AP609" s="47">
        <f t="shared" si="1143"/>
        <v>0</v>
      </c>
      <c r="AQ609" s="45">
        <f t="shared" ref="AQ609" si="1152">SUM(AQ286:AQ293)</f>
        <v>0</v>
      </c>
      <c r="AR609" s="95">
        <f t="shared" si="1143"/>
        <v>0</v>
      </c>
      <c r="AS609" s="109">
        <f t="shared" ref="AS609" si="1153">SUM(AS286:AS293)</f>
        <v>1994</v>
      </c>
      <c r="AT609" s="47">
        <f t="shared" si="1143"/>
        <v>2847</v>
      </c>
      <c r="AU609" s="45">
        <f t="shared" ref="AU609:AV609" si="1154">SUM(AU286:AU293)</f>
        <v>0</v>
      </c>
      <c r="AV609" s="109">
        <f t="shared" si="1154"/>
        <v>0</v>
      </c>
      <c r="AW609" s="109">
        <f t="shared" si="1143"/>
        <v>0</v>
      </c>
      <c r="AX609" s="45">
        <f t="shared" ref="AX609" si="1155">SUM(AX286:AX293)</f>
        <v>0</v>
      </c>
      <c r="AY609" s="47">
        <f t="shared" si="1143"/>
        <v>0</v>
      </c>
      <c r="AZ609" s="45">
        <f t="shared" si="1143"/>
        <v>0</v>
      </c>
      <c r="BA609" s="95">
        <f t="shared" si="1143"/>
        <v>0</v>
      </c>
      <c r="BB609" s="45">
        <f t="shared" ref="BB609" si="1156">SUM(BB286:BB293)</f>
        <v>2992</v>
      </c>
      <c r="BC609" s="47">
        <f>SUM(BC286:BC293)</f>
        <v>1829</v>
      </c>
      <c r="BD609" s="45">
        <f t="shared" ref="BD609" si="1157">SUM(BD286:BD293)</f>
        <v>2904</v>
      </c>
      <c r="BE609" s="95">
        <f>SUM(BE286:BE293)</f>
        <v>1891</v>
      </c>
      <c r="BF609" s="109">
        <f t="shared" ref="BF609" si="1158">SUM(BF286:BF293)</f>
        <v>1856</v>
      </c>
      <c r="BG609" s="47">
        <f>SUM(BG286:BG293)</f>
        <v>2905</v>
      </c>
      <c r="BH609" s="45">
        <f t="shared" ref="BH609" si="1159">SUM(BH286:BH293)</f>
        <v>3088</v>
      </c>
      <c r="BI609" s="47">
        <f>SUM(BI286:BI293)</f>
        <v>1724</v>
      </c>
      <c r="BJ609" s="109">
        <f t="shared" ref="BJ609:BK609" si="1160">SUM(BJ286:BJ293)</f>
        <v>256</v>
      </c>
      <c r="BK609" s="43">
        <f t="shared" si="1160"/>
        <v>2673</v>
      </c>
      <c r="BL609" s="95">
        <f t="shared" si="1143"/>
        <v>1910</v>
      </c>
      <c r="BM609" s="109">
        <f t="shared" ref="BM609:BN609" si="1161">SUM(BM286:BM293)</f>
        <v>1952</v>
      </c>
      <c r="BN609" s="46">
        <f t="shared" si="1161"/>
        <v>2678</v>
      </c>
      <c r="BO609" s="47">
        <f t="shared" si="1143"/>
        <v>188</v>
      </c>
      <c r="BP609" s="45">
        <f t="shared" ref="BP609" si="1162">SUM(BP286:BP293)</f>
        <v>2883</v>
      </c>
      <c r="BQ609" s="47">
        <f t="shared" ref="BQ609:BR609" si="1163">SUM(BQ286:BQ293)</f>
        <v>1954</v>
      </c>
      <c r="BR609" s="45">
        <f t="shared" si="1163"/>
        <v>1743</v>
      </c>
      <c r="BS609" s="47">
        <f t="shared" si="1143"/>
        <v>3146</v>
      </c>
      <c r="BT609" s="45">
        <f t="shared" ref="BT609:BU609" si="1164">SUM(BT286:BT293)</f>
        <v>2795</v>
      </c>
      <c r="BU609" s="43">
        <f t="shared" si="1164"/>
        <v>230</v>
      </c>
      <c r="BV609" s="95">
        <f t="shared" si="1143"/>
        <v>1772</v>
      </c>
      <c r="BW609" s="109">
        <f t="shared" ref="BW609" si="1165">SUM(BW286:BW293)</f>
        <v>2007</v>
      </c>
      <c r="BX609" s="47">
        <f t="shared" si="1143"/>
        <v>2894</v>
      </c>
      <c r="BY609" s="45">
        <f t="shared" ref="BY609" si="1166">SUM(BY286:BY293)</f>
        <v>1929</v>
      </c>
      <c r="BZ609" s="95">
        <f t="shared" si="1143"/>
        <v>2819</v>
      </c>
      <c r="CA609" s="109">
        <f t="shared" ref="CA609" si="1167">SUM(CA286:CA293)</f>
        <v>2850</v>
      </c>
      <c r="CB609" s="47">
        <f t="shared" si="1143"/>
        <v>1934</v>
      </c>
      <c r="CC609" s="47">
        <f t="shared" si="1143"/>
        <v>3556</v>
      </c>
      <c r="CD609" s="44">
        <f t="shared" si="1143"/>
        <v>3365</v>
      </c>
      <c r="CE609" s="109">
        <f t="shared" ref="CE609" si="1168">SUM(CE286:CE293)</f>
        <v>2611</v>
      </c>
      <c r="CF609" s="43">
        <f>SUM(CF286:CF293)</f>
        <v>1531</v>
      </c>
      <c r="CG609" s="45">
        <f>SUM(CG286:CG293)</f>
        <v>1256</v>
      </c>
      <c r="CH609" s="46">
        <f t="shared" ref="CH609:CJ609" si="1169">SUM(CH286:CH293)</f>
        <v>1462</v>
      </c>
      <c r="CI609" s="46">
        <f t="shared" si="1169"/>
        <v>939</v>
      </c>
      <c r="CJ609" s="46">
        <f t="shared" si="1169"/>
        <v>1176</v>
      </c>
      <c r="CK609" s="95">
        <f>SUM(CK286:CK293)</f>
        <v>2606</v>
      </c>
    </row>
    <row r="610" spans="1:89" ht="13" x14ac:dyDescent="0.25">
      <c r="A610" s="91"/>
      <c r="B610" s="96" t="s">
        <v>632</v>
      </c>
      <c r="C610" s="93">
        <f>SUM(C294:C300)</f>
        <v>7718</v>
      </c>
      <c r="D610" s="93">
        <f>SUM(D294:D300)</f>
        <v>5668</v>
      </c>
      <c r="E610" s="89">
        <v>0.54817574511819112</v>
      </c>
      <c r="F610" s="45">
        <f t="shared" ref="F610:CD610" si="1170">SUM(F294:F300)</f>
        <v>0</v>
      </c>
      <c r="G610" s="109">
        <f t="shared" si="1170"/>
        <v>0</v>
      </c>
      <c r="H610" s="109">
        <f t="shared" ref="H610:Q610" si="1171">SUM(H294:H300)</f>
        <v>0</v>
      </c>
      <c r="I610" s="109">
        <f t="shared" si="1171"/>
        <v>1</v>
      </c>
      <c r="J610" s="109">
        <f t="shared" ref="J610:K610" si="1172">SUM(J294:J300)</f>
        <v>13</v>
      </c>
      <c r="K610" s="109">
        <f t="shared" si="1172"/>
        <v>0</v>
      </c>
      <c r="L610" s="109">
        <f t="shared" si="1171"/>
        <v>0</v>
      </c>
      <c r="M610" s="109">
        <f t="shared" si="1171"/>
        <v>2697</v>
      </c>
      <c r="N610" s="109">
        <f t="shared" si="1171"/>
        <v>0</v>
      </c>
      <c r="O610" s="109">
        <f t="shared" si="1171"/>
        <v>0</v>
      </c>
      <c r="P610" s="46">
        <f t="shared" si="1171"/>
        <v>32</v>
      </c>
      <c r="Q610" s="46">
        <f t="shared" si="1171"/>
        <v>12</v>
      </c>
      <c r="R610" s="46">
        <f t="shared" ref="R610" si="1173">SUM(R294:R300)</f>
        <v>2806</v>
      </c>
      <c r="S610" s="47">
        <f t="shared" si="1170"/>
        <v>0</v>
      </c>
      <c r="T610" s="45">
        <f>SUM(T294:T300)</f>
        <v>2531</v>
      </c>
      <c r="U610" s="47">
        <f t="shared" ref="U610:V610" si="1174">SUM(U294:U300)</f>
        <v>2906</v>
      </c>
      <c r="V610" s="45">
        <f t="shared" si="1174"/>
        <v>3003</v>
      </c>
      <c r="W610" s="47">
        <f>SUM(W294:W300)</f>
        <v>2452</v>
      </c>
      <c r="X610" s="45">
        <f>SUM(X294:X300)</f>
        <v>2542</v>
      </c>
      <c r="Y610" s="47">
        <f>SUM(Y294:Y300)</f>
        <v>2832</v>
      </c>
      <c r="Z610" s="109">
        <f t="shared" ref="Z610:AE610" si="1175">SUM(Z294:Z300)</f>
        <v>2726</v>
      </c>
      <c r="AA610" s="46">
        <f t="shared" si="1175"/>
        <v>1</v>
      </c>
      <c r="AB610" s="46">
        <f t="shared" si="1175"/>
        <v>201</v>
      </c>
      <c r="AC610" s="46">
        <f t="shared" si="1175"/>
        <v>2616</v>
      </c>
      <c r="AD610" s="46">
        <f t="shared" si="1175"/>
        <v>0</v>
      </c>
      <c r="AE610" s="43">
        <f t="shared" si="1175"/>
        <v>0</v>
      </c>
      <c r="AF610" s="95">
        <f t="shared" si="1170"/>
        <v>3</v>
      </c>
      <c r="AG610" s="109">
        <f t="shared" ref="AG610" si="1176">SUM(AG294:AG300)</f>
        <v>680</v>
      </c>
      <c r="AH610" s="47">
        <f t="shared" si="1170"/>
        <v>687</v>
      </c>
      <c r="AI610" s="45">
        <f t="shared" si="1170"/>
        <v>2102</v>
      </c>
      <c r="AJ610" s="43">
        <f t="shared" si="1170"/>
        <v>1922</v>
      </c>
      <c r="AK610" s="45">
        <f t="shared" ref="AK610" si="1177">SUM(AK294:AK300)</f>
        <v>0</v>
      </c>
      <c r="AL610" s="47">
        <f t="shared" si="1170"/>
        <v>0</v>
      </c>
      <c r="AM610" s="45">
        <f t="shared" si="1170"/>
        <v>0</v>
      </c>
      <c r="AN610" s="95">
        <f t="shared" si="1170"/>
        <v>0</v>
      </c>
      <c r="AO610" s="109">
        <f t="shared" ref="AO610" si="1178">SUM(AO294:AO300)</f>
        <v>0</v>
      </c>
      <c r="AP610" s="47">
        <f t="shared" si="1170"/>
        <v>0</v>
      </c>
      <c r="AQ610" s="45">
        <f t="shared" ref="AQ610" si="1179">SUM(AQ294:AQ300)</f>
        <v>0</v>
      </c>
      <c r="AR610" s="95">
        <f t="shared" si="1170"/>
        <v>0</v>
      </c>
      <c r="AS610" s="109">
        <f t="shared" ref="AS610" si="1180">SUM(AS294:AS300)</f>
        <v>0</v>
      </c>
      <c r="AT610" s="47">
        <f t="shared" si="1170"/>
        <v>0</v>
      </c>
      <c r="AU610" s="45">
        <f t="shared" ref="AU610:AV610" si="1181">SUM(AU294:AU300)</f>
        <v>2557</v>
      </c>
      <c r="AV610" s="109">
        <f t="shared" si="1181"/>
        <v>0</v>
      </c>
      <c r="AW610" s="109">
        <f t="shared" si="1170"/>
        <v>2812</v>
      </c>
      <c r="AX610" s="45">
        <f t="shared" ref="AX610" si="1182">SUM(AX294:AX300)</f>
        <v>0</v>
      </c>
      <c r="AY610" s="47">
        <f t="shared" si="1170"/>
        <v>0</v>
      </c>
      <c r="AZ610" s="45">
        <f t="shared" si="1170"/>
        <v>0</v>
      </c>
      <c r="BA610" s="95">
        <f t="shared" si="1170"/>
        <v>0</v>
      </c>
      <c r="BB610" s="45">
        <f t="shared" ref="BB610" si="1183">SUM(BB294:BB300)</f>
        <v>2905</v>
      </c>
      <c r="BC610" s="47">
        <f>SUM(BC294:BC300)</f>
        <v>2406</v>
      </c>
      <c r="BD610" s="45">
        <f t="shared" ref="BD610" si="1184">SUM(BD294:BD300)</f>
        <v>2817</v>
      </c>
      <c r="BE610" s="95">
        <f>SUM(BE294:BE300)</f>
        <v>2444</v>
      </c>
      <c r="BF610" s="109">
        <f t="shared" ref="BF610" si="1185">SUM(BF294:BF300)</f>
        <v>2467</v>
      </c>
      <c r="BG610" s="47">
        <f>SUM(BG294:BG300)</f>
        <v>2790</v>
      </c>
      <c r="BH610" s="45">
        <f t="shared" ref="BH610" si="1186">SUM(BH294:BH300)</f>
        <v>2945</v>
      </c>
      <c r="BI610" s="47">
        <f>SUM(BI294:BI300)</f>
        <v>2319</v>
      </c>
      <c r="BJ610" s="109">
        <f t="shared" ref="BJ610:BK610" si="1187">SUM(BJ294:BJ300)</f>
        <v>240</v>
      </c>
      <c r="BK610" s="43">
        <f t="shared" si="1187"/>
        <v>2604</v>
      </c>
      <c r="BL610" s="95">
        <f t="shared" si="1170"/>
        <v>2503</v>
      </c>
      <c r="BM610" s="109">
        <f t="shared" ref="BM610:BN610" si="1188">SUM(BM294:BM300)</f>
        <v>2525</v>
      </c>
      <c r="BN610" s="46">
        <f t="shared" si="1188"/>
        <v>2623</v>
      </c>
      <c r="BO610" s="47">
        <f t="shared" si="1170"/>
        <v>170</v>
      </c>
      <c r="BP610" s="45">
        <f t="shared" ref="BP610" si="1189">SUM(BP294:BP300)</f>
        <v>2812</v>
      </c>
      <c r="BQ610" s="47">
        <f t="shared" ref="BQ610:BR610" si="1190">SUM(BQ294:BQ300)</f>
        <v>2516</v>
      </c>
      <c r="BR610" s="45">
        <f t="shared" si="1190"/>
        <v>2297</v>
      </c>
      <c r="BS610" s="47">
        <f t="shared" si="1170"/>
        <v>3098</v>
      </c>
      <c r="BT610" s="45">
        <f t="shared" ref="BT610:BU610" si="1191">SUM(BT294:BT300)</f>
        <v>2683</v>
      </c>
      <c r="BU610" s="43">
        <f t="shared" si="1191"/>
        <v>228</v>
      </c>
      <c r="BV610" s="95">
        <f t="shared" si="1170"/>
        <v>2371</v>
      </c>
      <c r="BW610" s="109">
        <f t="shared" ref="BW610" si="1192">SUM(BW294:BW300)</f>
        <v>2597</v>
      </c>
      <c r="BX610" s="47">
        <f t="shared" si="1170"/>
        <v>2821</v>
      </c>
      <c r="BY610" s="45">
        <f t="shared" ref="BY610" si="1193">SUM(BY294:BY300)</f>
        <v>2498</v>
      </c>
      <c r="BZ610" s="95">
        <f t="shared" si="1170"/>
        <v>2738</v>
      </c>
      <c r="CA610" s="109">
        <f t="shared" ref="CA610" si="1194">SUM(CA294:CA300)</f>
        <v>2758</v>
      </c>
      <c r="CB610" s="47">
        <f t="shared" si="1170"/>
        <v>2505</v>
      </c>
      <c r="CC610" s="47">
        <f t="shared" si="1170"/>
        <v>3676</v>
      </c>
      <c r="CD610" s="44">
        <f t="shared" si="1170"/>
        <v>3861</v>
      </c>
      <c r="CE610" s="109">
        <f t="shared" ref="CE610" si="1195">SUM(CE294:CE300)</f>
        <v>2646</v>
      </c>
      <c r="CF610" s="43">
        <f>SUM(CF294:CF300)</f>
        <v>1862</v>
      </c>
      <c r="CG610" s="45">
        <f>SUM(CG294:CG300)</f>
        <v>1213</v>
      </c>
      <c r="CH610" s="46">
        <f t="shared" ref="CH610:CJ610" si="1196">SUM(CH294:CH300)</f>
        <v>1436</v>
      </c>
      <c r="CI610" s="46">
        <f t="shared" si="1196"/>
        <v>1352</v>
      </c>
      <c r="CJ610" s="46">
        <f t="shared" si="1196"/>
        <v>1672</v>
      </c>
      <c r="CK610" s="95">
        <f>SUM(CK294:CK300)</f>
        <v>2527</v>
      </c>
    </row>
    <row r="611" spans="1:89" ht="13" x14ac:dyDescent="0.25">
      <c r="A611" s="91"/>
      <c r="B611" s="96" t="s">
        <v>633</v>
      </c>
      <c r="C611" s="93">
        <f>SUM(C301:C308)</f>
        <v>7099</v>
      </c>
      <c r="D611" s="93">
        <f>SUM(D301:D308)</f>
        <v>5108</v>
      </c>
      <c r="E611" s="89">
        <v>0.52375314488678404</v>
      </c>
      <c r="F611" s="45">
        <f t="shared" ref="F611:CD611" si="1197">SUM(F301:F308)</f>
        <v>0</v>
      </c>
      <c r="G611" s="109">
        <f t="shared" si="1197"/>
        <v>0</v>
      </c>
      <c r="H611" s="109">
        <f t="shared" ref="H611:Q611" si="1198">SUM(H301:H308)</f>
        <v>0</v>
      </c>
      <c r="I611" s="109">
        <f t="shared" si="1198"/>
        <v>0</v>
      </c>
      <c r="J611" s="109">
        <f t="shared" ref="J611:K611" si="1199">SUM(J301:J308)</f>
        <v>12</v>
      </c>
      <c r="K611" s="109">
        <f t="shared" si="1199"/>
        <v>0</v>
      </c>
      <c r="L611" s="109">
        <f t="shared" si="1198"/>
        <v>0</v>
      </c>
      <c r="M611" s="109">
        <f t="shared" si="1198"/>
        <v>3257</v>
      </c>
      <c r="N611" s="109">
        <f t="shared" si="1198"/>
        <v>0</v>
      </c>
      <c r="O611" s="109">
        <f t="shared" si="1198"/>
        <v>0</v>
      </c>
      <c r="P611" s="46">
        <f t="shared" si="1198"/>
        <v>27</v>
      </c>
      <c r="Q611" s="46">
        <f t="shared" si="1198"/>
        <v>10</v>
      </c>
      <c r="R611" s="46">
        <f t="shared" ref="R611" si="1200">SUM(R301:R308)</f>
        <v>1731</v>
      </c>
      <c r="S611" s="47">
        <f t="shared" si="1197"/>
        <v>1</v>
      </c>
      <c r="T611" s="45">
        <f>SUM(T301:T308)</f>
        <v>3175</v>
      </c>
      <c r="U611" s="47">
        <f t="shared" ref="U611:V611" si="1201">SUM(U301:U308)</f>
        <v>1753</v>
      </c>
      <c r="V611" s="45">
        <f t="shared" si="1201"/>
        <v>1832</v>
      </c>
      <c r="W611" s="47">
        <f>SUM(W301:W308)</f>
        <v>3106</v>
      </c>
      <c r="X611" s="45">
        <f>SUM(X301:X308)</f>
        <v>3174</v>
      </c>
      <c r="Y611" s="47">
        <f>SUM(Y301:Y308)</f>
        <v>1672</v>
      </c>
      <c r="Z611" s="109">
        <f t="shared" ref="Z611:AE611" si="1202">SUM(Z301:Z308)</f>
        <v>3279</v>
      </c>
      <c r="AA611" s="46">
        <f t="shared" si="1202"/>
        <v>0</v>
      </c>
      <c r="AB611" s="46">
        <f t="shared" si="1202"/>
        <v>157</v>
      </c>
      <c r="AC611" s="46">
        <f t="shared" si="1202"/>
        <v>1567</v>
      </c>
      <c r="AD611" s="46">
        <f t="shared" si="1202"/>
        <v>0</v>
      </c>
      <c r="AE611" s="43">
        <f t="shared" si="1202"/>
        <v>0</v>
      </c>
      <c r="AF611" s="95">
        <f t="shared" si="1197"/>
        <v>0</v>
      </c>
      <c r="AG611" s="109">
        <f t="shared" ref="AG611" si="1203">SUM(AG301:AG308)</f>
        <v>0</v>
      </c>
      <c r="AH611" s="47">
        <f t="shared" si="1197"/>
        <v>0</v>
      </c>
      <c r="AI611" s="45">
        <f t="shared" si="1197"/>
        <v>1675</v>
      </c>
      <c r="AJ611" s="43">
        <f t="shared" si="1197"/>
        <v>3193</v>
      </c>
      <c r="AK611" s="45">
        <f t="shared" ref="AK611" si="1204">SUM(AK301:AK308)</f>
        <v>0</v>
      </c>
      <c r="AL611" s="47">
        <f t="shared" si="1197"/>
        <v>0</v>
      </c>
      <c r="AM611" s="45">
        <f t="shared" si="1197"/>
        <v>0</v>
      </c>
      <c r="AN611" s="95">
        <f t="shared" si="1197"/>
        <v>0</v>
      </c>
      <c r="AO611" s="109">
        <f t="shared" ref="AO611" si="1205">SUM(AO301:AO308)</f>
        <v>0</v>
      </c>
      <c r="AP611" s="47">
        <f t="shared" si="1197"/>
        <v>0</v>
      </c>
      <c r="AQ611" s="45">
        <f t="shared" ref="AQ611" si="1206">SUM(AQ301:AQ308)</f>
        <v>0</v>
      </c>
      <c r="AR611" s="95">
        <f t="shared" si="1197"/>
        <v>0</v>
      </c>
      <c r="AS611" s="109">
        <f t="shared" ref="AS611" si="1207">SUM(AS301:AS308)</f>
        <v>0</v>
      </c>
      <c r="AT611" s="47">
        <f t="shared" si="1197"/>
        <v>0</v>
      </c>
      <c r="AU611" s="45">
        <f t="shared" ref="AU611:AV611" si="1208">SUM(AU301:AU308)</f>
        <v>3176</v>
      </c>
      <c r="AV611" s="109">
        <f t="shared" si="1208"/>
        <v>0</v>
      </c>
      <c r="AW611" s="109">
        <f t="shared" si="1197"/>
        <v>1677</v>
      </c>
      <c r="AX611" s="45">
        <f t="shared" ref="AX611" si="1209">SUM(AX301:AX308)</f>
        <v>0</v>
      </c>
      <c r="AY611" s="47">
        <f t="shared" si="1197"/>
        <v>0</v>
      </c>
      <c r="AZ611" s="45">
        <f t="shared" si="1197"/>
        <v>0</v>
      </c>
      <c r="BA611" s="95">
        <f t="shared" si="1197"/>
        <v>0</v>
      </c>
      <c r="BB611" s="45">
        <f t="shared" ref="BB611" si="1210">SUM(BB301:BB308)</f>
        <v>1703</v>
      </c>
      <c r="BC611" s="47">
        <f>SUM(BC301:BC308)</f>
        <v>3088</v>
      </c>
      <c r="BD611" s="45">
        <f t="shared" ref="BD611" si="1211">SUM(BD301:BD308)</f>
        <v>1672</v>
      </c>
      <c r="BE611" s="95">
        <f>SUM(BE301:BE308)</f>
        <v>3105</v>
      </c>
      <c r="BF611" s="109">
        <f t="shared" ref="BF611" si="1212">SUM(BF301:BF308)</f>
        <v>3094</v>
      </c>
      <c r="BG611" s="47">
        <f>SUM(BG301:BG308)</f>
        <v>1680</v>
      </c>
      <c r="BH611" s="45">
        <f t="shared" ref="BH611" si="1213">SUM(BH301:BH308)</f>
        <v>1814</v>
      </c>
      <c r="BI611" s="47">
        <f>SUM(BI301:BI308)</f>
        <v>2960</v>
      </c>
      <c r="BJ611" s="109">
        <f t="shared" ref="BJ611:BK611" si="1214">SUM(BJ301:BJ308)</f>
        <v>162</v>
      </c>
      <c r="BK611" s="43">
        <f t="shared" si="1214"/>
        <v>1524</v>
      </c>
      <c r="BL611" s="95">
        <f t="shared" si="1197"/>
        <v>3180</v>
      </c>
      <c r="BM611" s="109">
        <f t="shared" ref="BM611:BN611" si="1215">SUM(BM301:BM308)</f>
        <v>3118</v>
      </c>
      <c r="BN611" s="46">
        <f t="shared" si="1215"/>
        <v>1528</v>
      </c>
      <c r="BO611" s="47">
        <f t="shared" si="1197"/>
        <v>150</v>
      </c>
      <c r="BP611" s="45">
        <f t="shared" ref="BP611" si="1216">SUM(BP301:BP308)</f>
        <v>1636</v>
      </c>
      <c r="BQ611" s="47">
        <f t="shared" ref="BQ611:BR611" si="1217">SUM(BQ301:BQ308)</f>
        <v>3165</v>
      </c>
      <c r="BR611" s="45">
        <f t="shared" si="1217"/>
        <v>2974</v>
      </c>
      <c r="BS611" s="47">
        <f t="shared" si="1197"/>
        <v>1857</v>
      </c>
      <c r="BT611" s="45">
        <f t="shared" ref="BT611:BU611" si="1218">SUM(BT301:BT308)</f>
        <v>1591</v>
      </c>
      <c r="BU611" s="43">
        <f t="shared" si="1218"/>
        <v>189</v>
      </c>
      <c r="BV611" s="95">
        <f t="shared" si="1197"/>
        <v>3012</v>
      </c>
      <c r="BW611" s="109">
        <f t="shared" ref="BW611" si="1219">SUM(BW301:BW308)</f>
        <v>3187</v>
      </c>
      <c r="BX611" s="47">
        <f t="shared" si="1197"/>
        <v>1710</v>
      </c>
      <c r="BY611" s="45">
        <f t="shared" ref="BY611" si="1220">SUM(BY301:BY308)</f>
        <v>3116</v>
      </c>
      <c r="BZ611" s="95">
        <f t="shared" si="1197"/>
        <v>1610</v>
      </c>
      <c r="CA611" s="109">
        <f t="shared" ref="CA611" si="1221">SUM(CA301:CA308)</f>
        <v>1614</v>
      </c>
      <c r="CB611" s="47">
        <f t="shared" si="1197"/>
        <v>3172</v>
      </c>
      <c r="CC611" s="47">
        <f t="shared" si="1197"/>
        <v>2692</v>
      </c>
      <c r="CD611" s="44">
        <f t="shared" si="1197"/>
        <v>3902</v>
      </c>
      <c r="CE611" s="109">
        <f t="shared" ref="CE611" si="1222">SUM(CE301:CE308)</f>
        <v>1788</v>
      </c>
      <c r="CF611" s="43">
        <f>SUM(CF301:CF308)</f>
        <v>2332</v>
      </c>
      <c r="CG611" s="45">
        <f>SUM(CG301:CG308)</f>
        <v>1083</v>
      </c>
      <c r="CH611" s="46">
        <f t="shared" ref="CH611:CJ611" si="1223">SUM(CH301:CH308)</f>
        <v>710</v>
      </c>
      <c r="CI611" s="46">
        <f t="shared" si="1223"/>
        <v>1969</v>
      </c>
      <c r="CJ611" s="46">
        <f t="shared" si="1223"/>
        <v>2123</v>
      </c>
      <c r="CK611" s="95">
        <f>SUM(CK301:CK308)</f>
        <v>1664</v>
      </c>
    </row>
    <row r="612" spans="1:89" ht="13" x14ac:dyDescent="0.25">
      <c r="A612" s="91"/>
      <c r="B612" s="96" t="s">
        <v>634</v>
      </c>
      <c r="C612" s="93">
        <f>SUM(C309:C313)</f>
        <v>7164</v>
      </c>
      <c r="D612" s="93">
        <f>SUM(D309:D313)</f>
        <v>5861</v>
      </c>
      <c r="E612" s="89">
        <v>0.68357487922705318</v>
      </c>
      <c r="F612" s="45">
        <f t="shared" ref="F612:CD612" si="1224">SUM(F309:F313)</f>
        <v>0</v>
      </c>
      <c r="G612" s="109">
        <f t="shared" si="1224"/>
        <v>0</v>
      </c>
      <c r="H612" s="109">
        <f t="shared" ref="H612:Q612" si="1225">SUM(H309:H313)</f>
        <v>0</v>
      </c>
      <c r="I612" s="109">
        <f t="shared" si="1225"/>
        <v>2</v>
      </c>
      <c r="J612" s="109">
        <f t="shared" ref="J612:K612" si="1226">SUM(J309:J313)</f>
        <v>10</v>
      </c>
      <c r="K612" s="109">
        <f t="shared" si="1226"/>
        <v>0</v>
      </c>
      <c r="L612" s="109">
        <f t="shared" si="1225"/>
        <v>0</v>
      </c>
      <c r="M612" s="109">
        <f t="shared" si="1225"/>
        <v>4073</v>
      </c>
      <c r="N612" s="109">
        <f t="shared" si="1225"/>
        <v>0</v>
      </c>
      <c r="O612" s="109">
        <f t="shared" si="1225"/>
        <v>0</v>
      </c>
      <c r="P612" s="46">
        <f t="shared" si="1225"/>
        <v>35</v>
      </c>
      <c r="Q612" s="46">
        <f t="shared" si="1225"/>
        <v>9</v>
      </c>
      <c r="R612" s="46">
        <f t="shared" ref="R612" si="1227">SUM(R309:R313)</f>
        <v>1633</v>
      </c>
      <c r="S612" s="47">
        <f t="shared" si="1224"/>
        <v>1</v>
      </c>
      <c r="T612" s="45">
        <f>SUM(T309:T313)</f>
        <v>3819</v>
      </c>
      <c r="U612" s="47">
        <f t="shared" ref="U612:V612" si="1228">SUM(U309:U313)</f>
        <v>1863</v>
      </c>
      <c r="V612" s="45">
        <f t="shared" si="1228"/>
        <v>1983</v>
      </c>
      <c r="W612" s="47">
        <f>SUM(W309:W313)</f>
        <v>3725</v>
      </c>
      <c r="X612" s="45">
        <f>SUM(X309:X313)</f>
        <v>3844</v>
      </c>
      <c r="Y612" s="47">
        <f>SUM(Y309:Y313)</f>
        <v>1755</v>
      </c>
      <c r="Z612" s="109">
        <f t="shared" ref="Z612:AE612" si="1229">SUM(Z309:Z313)</f>
        <v>4090</v>
      </c>
      <c r="AA612" s="46">
        <f t="shared" si="1229"/>
        <v>0</v>
      </c>
      <c r="AB612" s="46">
        <f t="shared" si="1229"/>
        <v>138</v>
      </c>
      <c r="AC612" s="46">
        <f t="shared" si="1229"/>
        <v>1552</v>
      </c>
      <c r="AD612" s="46">
        <f t="shared" si="1229"/>
        <v>0</v>
      </c>
      <c r="AE612" s="43">
        <f t="shared" si="1229"/>
        <v>0</v>
      </c>
      <c r="AF612" s="95">
        <f t="shared" si="1224"/>
        <v>0</v>
      </c>
      <c r="AG612" s="109">
        <f t="shared" ref="AG612" si="1230">SUM(AG309:AG313)</f>
        <v>0</v>
      </c>
      <c r="AH612" s="47">
        <f t="shared" si="1224"/>
        <v>0</v>
      </c>
      <c r="AI612" s="45">
        <f t="shared" si="1224"/>
        <v>1793</v>
      </c>
      <c r="AJ612" s="43">
        <f t="shared" si="1224"/>
        <v>3803</v>
      </c>
      <c r="AK612" s="45">
        <f t="shared" ref="AK612" si="1231">SUM(AK309:AK313)</f>
        <v>1753</v>
      </c>
      <c r="AL612" s="47">
        <f t="shared" si="1224"/>
        <v>3845</v>
      </c>
      <c r="AM612" s="45">
        <f t="shared" si="1224"/>
        <v>0</v>
      </c>
      <c r="AN612" s="95">
        <f t="shared" si="1224"/>
        <v>0</v>
      </c>
      <c r="AO612" s="109">
        <f t="shared" ref="AO612" si="1232">SUM(AO309:AO313)</f>
        <v>0</v>
      </c>
      <c r="AP612" s="47">
        <f t="shared" si="1224"/>
        <v>0</v>
      </c>
      <c r="AQ612" s="45">
        <f t="shared" ref="AQ612" si="1233">SUM(AQ309:AQ313)</f>
        <v>0</v>
      </c>
      <c r="AR612" s="95">
        <f t="shared" si="1224"/>
        <v>0</v>
      </c>
      <c r="AS612" s="109">
        <f t="shared" ref="AS612" si="1234">SUM(AS309:AS313)</f>
        <v>3867</v>
      </c>
      <c r="AT612" s="47">
        <f t="shared" si="1224"/>
        <v>1708</v>
      </c>
      <c r="AU612" s="45">
        <f t="shared" ref="AU612:AV612" si="1235">SUM(AU309:AU313)</f>
        <v>0</v>
      </c>
      <c r="AV612" s="109">
        <f t="shared" si="1235"/>
        <v>0</v>
      </c>
      <c r="AW612" s="109">
        <f t="shared" si="1224"/>
        <v>0</v>
      </c>
      <c r="AX612" s="45">
        <f t="shared" ref="AX612" si="1236">SUM(AX309:AX313)</f>
        <v>0</v>
      </c>
      <c r="AY612" s="47">
        <f t="shared" si="1224"/>
        <v>0</v>
      </c>
      <c r="AZ612" s="45">
        <f t="shared" si="1224"/>
        <v>0</v>
      </c>
      <c r="BA612" s="95">
        <f t="shared" si="1224"/>
        <v>0</v>
      </c>
      <c r="BB612" s="45">
        <f t="shared" ref="BB612" si="1237">SUM(BB309:BB313)</f>
        <v>1827</v>
      </c>
      <c r="BC612" s="47">
        <f>SUM(BC309:BC313)</f>
        <v>3721</v>
      </c>
      <c r="BD612" s="45">
        <f t="shared" ref="BD612" si="1238">SUM(BD309:BD313)</f>
        <v>1804</v>
      </c>
      <c r="BE612" s="95">
        <f>SUM(BE309:BE313)</f>
        <v>3721</v>
      </c>
      <c r="BF612" s="109">
        <f t="shared" ref="BF612" si="1239">SUM(BF309:BF313)</f>
        <v>3711</v>
      </c>
      <c r="BG612" s="47">
        <f>SUM(BG309:BG313)</f>
        <v>1798</v>
      </c>
      <c r="BH612" s="45">
        <f t="shared" ref="BH612" si="1240">SUM(BH309:BH313)</f>
        <v>1995</v>
      </c>
      <c r="BI612" s="47">
        <f>SUM(BI309:BI313)</f>
        <v>3542</v>
      </c>
      <c r="BJ612" s="109">
        <f t="shared" ref="BJ612:BK612" si="1241">SUM(BJ309:BJ313)</f>
        <v>231</v>
      </c>
      <c r="BK612" s="43">
        <f t="shared" si="1241"/>
        <v>1675</v>
      </c>
      <c r="BL612" s="95">
        <f t="shared" si="1224"/>
        <v>3662</v>
      </c>
      <c r="BM612" s="109">
        <f t="shared" ref="BM612:BN612" si="1242">SUM(BM309:BM313)</f>
        <v>3861</v>
      </c>
      <c r="BN612" s="46">
        <f t="shared" si="1242"/>
        <v>1570</v>
      </c>
      <c r="BO612" s="47">
        <f t="shared" si="1224"/>
        <v>173</v>
      </c>
      <c r="BP612" s="45">
        <f t="shared" ref="BP612" si="1243">SUM(BP309:BP313)</f>
        <v>1844</v>
      </c>
      <c r="BQ612" s="47">
        <f t="shared" ref="BQ612:BR612" si="1244">SUM(BQ309:BQ313)</f>
        <v>3694</v>
      </c>
      <c r="BR612" s="45">
        <f t="shared" si="1244"/>
        <v>3436</v>
      </c>
      <c r="BS612" s="47">
        <f t="shared" si="1224"/>
        <v>2160</v>
      </c>
      <c r="BT612" s="45">
        <f t="shared" ref="BT612:BU612" si="1245">SUM(BT309:BT313)</f>
        <v>1651</v>
      </c>
      <c r="BU612" s="43">
        <f t="shared" si="1245"/>
        <v>213</v>
      </c>
      <c r="BV612" s="95">
        <f t="shared" si="1224"/>
        <v>3648</v>
      </c>
      <c r="BW612" s="109">
        <f t="shared" ref="BW612" si="1246">SUM(BW309:BW313)</f>
        <v>3846</v>
      </c>
      <c r="BX612" s="47">
        <f t="shared" si="1224"/>
        <v>1777</v>
      </c>
      <c r="BY612" s="45">
        <f t="shared" ref="BY612" si="1247">SUM(BY309:BY313)</f>
        <v>3748</v>
      </c>
      <c r="BZ612" s="95">
        <f t="shared" si="1224"/>
        <v>1702</v>
      </c>
      <c r="CA612" s="109">
        <f t="shared" ref="CA612" si="1248">SUM(CA309:CA313)</f>
        <v>1747</v>
      </c>
      <c r="CB612" s="47">
        <f t="shared" si="1224"/>
        <v>3759</v>
      </c>
      <c r="CC612" s="47">
        <f t="shared" si="1224"/>
        <v>3058</v>
      </c>
      <c r="CD612" s="44">
        <f t="shared" si="1224"/>
        <v>4415</v>
      </c>
      <c r="CE612" s="109">
        <f t="shared" ref="CE612" si="1249">SUM(CE309:CE313)</f>
        <v>1988</v>
      </c>
      <c r="CF612" s="43">
        <f>SUM(CF309:CF313)</f>
        <v>2600</v>
      </c>
      <c r="CG612" s="45">
        <f>SUM(CG309:CG313)</f>
        <v>1142</v>
      </c>
      <c r="CH612" s="46">
        <f t="shared" ref="CH612:CJ612" si="1250">SUM(CH309:CH313)</f>
        <v>1100</v>
      </c>
      <c r="CI612" s="46">
        <f t="shared" si="1250"/>
        <v>2385</v>
      </c>
      <c r="CJ612" s="46">
        <f t="shared" si="1250"/>
        <v>2660</v>
      </c>
      <c r="CK612" s="95">
        <f>SUM(CK309:CK313)</f>
        <v>1707</v>
      </c>
    </row>
    <row r="613" spans="1:89" ht="13" x14ac:dyDescent="0.25">
      <c r="A613" s="91"/>
      <c r="B613" s="96" t="s">
        <v>635</v>
      </c>
      <c r="C613" s="93">
        <f>SUM(C318:C349)</f>
        <v>35032</v>
      </c>
      <c r="D613" s="93">
        <f>SUM(D318:D349)</f>
        <v>28663</v>
      </c>
      <c r="E613" s="89">
        <v>0.66688170781772327</v>
      </c>
      <c r="F613" s="45">
        <f t="shared" ref="F613:CD613" si="1251">SUM(F318:F349)</f>
        <v>0</v>
      </c>
      <c r="G613" s="109">
        <f t="shared" si="1251"/>
        <v>0</v>
      </c>
      <c r="H613" s="109">
        <f t="shared" ref="H613:Q613" si="1252">SUM(H318:H349)</f>
        <v>0</v>
      </c>
      <c r="I613" s="109">
        <f t="shared" si="1252"/>
        <v>6</v>
      </c>
      <c r="J613" s="109">
        <f t="shared" ref="J613:K613" si="1253">SUM(J318:J349)</f>
        <v>53</v>
      </c>
      <c r="K613" s="109">
        <f t="shared" si="1253"/>
        <v>0</v>
      </c>
      <c r="L613" s="109">
        <f t="shared" si="1252"/>
        <v>0</v>
      </c>
      <c r="M613" s="109">
        <f t="shared" si="1252"/>
        <v>13546</v>
      </c>
      <c r="N613" s="109">
        <f t="shared" si="1252"/>
        <v>0</v>
      </c>
      <c r="O613" s="109">
        <f t="shared" si="1252"/>
        <v>0</v>
      </c>
      <c r="P613" s="46">
        <f t="shared" si="1252"/>
        <v>193</v>
      </c>
      <c r="Q613" s="46">
        <f t="shared" si="1252"/>
        <v>51</v>
      </c>
      <c r="R613" s="46">
        <f t="shared" ref="R613" si="1254">SUM(R318:R349)</f>
        <v>14302</v>
      </c>
      <c r="S613" s="47">
        <f t="shared" si="1251"/>
        <v>1</v>
      </c>
      <c r="T613" s="45">
        <f>SUM(T318:T349)</f>
        <v>12371</v>
      </c>
      <c r="U613" s="47">
        <f t="shared" ref="U613:V613" si="1255">SUM(U318:U349)</f>
        <v>15160</v>
      </c>
      <c r="V613" s="45">
        <f t="shared" si="1255"/>
        <v>15721</v>
      </c>
      <c r="W613" s="47">
        <f>SUM(W318:W349)</f>
        <v>11973</v>
      </c>
      <c r="X613" s="45">
        <f>SUM(X318:X349)</f>
        <v>12574</v>
      </c>
      <c r="Y613" s="47">
        <f>SUM(Y318:Y349)</f>
        <v>14539</v>
      </c>
      <c r="Z613" s="109">
        <f t="shared" ref="Z613:AE613" si="1256">SUM(Z318:Z349)</f>
        <v>13852</v>
      </c>
      <c r="AA613" s="46">
        <f t="shared" si="1256"/>
        <v>0</v>
      </c>
      <c r="AB613" s="46">
        <f t="shared" si="1256"/>
        <v>840</v>
      </c>
      <c r="AC613" s="46">
        <f t="shared" si="1256"/>
        <v>13424</v>
      </c>
      <c r="AD613" s="46">
        <f t="shared" si="1256"/>
        <v>0</v>
      </c>
      <c r="AE613" s="43">
        <f t="shared" si="1256"/>
        <v>0</v>
      </c>
      <c r="AF613" s="95">
        <f t="shared" si="1251"/>
        <v>1</v>
      </c>
      <c r="AG613" s="109">
        <f t="shared" ref="AG613" si="1257">SUM(AG318:AG349)</f>
        <v>13746</v>
      </c>
      <c r="AH613" s="47">
        <f t="shared" si="1251"/>
        <v>13845</v>
      </c>
      <c r="AI613" s="45">
        <f t="shared" si="1251"/>
        <v>0</v>
      </c>
      <c r="AJ613" s="43">
        <f t="shared" si="1251"/>
        <v>0</v>
      </c>
      <c r="AK613" s="45">
        <f t="shared" ref="AK613" si="1258">SUM(AK318:AK349)</f>
        <v>14501</v>
      </c>
      <c r="AL613" s="47">
        <f t="shared" si="1251"/>
        <v>12451</v>
      </c>
      <c r="AM613" s="45">
        <f t="shared" si="1251"/>
        <v>0</v>
      </c>
      <c r="AN613" s="95">
        <f t="shared" si="1251"/>
        <v>0</v>
      </c>
      <c r="AO613" s="109">
        <f t="shared" ref="AO613" si="1259">SUM(AO318:AO349)</f>
        <v>0</v>
      </c>
      <c r="AP613" s="47">
        <f t="shared" si="1251"/>
        <v>0</v>
      </c>
      <c r="AQ613" s="45">
        <f t="shared" ref="AQ613" si="1260">SUM(AQ318:AQ349)</f>
        <v>0</v>
      </c>
      <c r="AR613" s="95">
        <f t="shared" si="1251"/>
        <v>0</v>
      </c>
      <c r="AS613" s="109">
        <f t="shared" ref="AS613" si="1261">SUM(AS318:AS349)</f>
        <v>13260</v>
      </c>
      <c r="AT613" s="47">
        <f t="shared" si="1251"/>
        <v>13934</v>
      </c>
      <c r="AU613" s="45">
        <f t="shared" ref="AU613:AV613" si="1262">SUM(AU318:AU349)</f>
        <v>0</v>
      </c>
      <c r="AV613" s="109">
        <f t="shared" si="1262"/>
        <v>0</v>
      </c>
      <c r="AW613" s="109">
        <f t="shared" si="1251"/>
        <v>0</v>
      </c>
      <c r="AX613" s="45">
        <f t="shared" ref="AX613" si="1263">SUM(AX318:AX349)</f>
        <v>0</v>
      </c>
      <c r="AY613" s="47">
        <f t="shared" si="1251"/>
        <v>0</v>
      </c>
      <c r="AZ613" s="45">
        <f t="shared" si="1251"/>
        <v>0</v>
      </c>
      <c r="BA613" s="95">
        <f t="shared" si="1251"/>
        <v>0</v>
      </c>
      <c r="BB613" s="45">
        <f t="shared" ref="BB613" si="1264">SUM(BB318:BB349)</f>
        <v>14903</v>
      </c>
      <c r="BC613" s="47">
        <f>SUM(BC318:BC349)</f>
        <v>11672</v>
      </c>
      <c r="BD613" s="45">
        <f t="shared" ref="BD613" si="1265">SUM(BD318:BD349)</f>
        <v>14399</v>
      </c>
      <c r="BE613" s="95">
        <f>SUM(BE318:BE349)</f>
        <v>12112</v>
      </c>
      <c r="BF613" s="109">
        <f t="shared" ref="BF613" si="1266">SUM(BF318:BF349)</f>
        <v>11828</v>
      </c>
      <c r="BG613" s="47">
        <f>SUM(BG318:BG349)</f>
        <v>14493</v>
      </c>
      <c r="BH613" s="45">
        <f t="shared" ref="BH613" si="1267">SUM(BH318:BH349)</f>
        <v>15586</v>
      </c>
      <c r="BI613" s="47">
        <f>SUM(BI318:BI349)</f>
        <v>11119</v>
      </c>
      <c r="BJ613" s="109">
        <f t="shared" ref="BJ613:BK613" si="1268">SUM(BJ318:BJ349)</f>
        <v>1260</v>
      </c>
      <c r="BK613" s="43">
        <f t="shared" si="1268"/>
        <v>13783</v>
      </c>
      <c r="BL613" s="95">
        <f t="shared" si="1251"/>
        <v>11727</v>
      </c>
      <c r="BM613" s="109">
        <f t="shared" ref="BM613:BN613" si="1269">SUM(BM318:BM349)</f>
        <v>12300</v>
      </c>
      <c r="BN613" s="46">
        <f t="shared" si="1269"/>
        <v>13559</v>
      </c>
      <c r="BO613" s="47">
        <f t="shared" si="1251"/>
        <v>923</v>
      </c>
      <c r="BP613" s="45">
        <f t="shared" ref="BP613" si="1270">SUM(BP318:BP349)</f>
        <v>15168</v>
      </c>
      <c r="BQ613" s="47">
        <f t="shared" ref="BQ613:BR613" si="1271">SUM(BQ318:BQ349)</f>
        <v>11567</v>
      </c>
      <c r="BR613" s="45">
        <f t="shared" si="1271"/>
        <v>10810</v>
      </c>
      <c r="BS613" s="47">
        <f t="shared" si="1251"/>
        <v>16200</v>
      </c>
      <c r="BT613" s="45">
        <f t="shared" ref="BT613:BU613" si="1272">SUM(BT318:BT349)</f>
        <v>13829</v>
      </c>
      <c r="BU613" s="43">
        <f t="shared" si="1272"/>
        <v>1141</v>
      </c>
      <c r="BV613" s="95">
        <f t="shared" si="1251"/>
        <v>11460</v>
      </c>
      <c r="BW613" s="109">
        <f t="shared" ref="BW613" si="1273">SUM(BW318:BW349)</f>
        <v>12581</v>
      </c>
      <c r="BX613" s="47">
        <f t="shared" si="1251"/>
        <v>14636</v>
      </c>
      <c r="BY613" s="45">
        <f t="shared" ref="BY613" si="1274">SUM(BY318:BY349)</f>
        <v>12061</v>
      </c>
      <c r="BZ613" s="95">
        <f t="shared" si="1251"/>
        <v>14110</v>
      </c>
      <c r="CA613" s="109">
        <f t="shared" ref="CA613" si="1275">SUM(CA318:CA349)</f>
        <v>14434</v>
      </c>
      <c r="CB613" s="47">
        <f t="shared" si="1251"/>
        <v>12082</v>
      </c>
      <c r="CC613" s="47">
        <f t="shared" si="1251"/>
        <v>19126</v>
      </c>
      <c r="CD613" s="44">
        <f t="shared" si="1251"/>
        <v>18695</v>
      </c>
      <c r="CE613" s="109">
        <f t="shared" ref="CE613" si="1276">SUM(CE318:CE349)</f>
        <v>13078</v>
      </c>
      <c r="CF613" s="43">
        <f>SUM(CF318:CF349)</f>
        <v>9339</v>
      </c>
      <c r="CG613" s="45">
        <f>SUM(CG318:CG349)</f>
        <v>6496</v>
      </c>
      <c r="CH613" s="46">
        <f t="shared" ref="CH613:CJ613" si="1277">SUM(CH318:CH349)</f>
        <v>8119</v>
      </c>
      <c r="CI613" s="46">
        <f t="shared" si="1277"/>
        <v>7097</v>
      </c>
      <c r="CJ613" s="46">
        <f t="shared" si="1277"/>
        <v>8461</v>
      </c>
      <c r="CK613" s="95">
        <f>SUM(CK318:CK349)</f>
        <v>12844</v>
      </c>
    </row>
    <row r="614" spans="1:89" ht="13" x14ac:dyDescent="0.25">
      <c r="A614" s="91"/>
      <c r="B614" s="96" t="s">
        <v>636</v>
      </c>
      <c r="C614" s="93">
        <f>SUM(C351:C388)</f>
        <v>41614</v>
      </c>
      <c r="D614" s="93">
        <f>SUM(D351:D388)</f>
        <v>29989</v>
      </c>
      <c r="E614" s="89">
        <v>0.52419968109898196</v>
      </c>
      <c r="F614" s="45">
        <f t="shared" ref="F614:CD614" si="1278">SUM(F351:F388)</f>
        <v>0</v>
      </c>
      <c r="G614" s="109">
        <f t="shared" si="1278"/>
        <v>0</v>
      </c>
      <c r="H614" s="109">
        <f t="shared" ref="H614:Q614" si="1279">SUM(H351:H388)</f>
        <v>0</v>
      </c>
      <c r="I614" s="109">
        <f t="shared" si="1279"/>
        <v>4</v>
      </c>
      <c r="J614" s="109">
        <f t="shared" ref="J614:K614" si="1280">SUM(J351:J388)</f>
        <v>55</v>
      </c>
      <c r="K614" s="109">
        <f t="shared" si="1280"/>
        <v>0</v>
      </c>
      <c r="L614" s="109">
        <f t="shared" si="1279"/>
        <v>0</v>
      </c>
      <c r="M614" s="109">
        <f t="shared" si="1279"/>
        <v>13182</v>
      </c>
      <c r="N614" s="109">
        <f t="shared" si="1279"/>
        <v>0</v>
      </c>
      <c r="O614" s="109">
        <f t="shared" si="1279"/>
        <v>1</v>
      </c>
      <c r="P614" s="46">
        <f t="shared" si="1279"/>
        <v>158</v>
      </c>
      <c r="Q614" s="46">
        <f t="shared" si="1279"/>
        <v>62</v>
      </c>
      <c r="R614" s="46">
        <f t="shared" ref="R614" si="1281">SUM(R351:R388)</f>
        <v>16154</v>
      </c>
      <c r="S614" s="47">
        <f t="shared" si="1278"/>
        <v>4</v>
      </c>
      <c r="T614" s="45">
        <f>SUM(T351:T388)</f>
        <v>12595</v>
      </c>
      <c r="U614" s="47">
        <f t="shared" ref="U614:V614" si="1282">SUM(U351:U388)</f>
        <v>16197</v>
      </c>
      <c r="V614" s="45">
        <f t="shared" si="1282"/>
        <v>16858</v>
      </c>
      <c r="W614" s="47">
        <f>SUM(W351:W388)</f>
        <v>12120</v>
      </c>
      <c r="X614" s="45">
        <f>SUM(X351:X388)</f>
        <v>12717</v>
      </c>
      <c r="Y614" s="47">
        <f>SUM(Y351:Y388)</f>
        <v>15663</v>
      </c>
      <c r="Z614" s="109">
        <f t="shared" ref="Z614:AE614" si="1283">SUM(Z351:Z388)</f>
        <v>13495</v>
      </c>
      <c r="AA614" s="46">
        <f t="shared" si="1283"/>
        <v>0</v>
      </c>
      <c r="AB614" s="46">
        <f t="shared" si="1283"/>
        <v>1068</v>
      </c>
      <c r="AC614" s="46">
        <f t="shared" si="1283"/>
        <v>14753</v>
      </c>
      <c r="AD614" s="46">
        <f t="shared" si="1283"/>
        <v>1</v>
      </c>
      <c r="AE614" s="43">
        <f t="shared" si="1283"/>
        <v>0</v>
      </c>
      <c r="AF614" s="95">
        <f t="shared" si="1278"/>
        <v>1</v>
      </c>
      <c r="AG614" s="109">
        <f t="shared" ref="AG614" si="1284">SUM(AG351:AG388)</f>
        <v>0</v>
      </c>
      <c r="AH614" s="47">
        <f t="shared" si="1278"/>
        <v>0</v>
      </c>
      <c r="AI614" s="45">
        <f t="shared" si="1278"/>
        <v>15685</v>
      </c>
      <c r="AJ614" s="43">
        <f t="shared" si="1278"/>
        <v>12591</v>
      </c>
      <c r="AK614" s="45">
        <f t="shared" ref="AK614" si="1285">SUM(AK351:AK388)</f>
        <v>16237</v>
      </c>
      <c r="AL614" s="47">
        <f t="shared" si="1278"/>
        <v>12331</v>
      </c>
      <c r="AM614" s="45">
        <f t="shared" si="1278"/>
        <v>0</v>
      </c>
      <c r="AN614" s="95">
        <f t="shared" si="1278"/>
        <v>0</v>
      </c>
      <c r="AO614" s="109">
        <f t="shared" ref="AO614" si="1286">SUM(AO351:AO388)</f>
        <v>0</v>
      </c>
      <c r="AP614" s="47">
        <f t="shared" si="1278"/>
        <v>0</v>
      </c>
      <c r="AQ614" s="45">
        <f t="shared" ref="AQ614" si="1287">SUM(AQ351:AQ388)</f>
        <v>0</v>
      </c>
      <c r="AR614" s="95">
        <f t="shared" si="1278"/>
        <v>0</v>
      </c>
      <c r="AS614" s="109">
        <f>SUM(AS351:AS388)</f>
        <v>0</v>
      </c>
      <c r="AT614" s="47">
        <f t="shared" si="1278"/>
        <v>0</v>
      </c>
      <c r="AU614" s="45">
        <f t="shared" ref="AU614:AV614" si="1288">SUM(AU351:AU388)</f>
        <v>0</v>
      </c>
      <c r="AV614" s="109">
        <f t="shared" si="1288"/>
        <v>0</v>
      </c>
      <c r="AW614" s="109">
        <f t="shared" si="1278"/>
        <v>0</v>
      </c>
      <c r="AX614" s="45">
        <f t="shared" ref="AX614" si="1289">SUM(AX351:AX388)</f>
        <v>16201</v>
      </c>
      <c r="AY614" s="47">
        <f t="shared" si="1278"/>
        <v>12186</v>
      </c>
      <c r="AZ614" s="45">
        <f t="shared" si="1278"/>
        <v>0</v>
      </c>
      <c r="BA614" s="95">
        <f t="shared" si="1278"/>
        <v>0</v>
      </c>
      <c r="BB614" s="45">
        <f t="shared" ref="BB614" si="1290">SUM(BB351:BB388)</f>
        <v>15873</v>
      </c>
      <c r="BC614" s="47">
        <f>SUM(BC351:BC388)</f>
        <v>12215</v>
      </c>
      <c r="BD614" s="45">
        <f t="shared" ref="BD614" si="1291">SUM(BD351:BD388)</f>
        <v>15535</v>
      </c>
      <c r="BE614" s="95">
        <f>SUM(BE351:BE388)</f>
        <v>12411</v>
      </c>
      <c r="BF614" s="109">
        <f t="shared" ref="BF614" si="1292">SUM(BF351:BF388)</f>
        <v>12346</v>
      </c>
      <c r="BG614" s="47">
        <f>SUM(BG351:BG388)</f>
        <v>15409</v>
      </c>
      <c r="BH614" s="45">
        <f t="shared" ref="BH614" si="1293">SUM(BH351:BH388)</f>
        <v>16448</v>
      </c>
      <c r="BI614" s="47">
        <f>SUM(BI351:BI388)</f>
        <v>11708</v>
      </c>
      <c r="BJ614" s="109">
        <f t="shared" ref="BJ614:BK614" si="1294">SUM(BJ351:BJ388)</f>
        <v>1118</v>
      </c>
      <c r="BK614" s="43">
        <f t="shared" si="1294"/>
        <v>14558</v>
      </c>
      <c r="BL614" s="95">
        <f t="shared" si="1278"/>
        <v>12749</v>
      </c>
      <c r="BM614" s="109">
        <f t="shared" ref="BM614:BN614" si="1295">SUM(BM351:BM388)</f>
        <v>12860</v>
      </c>
      <c r="BN614" s="46">
        <f t="shared" si="1295"/>
        <v>14493</v>
      </c>
      <c r="BO614" s="47">
        <f t="shared" si="1278"/>
        <v>889</v>
      </c>
      <c r="BP614" s="45">
        <f t="shared" ref="BP614" si="1296">SUM(BP351:BP388)</f>
        <v>15802</v>
      </c>
      <c r="BQ614" s="47">
        <f t="shared" ref="BQ614:BR614" si="1297">SUM(BQ351:BQ388)</f>
        <v>12306</v>
      </c>
      <c r="BR614" s="45">
        <f t="shared" si="1297"/>
        <v>11410</v>
      </c>
      <c r="BS614" s="47">
        <f t="shared" si="1278"/>
        <v>17105</v>
      </c>
      <c r="BT614" s="45">
        <f t="shared" ref="BT614:BU614" si="1298">SUM(BT351:BT388)</f>
        <v>15032</v>
      </c>
      <c r="BU614" s="43">
        <f t="shared" si="1298"/>
        <v>1196</v>
      </c>
      <c r="BV614" s="95">
        <f t="shared" si="1278"/>
        <v>11769</v>
      </c>
      <c r="BW614" s="109">
        <f t="shared" ref="BW614" si="1299">SUM(BW351:BW388)</f>
        <v>12774</v>
      </c>
      <c r="BX614" s="47">
        <f t="shared" si="1278"/>
        <v>15983</v>
      </c>
      <c r="BY614" s="45">
        <f t="shared" ref="BY614" si="1300">SUM(BY351:BY388)</f>
        <v>12569</v>
      </c>
      <c r="BZ614" s="95">
        <f t="shared" si="1278"/>
        <v>15155</v>
      </c>
      <c r="CA614" s="109">
        <f t="shared" ref="CA614" si="1301">SUM(CA351:CA388)</f>
        <v>15410</v>
      </c>
      <c r="CB614" s="47">
        <f t="shared" si="1278"/>
        <v>12643</v>
      </c>
      <c r="CC614" s="47">
        <f t="shared" si="1278"/>
        <v>19732</v>
      </c>
      <c r="CD614" s="44">
        <f t="shared" si="1278"/>
        <v>20456</v>
      </c>
      <c r="CE614" s="109">
        <f t="shared" ref="CE614" si="1302">SUM(CE351:CE388)</f>
        <v>13860</v>
      </c>
      <c r="CF614" s="43">
        <f>SUM(CF351:CF388)</f>
        <v>9760</v>
      </c>
      <c r="CG614" s="45">
        <f>SUM(CG351:CG388)</f>
        <v>6604</v>
      </c>
      <c r="CH614" s="46">
        <f t="shared" ref="CH614:CJ614" si="1303">SUM(CH351:CH388)</f>
        <v>7606</v>
      </c>
      <c r="CI614" s="46">
        <f t="shared" si="1303"/>
        <v>6344</v>
      </c>
      <c r="CJ614" s="46">
        <f t="shared" si="1303"/>
        <v>7401</v>
      </c>
      <c r="CK614" s="95">
        <f>SUM(CK351:CK388)</f>
        <v>15031</v>
      </c>
    </row>
    <row r="615" spans="1:89" ht="13" x14ac:dyDescent="0.25">
      <c r="A615" s="91"/>
      <c r="B615" s="96" t="s">
        <v>637</v>
      </c>
      <c r="C615" s="93">
        <f>SUM(C389:C397)</f>
        <v>3447</v>
      </c>
      <c r="D615" s="93">
        <f>SUM(D389:D397)</f>
        <v>2499</v>
      </c>
      <c r="E615" s="89">
        <v>0.55504322766570602</v>
      </c>
      <c r="F615" s="45">
        <f t="shared" ref="F615:CD615" si="1304">SUM(F389:F397)</f>
        <v>0</v>
      </c>
      <c r="G615" s="109">
        <f t="shared" si="1304"/>
        <v>0</v>
      </c>
      <c r="H615" s="109">
        <f t="shared" ref="H615:Q615" si="1305">SUM(H389:H397)</f>
        <v>0</v>
      </c>
      <c r="I615" s="109">
        <f t="shared" si="1305"/>
        <v>0</v>
      </c>
      <c r="J615" s="109">
        <f t="shared" ref="J615:K615" si="1306">SUM(J389:J397)</f>
        <v>7</v>
      </c>
      <c r="K615" s="109">
        <f t="shared" si="1306"/>
        <v>0</v>
      </c>
      <c r="L615" s="109">
        <f t="shared" si="1305"/>
        <v>0</v>
      </c>
      <c r="M615" s="109">
        <f t="shared" si="1305"/>
        <v>1654</v>
      </c>
      <c r="N615" s="109">
        <f t="shared" si="1305"/>
        <v>0</v>
      </c>
      <c r="O615" s="109">
        <f t="shared" si="1305"/>
        <v>0</v>
      </c>
      <c r="P615" s="46">
        <f t="shared" si="1305"/>
        <v>27</v>
      </c>
      <c r="Q615" s="46">
        <f t="shared" si="1305"/>
        <v>10</v>
      </c>
      <c r="R615" s="46">
        <f t="shared" ref="R615" si="1307">SUM(R389:R397)</f>
        <v>757</v>
      </c>
      <c r="S615" s="47">
        <f t="shared" si="1304"/>
        <v>0</v>
      </c>
      <c r="T615" s="45">
        <f>SUM(T389:T397)</f>
        <v>1562</v>
      </c>
      <c r="U615" s="47">
        <f t="shared" ref="U615:V615" si="1308">SUM(U389:U397)</f>
        <v>850</v>
      </c>
      <c r="V615" s="45">
        <f t="shared" si="1308"/>
        <v>873</v>
      </c>
      <c r="W615" s="47">
        <f>SUM(W389:W397)</f>
        <v>1551</v>
      </c>
      <c r="X615" s="45">
        <f>SUM(X389:X397)</f>
        <v>1583</v>
      </c>
      <c r="Y615" s="47">
        <f>SUM(Y389:Y397)</f>
        <v>793</v>
      </c>
      <c r="Z615" s="109">
        <f t="shared" ref="Z615:AE615" si="1309">SUM(Z389:Z397)</f>
        <v>1668</v>
      </c>
      <c r="AA615" s="46">
        <f t="shared" si="1309"/>
        <v>0</v>
      </c>
      <c r="AB615" s="46">
        <f t="shared" si="1309"/>
        <v>82</v>
      </c>
      <c r="AC615" s="46">
        <f t="shared" si="1309"/>
        <v>701</v>
      </c>
      <c r="AD615" s="46">
        <f t="shared" si="1309"/>
        <v>0</v>
      </c>
      <c r="AE615" s="43">
        <f t="shared" si="1309"/>
        <v>0</v>
      </c>
      <c r="AF615" s="95">
        <f t="shared" si="1304"/>
        <v>0</v>
      </c>
      <c r="AG615" s="109">
        <f t="shared" ref="AG615" si="1310">SUM(AG389:AG397)</f>
        <v>1670</v>
      </c>
      <c r="AH615" s="47">
        <f t="shared" si="1304"/>
        <v>733</v>
      </c>
      <c r="AI615" s="45">
        <f t="shared" si="1304"/>
        <v>0</v>
      </c>
      <c r="AJ615" s="43">
        <f t="shared" si="1304"/>
        <v>0</v>
      </c>
      <c r="AK615" s="45">
        <f t="shared" ref="AK615" si="1311">SUM(AK389:AK397)</f>
        <v>260</v>
      </c>
      <c r="AL615" s="47">
        <f t="shared" si="1304"/>
        <v>771</v>
      </c>
      <c r="AM615" s="45">
        <f t="shared" si="1304"/>
        <v>0</v>
      </c>
      <c r="AN615" s="95">
        <f t="shared" si="1304"/>
        <v>0</v>
      </c>
      <c r="AO615" s="109">
        <f t="shared" ref="AO615" si="1312">SUM(AO389:AO397)</f>
        <v>0</v>
      </c>
      <c r="AP615" s="47">
        <f t="shared" si="1304"/>
        <v>0</v>
      </c>
      <c r="AQ615" s="45">
        <f t="shared" ref="AQ615" si="1313">SUM(AQ389:AQ397)</f>
        <v>518</v>
      </c>
      <c r="AR615" s="95">
        <f t="shared" si="1304"/>
        <v>803</v>
      </c>
      <c r="AS615" s="109">
        <f t="shared" ref="AS615" si="1314">SUM(AS389:AS397)</f>
        <v>771</v>
      </c>
      <c r="AT615" s="47">
        <f t="shared" si="1304"/>
        <v>253</v>
      </c>
      <c r="AU615" s="45">
        <f t="shared" ref="AU615:AV615" si="1315">SUM(AU389:AU397)</f>
        <v>0</v>
      </c>
      <c r="AV615" s="109">
        <f t="shared" si="1315"/>
        <v>0</v>
      </c>
      <c r="AW615" s="109">
        <f t="shared" si="1304"/>
        <v>0</v>
      </c>
      <c r="AX615" s="45">
        <f t="shared" ref="AX615" si="1316">SUM(AX389:AX397)</f>
        <v>0</v>
      </c>
      <c r="AY615" s="47">
        <f t="shared" si="1304"/>
        <v>0</v>
      </c>
      <c r="AZ615" s="45">
        <f t="shared" si="1304"/>
        <v>0</v>
      </c>
      <c r="BA615" s="95">
        <f t="shared" si="1304"/>
        <v>0</v>
      </c>
      <c r="BB615" s="45">
        <f t="shared" ref="BB615" si="1317">SUM(BB389:BB397)</f>
        <v>826</v>
      </c>
      <c r="BC615" s="47">
        <f>SUM(BC389:BC397)</f>
        <v>1514</v>
      </c>
      <c r="BD615" s="45">
        <f t="shared" ref="BD615" si="1318">SUM(BD389:BD397)</f>
        <v>779</v>
      </c>
      <c r="BE615" s="95">
        <f>SUM(BE389:BE397)</f>
        <v>1556</v>
      </c>
      <c r="BF615" s="109">
        <f t="shared" ref="BF615" si="1319">SUM(BF389:BF397)</f>
        <v>1552</v>
      </c>
      <c r="BG615" s="47">
        <f>SUM(BG389:BG397)</f>
        <v>769</v>
      </c>
      <c r="BH615" s="45">
        <f t="shared" ref="BH615" si="1320">SUM(BH389:BH397)</f>
        <v>867</v>
      </c>
      <c r="BI615" s="47">
        <f>SUM(BI389:BI397)</f>
        <v>1480</v>
      </c>
      <c r="BJ615" s="109">
        <f t="shared" ref="BJ615:BK615" si="1321">SUM(BJ389:BJ397)</f>
        <v>110</v>
      </c>
      <c r="BK615" s="43">
        <f t="shared" si="1321"/>
        <v>712</v>
      </c>
      <c r="BL615" s="95">
        <f t="shared" si="1304"/>
        <v>1534</v>
      </c>
      <c r="BM615" s="109">
        <f t="shared" ref="BM615:BN615" si="1322">SUM(BM389:BM397)</f>
        <v>1541</v>
      </c>
      <c r="BN615" s="46">
        <f t="shared" si="1322"/>
        <v>717</v>
      </c>
      <c r="BO615" s="47">
        <f t="shared" si="1304"/>
        <v>90</v>
      </c>
      <c r="BP615" s="45">
        <f t="shared" ref="BP615" si="1323">SUM(BP389:BP397)</f>
        <v>810</v>
      </c>
      <c r="BQ615" s="47">
        <f t="shared" ref="BQ615:BR615" si="1324">SUM(BQ389:BQ397)</f>
        <v>1508</v>
      </c>
      <c r="BR615" s="45">
        <f t="shared" si="1324"/>
        <v>1432</v>
      </c>
      <c r="BS615" s="47">
        <f t="shared" si="1304"/>
        <v>926</v>
      </c>
      <c r="BT615" s="45">
        <f t="shared" ref="BT615:BU615" si="1325">SUM(BT389:BT397)</f>
        <v>732</v>
      </c>
      <c r="BU615" s="43">
        <f t="shared" si="1325"/>
        <v>105</v>
      </c>
      <c r="BV615" s="95">
        <f t="shared" si="1304"/>
        <v>1487</v>
      </c>
      <c r="BW615" s="109">
        <f t="shared" ref="BW615" si="1326">SUM(BW389:BW397)</f>
        <v>1577</v>
      </c>
      <c r="BX615" s="47">
        <f t="shared" si="1304"/>
        <v>796</v>
      </c>
      <c r="BY615" s="45">
        <f t="shared" ref="BY615" si="1327">SUM(BY389:BY397)</f>
        <v>1547</v>
      </c>
      <c r="BZ615" s="95">
        <f t="shared" si="1304"/>
        <v>739</v>
      </c>
      <c r="CA615" s="109">
        <f t="shared" ref="CA615" si="1328">SUM(CA389:CA397)</f>
        <v>773</v>
      </c>
      <c r="CB615" s="47">
        <f t="shared" si="1304"/>
        <v>1550</v>
      </c>
      <c r="CC615" s="47">
        <f t="shared" si="1304"/>
        <v>1363</v>
      </c>
      <c r="CD615" s="44">
        <f t="shared" si="1304"/>
        <v>1913</v>
      </c>
      <c r="CE615" s="109">
        <f t="shared" ref="CE615" si="1329">SUM(CE389:CE397)</f>
        <v>877</v>
      </c>
      <c r="CF615" s="43">
        <f>SUM(CF389:CF397)</f>
        <v>1152</v>
      </c>
      <c r="CG615" s="45">
        <f>SUM(CG389:CG397)</f>
        <v>599</v>
      </c>
      <c r="CH615" s="46">
        <f t="shared" ref="CH615:CJ615" si="1330">SUM(CH389:CH397)</f>
        <v>405</v>
      </c>
      <c r="CI615" s="46">
        <f t="shared" si="1330"/>
        <v>896</v>
      </c>
      <c r="CJ615" s="46">
        <f t="shared" si="1330"/>
        <v>1026</v>
      </c>
      <c r="CK615" s="95">
        <f>SUM(CK389:CK397)</f>
        <v>752</v>
      </c>
    </row>
    <row r="616" spans="1:89" ht="13" x14ac:dyDescent="0.25">
      <c r="A616" s="91"/>
      <c r="B616" s="96" t="s">
        <v>638</v>
      </c>
      <c r="C616" s="93">
        <f>SUM(C398:C399)+C230</f>
        <v>4457</v>
      </c>
      <c r="D616" s="93">
        <f>SUM(D398:D399)+D230</f>
        <v>3601</v>
      </c>
      <c r="E616" s="89">
        <v>0.61385896180215471</v>
      </c>
      <c r="F616" s="45">
        <f t="shared" ref="F616:CD616" si="1331">SUM(F398:F399)+F230</f>
        <v>0</v>
      </c>
      <c r="G616" s="109">
        <f t="shared" ref="G616" si="1332">SUM(G398:G399)+G230</f>
        <v>0</v>
      </c>
      <c r="H616" s="109">
        <f t="shared" ref="H616:Q616" si="1333">SUM(H398:H399)+H230</f>
        <v>0</v>
      </c>
      <c r="I616" s="109">
        <f t="shared" si="1333"/>
        <v>0</v>
      </c>
      <c r="J616" s="109">
        <f t="shared" ref="J616:K616" si="1334">SUM(J398:J399)+J230</f>
        <v>11</v>
      </c>
      <c r="K616" s="109">
        <f t="shared" si="1334"/>
        <v>0</v>
      </c>
      <c r="L616" s="109">
        <f t="shared" si="1333"/>
        <v>0</v>
      </c>
      <c r="M616" s="109">
        <f t="shared" si="1333"/>
        <v>811</v>
      </c>
      <c r="N616" s="109">
        <f t="shared" si="1333"/>
        <v>0</v>
      </c>
      <c r="O616" s="109">
        <f t="shared" si="1333"/>
        <v>0</v>
      </c>
      <c r="P616" s="46">
        <f t="shared" si="1333"/>
        <v>19</v>
      </c>
      <c r="Q616" s="46">
        <f t="shared" si="1333"/>
        <v>2</v>
      </c>
      <c r="R616" s="46">
        <f t="shared" ref="R616" si="1335">SUM(R398:R399)+R230</f>
        <v>2727</v>
      </c>
      <c r="S616" s="47">
        <f t="shared" si="1331"/>
        <v>0</v>
      </c>
      <c r="T616" s="45">
        <f>SUM(T398:T399)+T230</f>
        <v>744</v>
      </c>
      <c r="U616" s="47">
        <f t="shared" ref="U616:V616" si="1336">SUM(U398:U399)+U230</f>
        <v>2717</v>
      </c>
      <c r="V616" s="45">
        <f t="shared" si="1336"/>
        <v>2793</v>
      </c>
      <c r="W616" s="47">
        <f>SUM(W398:W399)+W230</f>
        <v>684</v>
      </c>
      <c r="X616" s="45">
        <f>SUM(X398:X399)+X230</f>
        <v>752</v>
      </c>
      <c r="Y616" s="47">
        <f>SUM(Y398:Y399)+Y230</f>
        <v>2639</v>
      </c>
      <c r="Z616" s="109">
        <f t="shared" ref="Z616:AE616" si="1337">SUM(Z398:Z399)+Z230</f>
        <v>894</v>
      </c>
      <c r="AA616" s="46">
        <f t="shared" si="1337"/>
        <v>0</v>
      </c>
      <c r="AB616" s="46">
        <f t="shared" si="1337"/>
        <v>121</v>
      </c>
      <c r="AC616" s="46">
        <f t="shared" si="1337"/>
        <v>2500</v>
      </c>
      <c r="AD616" s="46">
        <f t="shared" si="1337"/>
        <v>0</v>
      </c>
      <c r="AE616" s="43">
        <f t="shared" si="1337"/>
        <v>0</v>
      </c>
      <c r="AF616" s="95">
        <f t="shared" si="1331"/>
        <v>0</v>
      </c>
      <c r="AG616" s="109">
        <f t="shared" ref="AG616" si="1338">SUM(AG398:AG399)+AG230</f>
        <v>0</v>
      </c>
      <c r="AH616" s="47">
        <f t="shared" si="1331"/>
        <v>0</v>
      </c>
      <c r="AI616" s="45">
        <f t="shared" si="1331"/>
        <v>2634</v>
      </c>
      <c r="AJ616" s="43">
        <f t="shared" si="1331"/>
        <v>727</v>
      </c>
      <c r="AK616" s="45">
        <f t="shared" ref="AK616" si="1339">SUM(AK398:AK399)+AK230</f>
        <v>2657</v>
      </c>
      <c r="AL616" s="47">
        <f t="shared" si="1331"/>
        <v>726</v>
      </c>
      <c r="AM616" s="45">
        <f t="shared" si="1331"/>
        <v>0</v>
      </c>
      <c r="AN616" s="95">
        <f t="shared" si="1331"/>
        <v>0</v>
      </c>
      <c r="AO616" s="109">
        <f t="shared" ref="AO616" si="1340">SUM(AO398:AO399)+AO230</f>
        <v>0</v>
      </c>
      <c r="AP616" s="47">
        <f t="shared" si="1331"/>
        <v>0</v>
      </c>
      <c r="AQ616" s="45">
        <f t="shared" ref="AQ616" si="1341">SUM(AQ398:AQ399)+AQ230</f>
        <v>0</v>
      </c>
      <c r="AR616" s="95">
        <f t="shared" si="1331"/>
        <v>0</v>
      </c>
      <c r="AS616" s="109">
        <f t="shared" ref="AS616" si="1342">SUM(AS398:AS399)+AS230</f>
        <v>0</v>
      </c>
      <c r="AT616" s="47">
        <f t="shared" si="1331"/>
        <v>0</v>
      </c>
      <c r="AU616" s="45">
        <f t="shared" ref="AU616" si="1343">SUM(AU398:AU399)+AU230</f>
        <v>0</v>
      </c>
      <c r="AV616" s="109">
        <f t="shared" ref="AV616" si="1344">SUM(AV398:AV399)+AV230</f>
        <v>0</v>
      </c>
      <c r="AW616" s="109">
        <f t="shared" si="1331"/>
        <v>0</v>
      </c>
      <c r="AX616" s="45">
        <f t="shared" ref="AX616" si="1345">SUM(AX398:AX399)+AX230</f>
        <v>2707</v>
      </c>
      <c r="AY616" s="47">
        <f t="shared" si="1331"/>
        <v>688</v>
      </c>
      <c r="AZ616" s="45">
        <f t="shared" si="1331"/>
        <v>0</v>
      </c>
      <c r="BA616" s="95">
        <f t="shared" si="1331"/>
        <v>0</v>
      </c>
      <c r="BB616" s="45">
        <f t="shared" ref="BB616" si="1346">SUM(BB398:BB399)+BB230</f>
        <v>2639</v>
      </c>
      <c r="BC616" s="47">
        <f>SUM(BC398:BC399)+BC230</f>
        <v>699</v>
      </c>
      <c r="BD616" s="45">
        <f t="shared" ref="BD616" si="1347">SUM(BD398:BD399)+BD230</f>
        <v>2606</v>
      </c>
      <c r="BE616" s="95">
        <f>SUM(BE398:BE399)+BE230</f>
        <v>705</v>
      </c>
      <c r="BF616" s="109">
        <f t="shared" ref="BF616" si="1348">SUM(BF398:BF399)+BF230</f>
        <v>701</v>
      </c>
      <c r="BG616" s="47">
        <f>SUM(BG398:BG399)+BG230</f>
        <v>2595</v>
      </c>
      <c r="BH616" s="45">
        <f t="shared" ref="BH616" si="1349">SUM(BH398:BH399)+BH230</f>
        <v>2731</v>
      </c>
      <c r="BI616" s="47">
        <f>SUM(BI398:BI399)+BI230</f>
        <v>615</v>
      </c>
      <c r="BJ616" s="109">
        <f t="shared" ref="BJ616:BK616" si="1350">SUM(BJ398:BJ399)+BJ230</f>
        <v>173</v>
      </c>
      <c r="BK616" s="43">
        <f t="shared" si="1350"/>
        <v>2455</v>
      </c>
      <c r="BL616" s="95">
        <f t="shared" si="1331"/>
        <v>724</v>
      </c>
      <c r="BM616" s="109">
        <f t="shared" ref="BM616:BN616" si="1351">SUM(BM398:BM399)+BM230</f>
        <v>763</v>
      </c>
      <c r="BN616" s="46">
        <f t="shared" si="1351"/>
        <v>2462</v>
      </c>
      <c r="BO616" s="47">
        <f t="shared" si="1331"/>
        <v>117</v>
      </c>
      <c r="BP616" s="45">
        <f t="shared" ref="BP616" si="1352">SUM(BP398:BP399)+BP230</f>
        <v>2643</v>
      </c>
      <c r="BQ616" s="47">
        <f t="shared" ref="BQ616" si="1353">SUM(BQ398:BQ399)+BQ230</f>
        <v>684</v>
      </c>
      <c r="BR616" s="45">
        <f t="shared" ref="BR616" si="1354">SUM(BR398:BR399)+BR230</f>
        <v>583</v>
      </c>
      <c r="BS616" s="47">
        <f t="shared" si="1331"/>
        <v>2805</v>
      </c>
      <c r="BT616" s="45">
        <f t="shared" ref="BT616:BU616" si="1355">SUM(BT398:BT399)+BT230</f>
        <v>2507</v>
      </c>
      <c r="BU616" s="43">
        <f t="shared" si="1355"/>
        <v>164</v>
      </c>
      <c r="BV616" s="95">
        <f t="shared" si="1331"/>
        <v>633</v>
      </c>
      <c r="BW616" s="109">
        <f t="shared" ref="BW616" si="1356">SUM(BW398:BW399)+BW230</f>
        <v>757</v>
      </c>
      <c r="BX616" s="47">
        <f t="shared" si="1331"/>
        <v>2685</v>
      </c>
      <c r="BY616" s="45">
        <f t="shared" ref="BY616" si="1357">SUM(BY398:BY399)+BY230</f>
        <v>744</v>
      </c>
      <c r="BZ616" s="95">
        <f t="shared" si="1331"/>
        <v>2531</v>
      </c>
      <c r="CA616" s="109">
        <f t="shared" ref="CA616" si="1358">SUM(CA398:CA399)+CA230</f>
        <v>2559</v>
      </c>
      <c r="CB616" s="47">
        <f t="shared" si="1331"/>
        <v>747</v>
      </c>
      <c r="CC616" s="47">
        <f t="shared" si="1331"/>
        <v>2810</v>
      </c>
      <c r="CD616" s="44">
        <f t="shared" si="1331"/>
        <v>2027</v>
      </c>
      <c r="CE616" s="109">
        <f t="shared" ref="CE616" si="1359">SUM(CE398:CE399)+CE230</f>
        <v>1852</v>
      </c>
      <c r="CF616" s="43">
        <f>SUM(CF398:CF399)+CF230</f>
        <v>877</v>
      </c>
      <c r="CG616" s="45">
        <f>SUM(CG398:CG399)+CG230</f>
        <v>836</v>
      </c>
      <c r="CH616" s="46">
        <f t="shared" ref="CH616:CJ616" si="1360">SUM(CH398:CH399)+CH230</f>
        <v>1283</v>
      </c>
      <c r="CI616" s="46">
        <f t="shared" si="1360"/>
        <v>373</v>
      </c>
      <c r="CJ616" s="46">
        <f t="shared" si="1360"/>
        <v>438</v>
      </c>
      <c r="CK616" s="95">
        <f>SUM(CK398:CK399)+CK230</f>
        <v>2187</v>
      </c>
    </row>
    <row r="617" spans="1:89" ht="13" x14ac:dyDescent="0.25">
      <c r="A617" s="91"/>
      <c r="B617" s="96" t="s">
        <v>639</v>
      </c>
      <c r="C617" s="93">
        <f>SUM(C400:C418)</f>
        <v>20654</v>
      </c>
      <c r="D617" s="93">
        <f>SUM(D400:D418)</f>
        <v>15797</v>
      </c>
      <c r="E617" s="89">
        <v>0.57621281692952686</v>
      </c>
      <c r="F617" s="45">
        <f t="shared" ref="F617:CD617" si="1361">SUM(F400:F418)</f>
        <v>0</v>
      </c>
      <c r="G617" s="109">
        <f t="shared" si="1361"/>
        <v>0</v>
      </c>
      <c r="H617" s="109">
        <f t="shared" ref="H617:Q617" si="1362">SUM(H400:H418)</f>
        <v>0</v>
      </c>
      <c r="I617" s="109">
        <f t="shared" si="1362"/>
        <v>3</v>
      </c>
      <c r="J617" s="109">
        <f t="shared" ref="J617:K617" si="1363">SUM(J400:J418)</f>
        <v>31</v>
      </c>
      <c r="K617" s="109">
        <f t="shared" si="1363"/>
        <v>0</v>
      </c>
      <c r="L617" s="109">
        <f t="shared" si="1362"/>
        <v>0</v>
      </c>
      <c r="M617" s="109">
        <f t="shared" si="1362"/>
        <v>5169</v>
      </c>
      <c r="N617" s="109">
        <f t="shared" si="1362"/>
        <v>0</v>
      </c>
      <c r="O617" s="109">
        <f t="shared" si="1362"/>
        <v>0</v>
      </c>
      <c r="P617" s="46">
        <f t="shared" si="1362"/>
        <v>83</v>
      </c>
      <c r="Q617" s="46">
        <f t="shared" si="1362"/>
        <v>17</v>
      </c>
      <c r="R617" s="46">
        <f t="shared" ref="R617" si="1364">SUM(R400:R418)</f>
        <v>10313</v>
      </c>
      <c r="S617" s="47">
        <f t="shared" si="1361"/>
        <v>0</v>
      </c>
      <c r="T617" s="45">
        <f>SUM(T400:T418)</f>
        <v>4858</v>
      </c>
      <c r="U617" s="47">
        <f t="shared" ref="U617:V617" si="1365">SUM(U400:U418)</f>
        <v>10293</v>
      </c>
      <c r="V617" s="45">
        <f t="shared" si="1365"/>
        <v>10827</v>
      </c>
      <c r="W617" s="47">
        <f>SUM(W400:W418)</f>
        <v>4485</v>
      </c>
      <c r="X617" s="45">
        <f>SUM(X400:X418)</f>
        <v>4971</v>
      </c>
      <c r="Y617" s="47">
        <f>SUM(Y400:Y418)</f>
        <v>9891</v>
      </c>
      <c r="Z617" s="109">
        <f t="shared" ref="Z617:AE617" si="1366">SUM(Z400:Z418)</f>
        <v>5464</v>
      </c>
      <c r="AA617" s="46">
        <f t="shared" si="1366"/>
        <v>0</v>
      </c>
      <c r="AB617" s="46">
        <f t="shared" si="1366"/>
        <v>599</v>
      </c>
      <c r="AC617" s="46">
        <f t="shared" si="1366"/>
        <v>9366</v>
      </c>
      <c r="AD617" s="46">
        <f t="shared" si="1366"/>
        <v>0</v>
      </c>
      <c r="AE617" s="43">
        <f t="shared" si="1366"/>
        <v>0</v>
      </c>
      <c r="AF617" s="95">
        <f t="shared" si="1361"/>
        <v>4</v>
      </c>
      <c r="AG617" s="109">
        <f t="shared" ref="AG617" si="1367">SUM(AG400:AG418)</f>
        <v>5789</v>
      </c>
      <c r="AH617" s="47">
        <f t="shared" si="1361"/>
        <v>9337</v>
      </c>
      <c r="AI617" s="45">
        <f t="shared" si="1361"/>
        <v>0</v>
      </c>
      <c r="AJ617" s="43">
        <f t="shared" si="1361"/>
        <v>0</v>
      </c>
      <c r="AK617" s="45">
        <f t="shared" ref="AK617" si="1368">SUM(AK400:AK418)</f>
        <v>10024</v>
      </c>
      <c r="AL617" s="47">
        <f t="shared" si="1361"/>
        <v>4845</v>
      </c>
      <c r="AM617" s="45">
        <f t="shared" si="1361"/>
        <v>0</v>
      </c>
      <c r="AN617" s="95">
        <f t="shared" si="1361"/>
        <v>0</v>
      </c>
      <c r="AO617" s="109">
        <f t="shared" ref="AO617" si="1369">SUM(AO400:AO418)</f>
        <v>0</v>
      </c>
      <c r="AP617" s="47">
        <f t="shared" si="1361"/>
        <v>0</v>
      </c>
      <c r="AQ617" s="45">
        <f t="shared" ref="AQ617" si="1370">SUM(AQ400:AQ418)</f>
        <v>0</v>
      </c>
      <c r="AR617" s="95">
        <f t="shared" si="1361"/>
        <v>0</v>
      </c>
      <c r="AS617" s="109">
        <f t="shared" ref="AS617" si="1371">SUM(AS400:AS418)</f>
        <v>0</v>
      </c>
      <c r="AT617" s="47">
        <f t="shared" si="1361"/>
        <v>0</v>
      </c>
      <c r="AU617" s="45">
        <f t="shared" ref="AU617:AV617" si="1372">SUM(AU400:AU418)</f>
        <v>0</v>
      </c>
      <c r="AV617" s="109">
        <f t="shared" si="1372"/>
        <v>0</v>
      </c>
      <c r="AW617" s="109">
        <f t="shared" si="1361"/>
        <v>0</v>
      </c>
      <c r="AX617" s="45">
        <f t="shared" ref="AX617" si="1373">SUM(AX400:AX418)</f>
        <v>0</v>
      </c>
      <c r="AY617" s="47">
        <f t="shared" si="1361"/>
        <v>0</v>
      </c>
      <c r="AZ617" s="45">
        <f t="shared" si="1361"/>
        <v>4783</v>
      </c>
      <c r="BA617" s="95">
        <f t="shared" si="1361"/>
        <v>9991</v>
      </c>
      <c r="BB617" s="45">
        <f t="shared" ref="BB617" si="1374">SUM(BB400:BB418)</f>
        <v>10192</v>
      </c>
      <c r="BC617" s="47">
        <f>SUM(BC400:BC418)</f>
        <v>4501</v>
      </c>
      <c r="BD617" s="45">
        <f t="shared" ref="BD617" si="1375">SUM(BD400:BD418)</f>
        <v>9858</v>
      </c>
      <c r="BE617" s="95">
        <f>SUM(BE400:BE418)</f>
        <v>4702</v>
      </c>
      <c r="BF617" s="109">
        <f t="shared" ref="BF617" si="1376">SUM(BF400:BF418)</f>
        <v>4609</v>
      </c>
      <c r="BG617" s="47">
        <f>SUM(BG400:BG418)</f>
        <v>9873</v>
      </c>
      <c r="BH617" s="45">
        <f t="shared" ref="BH617" si="1377">SUM(BH400:BH418)</f>
        <v>10566</v>
      </c>
      <c r="BI617" s="47">
        <f>SUM(BI400:BI418)</f>
        <v>4165</v>
      </c>
      <c r="BJ617" s="109">
        <f t="shared" ref="BJ617:BK617" si="1378">SUM(BJ400:BJ418)</f>
        <v>749</v>
      </c>
      <c r="BK617" s="43">
        <f t="shared" si="1378"/>
        <v>9264</v>
      </c>
      <c r="BL617" s="95">
        <f t="shared" si="1361"/>
        <v>4770</v>
      </c>
      <c r="BM617" s="109">
        <f t="shared" ref="BM617:BN617" si="1379">SUM(BM400:BM418)</f>
        <v>5339</v>
      </c>
      <c r="BN617" s="46">
        <f t="shared" si="1379"/>
        <v>8973</v>
      </c>
      <c r="BO617" s="47">
        <f t="shared" si="1361"/>
        <v>537</v>
      </c>
      <c r="BP617" s="45">
        <f t="shared" ref="BP617" si="1380">SUM(BP400:BP418)</f>
        <v>10085</v>
      </c>
      <c r="BQ617" s="47">
        <f t="shared" ref="BQ617:BR617" si="1381">SUM(BQ400:BQ418)</f>
        <v>4600</v>
      </c>
      <c r="BR617" s="45">
        <f t="shared" si="1381"/>
        <v>4042</v>
      </c>
      <c r="BS617" s="47">
        <f t="shared" si="1361"/>
        <v>10902</v>
      </c>
      <c r="BT617" s="45">
        <f t="shared" ref="BT617:BU617" si="1382">SUM(BT400:BT418)</f>
        <v>9468</v>
      </c>
      <c r="BU617" s="43">
        <f t="shared" si="1382"/>
        <v>782</v>
      </c>
      <c r="BV617" s="95">
        <f t="shared" si="1361"/>
        <v>4315</v>
      </c>
      <c r="BW617" s="109">
        <f t="shared" ref="BW617" si="1383">SUM(BW400:BW418)</f>
        <v>4773</v>
      </c>
      <c r="BX617" s="47">
        <f t="shared" si="1361"/>
        <v>10356</v>
      </c>
      <c r="BY617" s="45">
        <f t="shared" ref="BY617" si="1384">SUM(BY400:BY418)</f>
        <v>4976</v>
      </c>
      <c r="BZ617" s="95">
        <f t="shared" si="1361"/>
        <v>9486</v>
      </c>
      <c r="CA617" s="109">
        <f t="shared" ref="CA617" si="1385">SUM(CA400:CA418)</f>
        <v>9605</v>
      </c>
      <c r="CB617" s="47">
        <f t="shared" si="1361"/>
        <v>4994</v>
      </c>
      <c r="CC617" s="47">
        <f t="shared" si="1361"/>
        <v>11670</v>
      </c>
      <c r="CD617" s="44">
        <f t="shared" si="1361"/>
        <v>9849</v>
      </c>
      <c r="CE617" s="109">
        <f t="shared" ref="CE617" si="1386">SUM(CE400:CE418)</f>
        <v>7808</v>
      </c>
      <c r="CF617" s="43">
        <f>SUM(CF400:CF418)</f>
        <v>4517</v>
      </c>
      <c r="CG617" s="45">
        <f>SUM(CG400:CG418)</f>
        <v>3625</v>
      </c>
      <c r="CH617" s="46">
        <f t="shared" ref="CH617:CJ617" si="1387">SUM(CH400:CH418)</f>
        <v>6187</v>
      </c>
      <c r="CI617" s="46">
        <f t="shared" si="1387"/>
        <v>2134</v>
      </c>
      <c r="CJ617" s="46">
        <f t="shared" si="1387"/>
        <v>2670</v>
      </c>
      <c r="CK617" s="95">
        <f>SUM(CK400:CK418)</f>
        <v>8866</v>
      </c>
    </row>
    <row r="618" spans="1:89" ht="13" x14ac:dyDescent="0.25">
      <c r="A618" s="91"/>
      <c r="B618" s="96" t="s">
        <v>640</v>
      </c>
      <c r="C618" s="93">
        <f>SUM(C428:C470)</f>
        <v>46121</v>
      </c>
      <c r="D618" s="93">
        <f>SUM(D428:D470)</f>
        <v>36571</v>
      </c>
      <c r="E618" s="89">
        <v>0.619247886070316</v>
      </c>
      <c r="F618" s="45">
        <f t="shared" ref="F618:CD618" si="1388">SUM(F428:F470)</f>
        <v>0</v>
      </c>
      <c r="G618" s="109">
        <f t="shared" si="1388"/>
        <v>0</v>
      </c>
      <c r="H618" s="109">
        <f t="shared" ref="H618:Q618" si="1389">SUM(H428:H470)</f>
        <v>0</v>
      </c>
      <c r="I618" s="109">
        <f t="shared" si="1389"/>
        <v>11</v>
      </c>
      <c r="J618" s="109">
        <f t="shared" ref="J618:K618" si="1390">SUM(J428:J470)</f>
        <v>67</v>
      </c>
      <c r="K618" s="109">
        <f t="shared" si="1390"/>
        <v>0</v>
      </c>
      <c r="L618" s="109">
        <f t="shared" si="1389"/>
        <v>1</v>
      </c>
      <c r="M618" s="109">
        <f t="shared" si="1389"/>
        <v>11923</v>
      </c>
      <c r="N618" s="109">
        <f t="shared" si="1389"/>
        <v>0</v>
      </c>
      <c r="O618" s="109">
        <f t="shared" si="1389"/>
        <v>0</v>
      </c>
      <c r="P618" s="46">
        <f t="shared" si="1389"/>
        <v>222</v>
      </c>
      <c r="Q618" s="46">
        <f t="shared" si="1389"/>
        <v>70</v>
      </c>
      <c r="R618" s="46">
        <f t="shared" ref="R618" si="1391">SUM(R428:R470)</f>
        <v>23792</v>
      </c>
      <c r="S618" s="47">
        <f t="shared" si="1388"/>
        <v>1</v>
      </c>
      <c r="T618" s="45">
        <f>SUM(T428:T470)</f>
        <v>10943</v>
      </c>
      <c r="U618" s="47">
        <f t="shared" ref="U618:V618" si="1392">SUM(U428:U470)</f>
        <v>24202</v>
      </c>
      <c r="V618" s="45">
        <f t="shared" si="1392"/>
        <v>25320</v>
      </c>
      <c r="W618" s="47">
        <f>SUM(W428:W470)</f>
        <v>10118</v>
      </c>
      <c r="X618" s="45">
        <f>SUM(X428:X470)</f>
        <v>11128</v>
      </c>
      <c r="Y618" s="47">
        <f>SUM(Y428:Y470)</f>
        <v>23449</v>
      </c>
      <c r="Z618" s="109">
        <f t="shared" ref="Z618:AE618" si="1393">SUM(Z428:Z470)</f>
        <v>12537</v>
      </c>
      <c r="AA618" s="46">
        <f t="shared" si="1393"/>
        <v>0</v>
      </c>
      <c r="AB618" s="46">
        <f t="shared" si="1393"/>
        <v>1266</v>
      </c>
      <c r="AC618" s="46">
        <f t="shared" si="1393"/>
        <v>21986</v>
      </c>
      <c r="AD618" s="46">
        <f t="shared" si="1393"/>
        <v>0</v>
      </c>
      <c r="AE618" s="43">
        <f t="shared" si="1393"/>
        <v>0</v>
      </c>
      <c r="AF618" s="95">
        <f t="shared" si="1388"/>
        <v>1</v>
      </c>
      <c r="AG618" s="109">
        <f t="shared" ref="AG618" si="1394">SUM(AG428:AG470)</f>
        <v>0</v>
      </c>
      <c r="AH618" s="47">
        <f t="shared" si="1388"/>
        <v>0</v>
      </c>
      <c r="AI618" s="45">
        <f t="shared" si="1388"/>
        <v>23584</v>
      </c>
      <c r="AJ618" s="43">
        <f t="shared" si="1388"/>
        <v>10864</v>
      </c>
      <c r="AK618" s="45">
        <f t="shared" ref="AK618" si="1395">SUM(AK428:AK470)</f>
        <v>23805</v>
      </c>
      <c r="AL618" s="47">
        <f t="shared" si="1388"/>
        <v>10772</v>
      </c>
      <c r="AM618" s="45">
        <f t="shared" si="1388"/>
        <v>0</v>
      </c>
      <c r="AN618" s="95">
        <f t="shared" si="1388"/>
        <v>0</v>
      </c>
      <c r="AO618" s="109">
        <f t="shared" ref="AO618" si="1396">SUM(AO428:AO470)</f>
        <v>0</v>
      </c>
      <c r="AP618" s="47">
        <f t="shared" si="1388"/>
        <v>0</v>
      </c>
      <c r="AQ618" s="45">
        <f t="shared" ref="AQ618" si="1397">SUM(AQ428:AQ470)</f>
        <v>0</v>
      </c>
      <c r="AR618" s="95">
        <f t="shared" si="1388"/>
        <v>0</v>
      </c>
      <c r="AS618" s="109">
        <f t="shared" ref="AS618" si="1398">SUM(AS428:AS470)</f>
        <v>0</v>
      </c>
      <c r="AT618" s="47">
        <f t="shared" si="1388"/>
        <v>0</v>
      </c>
      <c r="AU618" s="45">
        <f t="shared" ref="AU618:AV618" si="1399">SUM(AU428:AU470)</f>
        <v>0</v>
      </c>
      <c r="AV618" s="109">
        <f t="shared" si="1399"/>
        <v>0</v>
      </c>
      <c r="AW618" s="109">
        <f t="shared" si="1388"/>
        <v>0</v>
      </c>
      <c r="AX618" s="45">
        <f t="shared" ref="AX618" si="1400">SUM(AX428:AX470)</f>
        <v>0</v>
      </c>
      <c r="AY618" s="47">
        <f t="shared" si="1388"/>
        <v>0</v>
      </c>
      <c r="AZ618" s="45">
        <f t="shared" si="1388"/>
        <v>10740</v>
      </c>
      <c r="BA618" s="95">
        <f t="shared" si="1388"/>
        <v>23689</v>
      </c>
      <c r="BB618" s="45">
        <f t="shared" ref="BB618" si="1401">SUM(BB428:BB470)</f>
        <v>23895</v>
      </c>
      <c r="BC618" s="47">
        <f>SUM(BC428:BC470)</f>
        <v>10167</v>
      </c>
      <c r="BD618" s="45">
        <f t="shared" ref="BD618" si="1402">SUM(BD428:BD470)</f>
        <v>23335</v>
      </c>
      <c r="BE618" s="95">
        <f>SUM(BE428:BE470)</f>
        <v>10536</v>
      </c>
      <c r="BF618" s="109">
        <f t="shared" ref="BF618" si="1403">SUM(BF428:BF470)</f>
        <v>10427</v>
      </c>
      <c r="BG618" s="47">
        <f>SUM(BG428:BG470)</f>
        <v>23241</v>
      </c>
      <c r="BH618" s="45">
        <f t="shared" ref="BH618" si="1404">SUM(BH428:BH470)</f>
        <v>24837</v>
      </c>
      <c r="BI618" s="47">
        <f>SUM(BI428:BI470)</f>
        <v>9401</v>
      </c>
      <c r="BJ618" s="109">
        <f t="shared" ref="BJ618:BK618" si="1405">SUM(BJ428:BJ470)</f>
        <v>1511</v>
      </c>
      <c r="BK618" s="43">
        <f t="shared" si="1405"/>
        <v>22049</v>
      </c>
      <c r="BL618" s="95">
        <f t="shared" si="1388"/>
        <v>10805</v>
      </c>
      <c r="BM618" s="109">
        <f t="shared" ref="BM618:BN618" si="1406">SUM(BM428:BM470)</f>
        <v>11988</v>
      </c>
      <c r="BN618" s="46">
        <f t="shared" si="1406"/>
        <v>21419</v>
      </c>
      <c r="BO618" s="47">
        <f t="shared" si="1388"/>
        <v>1069</v>
      </c>
      <c r="BP618" s="45">
        <f t="shared" ref="BP618" si="1407">SUM(BP428:BP470)</f>
        <v>23811</v>
      </c>
      <c r="BQ618" s="47">
        <f t="shared" ref="BQ618:BR618" si="1408">SUM(BQ428:BQ470)</f>
        <v>10320</v>
      </c>
      <c r="BR618" s="45">
        <f t="shared" si="1408"/>
        <v>9142</v>
      </c>
      <c r="BS618" s="47">
        <f t="shared" si="1388"/>
        <v>25568</v>
      </c>
      <c r="BT618" s="45">
        <f t="shared" ref="BT618:BU618" si="1409">SUM(BT428:BT470)</f>
        <v>22408</v>
      </c>
      <c r="BU618" s="43">
        <f t="shared" si="1409"/>
        <v>1533</v>
      </c>
      <c r="BV618" s="95">
        <f t="shared" si="1388"/>
        <v>9916</v>
      </c>
      <c r="BW618" s="109">
        <f t="shared" ref="BW618" si="1410">SUM(BW428:BW470)</f>
        <v>10980</v>
      </c>
      <c r="BX618" s="47">
        <f t="shared" si="1388"/>
        <v>24029</v>
      </c>
      <c r="BY618" s="45">
        <f t="shared" ref="BY618" si="1411">SUM(BY428:BY470)</f>
        <v>11077</v>
      </c>
      <c r="BZ618" s="95">
        <f t="shared" si="1388"/>
        <v>22495</v>
      </c>
      <c r="CA618" s="109">
        <f t="shared" ref="CA618" si="1412">SUM(CA428:CA470)</f>
        <v>22673</v>
      </c>
      <c r="CB618" s="47">
        <f t="shared" si="1388"/>
        <v>11283</v>
      </c>
      <c r="CC618" s="47">
        <f t="shared" si="1388"/>
        <v>27133</v>
      </c>
      <c r="CD618" s="44">
        <f t="shared" si="1388"/>
        <v>22552</v>
      </c>
      <c r="CE618" s="109">
        <f t="shared" ref="CE618" si="1413">SUM(CE428:CE470)</f>
        <v>19561</v>
      </c>
      <c r="CF618" s="43">
        <f>SUM(CF428:CF470)</f>
        <v>9563</v>
      </c>
      <c r="CG618" s="45">
        <f>SUM(CG428:CG470)</f>
        <v>8445</v>
      </c>
      <c r="CH618" s="46">
        <f t="shared" ref="CH618:CJ618" si="1414">SUM(CH428:CH470)</f>
        <v>13933</v>
      </c>
      <c r="CI618" s="46">
        <f t="shared" si="1414"/>
        <v>5074</v>
      </c>
      <c r="CJ618" s="46">
        <f t="shared" si="1414"/>
        <v>6235</v>
      </c>
      <c r="CK618" s="95">
        <f>SUM(CK428:CK470)</f>
        <v>21489</v>
      </c>
    </row>
    <row r="619" spans="1:89" ht="13" x14ac:dyDescent="0.25">
      <c r="A619" s="91"/>
      <c r="B619" s="96" t="s">
        <v>641</v>
      </c>
      <c r="C619" s="93">
        <f>SUM(C225:C229)+SUM(C474:C476)</f>
        <v>10509</v>
      </c>
      <c r="D619" s="93">
        <f>SUM(D225:D229)+SUM(D474:D476)</f>
        <v>7617</v>
      </c>
      <c r="E619" s="89">
        <v>0.5242239628662605</v>
      </c>
      <c r="F619" s="45">
        <f t="shared" ref="F619:CD619" si="1415">SUM(F225:F229)+SUM(F474:F476)</f>
        <v>0</v>
      </c>
      <c r="G619" s="109">
        <f t="shared" ref="G619" si="1416">SUM(G225:G229)+SUM(G474:G476)</f>
        <v>0</v>
      </c>
      <c r="H619" s="109">
        <f t="shared" ref="H619:Q619" si="1417">SUM(H225:H229)+SUM(H474:H476)</f>
        <v>0</v>
      </c>
      <c r="I619" s="109">
        <f t="shared" si="1417"/>
        <v>0</v>
      </c>
      <c r="J619" s="109">
        <f t="shared" ref="J619:K619" si="1418">SUM(J225:J229)+SUM(J474:J476)</f>
        <v>17</v>
      </c>
      <c r="K619" s="109">
        <f t="shared" si="1418"/>
        <v>0</v>
      </c>
      <c r="L619" s="109">
        <f t="shared" si="1417"/>
        <v>0</v>
      </c>
      <c r="M619" s="109">
        <f t="shared" si="1417"/>
        <v>1557</v>
      </c>
      <c r="N619" s="109">
        <f t="shared" si="1417"/>
        <v>0</v>
      </c>
      <c r="O619" s="109">
        <f t="shared" si="1417"/>
        <v>0</v>
      </c>
      <c r="P619" s="46">
        <f t="shared" si="1417"/>
        <v>53</v>
      </c>
      <c r="Q619" s="46">
        <f t="shared" si="1417"/>
        <v>8</v>
      </c>
      <c r="R619" s="46">
        <f t="shared" ref="R619" si="1419">SUM(R225:R229)+SUM(R474:R476)</f>
        <v>5936</v>
      </c>
      <c r="S619" s="47">
        <f t="shared" si="1415"/>
        <v>0</v>
      </c>
      <c r="T619" s="45">
        <f>SUM(T225:T229)+SUM(T474:T476)</f>
        <v>1462</v>
      </c>
      <c r="U619" s="47">
        <f t="shared" ref="U619:V619" si="1420">SUM(U225:U229)+SUM(U474:U476)</f>
        <v>5838</v>
      </c>
      <c r="V619" s="45">
        <f t="shared" si="1420"/>
        <v>5941</v>
      </c>
      <c r="W619" s="47">
        <f>SUM(W225:W229)+SUM(W474:W476)</f>
        <v>1415</v>
      </c>
      <c r="X619" s="45">
        <f>SUM(X225:X229)+SUM(X474:X476)</f>
        <v>1542</v>
      </c>
      <c r="Y619" s="47">
        <f>SUM(Y225:Y229)+SUM(Y474:Y476)</f>
        <v>5605</v>
      </c>
      <c r="Z619" s="109">
        <f t="shared" ref="Z619:AE619" si="1421">SUM(Z225:Z229)+SUM(Z474:Z476)</f>
        <v>1787</v>
      </c>
      <c r="AA619" s="46">
        <f t="shared" si="1421"/>
        <v>0</v>
      </c>
      <c r="AB619" s="46">
        <f t="shared" si="1421"/>
        <v>340</v>
      </c>
      <c r="AC619" s="46">
        <f t="shared" si="1421"/>
        <v>5307</v>
      </c>
      <c r="AD619" s="46">
        <f t="shared" si="1421"/>
        <v>0</v>
      </c>
      <c r="AE619" s="43">
        <f t="shared" si="1421"/>
        <v>0</v>
      </c>
      <c r="AF619" s="95">
        <f t="shared" si="1415"/>
        <v>0</v>
      </c>
      <c r="AG619" s="109">
        <f t="shared" ref="AG619" si="1422">SUM(AG225:AG229)+SUM(AG474:AG476)</f>
        <v>0</v>
      </c>
      <c r="AH619" s="47">
        <f t="shared" si="1415"/>
        <v>0</v>
      </c>
      <c r="AI619" s="45">
        <f t="shared" si="1415"/>
        <v>5665</v>
      </c>
      <c r="AJ619" s="43">
        <f t="shared" si="1415"/>
        <v>1492</v>
      </c>
      <c r="AK619" s="45">
        <f t="shared" ref="AK619" si="1423">SUM(AK225:AK229)+SUM(AK474:AK476)</f>
        <v>5717</v>
      </c>
      <c r="AL619" s="47">
        <f t="shared" si="1415"/>
        <v>1454</v>
      </c>
      <c r="AM619" s="45">
        <f t="shared" si="1415"/>
        <v>0</v>
      </c>
      <c r="AN619" s="95">
        <f t="shared" si="1415"/>
        <v>0</v>
      </c>
      <c r="AO619" s="109">
        <f t="shared" ref="AO619" si="1424">SUM(AO225:AO229)+SUM(AO474:AO476)</f>
        <v>0</v>
      </c>
      <c r="AP619" s="47">
        <f t="shared" si="1415"/>
        <v>0</v>
      </c>
      <c r="AQ619" s="45">
        <f t="shared" ref="AQ619" si="1425">SUM(AQ225:AQ229)+SUM(AQ474:AQ476)</f>
        <v>0</v>
      </c>
      <c r="AR619" s="95">
        <f t="shared" si="1415"/>
        <v>0</v>
      </c>
      <c r="AS619" s="109">
        <f t="shared" ref="AS619" si="1426">SUM(AS225:AS229)+SUM(AS474:AS476)</f>
        <v>0</v>
      </c>
      <c r="AT619" s="47">
        <f t="shared" si="1415"/>
        <v>0</v>
      </c>
      <c r="AU619" s="45">
        <f t="shared" ref="AU619" si="1427">SUM(AU225:AU229)+SUM(AU474:AU476)</f>
        <v>0</v>
      </c>
      <c r="AV619" s="109">
        <f t="shared" ref="AV619" si="1428">SUM(AV225:AV229)+SUM(AV474:AV476)</f>
        <v>0</v>
      </c>
      <c r="AW619" s="109">
        <f t="shared" si="1415"/>
        <v>0</v>
      </c>
      <c r="AX619" s="45">
        <f t="shared" ref="AX619" si="1429">SUM(AX225:AX229)+SUM(AX474:AX476)</f>
        <v>5740</v>
      </c>
      <c r="AY619" s="47">
        <f t="shared" si="1415"/>
        <v>1483</v>
      </c>
      <c r="AZ619" s="45">
        <f t="shared" si="1415"/>
        <v>0</v>
      </c>
      <c r="BA619" s="95">
        <f t="shared" si="1415"/>
        <v>0</v>
      </c>
      <c r="BB619" s="45">
        <f t="shared" ref="BB619" si="1430">SUM(BB225:BB229)+SUM(BB474:BB476)</f>
        <v>5682</v>
      </c>
      <c r="BC619" s="47">
        <f>SUM(BC225:BC229)+SUM(BC474:BC476)</f>
        <v>1403</v>
      </c>
      <c r="BD619" s="45">
        <f t="shared" ref="BD619" si="1431">SUM(BD225:BD229)+SUM(BD474:BD476)</f>
        <v>5553</v>
      </c>
      <c r="BE619" s="95">
        <f>SUM(BE225:BE229)+SUM(BE474:BE476)</f>
        <v>1450</v>
      </c>
      <c r="BF619" s="109">
        <f t="shared" ref="BF619" si="1432">SUM(BF225:BF229)+SUM(BF474:BF476)</f>
        <v>1443</v>
      </c>
      <c r="BG619" s="47">
        <f>SUM(BG225:BG229)+SUM(BG474:BG476)</f>
        <v>5515</v>
      </c>
      <c r="BH619" s="45">
        <f t="shared" ref="BH619" si="1433">SUM(BH225:BH229)+SUM(BH474:BH476)</f>
        <v>5783</v>
      </c>
      <c r="BI619" s="47">
        <f>SUM(BI225:BI229)+SUM(BI474:BI476)</f>
        <v>1298</v>
      </c>
      <c r="BJ619" s="109">
        <f t="shared" ref="BJ619:BK619" si="1434">SUM(BJ225:BJ229)+SUM(BJ474:BJ476)</f>
        <v>364</v>
      </c>
      <c r="BK619" s="43">
        <f t="shared" si="1434"/>
        <v>5252</v>
      </c>
      <c r="BL619" s="95">
        <f t="shared" si="1415"/>
        <v>1514</v>
      </c>
      <c r="BM619" s="109">
        <f t="shared" ref="BM619:BN619" si="1435">SUM(BM225:BM229)+SUM(BM474:BM476)</f>
        <v>1571</v>
      </c>
      <c r="BN619" s="46">
        <f t="shared" si="1435"/>
        <v>5268</v>
      </c>
      <c r="BO619" s="47">
        <f t="shared" si="1415"/>
        <v>244</v>
      </c>
      <c r="BP619" s="45">
        <f t="shared" ref="BP619" si="1436">SUM(BP225:BP229)+SUM(BP474:BP476)</f>
        <v>5624</v>
      </c>
      <c r="BQ619" s="47">
        <f t="shared" ref="BQ619" si="1437">SUM(BQ225:BQ229)+SUM(BQ474:BQ476)</f>
        <v>1439</v>
      </c>
      <c r="BR619" s="45">
        <f t="shared" ref="BR619" si="1438">SUM(BR225:BR229)+SUM(BR474:BR476)</f>
        <v>1253</v>
      </c>
      <c r="BS619" s="47">
        <f t="shared" si="1415"/>
        <v>5936</v>
      </c>
      <c r="BT619" s="45">
        <f t="shared" ref="BT619:BU619" si="1439">SUM(BT225:BT229)+SUM(BT474:BT476)</f>
        <v>5370</v>
      </c>
      <c r="BU619" s="43">
        <f t="shared" si="1439"/>
        <v>351</v>
      </c>
      <c r="BV619" s="95">
        <f t="shared" si="1415"/>
        <v>1293</v>
      </c>
      <c r="BW619" s="109">
        <f t="shared" ref="BW619" si="1440">SUM(BW225:BW229)+SUM(BW474:BW476)</f>
        <v>1571</v>
      </c>
      <c r="BX619" s="47">
        <f t="shared" si="1415"/>
        <v>5725</v>
      </c>
      <c r="BY619" s="45">
        <f t="shared" ref="BY619" si="1441">SUM(BY225:BY229)+SUM(BY474:BY476)</f>
        <v>1485</v>
      </c>
      <c r="BZ619" s="95">
        <f t="shared" si="1415"/>
        <v>5441</v>
      </c>
      <c r="CA619" s="109">
        <f t="shared" ref="CA619" si="1442">SUM(CA225:CA229)+SUM(CA474:CA476)</f>
        <v>5475</v>
      </c>
      <c r="CB619" s="47">
        <f t="shared" si="1415"/>
        <v>1540</v>
      </c>
      <c r="CC619" s="47">
        <f t="shared" si="1415"/>
        <v>5951</v>
      </c>
      <c r="CD619" s="44">
        <f t="shared" si="1415"/>
        <v>4332</v>
      </c>
      <c r="CE619" s="109">
        <f t="shared" ref="CE619" si="1443">SUM(CE225:CE229)+SUM(CE474:CE476)</f>
        <v>3720</v>
      </c>
      <c r="CF619" s="43">
        <f>SUM(CF225:CF229)+SUM(CF474:CF476)</f>
        <v>1981</v>
      </c>
      <c r="CG619" s="45">
        <f>SUM(CG225:CG229)+SUM(CG474:CG476)</f>
        <v>1750</v>
      </c>
      <c r="CH619" s="46">
        <f t="shared" ref="CH619:CJ619" si="1444">SUM(CH225:CH229)+SUM(CH474:CH476)</f>
        <v>2404</v>
      </c>
      <c r="CI619" s="46">
        <f t="shared" si="1444"/>
        <v>710</v>
      </c>
      <c r="CJ619" s="46">
        <f t="shared" si="1444"/>
        <v>991</v>
      </c>
      <c r="CK619" s="95">
        <f>SUM(CK225:CK229)+SUM(CK474:CK476)</f>
        <v>4596</v>
      </c>
    </row>
    <row r="620" spans="1:89" ht="13" x14ac:dyDescent="0.25">
      <c r="A620" s="91"/>
      <c r="B620" s="96" t="s">
        <v>642</v>
      </c>
      <c r="C620" s="98">
        <f>SUM(C483:C494)</f>
        <v>12578</v>
      </c>
      <c r="D620" s="98">
        <f>SUM(D483:D494)</f>
        <v>10145</v>
      </c>
      <c r="E620" s="89">
        <v>0.6241588708353849</v>
      </c>
      <c r="F620" s="45">
        <f t="shared" ref="F620:CD620" si="1445">SUM(F483:F494)</f>
        <v>0</v>
      </c>
      <c r="G620" s="109">
        <f t="shared" si="1445"/>
        <v>0</v>
      </c>
      <c r="H620" s="109">
        <f t="shared" ref="H620:Q620" si="1446">SUM(H483:H494)</f>
        <v>0</v>
      </c>
      <c r="I620" s="109">
        <f t="shared" si="1446"/>
        <v>0</v>
      </c>
      <c r="J620" s="109">
        <f t="shared" ref="J620:K620" si="1447">SUM(J483:J494)</f>
        <v>25</v>
      </c>
      <c r="K620" s="109">
        <f t="shared" si="1447"/>
        <v>0</v>
      </c>
      <c r="L620" s="109">
        <f t="shared" si="1446"/>
        <v>0</v>
      </c>
      <c r="M620" s="109">
        <f t="shared" si="1446"/>
        <v>2269</v>
      </c>
      <c r="N620" s="109">
        <f t="shared" si="1446"/>
        <v>0</v>
      </c>
      <c r="O620" s="109">
        <f t="shared" si="1446"/>
        <v>0</v>
      </c>
      <c r="P620" s="46">
        <f t="shared" si="1446"/>
        <v>46</v>
      </c>
      <c r="Q620" s="46">
        <f t="shared" si="1446"/>
        <v>12</v>
      </c>
      <c r="R620" s="46">
        <f t="shared" ref="R620" si="1448">SUM(R483:R494)</f>
        <v>7662</v>
      </c>
      <c r="S620" s="47">
        <f t="shared" si="1445"/>
        <v>0</v>
      </c>
      <c r="T620" s="45">
        <f>SUM(T483:T494)</f>
        <v>2058</v>
      </c>
      <c r="U620" s="47">
        <f t="shared" ref="U620:V620" si="1449">SUM(U483:U494)</f>
        <v>7686</v>
      </c>
      <c r="V620" s="45">
        <f t="shared" si="1449"/>
        <v>7941</v>
      </c>
      <c r="W620" s="47">
        <f>SUM(W483:W494)</f>
        <v>1900</v>
      </c>
      <c r="X620" s="45">
        <f>SUM(X483:X494)</f>
        <v>2079</v>
      </c>
      <c r="Y620" s="47">
        <f>SUM(Y483:Y494)</f>
        <v>7495</v>
      </c>
      <c r="Z620" s="109">
        <f t="shared" ref="Z620:AE620" si="1450">SUM(Z483:Z494)</f>
        <v>2474</v>
      </c>
      <c r="AA620" s="46">
        <f t="shared" si="1450"/>
        <v>1</v>
      </c>
      <c r="AB620" s="46">
        <f t="shared" si="1450"/>
        <v>322</v>
      </c>
      <c r="AC620" s="46">
        <f t="shared" si="1450"/>
        <v>7102</v>
      </c>
      <c r="AD620" s="46">
        <f t="shared" si="1450"/>
        <v>0</v>
      </c>
      <c r="AE620" s="43">
        <f t="shared" si="1450"/>
        <v>0</v>
      </c>
      <c r="AF620" s="95">
        <f t="shared" si="1445"/>
        <v>0</v>
      </c>
      <c r="AG620" s="109">
        <f t="shared" ref="AG620" si="1451">SUM(AG483:AG494)</f>
        <v>0</v>
      </c>
      <c r="AH620" s="47">
        <f t="shared" si="1445"/>
        <v>0</v>
      </c>
      <c r="AI620" s="45">
        <f t="shared" si="1445"/>
        <v>7519</v>
      </c>
      <c r="AJ620" s="43">
        <f t="shared" si="1445"/>
        <v>2042</v>
      </c>
      <c r="AK620" s="45">
        <f t="shared" ref="AK620" si="1452">SUM(AK483:AK494)</f>
        <v>7531</v>
      </c>
      <c r="AL620" s="47">
        <f t="shared" si="1445"/>
        <v>2031</v>
      </c>
      <c r="AM620" s="45">
        <f t="shared" si="1445"/>
        <v>0</v>
      </c>
      <c r="AN620" s="95">
        <f t="shared" si="1445"/>
        <v>0</v>
      </c>
      <c r="AO620" s="109">
        <f t="shared" ref="AO620" si="1453">SUM(AO483:AO494)</f>
        <v>0</v>
      </c>
      <c r="AP620" s="47">
        <f t="shared" si="1445"/>
        <v>0</v>
      </c>
      <c r="AQ620" s="45">
        <f t="shared" ref="AQ620" si="1454">SUM(AQ483:AQ494)</f>
        <v>0</v>
      </c>
      <c r="AR620" s="95">
        <f t="shared" si="1445"/>
        <v>0</v>
      </c>
      <c r="AS620" s="109">
        <f t="shared" ref="AS620" si="1455">SUM(AS483:AS494)</f>
        <v>0</v>
      </c>
      <c r="AT620" s="47">
        <f t="shared" si="1445"/>
        <v>0</v>
      </c>
      <c r="AU620" s="45">
        <f t="shared" ref="AU620:AV620" si="1456">SUM(AU483:AU494)</f>
        <v>0</v>
      </c>
      <c r="AV620" s="109">
        <f t="shared" si="1456"/>
        <v>0</v>
      </c>
      <c r="AW620" s="109">
        <f t="shared" si="1445"/>
        <v>0</v>
      </c>
      <c r="AX620" s="45">
        <f t="shared" ref="AX620" si="1457">SUM(AX483:AX494)</f>
        <v>0</v>
      </c>
      <c r="AY620" s="47">
        <f t="shared" si="1445"/>
        <v>0</v>
      </c>
      <c r="AZ620" s="45">
        <f t="shared" si="1445"/>
        <v>1997</v>
      </c>
      <c r="BA620" s="95">
        <f t="shared" si="1445"/>
        <v>7538</v>
      </c>
      <c r="BB620" s="45">
        <f t="shared" ref="BB620" si="1458">SUM(BB483:BB494)</f>
        <v>7559</v>
      </c>
      <c r="BC620" s="47">
        <f>SUM(BC483:BC494)</f>
        <v>1891</v>
      </c>
      <c r="BD620" s="45">
        <f t="shared" ref="BD620" si="1459">SUM(BD483:BD494)</f>
        <v>7432</v>
      </c>
      <c r="BE620" s="95">
        <f>SUM(BE483:BE494)</f>
        <v>1967</v>
      </c>
      <c r="BF620" s="109">
        <f t="shared" ref="BF620" si="1460">SUM(BF483:BF494)</f>
        <v>1950</v>
      </c>
      <c r="BG620" s="47">
        <f>SUM(BG483:BG494)</f>
        <v>7400</v>
      </c>
      <c r="BH620" s="45">
        <f t="shared" ref="BH620" si="1461">SUM(BH483:BH494)</f>
        <v>7823</v>
      </c>
      <c r="BI620" s="47">
        <f>SUM(BI483:BI494)</f>
        <v>1698</v>
      </c>
      <c r="BJ620" s="109">
        <f t="shared" ref="BJ620:BK620" si="1462">SUM(BJ483:BJ494)</f>
        <v>402</v>
      </c>
      <c r="BK620" s="43">
        <f t="shared" si="1462"/>
        <v>7048</v>
      </c>
      <c r="BL620" s="95">
        <f t="shared" si="1445"/>
        <v>2072</v>
      </c>
      <c r="BM620" s="109">
        <f t="shared" ref="BM620:BN620" si="1463">SUM(BM483:BM494)</f>
        <v>2477</v>
      </c>
      <c r="BN620" s="46">
        <f t="shared" si="1463"/>
        <v>6824</v>
      </c>
      <c r="BO620" s="47">
        <f t="shared" si="1445"/>
        <v>257</v>
      </c>
      <c r="BP620" s="45">
        <f t="shared" ref="BP620" si="1464">SUM(BP483:BP494)</f>
        <v>7582</v>
      </c>
      <c r="BQ620" s="47">
        <f t="shared" ref="BQ620:BR620" si="1465">SUM(BQ483:BQ494)</f>
        <v>1905</v>
      </c>
      <c r="BR620" s="45">
        <f t="shared" si="1465"/>
        <v>1688</v>
      </c>
      <c r="BS620" s="47">
        <f t="shared" si="1445"/>
        <v>7950</v>
      </c>
      <c r="BT620" s="45">
        <f t="shared" ref="BT620:BU620" si="1466">SUM(BT483:BT494)</f>
        <v>7190</v>
      </c>
      <c r="BU620" s="43">
        <f t="shared" si="1466"/>
        <v>373</v>
      </c>
      <c r="BV620" s="95">
        <f t="shared" si="1445"/>
        <v>1823</v>
      </c>
      <c r="BW620" s="109">
        <f t="shared" ref="BW620" si="1467">SUM(BW483:BW494)</f>
        <v>2101</v>
      </c>
      <c r="BX620" s="47">
        <f t="shared" si="1445"/>
        <v>7681</v>
      </c>
      <c r="BY620" s="45">
        <f t="shared" ref="BY620" si="1468">SUM(BY483:BY494)</f>
        <v>2060</v>
      </c>
      <c r="BZ620" s="95">
        <f t="shared" si="1445"/>
        <v>7266</v>
      </c>
      <c r="CA620" s="109">
        <f t="shared" ref="CA620" si="1469">SUM(CA483:CA494)</f>
        <v>7298</v>
      </c>
      <c r="CB620" s="47">
        <f t="shared" si="1445"/>
        <v>2130</v>
      </c>
      <c r="CC620" s="47">
        <f t="shared" si="1445"/>
        <v>8022</v>
      </c>
      <c r="CD620" s="44">
        <f t="shared" si="1445"/>
        <v>5739</v>
      </c>
      <c r="CE620" s="109">
        <f t="shared" ref="CE620" si="1470">SUM(CE483:CE494)</f>
        <v>5965</v>
      </c>
      <c r="CF620" s="43">
        <f>SUM(CF483:CF494)</f>
        <v>2078</v>
      </c>
      <c r="CG620" s="45">
        <f>SUM(CG483:CG494)</f>
        <v>2285</v>
      </c>
      <c r="CH620" s="46">
        <f t="shared" ref="CH620:CJ620" si="1471">SUM(CH483:CH494)</f>
        <v>4283</v>
      </c>
      <c r="CI620" s="46">
        <f t="shared" si="1471"/>
        <v>872</v>
      </c>
      <c r="CJ620" s="46">
        <f t="shared" si="1471"/>
        <v>1158</v>
      </c>
      <c r="CK620" s="95">
        <f>SUM(CK483:CK494)</f>
        <v>6495</v>
      </c>
    </row>
    <row r="621" spans="1:89" ht="13" x14ac:dyDescent="0.25">
      <c r="A621" s="91"/>
      <c r="B621" s="96" t="s">
        <v>643</v>
      </c>
      <c r="C621" s="93">
        <f>SUM(C504:C531)</f>
        <v>26995</v>
      </c>
      <c r="D621" s="93">
        <f>SUM(D504:D531)</f>
        <v>19389</v>
      </c>
      <c r="E621" s="89">
        <v>0.53525460617659204</v>
      </c>
      <c r="F621" s="45">
        <f t="shared" ref="F621:CD621" si="1472">SUM(F504:F531)</f>
        <v>0</v>
      </c>
      <c r="G621" s="109">
        <f t="shared" si="1472"/>
        <v>0</v>
      </c>
      <c r="H621" s="109">
        <f t="shared" ref="H621:Q621" si="1473">SUM(H504:H531)</f>
        <v>0</v>
      </c>
      <c r="I621" s="109">
        <f t="shared" si="1473"/>
        <v>6</v>
      </c>
      <c r="J621" s="109">
        <f t="shared" ref="J621:K621" si="1474">SUM(J504:J531)</f>
        <v>47</v>
      </c>
      <c r="K621" s="109">
        <f t="shared" si="1474"/>
        <v>0</v>
      </c>
      <c r="L621" s="109">
        <f t="shared" si="1473"/>
        <v>0</v>
      </c>
      <c r="M621" s="109">
        <f t="shared" si="1473"/>
        <v>12570</v>
      </c>
      <c r="N621" s="109">
        <f t="shared" si="1473"/>
        <v>0</v>
      </c>
      <c r="O621" s="109">
        <f t="shared" si="1473"/>
        <v>0</v>
      </c>
      <c r="P621" s="46">
        <f t="shared" si="1473"/>
        <v>102</v>
      </c>
      <c r="Q621" s="46">
        <f t="shared" si="1473"/>
        <v>45</v>
      </c>
      <c r="R621" s="46">
        <f t="shared" ref="R621" si="1475">SUM(R504:R531)</f>
        <v>6347</v>
      </c>
      <c r="S621" s="47">
        <f t="shared" si="1472"/>
        <v>5</v>
      </c>
      <c r="T621" s="45">
        <f>SUM(T504:T531)</f>
        <v>12108</v>
      </c>
      <c r="U621" s="47">
        <f t="shared" ref="U621:V621" si="1476">SUM(U504:U531)</f>
        <v>6641</v>
      </c>
      <c r="V621" s="45">
        <f t="shared" si="1476"/>
        <v>7048</v>
      </c>
      <c r="W621" s="47">
        <f>SUM(W504:W531)</f>
        <v>11785</v>
      </c>
      <c r="X621" s="45">
        <f>SUM(X504:X531)</f>
        <v>12195</v>
      </c>
      <c r="Y621" s="47">
        <f>SUM(Y504:Y531)</f>
        <v>6314</v>
      </c>
      <c r="Z621" s="109">
        <f t="shared" ref="Z621:AE621" si="1477">SUM(Z504:Z531)</f>
        <v>12634</v>
      </c>
      <c r="AA621" s="46">
        <f t="shared" si="1477"/>
        <v>0</v>
      </c>
      <c r="AB621" s="46">
        <f t="shared" si="1477"/>
        <v>571</v>
      </c>
      <c r="AC621" s="46">
        <f t="shared" si="1477"/>
        <v>5796</v>
      </c>
      <c r="AD621" s="46">
        <f t="shared" si="1477"/>
        <v>0</v>
      </c>
      <c r="AE621" s="43">
        <f t="shared" si="1477"/>
        <v>0</v>
      </c>
      <c r="AF621" s="95">
        <f t="shared" si="1472"/>
        <v>2</v>
      </c>
      <c r="AG621" s="109">
        <f t="shared" ref="AG621" si="1478">SUM(AG504:AG531)</f>
        <v>1025</v>
      </c>
      <c r="AH621" s="47">
        <f t="shared" si="1472"/>
        <v>353</v>
      </c>
      <c r="AI621" s="45">
        <f t="shared" si="1472"/>
        <v>5953</v>
      </c>
      <c r="AJ621" s="43">
        <f t="shared" si="1472"/>
        <v>11179</v>
      </c>
      <c r="AK621" s="45">
        <f t="shared" ref="AK621" si="1479">SUM(AK504:AK531)</f>
        <v>5583</v>
      </c>
      <c r="AL621" s="47">
        <f t="shared" si="1472"/>
        <v>10140</v>
      </c>
      <c r="AM621" s="45">
        <f t="shared" si="1472"/>
        <v>0</v>
      </c>
      <c r="AN621" s="95">
        <f t="shared" si="1472"/>
        <v>0</v>
      </c>
      <c r="AO621" s="109">
        <f t="shared" ref="AO621" si="1480">SUM(AO504:AO531)</f>
        <v>165</v>
      </c>
      <c r="AP621" s="47">
        <f t="shared" si="1472"/>
        <v>327</v>
      </c>
      <c r="AQ621" s="45">
        <f t="shared" ref="AQ621" si="1481">SUM(AQ504:AQ531)</f>
        <v>0</v>
      </c>
      <c r="AR621" s="95">
        <f t="shared" si="1472"/>
        <v>0</v>
      </c>
      <c r="AS621" s="109">
        <f t="shared" ref="AS621" si="1482">SUM(AS504:AS531)</f>
        <v>6860</v>
      </c>
      <c r="AT621" s="47">
        <f t="shared" si="1472"/>
        <v>3283</v>
      </c>
      <c r="AU621" s="45">
        <f t="shared" ref="AU621:AV621" si="1483">SUM(AU504:AU531)</f>
        <v>1587</v>
      </c>
      <c r="AV621" s="109">
        <f t="shared" si="1483"/>
        <v>0</v>
      </c>
      <c r="AW621" s="109">
        <f t="shared" si="1472"/>
        <v>777</v>
      </c>
      <c r="AX621" s="45">
        <f t="shared" ref="AX621" si="1484">SUM(AX504:AX531)</f>
        <v>2118</v>
      </c>
      <c r="AY621" s="47">
        <f t="shared" si="1472"/>
        <v>3353</v>
      </c>
      <c r="AZ621" s="45">
        <f t="shared" si="1472"/>
        <v>0</v>
      </c>
      <c r="BA621" s="95">
        <f t="shared" si="1472"/>
        <v>0</v>
      </c>
      <c r="BB621" s="45">
        <f t="shared" ref="BB621" si="1485">SUM(BB504:BB531)</f>
        <v>6518</v>
      </c>
      <c r="BC621" s="47">
        <f>SUM(BC504:BC531)</f>
        <v>11800</v>
      </c>
      <c r="BD621" s="45">
        <f t="shared" ref="BD621" si="1486">SUM(BD504:BD531)</f>
        <v>6239</v>
      </c>
      <c r="BE621" s="95">
        <f>SUM(BE504:BE531)</f>
        <v>12013</v>
      </c>
      <c r="BF621" s="109">
        <f t="shared" ref="BF621" si="1487">SUM(BF504:BF531)</f>
        <v>11874</v>
      </c>
      <c r="BG621" s="47">
        <f>SUM(BG504:BG531)</f>
        <v>6265</v>
      </c>
      <c r="BH621" s="45">
        <f t="shared" ref="BH621" si="1488">SUM(BH504:BH531)</f>
        <v>6843</v>
      </c>
      <c r="BI621" s="47">
        <f>SUM(BI504:BI531)</f>
        <v>11449</v>
      </c>
      <c r="BJ621" s="109">
        <f t="shared" ref="BJ621:BK621" si="1489">SUM(BJ504:BJ531)</f>
        <v>679</v>
      </c>
      <c r="BK621" s="43">
        <f t="shared" si="1489"/>
        <v>5614</v>
      </c>
      <c r="BL621" s="95">
        <f t="shared" si="1472"/>
        <v>12231</v>
      </c>
      <c r="BM621" s="109">
        <f t="shared" ref="BM621:BN621" si="1490">SUM(BM504:BM531)</f>
        <v>12177</v>
      </c>
      <c r="BN621" s="46">
        <f t="shared" si="1490"/>
        <v>5651</v>
      </c>
      <c r="BO621" s="47">
        <f t="shared" si="1472"/>
        <v>576</v>
      </c>
      <c r="BP621" s="45">
        <f t="shared" ref="BP621" si="1491">SUM(BP504:BP531)</f>
        <v>6387</v>
      </c>
      <c r="BQ621" s="47">
        <f t="shared" ref="BQ621:BR621" si="1492">SUM(BQ504:BQ531)</f>
        <v>11943</v>
      </c>
      <c r="BR621" s="45">
        <f t="shared" si="1492"/>
        <v>11272</v>
      </c>
      <c r="BS621" s="47">
        <f t="shared" si="1472"/>
        <v>7242</v>
      </c>
      <c r="BT621" s="45">
        <f t="shared" ref="BT621:BU621" si="1493">SUM(BT504:BT531)</f>
        <v>6017</v>
      </c>
      <c r="BU621" s="43">
        <f t="shared" si="1493"/>
        <v>689</v>
      </c>
      <c r="BV621" s="95">
        <f t="shared" si="1472"/>
        <v>11616</v>
      </c>
      <c r="BW621" s="109">
        <f t="shared" ref="BW621" si="1494">SUM(BW504:BW531)</f>
        <v>12268</v>
      </c>
      <c r="BX621" s="47">
        <f t="shared" si="1472"/>
        <v>6353</v>
      </c>
      <c r="BY621" s="45">
        <f t="shared" ref="BY621" si="1495">SUM(BY504:BY531)</f>
        <v>11992</v>
      </c>
      <c r="BZ621" s="95">
        <f t="shared" si="1472"/>
        <v>6074</v>
      </c>
      <c r="CA621" s="109">
        <f t="shared" ref="CA621" si="1496">SUM(CA504:CA531)</f>
        <v>6132</v>
      </c>
      <c r="CB621" s="47">
        <f t="shared" si="1472"/>
        <v>12173</v>
      </c>
      <c r="CC621" s="47">
        <f t="shared" si="1472"/>
        <v>10037</v>
      </c>
      <c r="CD621" s="44">
        <f t="shared" si="1472"/>
        <v>15013</v>
      </c>
      <c r="CE621" s="109">
        <f t="shared" ref="CE621" si="1497">SUM(CE504:CE531)</f>
        <v>7294</v>
      </c>
      <c r="CF621" s="43">
        <f>SUM(CF504:CF531)</f>
        <v>8292</v>
      </c>
      <c r="CG621" s="45">
        <f>SUM(CG504:CG531)</f>
        <v>4106</v>
      </c>
      <c r="CH621" s="46">
        <f t="shared" ref="CH621:CJ621" si="1498">SUM(CH504:CH531)</f>
        <v>3149</v>
      </c>
      <c r="CI621" s="46">
        <f t="shared" si="1498"/>
        <v>6917</v>
      </c>
      <c r="CJ621" s="46">
        <f t="shared" si="1498"/>
        <v>7485</v>
      </c>
      <c r="CK621" s="95">
        <f>SUM(CK504:CK531)</f>
        <v>6904</v>
      </c>
    </row>
    <row r="622" spans="1:89" ht="13" x14ac:dyDescent="0.25">
      <c r="A622" s="91"/>
      <c r="B622" s="96" t="s">
        <v>644</v>
      </c>
      <c r="C622" s="93">
        <f>SUM(C532:C545)</f>
        <v>14503</v>
      </c>
      <c r="D622" s="93">
        <f>SUM(D532:D545)</f>
        <v>11136</v>
      </c>
      <c r="E622" s="89">
        <v>0.59795689896445559</v>
      </c>
      <c r="F622" s="45">
        <f t="shared" ref="F622:CD622" si="1499">SUM(F532:F545)</f>
        <v>0</v>
      </c>
      <c r="G622" s="109">
        <f t="shared" si="1499"/>
        <v>0</v>
      </c>
      <c r="H622" s="109">
        <f t="shared" ref="H622:Q622" si="1500">SUM(H532:H545)</f>
        <v>1</v>
      </c>
      <c r="I622" s="109">
        <f t="shared" si="1500"/>
        <v>1</v>
      </c>
      <c r="J622" s="109">
        <f t="shared" ref="J622:K622" si="1501">SUM(J532:J545)</f>
        <v>16</v>
      </c>
      <c r="K622" s="109">
        <f t="shared" si="1501"/>
        <v>0</v>
      </c>
      <c r="L622" s="109">
        <f t="shared" si="1500"/>
        <v>0</v>
      </c>
      <c r="M622" s="109">
        <f t="shared" si="1500"/>
        <v>5468</v>
      </c>
      <c r="N622" s="109">
        <f t="shared" si="1500"/>
        <v>0</v>
      </c>
      <c r="O622" s="109">
        <f t="shared" si="1500"/>
        <v>0</v>
      </c>
      <c r="P622" s="46">
        <f t="shared" si="1500"/>
        <v>77</v>
      </c>
      <c r="Q622" s="46">
        <f t="shared" si="1500"/>
        <v>29</v>
      </c>
      <c r="R622" s="46">
        <f t="shared" ref="R622" si="1502">SUM(R532:R545)</f>
        <v>5357</v>
      </c>
      <c r="S622" s="47">
        <f t="shared" si="1499"/>
        <v>4</v>
      </c>
      <c r="T622" s="45">
        <f>SUM(T532:T545)</f>
        <v>5139</v>
      </c>
      <c r="U622" s="47">
        <f t="shared" ref="U622:V622" si="1503">SUM(U532:U545)</f>
        <v>5596</v>
      </c>
      <c r="V622" s="45">
        <f t="shared" si="1503"/>
        <v>5830</v>
      </c>
      <c r="W622" s="47">
        <f>SUM(W532:W545)</f>
        <v>4956</v>
      </c>
      <c r="X622" s="45">
        <f>SUM(X532:X545)</f>
        <v>5166</v>
      </c>
      <c r="Y622" s="47">
        <f>SUM(Y532:Y545)</f>
        <v>5408</v>
      </c>
      <c r="Z622" s="109">
        <f t="shared" ref="Z622:AE622" si="1504">SUM(Z532:Z545)</f>
        <v>5578</v>
      </c>
      <c r="AA622" s="46">
        <f t="shared" si="1504"/>
        <v>0</v>
      </c>
      <c r="AB622" s="46">
        <f t="shared" si="1504"/>
        <v>348</v>
      </c>
      <c r="AC622" s="46">
        <f t="shared" si="1504"/>
        <v>4975</v>
      </c>
      <c r="AD622" s="46">
        <f t="shared" si="1504"/>
        <v>0</v>
      </c>
      <c r="AE622" s="43">
        <f t="shared" si="1504"/>
        <v>0</v>
      </c>
      <c r="AF622" s="95">
        <f t="shared" si="1499"/>
        <v>2</v>
      </c>
      <c r="AG622" s="109">
        <f t="shared" ref="AG622" si="1505">SUM(AG532:AG545)</f>
        <v>5540</v>
      </c>
      <c r="AH622" s="47">
        <f t="shared" si="1499"/>
        <v>5172</v>
      </c>
      <c r="AI622" s="45">
        <f t="shared" si="1499"/>
        <v>0</v>
      </c>
      <c r="AJ622" s="43">
        <f t="shared" si="1499"/>
        <v>0</v>
      </c>
      <c r="AK622" s="45">
        <f t="shared" ref="AK622" si="1506">SUM(AK532:AK545)</f>
        <v>10</v>
      </c>
      <c r="AL622" s="47">
        <f t="shared" si="1499"/>
        <v>71</v>
      </c>
      <c r="AM622" s="45">
        <f t="shared" si="1499"/>
        <v>0</v>
      </c>
      <c r="AN622" s="95">
        <f t="shared" si="1499"/>
        <v>0</v>
      </c>
      <c r="AO622" s="109">
        <f t="shared" ref="AO622" si="1507">SUM(AO532:AO545)</f>
        <v>0</v>
      </c>
      <c r="AP622" s="47">
        <f t="shared" si="1499"/>
        <v>0</v>
      </c>
      <c r="AQ622" s="45">
        <f t="shared" ref="AQ622" si="1508">SUM(AQ532:AQ545)</f>
        <v>0</v>
      </c>
      <c r="AR622" s="95">
        <f t="shared" si="1499"/>
        <v>0</v>
      </c>
      <c r="AS622" s="109">
        <f t="shared" ref="AS622" si="1509">SUM(AS532:AS545)</f>
        <v>71</v>
      </c>
      <c r="AT622" s="47">
        <f t="shared" si="1499"/>
        <v>10</v>
      </c>
      <c r="AU622" s="45">
        <f t="shared" ref="AU622:AV622" si="1510">SUM(AU532:AU545)</f>
        <v>5063</v>
      </c>
      <c r="AV622" s="109">
        <f t="shared" si="1510"/>
        <v>0</v>
      </c>
      <c r="AW622" s="109">
        <f t="shared" si="1499"/>
        <v>5458</v>
      </c>
      <c r="AX622" s="45">
        <f t="shared" ref="AX622" si="1511">SUM(AX532:AX545)</f>
        <v>0</v>
      </c>
      <c r="AY622" s="47">
        <f t="shared" si="1499"/>
        <v>0</v>
      </c>
      <c r="AZ622" s="45">
        <f t="shared" si="1499"/>
        <v>0</v>
      </c>
      <c r="BA622" s="95">
        <f t="shared" si="1499"/>
        <v>0</v>
      </c>
      <c r="BB622" s="45">
        <f t="shared" ref="BB622" si="1512">SUM(BB532:BB545)</f>
        <v>5591</v>
      </c>
      <c r="BC622" s="47">
        <f>SUM(BC532:BC545)</f>
        <v>4887</v>
      </c>
      <c r="BD622" s="45">
        <f t="shared" ref="BD622" si="1513">SUM(BD532:BD545)</f>
        <v>5435</v>
      </c>
      <c r="BE622" s="95">
        <f>SUM(BE532:BE545)</f>
        <v>4986</v>
      </c>
      <c r="BF622" s="109">
        <f t="shared" ref="BF622" si="1514">SUM(BF532:BF545)</f>
        <v>4963</v>
      </c>
      <c r="BG622" s="47">
        <f>SUM(BG532:BG545)</f>
        <v>5411</v>
      </c>
      <c r="BH622" s="45">
        <f t="shared" ref="BH622" si="1515">SUM(BH532:BH545)</f>
        <v>5790</v>
      </c>
      <c r="BI622" s="47">
        <f>SUM(BI532:BI545)</f>
        <v>4622</v>
      </c>
      <c r="BJ622" s="109">
        <f t="shared" ref="BJ622:BK622" si="1516">SUM(BJ532:BJ545)</f>
        <v>463</v>
      </c>
      <c r="BK622" s="43">
        <f t="shared" si="1516"/>
        <v>5115</v>
      </c>
      <c r="BL622" s="95">
        <f t="shared" si="1499"/>
        <v>4952</v>
      </c>
      <c r="BM622" s="109">
        <f t="shared" ref="BM622:BN622" si="1517">SUM(BM532:BM545)</f>
        <v>5078</v>
      </c>
      <c r="BN622" s="46">
        <f t="shared" si="1517"/>
        <v>5055</v>
      </c>
      <c r="BO622" s="47">
        <f t="shared" si="1499"/>
        <v>380</v>
      </c>
      <c r="BP622" s="45">
        <f t="shared" ref="BP622" si="1518">SUM(BP532:BP545)</f>
        <v>5483</v>
      </c>
      <c r="BQ622" s="47">
        <f t="shared" ref="BQ622:BR622" si="1519">SUM(BQ532:BQ545)</f>
        <v>4989</v>
      </c>
      <c r="BR622" s="45">
        <f t="shared" si="1519"/>
        <v>4454</v>
      </c>
      <c r="BS622" s="47">
        <f t="shared" si="1499"/>
        <v>6115</v>
      </c>
      <c r="BT622" s="45">
        <f t="shared" ref="BT622:BU622" si="1520">SUM(BT532:BT545)</f>
        <v>5172</v>
      </c>
      <c r="BU622" s="43">
        <f t="shared" si="1520"/>
        <v>478</v>
      </c>
      <c r="BV622" s="95">
        <f t="shared" si="1499"/>
        <v>4763</v>
      </c>
      <c r="BW622" s="109">
        <f t="shared" ref="BW622" si="1521">SUM(BW532:BW545)</f>
        <v>5180</v>
      </c>
      <c r="BX622" s="47">
        <f t="shared" si="1499"/>
        <v>5456</v>
      </c>
      <c r="BY622" s="45">
        <f t="shared" ref="BY622" si="1522">SUM(BY532:BY545)</f>
        <v>5038</v>
      </c>
      <c r="BZ622" s="95">
        <f t="shared" si="1499"/>
        <v>5259</v>
      </c>
      <c r="CA622" s="109">
        <f t="shared" ref="CA622" si="1523">SUM(CA532:CA545)</f>
        <v>5311</v>
      </c>
      <c r="CB622" s="47">
        <f t="shared" si="1499"/>
        <v>5096</v>
      </c>
      <c r="CC622" s="47">
        <f t="shared" si="1499"/>
        <v>7278</v>
      </c>
      <c r="CD622" s="44">
        <f t="shared" si="1499"/>
        <v>7634</v>
      </c>
      <c r="CE622" s="109">
        <f t="shared" ref="CE622" si="1524">SUM(CE532:CE545)</f>
        <v>4961</v>
      </c>
      <c r="CF622" s="43">
        <f>SUM(CF532:CF545)</f>
        <v>3841</v>
      </c>
      <c r="CG622" s="45">
        <f>SUM(CG532:CG545)</f>
        <v>2856</v>
      </c>
      <c r="CH622" s="46">
        <f t="shared" ref="CH622:CJ622" si="1525">SUM(CH532:CH545)</f>
        <v>2808</v>
      </c>
      <c r="CI622" s="46">
        <f t="shared" si="1525"/>
        <v>2713</v>
      </c>
      <c r="CJ622" s="46">
        <f t="shared" si="1525"/>
        <v>3251</v>
      </c>
      <c r="CK622" s="95">
        <f>SUM(CK532:CK545)</f>
        <v>4901</v>
      </c>
    </row>
    <row r="623" spans="1:89" ht="13" x14ac:dyDescent="0.25">
      <c r="A623" s="91"/>
      <c r="B623" s="96" t="s">
        <v>645</v>
      </c>
      <c r="C623" s="98">
        <f>SUM(C546:C557)</f>
        <v>11395</v>
      </c>
      <c r="D623" s="98">
        <f>SUM(D546:D557)</f>
        <v>8862</v>
      </c>
      <c r="E623" s="89">
        <v>0.64246953118049999</v>
      </c>
      <c r="F623" s="45">
        <f t="shared" ref="F623:CD623" si="1526">SUM(F546:F557)</f>
        <v>0</v>
      </c>
      <c r="G623" s="109">
        <f t="shared" si="1526"/>
        <v>0</v>
      </c>
      <c r="H623" s="109">
        <f t="shared" ref="H623:Q623" si="1527">SUM(H546:H557)</f>
        <v>3</v>
      </c>
      <c r="I623" s="109">
        <f t="shared" si="1527"/>
        <v>6</v>
      </c>
      <c r="J623" s="109">
        <f t="shared" ref="J623:K623" si="1528">SUM(J546:J557)</f>
        <v>11</v>
      </c>
      <c r="K623" s="109">
        <f t="shared" si="1528"/>
        <v>0</v>
      </c>
      <c r="L623" s="109">
        <f t="shared" si="1527"/>
        <v>1</v>
      </c>
      <c r="M623" s="109">
        <f t="shared" si="1527"/>
        <v>4458</v>
      </c>
      <c r="N623" s="109">
        <f t="shared" si="1527"/>
        <v>0</v>
      </c>
      <c r="O623" s="109">
        <f t="shared" si="1527"/>
        <v>0</v>
      </c>
      <c r="P623" s="46">
        <f t="shared" si="1527"/>
        <v>49</v>
      </c>
      <c r="Q623" s="46">
        <f t="shared" si="1527"/>
        <v>21</v>
      </c>
      <c r="R623" s="46">
        <f t="shared" ref="R623" si="1529">SUM(R546:R557)</f>
        <v>4145</v>
      </c>
      <c r="S623" s="47">
        <f t="shared" si="1526"/>
        <v>0</v>
      </c>
      <c r="T623" s="45">
        <f>SUM(T546:T557)</f>
        <v>4156</v>
      </c>
      <c r="U623" s="47">
        <f t="shared" ref="U623:V623" si="1530">SUM(U546:U557)</f>
        <v>4393</v>
      </c>
      <c r="V623" s="45">
        <f t="shared" si="1530"/>
        <v>4524</v>
      </c>
      <c r="W623" s="47">
        <f>SUM(W546:W557)</f>
        <v>4036</v>
      </c>
      <c r="X623" s="45">
        <f>SUM(X546:X557)</f>
        <v>4221</v>
      </c>
      <c r="Y623" s="47">
        <f>SUM(Y546:Y557)</f>
        <v>4207</v>
      </c>
      <c r="Z623" s="109">
        <f t="shared" ref="Z623:AE623" si="1531">SUM(Z546:Z557)</f>
        <v>4543</v>
      </c>
      <c r="AA623" s="46">
        <f t="shared" si="1531"/>
        <v>2</v>
      </c>
      <c r="AB623" s="46">
        <f t="shared" si="1531"/>
        <v>227</v>
      </c>
      <c r="AC623" s="46">
        <f t="shared" si="1531"/>
        <v>3924</v>
      </c>
      <c r="AD623" s="46">
        <f t="shared" si="1531"/>
        <v>0</v>
      </c>
      <c r="AE623" s="43">
        <f t="shared" si="1531"/>
        <v>0</v>
      </c>
      <c r="AF623" s="95">
        <f t="shared" si="1526"/>
        <v>1</v>
      </c>
      <c r="AG623" s="109">
        <f t="shared" ref="AG623" si="1532">SUM(AG546:AG557)</f>
        <v>4492</v>
      </c>
      <c r="AH623" s="47">
        <f t="shared" si="1526"/>
        <v>4061</v>
      </c>
      <c r="AI623" s="45">
        <f t="shared" si="1526"/>
        <v>0</v>
      </c>
      <c r="AJ623" s="43">
        <f t="shared" si="1526"/>
        <v>0</v>
      </c>
      <c r="AK623" s="45">
        <f t="shared" ref="AK623" si="1533">SUM(AK546:AK557)</f>
        <v>109</v>
      </c>
      <c r="AL623" s="47">
        <f t="shared" si="1526"/>
        <v>134</v>
      </c>
      <c r="AM623" s="45">
        <f t="shared" si="1526"/>
        <v>0</v>
      </c>
      <c r="AN623" s="95">
        <f t="shared" si="1526"/>
        <v>0</v>
      </c>
      <c r="AO623" s="109">
        <f t="shared" ref="AO623" si="1534">SUM(AO546:AO557)</f>
        <v>0</v>
      </c>
      <c r="AP623" s="47">
        <f t="shared" si="1526"/>
        <v>0</v>
      </c>
      <c r="AQ623" s="45">
        <f t="shared" ref="AQ623" si="1535">SUM(AQ546:AQ557)</f>
        <v>0</v>
      </c>
      <c r="AR623" s="95">
        <f t="shared" si="1526"/>
        <v>0</v>
      </c>
      <c r="AS623" s="109">
        <f t="shared" ref="AS623" si="1536">SUM(AS546:AS557)</f>
        <v>139</v>
      </c>
      <c r="AT623" s="47">
        <f t="shared" si="1526"/>
        <v>108</v>
      </c>
      <c r="AU623" s="45">
        <f t="shared" ref="AU623:AV623" si="1537">SUM(AU546:AU557)</f>
        <v>4114</v>
      </c>
      <c r="AV623" s="109">
        <f t="shared" si="1537"/>
        <v>1</v>
      </c>
      <c r="AW623" s="109">
        <f t="shared" si="1526"/>
        <v>4124</v>
      </c>
      <c r="AX623" s="45">
        <f t="shared" ref="AX623" si="1538">SUM(AX546:AX557)</f>
        <v>0</v>
      </c>
      <c r="AY623" s="47">
        <f t="shared" si="1526"/>
        <v>0</v>
      </c>
      <c r="AZ623" s="45">
        <f t="shared" si="1526"/>
        <v>0</v>
      </c>
      <c r="BA623" s="95">
        <f t="shared" si="1526"/>
        <v>0</v>
      </c>
      <c r="BB623" s="45">
        <f t="shared" ref="BB623" si="1539">SUM(BB546:BB557)</f>
        <v>4370</v>
      </c>
      <c r="BC623" s="47">
        <f>SUM(BC546:BC557)</f>
        <v>3972</v>
      </c>
      <c r="BD623" s="45">
        <f t="shared" ref="BD623" si="1540">SUM(BD546:BD557)</f>
        <v>4291</v>
      </c>
      <c r="BE623" s="95">
        <f>SUM(BE546:BE557)</f>
        <v>4027</v>
      </c>
      <c r="BF623" s="109">
        <f t="shared" ref="BF623" si="1541">SUM(BF546:BF557)</f>
        <v>4007</v>
      </c>
      <c r="BG623" s="47">
        <f>SUM(BG546:BG557)</f>
        <v>4252</v>
      </c>
      <c r="BH623" s="45">
        <f t="shared" ref="BH623" si="1542">SUM(BH546:BH557)</f>
        <v>4506</v>
      </c>
      <c r="BI623" s="47">
        <f>SUM(BI546:BI557)</f>
        <v>3771</v>
      </c>
      <c r="BJ623" s="109">
        <f t="shared" ref="BJ623:BK623" si="1543">SUM(BJ546:BJ557)</f>
        <v>397</v>
      </c>
      <c r="BK623" s="43">
        <f t="shared" si="1543"/>
        <v>3977</v>
      </c>
      <c r="BL623" s="95">
        <f t="shared" si="1526"/>
        <v>3962</v>
      </c>
      <c r="BM623" s="109">
        <f t="shared" ref="BM623:BN623" si="1544">SUM(BM546:BM557)</f>
        <v>4053</v>
      </c>
      <c r="BN623" s="46">
        <f t="shared" si="1544"/>
        <v>4000</v>
      </c>
      <c r="BO623" s="47">
        <f t="shared" si="1526"/>
        <v>286</v>
      </c>
      <c r="BP623" s="45">
        <f t="shared" ref="BP623" si="1545">SUM(BP546:BP557)</f>
        <v>4384</v>
      </c>
      <c r="BQ623" s="47">
        <f t="shared" ref="BQ623:BR623" si="1546">SUM(BQ546:BQ557)</f>
        <v>3942</v>
      </c>
      <c r="BR623" s="45">
        <f t="shared" si="1546"/>
        <v>3678</v>
      </c>
      <c r="BS623" s="47">
        <f t="shared" si="1526"/>
        <v>4695</v>
      </c>
      <c r="BT623" s="45">
        <f t="shared" ref="BT623:BU623" si="1547">SUM(BT546:BT557)</f>
        <v>4072</v>
      </c>
      <c r="BU623" s="43">
        <f t="shared" si="1547"/>
        <v>362</v>
      </c>
      <c r="BV623" s="95">
        <f t="shared" si="1526"/>
        <v>3837</v>
      </c>
      <c r="BW623" s="109">
        <f t="shared" ref="BW623" si="1548">SUM(BW546:BW557)</f>
        <v>4211</v>
      </c>
      <c r="BX623" s="47">
        <f t="shared" si="1526"/>
        <v>4211</v>
      </c>
      <c r="BY623" s="45">
        <f t="shared" ref="BY623" si="1549">SUM(BY546:BY557)</f>
        <v>4039</v>
      </c>
      <c r="BZ623" s="95">
        <f t="shared" si="1526"/>
        <v>4143</v>
      </c>
      <c r="CA623" s="109">
        <f t="shared" ref="CA623" si="1550">SUM(CA546:CA557)</f>
        <v>4235</v>
      </c>
      <c r="CB623" s="47">
        <f t="shared" si="1526"/>
        <v>4029</v>
      </c>
      <c r="CC623" s="47">
        <f t="shared" si="1526"/>
        <v>5886</v>
      </c>
      <c r="CD623" s="44">
        <f t="shared" si="1526"/>
        <v>6010</v>
      </c>
      <c r="CE623" s="109">
        <f t="shared" ref="CE623" si="1551">SUM(CE546:CE557)</f>
        <v>3900</v>
      </c>
      <c r="CF623" s="43">
        <f>SUM(CF546:CF557)</f>
        <v>3149</v>
      </c>
      <c r="CG623" s="45">
        <f>SUM(CG546:CG557)</f>
        <v>2061</v>
      </c>
      <c r="CH623" s="46">
        <f t="shared" ref="CH623:CJ623" si="1552">SUM(CH546:CH557)</f>
        <v>2174</v>
      </c>
      <c r="CI623" s="46">
        <f t="shared" si="1552"/>
        <v>2383</v>
      </c>
      <c r="CJ623" s="46">
        <f t="shared" si="1552"/>
        <v>2907</v>
      </c>
      <c r="CK623" s="95">
        <f>SUM(CK546:CK557)</f>
        <v>3688</v>
      </c>
    </row>
    <row r="624" spans="1:89" ht="13" x14ac:dyDescent="0.25">
      <c r="A624" s="91"/>
      <c r="B624" s="96" t="s">
        <v>646</v>
      </c>
      <c r="C624" s="93">
        <f>SUM(C560:C562)</f>
        <v>4246</v>
      </c>
      <c r="D624" s="93">
        <f>SUM(D560:D562)</f>
        <v>2750</v>
      </c>
      <c r="E624" s="89">
        <v>0.4437869822485207</v>
      </c>
      <c r="F624" s="45">
        <f t="shared" ref="F624:CD624" si="1553">SUM(F560:F562)</f>
        <v>0</v>
      </c>
      <c r="G624" s="109">
        <f t="shared" si="1553"/>
        <v>0</v>
      </c>
      <c r="H624" s="109">
        <f t="shared" ref="H624:Q624" si="1554">SUM(H560:H562)</f>
        <v>0</v>
      </c>
      <c r="I624" s="109">
        <f t="shared" si="1554"/>
        <v>0</v>
      </c>
      <c r="J624" s="109">
        <f t="shared" ref="J624:K624" si="1555">SUM(J560:J562)</f>
        <v>7</v>
      </c>
      <c r="K624" s="109">
        <f t="shared" si="1555"/>
        <v>0</v>
      </c>
      <c r="L624" s="109">
        <f t="shared" si="1554"/>
        <v>0</v>
      </c>
      <c r="M624" s="109">
        <f t="shared" si="1554"/>
        <v>548</v>
      </c>
      <c r="N624" s="109">
        <f t="shared" si="1554"/>
        <v>0</v>
      </c>
      <c r="O624" s="109">
        <f t="shared" si="1554"/>
        <v>0</v>
      </c>
      <c r="P624" s="46">
        <f t="shared" si="1554"/>
        <v>14</v>
      </c>
      <c r="Q624" s="46">
        <f t="shared" si="1554"/>
        <v>3</v>
      </c>
      <c r="R624" s="46">
        <f t="shared" ref="R624" si="1556">SUM(R560:R562)</f>
        <v>2158</v>
      </c>
      <c r="S624" s="47">
        <f t="shared" si="1553"/>
        <v>0</v>
      </c>
      <c r="T624" s="45">
        <f>SUM(T560:T562)</f>
        <v>551</v>
      </c>
      <c r="U624" s="47">
        <f t="shared" ref="U624:V624" si="1557">SUM(U560:U562)</f>
        <v>2096</v>
      </c>
      <c r="V624" s="45">
        <f t="shared" si="1557"/>
        <v>2158</v>
      </c>
      <c r="W624" s="47">
        <f>SUM(W560:W562)</f>
        <v>511</v>
      </c>
      <c r="X624" s="45">
        <f>SUM(X560:X562)</f>
        <v>544</v>
      </c>
      <c r="Y624" s="47">
        <f>SUM(Y560:Y562)</f>
        <v>2064</v>
      </c>
      <c r="Z624" s="109">
        <f t="shared" ref="Z624:AE624" si="1558">SUM(Z560:Z562)</f>
        <v>635</v>
      </c>
      <c r="AA624" s="46">
        <f t="shared" si="1558"/>
        <v>0</v>
      </c>
      <c r="AB624" s="46">
        <f t="shared" si="1558"/>
        <v>116</v>
      </c>
      <c r="AC624" s="46">
        <f t="shared" si="1558"/>
        <v>1936</v>
      </c>
      <c r="AD624" s="46">
        <f t="shared" si="1558"/>
        <v>0</v>
      </c>
      <c r="AE624" s="43">
        <f t="shared" si="1558"/>
        <v>0</v>
      </c>
      <c r="AF624" s="95">
        <f t="shared" si="1553"/>
        <v>0</v>
      </c>
      <c r="AG624" s="109">
        <f t="shared" ref="AG624" si="1559">SUM(AG560:AG562)</f>
        <v>0</v>
      </c>
      <c r="AH624" s="47">
        <f t="shared" si="1553"/>
        <v>0</v>
      </c>
      <c r="AI624" s="45">
        <f t="shared" si="1553"/>
        <v>2063</v>
      </c>
      <c r="AJ624" s="43">
        <f t="shared" si="1553"/>
        <v>535</v>
      </c>
      <c r="AK624" s="45">
        <f t="shared" ref="AK624" si="1560">SUM(AK560:AK562)</f>
        <v>2094</v>
      </c>
      <c r="AL624" s="47">
        <f t="shared" si="1553"/>
        <v>526</v>
      </c>
      <c r="AM624" s="45">
        <f t="shared" si="1553"/>
        <v>0</v>
      </c>
      <c r="AN624" s="95">
        <f t="shared" si="1553"/>
        <v>0</v>
      </c>
      <c r="AO624" s="109">
        <f t="shared" ref="AO624" si="1561">SUM(AO560:AO562)</f>
        <v>0</v>
      </c>
      <c r="AP624" s="47">
        <f t="shared" si="1553"/>
        <v>0</v>
      </c>
      <c r="AQ624" s="45">
        <f t="shared" ref="AQ624" si="1562">SUM(AQ560:AQ562)</f>
        <v>0</v>
      </c>
      <c r="AR624" s="95">
        <f t="shared" si="1553"/>
        <v>0</v>
      </c>
      <c r="AS624" s="109">
        <f t="shared" ref="AS624" si="1563">SUM(AS560:AS562)</f>
        <v>0</v>
      </c>
      <c r="AT624" s="47">
        <f t="shared" si="1553"/>
        <v>0</v>
      </c>
      <c r="AU624" s="45">
        <f t="shared" ref="AU624:AV624" si="1564">SUM(AU560:AU562)</f>
        <v>0</v>
      </c>
      <c r="AV624" s="109">
        <f t="shared" si="1564"/>
        <v>0</v>
      </c>
      <c r="AW624" s="109">
        <f t="shared" si="1553"/>
        <v>0</v>
      </c>
      <c r="AX624" s="45">
        <f t="shared" ref="AX624" si="1565">SUM(AX560:AX562)</f>
        <v>2099</v>
      </c>
      <c r="AY624" s="47">
        <f t="shared" si="1553"/>
        <v>512</v>
      </c>
      <c r="AZ624" s="45">
        <f t="shared" si="1553"/>
        <v>0</v>
      </c>
      <c r="BA624" s="95">
        <f t="shared" si="1553"/>
        <v>0</v>
      </c>
      <c r="BB624" s="45">
        <f t="shared" ref="BB624" si="1566">SUM(BB560:BB562)</f>
        <v>2081</v>
      </c>
      <c r="BC624" s="47">
        <f>SUM(BC560:BC562)</f>
        <v>500</v>
      </c>
      <c r="BD624" s="45">
        <f t="shared" ref="BD624" si="1567">SUM(BD560:BD562)</f>
        <v>2042</v>
      </c>
      <c r="BE624" s="95">
        <f>SUM(BE560:BE562)</f>
        <v>512</v>
      </c>
      <c r="BF624" s="109">
        <f t="shared" ref="BF624" si="1568">SUM(BF560:BF562)</f>
        <v>510</v>
      </c>
      <c r="BG624" s="47">
        <f>SUM(BG560:BG562)</f>
        <v>2035</v>
      </c>
      <c r="BH624" s="45">
        <f t="shared" ref="BH624" si="1569">SUM(BH560:BH562)</f>
        <v>2117</v>
      </c>
      <c r="BI624" s="47">
        <f>SUM(BI560:BI562)</f>
        <v>469</v>
      </c>
      <c r="BJ624" s="109">
        <f t="shared" ref="BJ624:BK624" si="1570">SUM(BJ560:BJ562)</f>
        <v>129</v>
      </c>
      <c r="BK624" s="43">
        <f t="shared" si="1570"/>
        <v>1955</v>
      </c>
      <c r="BL624" s="95">
        <f t="shared" si="1553"/>
        <v>516</v>
      </c>
      <c r="BM624" s="109">
        <f t="shared" ref="BM624:BN624" si="1571">SUM(BM560:BM562)</f>
        <v>558</v>
      </c>
      <c r="BN624" s="46">
        <f t="shared" si="1571"/>
        <v>1949</v>
      </c>
      <c r="BO624" s="47">
        <f t="shared" si="1553"/>
        <v>97</v>
      </c>
      <c r="BP624" s="45">
        <f t="shared" ref="BP624" si="1572">SUM(BP560:BP562)</f>
        <v>2060</v>
      </c>
      <c r="BQ624" s="47">
        <f t="shared" ref="BQ624:BR624" si="1573">SUM(BQ560:BQ562)</f>
        <v>529</v>
      </c>
      <c r="BR624" s="45">
        <f t="shared" si="1573"/>
        <v>464</v>
      </c>
      <c r="BS624" s="47">
        <f t="shared" si="1553"/>
        <v>2159</v>
      </c>
      <c r="BT624" s="45">
        <f t="shared" ref="BT624:BU624" si="1574">SUM(BT560:BT562)</f>
        <v>1967</v>
      </c>
      <c r="BU624" s="43">
        <f t="shared" si="1574"/>
        <v>124</v>
      </c>
      <c r="BV624" s="95">
        <f t="shared" si="1553"/>
        <v>475</v>
      </c>
      <c r="BW624" s="109">
        <f t="shared" ref="BW624" si="1575">SUM(BW560:BW562)</f>
        <v>542</v>
      </c>
      <c r="BX624" s="47">
        <f t="shared" si="1553"/>
        <v>2112</v>
      </c>
      <c r="BY624" s="45">
        <f t="shared" ref="BY624" si="1576">SUM(BY560:BY562)</f>
        <v>531</v>
      </c>
      <c r="BZ624" s="95">
        <f t="shared" si="1553"/>
        <v>2015</v>
      </c>
      <c r="CA624" s="109">
        <f t="shared" ref="CA624" si="1577">SUM(CA560:CA562)</f>
        <v>2012</v>
      </c>
      <c r="CB624" s="47">
        <f t="shared" si="1553"/>
        <v>560</v>
      </c>
      <c r="CC624" s="47">
        <f t="shared" si="1553"/>
        <v>2199</v>
      </c>
      <c r="CD624" s="44">
        <f t="shared" si="1553"/>
        <v>1514</v>
      </c>
      <c r="CE624" s="109">
        <f t="shared" ref="CE624" si="1578">SUM(CE560:CE562)</f>
        <v>1533</v>
      </c>
      <c r="CF624" s="43">
        <f>SUM(CF560:CF562)</f>
        <v>676</v>
      </c>
      <c r="CG624" s="45">
        <f>SUM(CG560:CG562)</f>
        <v>524</v>
      </c>
      <c r="CH624" s="46">
        <f t="shared" ref="CH624:CJ624" si="1579">SUM(CH560:CH562)</f>
        <v>1054</v>
      </c>
      <c r="CI624" s="46">
        <f t="shared" si="1579"/>
        <v>255</v>
      </c>
      <c r="CJ624" s="46">
        <f t="shared" si="1579"/>
        <v>358</v>
      </c>
      <c r="CK624" s="95">
        <f>SUM(CK560:CK562)</f>
        <v>1773</v>
      </c>
    </row>
    <row r="625" spans="1:89" ht="13" x14ac:dyDescent="0.25">
      <c r="A625" s="91"/>
      <c r="B625" s="96" t="s">
        <v>647</v>
      </c>
      <c r="C625" s="93">
        <f>SUM(C483)</f>
        <v>523</v>
      </c>
      <c r="D625" s="93">
        <f>SUM(D483)</f>
        <v>310</v>
      </c>
      <c r="E625" s="89">
        <v>0.35776614310645727</v>
      </c>
      <c r="F625" s="45">
        <f t="shared" ref="F625:CD625" si="1580">SUM(F483)</f>
        <v>0</v>
      </c>
      <c r="G625" s="109">
        <f t="shared" si="1580"/>
        <v>0</v>
      </c>
      <c r="H625" s="109">
        <f t="shared" ref="H625:Q625" si="1581">SUM(H483)</f>
        <v>0</v>
      </c>
      <c r="I625" s="109">
        <f t="shared" si="1581"/>
        <v>0</v>
      </c>
      <c r="J625" s="109">
        <f t="shared" ref="J625:K625" si="1582">SUM(J483)</f>
        <v>0</v>
      </c>
      <c r="K625" s="109">
        <f t="shared" si="1582"/>
        <v>0</v>
      </c>
      <c r="L625" s="109">
        <f t="shared" si="1581"/>
        <v>0</v>
      </c>
      <c r="M625" s="109">
        <f t="shared" si="1581"/>
        <v>77</v>
      </c>
      <c r="N625" s="109">
        <f t="shared" si="1581"/>
        <v>0</v>
      </c>
      <c r="O625" s="109">
        <f t="shared" si="1581"/>
        <v>0</v>
      </c>
      <c r="P625" s="46">
        <f t="shared" si="1581"/>
        <v>2</v>
      </c>
      <c r="Q625" s="46">
        <f t="shared" si="1581"/>
        <v>0</v>
      </c>
      <c r="R625" s="46">
        <f t="shared" ref="R625" si="1583">SUM(R483)</f>
        <v>228</v>
      </c>
      <c r="S625" s="47">
        <f t="shared" si="1580"/>
        <v>0</v>
      </c>
      <c r="T625" s="45">
        <f>SUM(T483)</f>
        <v>85</v>
      </c>
      <c r="U625" s="47">
        <f t="shared" ref="U625:V625" si="1584">SUM(U483)</f>
        <v>211</v>
      </c>
      <c r="V625" s="45">
        <f t="shared" si="1584"/>
        <v>219</v>
      </c>
      <c r="W625" s="47">
        <f>SUM(W483)</f>
        <v>82</v>
      </c>
      <c r="X625" s="45">
        <f>SUM(X483)</f>
        <v>84</v>
      </c>
      <c r="Y625" s="47">
        <f>SUM(Y483)</f>
        <v>207</v>
      </c>
      <c r="Z625" s="109">
        <f t="shared" ref="Z625:AE625" si="1585">SUM(Z483)</f>
        <v>88</v>
      </c>
      <c r="AA625" s="46">
        <f t="shared" si="1585"/>
        <v>0</v>
      </c>
      <c r="AB625" s="46">
        <f t="shared" si="1585"/>
        <v>13</v>
      </c>
      <c r="AC625" s="46">
        <f t="shared" si="1585"/>
        <v>198</v>
      </c>
      <c r="AD625" s="46">
        <f t="shared" si="1585"/>
        <v>0</v>
      </c>
      <c r="AE625" s="43">
        <f t="shared" si="1585"/>
        <v>0</v>
      </c>
      <c r="AF625" s="95">
        <f t="shared" si="1580"/>
        <v>0</v>
      </c>
      <c r="AG625" s="109">
        <f t="shared" ref="AG625" si="1586">SUM(AG483)</f>
        <v>0</v>
      </c>
      <c r="AH625" s="47">
        <f t="shared" si="1580"/>
        <v>0</v>
      </c>
      <c r="AI625" s="45">
        <f t="shared" si="1580"/>
        <v>206</v>
      </c>
      <c r="AJ625" s="43">
        <f t="shared" si="1580"/>
        <v>83</v>
      </c>
      <c r="AK625" s="45">
        <f t="shared" ref="AK625" si="1587">SUM(AK483)</f>
        <v>207</v>
      </c>
      <c r="AL625" s="47">
        <f t="shared" si="1580"/>
        <v>84</v>
      </c>
      <c r="AM625" s="45">
        <f t="shared" si="1580"/>
        <v>0</v>
      </c>
      <c r="AN625" s="95">
        <f t="shared" si="1580"/>
        <v>0</v>
      </c>
      <c r="AO625" s="109">
        <f t="shared" ref="AO625" si="1588">SUM(AO483)</f>
        <v>0</v>
      </c>
      <c r="AP625" s="47">
        <f t="shared" si="1580"/>
        <v>0</v>
      </c>
      <c r="AQ625" s="45">
        <f t="shared" ref="AQ625" si="1589">SUM(AQ483)</f>
        <v>0</v>
      </c>
      <c r="AR625" s="95">
        <f t="shared" si="1580"/>
        <v>0</v>
      </c>
      <c r="AS625" s="109">
        <f t="shared" ref="AS625" si="1590">SUM(AS483)</f>
        <v>0</v>
      </c>
      <c r="AT625" s="47">
        <f t="shared" si="1580"/>
        <v>0</v>
      </c>
      <c r="AU625" s="45">
        <f t="shared" ref="AU625:AV625" si="1591">SUM(AU483)</f>
        <v>0</v>
      </c>
      <c r="AV625" s="109">
        <f t="shared" si="1591"/>
        <v>0</v>
      </c>
      <c r="AW625" s="109">
        <f t="shared" si="1580"/>
        <v>0</v>
      </c>
      <c r="AX625" s="45">
        <f t="shared" ref="AX625" si="1592">SUM(AX483)</f>
        <v>0</v>
      </c>
      <c r="AY625" s="47">
        <f t="shared" si="1580"/>
        <v>0</v>
      </c>
      <c r="AZ625" s="45">
        <f t="shared" si="1580"/>
        <v>80</v>
      </c>
      <c r="BA625" s="95">
        <f t="shared" si="1580"/>
        <v>208</v>
      </c>
      <c r="BB625" s="45">
        <f t="shared" ref="BB625" si="1593">SUM(BB483)</f>
        <v>211</v>
      </c>
      <c r="BC625" s="47">
        <f>SUM(BC483)</f>
        <v>75</v>
      </c>
      <c r="BD625" s="45">
        <f t="shared" ref="BD625" si="1594">SUM(BD483)</f>
        <v>203</v>
      </c>
      <c r="BE625" s="95">
        <f>SUM(BE483)</f>
        <v>78</v>
      </c>
      <c r="BF625" s="109">
        <f t="shared" ref="BF625" si="1595">SUM(BF483)</f>
        <v>75</v>
      </c>
      <c r="BG625" s="47">
        <f>SUM(BG483)</f>
        <v>205</v>
      </c>
      <c r="BH625" s="45">
        <f t="shared" ref="BH625" si="1596">SUM(BH483)</f>
        <v>213</v>
      </c>
      <c r="BI625" s="47">
        <f>SUM(BI483)</f>
        <v>72</v>
      </c>
      <c r="BJ625" s="109">
        <f t="shared" ref="BJ625:BK625" si="1597">SUM(BJ483)</f>
        <v>17</v>
      </c>
      <c r="BK625" s="43">
        <f t="shared" si="1597"/>
        <v>188</v>
      </c>
      <c r="BL625" s="95">
        <f t="shared" si="1580"/>
        <v>79</v>
      </c>
      <c r="BM625" s="109">
        <f t="shared" ref="BM625:BN625" si="1598">SUM(BM483)</f>
        <v>85</v>
      </c>
      <c r="BN625" s="46">
        <f t="shared" si="1598"/>
        <v>189</v>
      </c>
      <c r="BO625" s="47">
        <f t="shared" si="1580"/>
        <v>12</v>
      </c>
      <c r="BP625" s="45">
        <f t="shared" ref="BP625" si="1599">SUM(BP483)</f>
        <v>210</v>
      </c>
      <c r="BQ625" s="47">
        <f t="shared" ref="BQ625:BR625" si="1600">SUM(BQ483)</f>
        <v>74</v>
      </c>
      <c r="BR625" s="45">
        <f t="shared" si="1600"/>
        <v>67</v>
      </c>
      <c r="BS625" s="47">
        <f t="shared" si="1580"/>
        <v>219</v>
      </c>
      <c r="BT625" s="45">
        <f t="shared" ref="BT625:BU625" si="1601">SUM(BT483)</f>
        <v>195</v>
      </c>
      <c r="BU625" s="43">
        <f t="shared" si="1601"/>
        <v>14</v>
      </c>
      <c r="BV625" s="95">
        <f t="shared" si="1580"/>
        <v>72</v>
      </c>
      <c r="BW625" s="109">
        <f t="shared" ref="BW625" si="1602">SUM(BW483)</f>
        <v>72</v>
      </c>
      <c r="BX625" s="47">
        <f t="shared" si="1580"/>
        <v>222</v>
      </c>
      <c r="BY625" s="45">
        <f t="shared" ref="BY625" si="1603">SUM(BY483)</f>
        <v>85</v>
      </c>
      <c r="BZ625" s="95">
        <f t="shared" si="1580"/>
        <v>195</v>
      </c>
      <c r="CA625" s="109">
        <f t="shared" ref="CA625" si="1604">SUM(CA483)</f>
        <v>202</v>
      </c>
      <c r="CB625" s="47">
        <f t="shared" si="1580"/>
        <v>81</v>
      </c>
      <c r="CC625" s="47">
        <f t="shared" si="1580"/>
        <v>241</v>
      </c>
      <c r="CD625" s="44">
        <f t="shared" si="1580"/>
        <v>176</v>
      </c>
      <c r="CE625" s="109">
        <f t="shared" ref="CE625" si="1605">SUM(CE483)</f>
        <v>172</v>
      </c>
      <c r="CF625" s="43">
        <f>SUM(CF483)</f>
        <v>71</v>
      </c>
      <c r="CG625" s="45">
        <f>SUM(CG483)</f>
        <v>60</v>
      </c>
      <c r="CH625" s="46">
        <f t="shared" ref="CH625:CJ625" si="1606">SUM(CH483)</f>
        <v>109</v>
      </c>
      <c r="CI625" s="46">
        <f t="shared" si="1606"/>
        <v>31</v>
      </c>
      <c r="CJ625" s="46">
        <f t="shared" si="1606"/>
        <v>42</v>
      </c>
      <c r="CK625" s="95">
        <f>SUM(CK483)</f>
        <v>180</v>
      </c>
    </row>
    <row r="626" spans="1:89" ht="13" x14ac:dyDescent="0.25">
      <c r="A626" s="91"/>
      <c r="B626" s="96" t="s">
        <v>648</v>
      </c>
      <c r="C626" s="93">
        <f>SUM(C314:C317)</f>
        <v>3274</v>
      </c>
      <c r="D626" s="93">
        <f>SUM(D314:D317)</f>
        <v>2682</v>
      </c>
      <c r="E626" s="89">
        <v>0.71638454167997445</v>
      </c>
      <c r="F626" s="45">
        <f t="shared" ref="F626:CD626" si="1607">SUM(F314:F317)</f>
        <v>0</v>
      </c>
      <c r="G626" s="109">
        <f t="shared" si="1607"/>
        <v>0</v>
      </c>
      <c r="H626" s="109">
        <f t="shared" ref="H626:Q626" si="1608">SUM(H314:H317)</f>
        <v>0</v>
      </c>
      <c r="I626" s="109">
        <f t="shared" si="1608"/>
        <v>1</v>
      </c>
      <c r="J626" s="109">
        <f t="shared" ref="J626:K626" si="1609">SUM(J314:J317)</f>
        <v>4</v>
      </c>
      <c r="K626" s="109">
        <f t="shared" si="1609"/>
        <v>0</v>
      </c>
      <c r="L626" s="109">
        <f t="shared" si="1608"/>
        <v>0</v>
      </c>
      <c r="M626" s="109">
        <f t="shared" si="1608"/>
        <v>1582</v>
      </c>
      <c r="N626" s="109">
        <f t="shared" si="1608"/>
        <v>0</v>
      </c>
      <c r="O626" s="109">
        <f t="shared" si="1608"/>
        <v>0</v>
      </c>
      <c r="P626" s="46">
        <f t="shared" si="1608"/>
        <v>14</v>
      </c>
      <c r="Q626" s="46">
        <f t="shared" si="1608"/>
        <v>1</v>
      </c>
      <c r="R626" s="46">
        <f t="shared" ref="R626" si="1610">SUM(R314:R317)</f>
        <v>1037</v>
      </c>
      <c r="S626" s="47">
        <f t="shared" si="1607"/>
        <v>0</v>
      </c>
      <c r="T626" s="45">
        <f>SUM(T314:T317)</f>
        <v>1481</v>
      </c>
      <c r="U626" s="47">
        <f t="shared" ref="U626:V626" si="1611">SUM(U314:U317)</f>
        <v>1123</v>
      </c>
      <c r="V626" s="45">
        <f t="shared" si="1611"/>
        <v>1173</v>
      </c>
      <c r="W626" s="47">
        <f>SUM(W314:W317)</f>
        <v>1442</v>
      </c>
      <c r="X626" s="45">
        <f>SUM(X314:X317)</f>
        <v>1489</v>
      </c>
      <c r="Y626" s="47">
        <f>SUM(Y314:Y317)</f>
        <v>1069</v>
      </c>
      <c r="Z626" s="109">
        <f t="shared" ref="Z626:AE626" si="1612">SUM(Z314:Z317)</f>
        <v>1601</v>
      </c>
      <c r="AA626" s="46">
        <f t="shared" si="1612"/>
        <v>0</v>
      </c>
      <c r="AB626" s="46">
        <f t="shared" si="1612"/>
        <v>35</v>
      </c>
      <c r="AC626" s="46">
        <f t="shared" si="1612"/>
        <v>997</v>
      </c>
      <c r="AD626" s="46">
        <f t="shared" si="1612"/>
        <v>0</v>
      </c>
      <c r="AE626" s="43">
        <f t="shared" si="1612"/>
        <v>0</v>
      </c>
      <c r="AF626" s="95">
        <f t="shared" si="1607"/>
        <v>0</v>
      </c>
      <c r="AG626" s="109">
        <f t="shared" ref="AG626" si="1613">SUM(AG314:AG317)</f>
        <v>1761</v>
      </c>
      <c r="AH626" s="47">
        <f t="shared" si="1607"/>
        <v>846</v>
      </c>
      <c r="AI626" s="45">
        <f t="shared" si="1607"/>
        <v>0</v>
      </c>
      <c r="AJ626" s="43">
        <f t="shared" si="1607"/>
        <v>0</v>
      </c>
      <c r="AK626" s="45">
        <f t="shared" ref="AK626" si="1614">SUM(AK314:AK317)</f>
        <v>1092</v>
      </c>
      <c r="AL626" s="47">
        <f t="shared" si="1607"/>
        <v>1466</v>
      </c>
      <c r="AM626" s="45">
        <f t="shared" si="1607"/>
        <v>0</v>
      </c>
      <c r="AN626" s="95">
        <f t="shared" si="1607"/>
        <v>0</v>
      </c>
      <c r="AO626" s="109">
        <f t="shared" ref="AO626" si="1615">SUM(AO314:AO317)</f>
        <v>0</v>
      </c>
      <c r="AP626" s="47">
        <f t="shared" si="1607"/>
        <v>0</v>
      </c>
      <c r="AQ626" s="45">
        <f t="shared" ref="AQ626" si="1616">SUM(AQ314:AQ317)</f>
        <v>0</v>
      </c>
      <c r="AR626" s="95">
        <f t="shared" si="1607"/>
        <v>0</v>
      </c>
      <c r="AS626" s="109">
        <f t="shared" ref="AS626" si="1617">SUM(AS314:AS317)</f>
        <v>1508</v>
      </c>
      <c r="AT626" s="47">
        <f t="shared" si="1607"/>
        <v>1040</v>
      </c>
      <c r="AU626" s="45">
        <f t="shared" ref="AU626:AV626" si="1618">SUM(AU314:AU317)</f>
        <v>0</v>
      </c>
      <c r="AV626" s="109">
        <f t="shared" si="1618"/>
        <v>0</v>
      </c>
      <c r="AW626" s="109">
        <f t="shared" si="1607"/>
        <v>0</v>
      </c>
      <c r="AX626" s="45">
        <f t="shared" ref="AX626" si="1619">SUM(AX314:AX317)</f>
        <v>0</v>
      </c>
      <c r="AY626" s="47">
        <f t="shared" si="1607"/>
        <v>0</v>
      </c>
      <c r="AZ626" s="45">
        <f t="shared" si="1607"/>
        <v>0</v>
      </c>
      <c r="BA626" s="95">
        <f t="shared" si="1607"/>
        <v>0</v>
      </c>
      <c r="BB626" s="45">
        <f t="shared" ref="BB626" si="1620">SUM(BB314:BB317)</f>
        <v>1120</v>
      </c>
      <c r="BC626" s="47">
        <f>SUM(BC314:BC317)</f>
        <v>1410</v>
      </c>
      <c r="BD626" s="45">
        <f t="shared" ref="BD626" si="1621">SUM(BD314:BD317)</f>
        <v>1148</v>
      </c>
      <c r="BE626" s="95">
        <f>SUM(BE314:BE317)</f>
        <v>1398</v>
      </c>
      <c r="BF626" s="109">
        <f t="shared" ref="BF626" si="1622">SUM(BF314:BF317)</f>
        <v>1435</v>
      </c>
      <c r="BG626" s="47">
        <f>SUM(BG314:BG317)</f>
        <v>1069</v>
      </c>
      <c r="BH626" s="45">
        <f t="shared" ref="BH626" si="1623">SUM(BH314:BH317)</f>
        <v>1217</v>
      </c>
      <c r="BI626" s="47">
        <f>SUM(BI314:BI317)</f>
        <v>1324</v>
      </c>
      <c r="BJ626" s="109">
        <f t="shared" ref="BJ626:BK626" si="1624">SUM(BJ314:BJ317)</f>
        <v>86</v>
      </c>
      <c r="BK626" s="43">
        <f t="shared" si="1624"/>
        <v>1041</v>
      </c>
      <c r="BL626" s="95">
        <f t="shared" si="1607"/>
        <v>1409</v>
      </c>
      <c r="BM626" s="109">
        <f t="shared" ref="BM626:BN626" si="1625">SUM(BM314:BM317)</f>
        <v>1572</v>
      </c>
      <c r="BN626" s="46">
        <f t="shared" si="1625"/>
        <v>937</v>
      </c>
      <c r="BO626" s="47">
        <f t="shared" si="1607"/>
        <v>56</v>
      </c>
      <c r="BP626" s="45">
        <f t="shared" ref="BP626" si="1626">SUM(BP314:BP317)</f>
        <v>1103</v>
      </c>
      <c r="BQ626" s="47">
        <f t="shared" ref="BQ626:BR626" si="1627">SUM(BQ314:BQ317)</f>
        <v>1435</v>
      </c>
      <c r="BR626" s="45">
        <f t="shared" si="1627"/>
        <v>1307</v>
      </c>
      <c r="BS626" s="47">
        <f t="shared" si="1607"/>
        <v>1250</v>
      </c>
      <c r="BT626" s="45">
        <f t="shared" ref="BT626:BU626" si="1628">SUM(BT314:BT317)</f>
        <v>1020</v>
      </c>
      <c r="BU626" s="43">
        <f t="shared" si="1628"/>
        <v>64</v>
      </c>
      <c r="BV626" s="95">
        <f t="shared" si="1607"/>
        <v>1421</v>
      </c>
      <c r="BW626" s="109">
        <f t="shared" ref="BW626" si="1629">SUM(BW314:BW317)</f>
        <v>1532</v>
      </c>
      <c r="BX626" s="47">
        <f t="shared" si="1607"/>
        <v>1036</v>
      </c>
      <c r="BY626" s="45">
        <f t="shared" ref="BY626" si="1630">SUM(BY314:BY317)</f>
        <v>1462</v>
      </c>
      <c r="BZ626" s="95">
        <f t="shared" si="1607"/>
        <v>1026</v>
      </c>
      <c r="CA626" s="109">
        <f t="shared" ref="CA626" si="1631">SUM(CA314:CA317)</f>
        <v>1049</v>
      </c>
      <c r="CB626" s="47">
        <f t="shared" si="1607"/>
        <v>1470</v>
      </c>
      <c r="CC626" s="47">
        <f t="shared" si="1607"/>
        <v>1514</v>
      </c>
      <c r="CD626" s="44">
        <f t="shared" si="1607"/>
        <v>1830</v>
      </c>
      <c r="CE626" s="109">
        <f t="shared" ref="CE626" si="1632">SUM(CE314:CE317)</f>
        <v>887</v>
      </c>
      <c r="CF626" s="43">
        <f>SUM(CF314:CF317)</f>
        <v>1257</v>
      </c>
      <c r="CG626" s="45">
        <f>SUM(CG314:CG317)</f>
        <v>609</v>
      </c>
      <c r="CH626" s="46">
        <f t="shared" ref="CH626:CJ626" si="1633">SUM(CH314:CH317)</f>
        <v>539</v>
      </c>
      <c r="CI626" s="46">
        <f t="shared" si="1633"/>
        <v>960</v>
      </c>
      <c r="CJ626" s="46">
        <f t="shared" si="1633"/>
        <v>1033</v>
      </c>
      <c r="CK626" s="95">
        <f>SUM(CK314:CK317)</f>
        <v>1021</v>
      </c>
    </row>
    <row r="627" spans="1:89" ht="13" x14ac:dyDescent="0.25">
      <c r="A627" s="91"/>
      <c r="B627" s="96" t="s">
        <v>649</v>
      </c>
      <c r="C627" s="93">
        <f>SUM(C350)</f>
        <v>525</v>
      </c>
      <c r="D627" s="93">
        <f>SUM(D350)</f>
        <v>299</v>
      </c>
      <c r="E627" s="89">
        <v>0.36811023622047245</v>
      </c>
      <c r="F627" s="45">
        <f t="shared" ref="F627:CD627" si="1634">SUM(F350)</f>
        <v>0</v>
      </c>
      <c r="G627" s="109">
        <f t="shared" si="1634"/>
        <v>0</v>
      </c>
      <c r="H627" s="109">
        <f t="shared" ref="H627:Q627" si="1635">SUM(H350)</f>
        <v>0</v>
      </c>
      <c r="I627" s="109">
        <f t="shared" si="1635"/>
        <v>0</v>
      </c>
      <c r="J627" s="109">
        <f t="shared" ref="J627:K627" si="1636">SUM(J350)</f>
        <v>1</v>
      </c>
      <c r="K627" s="109">
        <f t="shared" si="1636"/>
        <v>0</v>
      </c>
      <c r="L627" s="109">
        <f t="shared" si="1635"/>
        <v>0</v>
      </c>
      <c r="M627" s="109">
        <f t="shared" si="1635"/>
        <v>135</v>
      </c>
      <c r="N627" s="109">
        <f t="shared" si="1635"/>
        <v>0</v>
      </c>
      <c r="O627" s="109">
        <f t="shared" si="1635"/>
        <v>0</v>
      </c>
      <c r="P627" s="46">
        <f t="shared" si="1635"/>
        <v>1</v>
      </c>
      <c r="Q627" s="46">
        <f t="shared" si="1635"/>
        <v>0</v>
      </c>
      <c r="R627" s="46">
        <f t="shared" ref="R627" si="1637">SUM(R350)</f>
        <v>158</v>
      </c>
      <c r="S627" s="47">
        <f t="shared" si="1634"/>
        <v>0</v>
      </c>
      <c r="T627" s="45">
        <f>SUM(T350)</f>
        <v>134</v>
      </c>
      <c r="U627" s="47">
        <f t="shared" ref="U627:V627" si="1638">SUM(U350)</f>
        <v>152</v>
      </c>
      <c r="V627" s="45">
        <f t="shared" si="1638"/>
        <v>157</v>
      </c>
      <c r="W627" s="47">
        <f>SUM(W350)</f>
        <v>134</v>
      </c>
      <c r="X627" s="45">
        <f>SUM(X350)</f>
        <v>140</v>
      </c>
      <c r="Y627" s="47">
        <f>SUM(Y350)</f>
        <v>144</v>
      </c>
      <c r="Z627" s="109">
        <f t="shared" ref="Z627:AE627" si="1639">SUM(Z350)</f>
        <v>137</v>
      </c>
      <c r="AA627" s="46">
        <f t="shared" si="1639"/>
        <v>0</v>
      </c>
      <c r="AB627" s="46">
        <f t="shared" si="1639"/>
        <v>16</v>
      </c>
      <c r="AC627" s="46">
        <f t="shared" si="1639"/>
        <v>139</v>
      </c>
      <c r="AD627" s="46">
        <f t="shared" si="1639"/>
        <v>0</v>
      </c>
      <c r="AE627" s="43">
        <f t="shared" si="1639"/>
        <v>0</v>
      </c>
      <c r="AF627" s="95">
        <f t="shared" si="1634"/>
        <v>0</v>
      </c>
      <c r="AG627" s="109">
        <f t="shared" ref="AG627" si="1640">SUM(AG350)</f>
        <v>145</v>
      </c>
      <c r="AH627" s="47">
        <f t="shared" si="1634"/>
        <v>137</v>
      </c>
      <c r="AI627" s="45">
        <f t="shared" si="1634"/>
        <v>0</v>
      </c>
      <c r="AJ627" s="43">
        <f t="shared" si="1634"/>
        <v>0</v>
      </c>
      <c r="AK627" s="45">
        <f t="shared" ref="AK627" si="1641">SUM(AK350)</f>
        <v>0</v>
      </c>
      <c r="AL627" s="47">
        <f t="shared" si="1634"/>
        <v>0</v>
      </c>
      <c r="AM627" s="45">
        <f t="shared" si="1634"/>
        <v>0</v>
      </c>
      <c r="AN627" s="95">
        <f t="shared" si="1634"/>
        <v>0</v>
      </c>
      <c r="AO627" s="109">
        <f t="shared" ref="AO627" si="1642">SUM(AO350)</f>
        <v>142</v>
      </c>
      <c r="AP627" s="47">
        <f t="shared" si="1634"/>
        <v>137</v>
      </c>
      <c r="AQ627" s="45">
        <f t="shared" ref="AQ627" si="1643">SUM(AQ350)</f>
        <v>0</v>
      </c>
      <c r="AR627" s="95">
        <f t="shared" si="1634"/>
        <v>0</v>
      </c>
      <c r="AS627" s="109">
        <f t="shared" ref="AS627" si="1644">SUM(AS350)</f>
        <v>0</v>
      </c>
      <c r="AT627" s="47">
        <f t="shared" si="1634"/>
        <v>0</v>
      </c>
      <c r="AU627" s="45">
        <f t="shared" ref="AU627:AV627" si="1645">SUM(AU350)</f>
        <v>0</v>
      </c>
      <c r="AV627" s="109">
        <f t="shared" si="1645"/>
        <v>0</v>
      </c>
      <c r="AW627" s="109">
        <f t="shared" si="1634"/>
        <v>0</v>
      </c>
      <c r="AX627" s="45">
        <f t="shared" ref="AX627" si="1646">SUM(AX350)</f>
        <v>0</v>
      </c>
      <c r="AY627" s="47">
        <f t="shared" si="1634"/>
        <v>0</v>
      </c>
      <c r="AZ627" s="45">
        <f t="shared" si="1634"/>
        <v>0</v>
      </c>
      <c r="BA627" s="95">
        <f t="shared" si="1634"/>
        <v>0</v>
      </c>
      <c r="BB627" s="45">
        <f t="shared" ref="BB627" si="1647">SUM(BB350)</f>
        <v>147</v>
      </c>
      <c r="BC627" s="47">
        <f>SUM(BC350)</f>
        <v>133</v>
      </c>
      <c r="BD627" s="45">
        <f t="shared" ref="BD627" si="1648">SUM(BD350)</f>
        <v>147</v>
      </c>
      <c r="BE627" s="95">
        <f>SUM(BE350)</f>
        <v>131</v>
      </c>
      <c r="BF627" s="109">
        <f t="shared" ref="BF627" si="1649">SUM(BF350)</f>
        <v>136</v>
      </c>
      <c r="BG627" s="47">
        <f>SUM(BG350)</f>
        <v>139</v>
      </c>
      <c r="BH627" s="45">
        <f t="shared" ref="BH627" si="1650">SUM(BH350)</f>
        <v>150</v>
      </c>
      <c r="BI627" s="47">
        <f>SUM(BI350)</f>
        <v>129</v>
      </c>
      <c r="BJ627" s="109">
        <f t="shared" ref="BJ627:BK627" si="1651">SUM(BJ350)</f>
        <v>25</v>
      </c>
      <c r="BK627" s="43">
        <f t="shared" si="1651"/>
        <v>123</v>
      </c>
      <c r="BL627" s="95">
        <f t="shared" si="1634"/>
        <v>137</v>
      </c>
      <c r="BM627" s="109">
        <f t="shared" ref="BM627:BN627" si="1652">SUM(BM350)</f>
        <v>132</v>
      </c>
      <c r="BN627" s="46">
        <f t="shared" si="1652"/>
        <v>136</v>
      </c>
      <c r="BO627" s="47">
        <f t="shared" si="1634"/>
        <v>12</v>
      </c>
      <c r="BP627" s="45">
        <f t="shared" ref="BP627" si="1653">SUM(BP350)</f>
        <v>138</v>
      </c>
      <c r="BQ627" s="47">
        <f t="shared" ref="BQ627:BR627" si="1654">SUM(BQ350)</f>
        <v>143</v>
      </c>
      <c r="BR627" s="45">
        <f t="shared" si="1654"/>
        <v>137</v>
      </c>
      <c r="BS627" s="47">
        <f t="shared" si="1634"/>
        <v>145</v>
      </c>
      <c r="BT627" s="45">
        <f t="shared" ref="BT627:BU627" si="1655">SUM(BT350)</f>
        <v>134</v>
      </c>
      <c r="BU627" s="43">
        <f t="shared" si="1655"/>
        <v>22</v>
      </c>
      <c r="BV627" s="95">
        <f t="shared" si="1634"/>
        <v>125</v>
      </c>
      <c r="BW627" s="109">
        <f t="shared" ref="BW627" si="1656">SUM(BW350)</f>
        <v>141</v>
      </c>
      <c r="BX627" s="47">
        <f t="shared" si="1634"/>
        <v>145</v>
      </c>
      <c r="BY627" s="45">
        <f t="shared" ref="BY627" si="1657">SUM(BY350)</f>
        <v>133</v>
      </c>
      <c r="BZ627" s="95">
        <f t="shared" si="1634"/>
        <v>142</v>
      </c>
      <c r="CA627" s="109">
        <f t="shared" ref="CA627" si="1658">SUM(CA350)</f>
        <v>137</v>
      </c>
      <c r="CB627" s="47">
        <f t="shared" si="1634"/>
        <v>143</v>
      </c>
      <c r="CC627" s="47">
        <f t="shared" si="1634"/>
        <v>199</v>
      </c>
      <c r="CD627" s="44">
        <f t="shared" si="1634"/>
        <v>219</v>
      </c>
      <c r="CE627" s="109">
        <f t="shared" ref="CE627" si="1659">SUM(CE350)</f>
        <v>137</v>
      </c>
      <c r="CF627" s="43">
        <f>SUM(CF350)</f>
        <v>110</v>
      </c>
      <c r="CG627" s="45">
        <f>SUM(CG350)</f>
        <v>83</v>
      </c>
      <c r="CH627" s="46">
        <f t="shared" ref="CH627:CJ627" si="1660">SUM(CH350)</f>
        <v>51</v>
      </c>
      <c r="CI627" s="46">
        <f t="shared" si="1660"/>
        <v>61</v>
      </c>
      <c r="CJ627" s="46">
        <f t="shared" si="1660"/>
        <v>73</v>
      </c>
      <c r="CK627" s="95">
        <f>SUM(CK350)</f>
        <v>123</v>
      </c>
    </row>
    <row r="628" spans="1:89" ht="13" x14ac:dyDescent="0.25">
      <c r="A628" s="91"/>
      <c r="B628" s="96" t="s">
        <v>650</v>
      </c>
      <c r="C628" s="93">
        <f>SUM(C484:C485)</f>
        <v>2370</v>
      </c>
      <c r="D628" s="93">
        <f>SUM(D484:D485)</f>
        <v>1747</v>
      </c>
      <c r="E628" s="89">
        <v>0.53079308817013737</v>
      </c>
      <c r="F628" s="45">
        <f t="shared" ref="F628:CD628" si="1661">SUM(F484:F485)</f>
        <v>0</v>
      </c>
      <c r="G628" s="109">
        <f t="shared" si="1661"/>
        <v>0</v>
      </c>
      <c r="H628" s="109">
        <f t="shared" ref="H628:Q628" si="1662">SUM(H484:H485)</f>
        <v>0</v>
      </c>
      <c r="I628" s="109">
        <f t="shared" si="1662"/>
        <v>0</v>
      </c>
      <c r="J628" s="109">
        <f t="shared" ref="J628:K628" si="1663">SUM(J484:J485)</f>
        <v>4</v>
      </c>
      <c r="K628" s="109">
        <f t="shared" si="1663"/>
        <v>0</v>
      </c>
      <c r="L628" s="109">
        <f t="shared" si="1662"/>
        <v>0</v>
      </c>
      <c r="M628" s="109">
        <f t="shared" si="1662"/>
        <v>416</v>
      </c>
      <c r="N628" s="109">
        <f t="shared" si="1662"/>
        <v>0</v>
      </c>
      <c r="O628" s="109">
        <f t="shared" si="1662"/>
        <v>0</v>
      </c>
      <c r="P628" s="46">
        <f t="shared" si="1662"/>
        <v>15</v>
      </c>
      <c r="Q628" s="46">
        <f t="shared" si="1662"/>
        <v>1</v>
      </c>
      <c r="R628" s="46">
        <f t="shared" ref="R628" si="1664">SUM(R484:R485)</f>
        <v>1299</v>
      </c>
      <c r="S628" s="47">
        <f t="shared" si="1661"/>
        <v>0</v>
      </c>
      <c r="T628" s="45">
        <f>SUM(T484:T485)</f>
        <v>415</v>
      </c>
      <c r="U628" s="47">
        <f t="shared" ref="U628:V628" si="1665">SUM(U484:U485)</f>
        <v>1260</v>
      </c>
      <c r="V628" s="45">
        <f t="shared" si="1665"/>
        <v>1284</v>
      </c>
      <c r="W628" s="47">
        <f>SUM(W484:W485)</f>
        <v>398</v>
      </c>
      <c r="X628" s="45">
        <f>SUM(X484:X485)</f>
        <v>426</v>
      </c>
      <c r="Y628" s="47">
        <f>SUM(Y484:Y485)</f>
        <v>1215</v>
      </c>
      <c r="Z628" s="109">
        <f t="shared" ref="Z628:AE628" si="1666">SUM(Z484:Z485)</f>
        <v>445</v>
      </c>
      <c r="AA628" s="46">
        <f t="shared" si="1666"/>
        <v>0</v>
      </c>
      <c r="AB628" s="46">
        <f t="shared" si="1666"/>
        <v>86</v>
      </c>
      <c r="AC628" s="46">
        <f t="shared" si="1666"/>
        <v>1163</v>
      </c>
      <c r="AD628" s="46">
        <f t="shared" si="1666"/>
        <v>0</v>
      </c>
      <c r="AE628" s="43">
        <f t="shared" si="1666"/>
        <v>0</v>
      </c>
      <c r="AF628" s="95">
        <f t="shared" si="1661"/>
        <v>0</v>
      </c>
      <c r="AG628" s="109">
        <f t="shared" ref="AG628" si="1667">SUM(AG484:AG485)</f>
        <v>0</v>
      </c>
      <c r="AH628" s="47">
        <f t="shared" si="1661"/>
        <v>0</v>
      </c>
      <c r="AI628" s="45">
        <f t="shared" si="1661"/>
        <v>1229</v>
      </c>
      <c r="AJ628" s="43">
        <f t="shared" si="1661"/>
        <v>408</v>
      </c>
      <c r="AK628" s="45">
        <f t="shared" ref="AK628" si="1668">SUM(AK484:AK485)</f>
        <v>1223</v>
      </c>
      <c r="AL628" s="47">
        <f t="shared" si="1661"/>
        <v>417</v>
      </c>
      <c r="AM628" s="45">
        <f t="shared" si="1661"/>
        <v>0</v>
      </c>
      <c r="AN628" s="95">
        <f t="shared" si="1661"/>
        <v>0</v>
      </c>
      <c r="AO628" s="109">
        <f t="shared" ref="AO628" si="1669">SUM(AO484:AO485)</f>
        <v>0</v>
      </c>
      <c r="AP628" s="47">
        <f t="shared" si="1661"/>
        <v>0</v>
      </c>
      <c r="AQ628" s="45">
        <f t="shared" ref="AQ628" si="1670">SUM(AQ484:AQ485)</f>
        <v>0</v>
      </c>
      <c r="AR628" s="95">
        <f t="shared" si="1661"/>
        <v>0</v>
      </c>
      <c r="AS628" s="109">
        <f t="shared" ref="AS628" si="1671">SUM(AS484:AS485)</f>
        <v>0</v>
      </c>
      <c r="AT628" s="47">
        <f t="shared" si="1661"/>
        <v>0</v>
      </c>
      <c r="AU628" s="45">
        <f t="shared" ref="AU628:AV628" si="1672">SUM(AU484:AU485)</f>
        <v>0</v>
      </c>
      <c r="AV628" s="109">
        <f t="shared" si="1672"/>
        <v>0</v>
      </c>
      <c r="AW628" s="109">
        <f t="shared" si="1661"/>
        <v>0</v>
      </c>
      <c r="AX628" s="45">
        <f t="shared" ref="AX628" si="1673">SUM(AX484:AX485)</f>
        <v>0</v>
      </c>
      <c r="AY628" s="47">
        <f t="shared" si="1661"/>
        <v>0</v>
      </c>
      <c r="AZ628" s="45">
        <f t="shared" si="1661"/>
        <v>406</v>
      </c>
      <c r="BA628" s="95">
        <f t="shared" si="1661"/>
        <v>1223</v>
      </c>
      <c r="BB628" s="45">
        <f t="shared" ref="BB628" si="1674">SUM(BB484:BB485)</f>
        <v>1242</v>
      </c>
      <c r="BC628" s="47">
        <f>SUM(BC484:BC485)</f>
        <v>386</v>
      </c>
      <c r="BD628" s="45">
        <f t="shared" ref="BD628" si="1675">SUM(BD484:BD485)</f>
        <v>1217</v>
      </c>
      <c r="BE628" s="95">
        <f>SUM(BE484:BE485)</f>
        <v>400</v>
      </c>
      <c r="BF628" s="109">
        <f t="shared" ref="BF628" si="1676">SUM(BF484:BF485)</f>
        <v>395</v>
      </c>
      <c r="BG628" s="47">
        <f>SUM(BG484:BG485)</f>
        <v>1213</v>
      </c>
      <c r="BH628" s="45">
        <f t="shared" ref="BH628" si="1677">SUM(BH484:BH485)</f>
        <v>1279</v>
      </c>
      <c r="BI628" s="47">
        <f>SUM(BI484:BI485)</f>
        <v>349</v>
      </c>
      <c r="BJ628" s="109">
        <f t="shared" ref="BJ628:BK628" si="1678">SUM(BJ484:BJ485)</f>
        <v>81</v>
      </c>
      <c r="BK628" s="43">
        <f t="shared" si="1678"/>
        <v>1144</v>
      </c>
      <c r="BL628" s="95">
        <f t="shared" si="1661"/>
        <v>405</v>
      </c>
      <c r="BM628" s="109">
        <f t="shared" ref="BM628:BN628" si="1679">SUM(BM484:BM485)</f>
        <v>445</v>
      </c>
      <c r="BN628" s="46">
        <f t="shared" si="1679"/>
        <v>1138</v>
      </c>
      <c r="BO628" s="47">
        <f t="shared" si="1661"/>
        <v>53</v>
      </c>
      <c r="BP628" s="45">
        <f t="shared" ref="BP628" si="1680">SUM(BP484:BP485)</f>
        <v>1231</v>
      </c>
      <c r="BQ628" s="47">
        <f t="shared" ref="BQ628:BR628" si="1681">SUM(BQ484:BQ485)</f>
        <v>394</v>
      </c>
      <c r="BR628" s="45">
        <f t="shared" si="1681"/>
        <v>356</v>
      </c>
      <c r="BS628" s="47">
        <f t="shared" si="1661"/>
        <v>1288</v>
      </c>
      <c r="BT628" s="45">
        <f t="shared" ref="BT628:BU628" si="1682">SUM(BT484:BT485)</f>
        <v>1172</v>
      </c>
      <c r="BU628" s="43">
        <f t="shared" si="1682"/>
        <v>69</v>
      </c>
      <c r="BV628" s="95">
        <f t="shared" si="1661"/>
        <v>378</v>
      </c>
      <c r="BW628" s="109">
        <f t="shared" ref="BW628" si="1683">SUM(BW484:BW485)</f>
        <v>412</v>
      </c>
      <c r="BX628" s="47">
        <f t="shared" si="1661"/>
        <v>1259</v>
      </c>
      <c r="BY628" s="45">
        <f t="shared" ref="BY628" si="1684">SUM(BY484:BY485)</f>
        <v>399</v>
      </c>
      <c r="BZ628" s="95">
        <f t="shared" si="1661"/>
        <v>1208</v>
      </c>
      <c r="CA628" s="109">
        <f t="shared" ref="CA628" si="1685">SUM(CA484:CA485)</f>
        <v>1210</v>
      </c>
      <c r="CB628" s="47">
        <f t="shared" si="1661"/>
        <v>415</v>
      </c>
      <c r="CC628" s="47">
        <f t="shared" si="1661"/>
        <v>1341</v>
      </c>
      <c r="CD628" s="44">
        <f t="shared" si="1661"/>
        <v>979</v>
      </c>
      <c r="CE628" s="109">
        <f t="shared" ref="CE628" si="1686">SUM(CE484:CE485)</f>
        <v>990</v>
      </c>
      <c r="CF628" s="43">
        <f>SUM(CF484:CF485)</f>
        <v>408</v>
      </c>
      <c r="CG628" s="45">
        <f>SUM(CG484:CG485)</f>
        <v>342</v>
      </c>
      <c r="CH628" s="46">
        <f t="shared" ref="CH628:CJ628" si="1687">SUM(CH484:CH485)</f>
        <v>695</v>
      </c>
      <c r="CI628" s="46">
        <f t="shared" si="1687"/>
        <v>183</v>
      </c>
      <c r="CJ628" s="46">
        <f t="shared" si="1687"/>
        <v>269</v>
      </c>
      <c r="CK628" s="95">
        <f>SUM(CK484:CK485)</f>
        <v>1032</v>
      </c>
    </row>
    <row r="629" spans="1:89" ht="13" x14ac:dyDescent="0.25">
      <c r="A629" s="91"/>
      <c r="B629" s="96" t="s">
        <v>651</v>
      </c>
      <c r="C629" s="93">
        <f>SUM(C419)</f>
        <v>1114</v>
      </c>
      <c r="D629" s="93">
        <f>SUM(D419)</f>
        <v>527</v>
      </c>
      <c r="E629" s="89">
        <v>0.26583407671721676</v>
      </c>
      <c r="F629" s="45">
        <f t="shared" ref="F629:CD629" si="1688">SUM(F419)</f>
        <v>0</v>
      </c>
      <c r="G629" s="109">
        <f t="shared" si="1688"/>
        <v>0</v>
      </c>
      <c r="H629" s="109">
        <f t="shared" ref="H629:Q629" si="1689">SUM(H419)</f>
        <v>0</v>
      </c>
      <c r="I629" s="109">
        <f t="shared" si="1689"/>
        <v>0</v>
      </c>
      <c r="J629" s="109">
        <f t="shared" ref="J629:K629" si="1690">SUM(J419)</f>
        <v>1</v>
      </c>
      <c r="K629" s="109">
        <f t="shared" si="1690"/>
        <v>0</v>
      </c>
      <c r="L629" s="109">
        <f t="shared" si="1689"/>
        <v>0</v>
      </c>
      <c r="M629" s="109">
        <f t="shared" si="1689"/>
        <v>234</v>
      </c>
      <c r="N629" s="109">
        <f t="shared" si="1689"/>
        <v>0</v>
      </c>
      <c r="O629" s="109">
        <f t="shared" si="1689"/>
        <v>0</v>
      </c>
      <c r="P629" s="46">
        <f t="shared" si="1689"/>
        <v>2</v>
      </c>
      <c r="Q629" s="46">
        <f t="shared" si="1689"/>
        <v>2</v>
      </c>
      <c r="R629" s="46">
        <f t="shared" ref="R629" si="1691">SUM(R419)</f>
        <v>280</v>
      </c>
      <c r="S629" s="47">
        <f t="shared" si="1688"/>
        <v>0</v>
      </c>
      <c r="T629" s="45">
        <f>SUM(T419)</f>
        <v>229</v>
      </c>
      <c r="U629" s="47">
        <f t="shared" ref="U629:V629" si="1692">SUM(U419)</f>
        <v>269</v>
      </c>
      <c r="V629" s="45">
        <f t="shared" si="1692"/>
        <v>277</v>
      </c>
      <c r="W629" s="47">
        <f>SUM(W419)</f>
        <v>222</v>
      </c>
      <c r="X629" s="45">
        <f>SUM(X419)</f>
        <v>239</v>
      </c>
      <c r="Y629" s="47">
        <f>SUM(Y419)</f>
        <v>249</v>
      </c>
      <c r="Z629" s="109">
        <f t="shared" ref="Z629:AE629" si="1693">SUM(Z419)</f>
        <v>240</v>
      </c>
      <c r="AA629" s="46">
        <f t="shared" si="1693"/>
        <v>0</v>
      </c>
      <c r="AB629" s="46">
        <f t="shared" si="1693"/>
        <v>28</v>
      </c>
      <c r="AC629" s="46">
        <f t="shared" si="1693"/>
        <v>242</v>
      </c>
      <c r="AD629" s="46">
        <f t="shared" si="1693"/>
        <v>0</v>
      </c>
      <c r="AE629" s="43">
        <f t="shared" si="1693"/>
        <v>0</v>
      </c>
      <c r="AF629" s="95">
        <f t="shared" si="1688"/>
        <v>0</v>
      </c>
      <c r="AG629" s="109">
        <f t="shared" ref="AG629" si="1694">SUM(AG419)</f>
        <v>250</v>
      </c>
      <c r="AH629" s="47">
        <f t="shared" si="1688"/>
        <v>243</v>
      </c>
      <c r="AI629" s="45">
        <f t="shared" si="1688"/>
        <v>0</v>
      </c>
      <c r="AJ629" s="43">
        <f t="shared" si="1688"/>
        <v>0</v>
      </c>
      <c r="AK629" s="45">
        <f t="shared" ref="AK629" si="1695">SUM(AK419)</f>
        <v>0</v>
      </c>
      <c r="AL629" s="47">
        <f t="shared" si="1688"/>
        <v>0</v>
      </c>
      <c r="AM629" s="45">
        <f t="shared" si="1688"/>
        <v>0</v>
      </c>
      <c r="AN629" s="95">
        <f t="shared" si="1688"/>
        <v>0</v>
      </c>
      <c r="AO629" s="109">
        <f t="shared" ref="AO629" si="1696">SUM(AO419)</f>
        <v>245</v>
      </c>
      <c r="AP629" s="47">
        <f t="shared" si="1688"/>
        <v>250</v>
      </c>
      <c r="AQ629" s="45">
        <f t="shared" ref="AQ629" si="1697">SUM(AQ419)</f>
        <v>0</v>
      </c>
      <c r="AR629" s="95">
        <f t="shared" si="1688"/>
        <v>0</v>
      </c>
      <c r="AS629" s="109">
        <f t="shared" ref="AS629" si="1698">SUM(AS419)</f>
        <v>0</v>
      </c>
      <c r="AT629" s="47">
        <f t="shared" si="1688"/>
        <v>0</v>
      </c>
      <c r="AU629" s="45">
        <f t="shared" ref="AU629:AV629" si="1699">SUM(AU419)</f>
        <v>0</v>
      </c>
      <c r="AV629" s="109">
        <f t="shared" si="1699"/>
        <v>0</v>
      </c>
      <c r="AW629" s="109">
        <f t="shared" si="1688"/>
        <v>0</v>
      </c>
      <c r="AX629" s="45">
        <f t="shared" ref="AX629" si="1700">SUM(AX419)</f>
        <v>0</v>
      </c>
      <c r="AY629" s="47">
        <f t="shared" si="1688"/>
        <v>0</v>
      </c>
      <c r="AZ629" s="45">
        <f t="shared" si="1688"/>
        <v>0</v>
      </c>
      <c r="BA629" s="95">
        <f t="shared" si="1688"/>
        <v>0</v>
      </c>
      <c r="BB629" s="45">
        <f t="shared" ref="BB629" si="1701">SUM(BB419)</f>
        <v>253</v>
      </c>
      <c r="BC629" s="47">
        <f>SUM(BC419)</f>
        <v>236</v>
      </c>
      <c r="BD629" s="45">
        <f t="shared" ref="BD629" si="1702">SUM(BD419)</f>
        <v>254</v>
      </c>
      <c r="BE629" s="95">
        <f>SUM(BE419)</f>
        <v>231</v>
      </c>
      <c r="BF629" s="109">
        <f t="shared" ref="BF629" si="1703">SUM(BF419)</f>
        <v>241</v>
      </c>
      <c r="BG629" s="47">
        <f>SUM(BG419)</f>
        <v>243</v>
      </c>
      <c r="BH629" s="45">
        <f t="shared" ref="BH629" si="1704">SUM(BH419)</f>
        <v>259</v>
      </c>
      <c r="BI629" s="47">
        <f>SUM(BI419)</f>
        <v>225</v>
      </c>
      <c r="BJ629" s="109">
        <f t="shared" ref="BJ629:BK629" si="1705">SUM(BJ419)</f>
        <v>26</v>
      </c>
      <c r="BK629" s="43">
        <f t="shared" si="1705"/>
        <v>233</v>
      </c>
      <c r="BL629" s="95">
        <f t="shared" si="1688"/>
        <v>231</v>
      </c>
      <c r="BM629" s="109">
        <f t="shared" ref="BM629:BN629" si="1706">SUM(BM419)</f>
        <v>243</v>
      </c>
      <c r="BN629" s="46">
        <f t="shared" si="1706"/>
        <v>225</v>
      </c>
      <c r="BO629" s="47">
        <f t="shared" si="1688"/>
        <v>18</v>
      </c>
      <c r="BP629" s="45">
        <f t="shared" ref="BP629" si="1707">SUM(BP419)</f>
        <v>247</v>
      </c>
      <c r="BQ629" s="47">
        <f t="shared" ref="BQ629:BR629" si="1708">SUM(BQ419)</f>
        <v>234</v>
      </c>
      <c r="BR629" s="45">
        <f t="shared" si="1708"/>
        <v>222</v>
      </c>
      <c r="BS629" s="47">
        <f t="shared" si="1688"/>
        <v>265</v>
      </c>
      <c r="BT629" s="45">
        <f t="shared" ref="BT629:BU629" si="1709">SUM(BT419)</f>
        <v>244</v>
      </c>
      <c r="BU629" s="43">
        <f t="shared" si="1709"/>
        <v>28</v>
      </c>
      <c r="BV629" s="95">
        <f t="shared" si="1688"/>
        <v>218</v>
      </c>
      <c r="BW629" s="109">
        <f t="shared" ref="BW629" si="1710">SUM(BW419)</f>
        <v>233</v>
      </c>
      <c r="BX629" s="47">
        <f t="shared" si="1688"/>
        <v>267</v>
      </c>
      <c r="BY629" s="45">
        <f t="shared" ref="BY629" si="1711">SUM(BY419)</f>
        <v>236</v>
      </c>
      <c r="BZ629" s="95">
        <f t="shared" si="1688"/>
        <v>244</v>
      </c>
      <c r="CA629" s="109">
        <f t="shared" ref="CA629" si="1712">SUM(CA419)</f>
        <v>245</v>
      </c>
      <c r="CB629" s="47">
        <f t="shared" si="1688"/>
        <v>239</v>
      </c>
      <c r="CC629" s="47">
        <f t="shared" si="1688"/>
        <v>332</v>
      </c>
      <c r="CD629" s="44">
        <f t="shared" si="1688"/>
        <v>371</v>
      </c>
      <c r="CE629" s="109">
        <f t="shared" ref="CE629" si="1713">SUM(CE419)</f>
        <v>241</v>
      </c>
      <c r="CF629" s="43">
        <f>SUM(CF419)</f>
        <v>174</v>
      </c>
      <c r="CG629" s="45">
        <f>SUM(CG419)</f>
        <v>103</v>
      </c>
      <c r="CH629" s="46">
        <f t="shared" ref="CH629:CJ629" si="1714">SUM(CH419)</f>
        <v>96</v>
      </c>
      <c r="CI629" s="46">
        <f t="shared" si="1714"/>
        <v>109</v>
      </c>
      <c r="CJ629" s="46">
        <f t="shared" si="1714"/>
        <v>132</v>
      </c>
      <c r="CK629" s="95">
        <f>SUM(CK419)</f>
        <v>222</v>
      </c>
    </row>
    <row r="630" spans="1:89" ht="13" x14ac:dyDescent="0.25">
      <c r="A630" s="91"/>
      <c r="B630" s="96" t="s">
        <v>652</v>
      </c>
      <c r="C630" s="93">
        <f>SUM(C420:C422)</f>
        <v>2316</v>
      </c>
      <c r="D630" s="93">
        <f>SUM(D420:D422)</f>
        <v>1946</v>
      </c>
      <c r="E630" s="89">
        <v>0.71292693471681801</v>
      </c>
      <c r="F630" s="45">
        <f t="shared" ref="F630:CD630" si="1715">SUM(F420:F422)</f>
        <v>0</v>
      </c>
      <c r="G630" s="109">
        <f t="shared" si="1715"/>
        <v>0</v>
      </c>
      <c r="H630" s="109">
        <f t="shared" ref="H630:Q630" si="1716">SUM(H420:H422)</f>
        <v>0</v>
      </c>
      <c r="I630" s="109">
        <f t="shared" si="1716"/>
        <v>0</v>
      </c>
      <c r="J630" s="109">
        <f t="shared" ref="J630:K630" si="1717">SUM(J420:J422)</f>
        <v>5</v>
      </c>
      <c r="K630" s="109">
        <f t="shared" si="1717"/>
        <v>0</v>
      </c>
      <c r="L630" s="109">
        <f t="shared" si="1716"/>
        <v>0</v>
      </c>
      <c r="M630" s="109">
        <f t="shared" si="1716"/>
        <v>915</v>
      </c>
      <c r="N630" s="109">
        <f t="shared" si="1716"/>
        <v>0</v>
      </c>
      <c r="O630" s="109">
        <f t="shared" si="1716"/>
        <v>0</v>
      </c>
      <c r="P630" s="46">
        <f t="shared" si="1716"/>
        <v>9</v>
      </c>
      <c r="Q630" s="46">
        <f t="shared" si="1716"/>
        <v>6</v>
      </c>
      <c r="R630" s="46">
        <f t="shared" ref="R630" si="1718">SUM(R420:R422)</f>
        <v>970</v>
      </c>
      <c r="S630" s="47">
        <f t="shared" si="1715"/>
        <v>1</v>
      </c>
      <c r="T630" s="45">
        <f>SUM(T420:T422)</f>
        <v>848</v>
      </c>
      <c r="U630" s="47">
        <f t="shared" ref="U630:V630" si="1719">SUM(U420:U422)</f>
        <v>1030</v>
      </c>
      <c r="V630" s="45">
        <f t="shared" si="1719"/>
        <v>1078</v>
      </c>
      <c r="W630" s="47">
        <f>SUM(W420:W422)</f>
        <v>810</v>
      </c>
      <c r="X630" s="45">
        <f>SUM(X420:X422)</f>
        <v>853</v>
      </c>
      <c r="Y630" s="47">
        <f>SUM(Y420:Y422)</f>
        <v>1000</v>
      </c>
      <c r="Z630" s="109">
        <f t="shared" ref="Z630:AE630" si="1720">SUM(Z420:Z422)</f>
        <v>934</v>
      </c>
      <c r="AA630" s="46">
        <f t="shared" si="1720"/>
        <v>0</v>
      </c>
      <c r="AB630" s="46">
        <f t="shared" si="1720"/>
        <v>56</v>
      </c>
      <c r="AC630" s="46">
        <f t="shared" si="1720"/>
        <v>914</v>
      </c>
      <c r="AD630" s="46">
        <f t="shared" si="1720"/>
        <v>0</v>
      </c>
      <c r="AE630" s="43">
        <f t="shared" si="1720"/>
        <v>0</v>
      </c>
      <c r="AF630" s="95">
        <f t="shared" si="1715"/>
        <v>0</v>
      </c>
      <c r="AG630" s="109">
        <f t="shared" ref="AG630" si="1721">SUM(AG420:AG422)</f>
        <v>931</v>
      </c>
      <c r="AH630" s="47">
        <f t="shared" si="1715"/>
        <v>955</v>
      </c>
      <c r="AI630" s="45">
        <f t="shared" si="1715"/>
        <v>0</v>
      </c>
      <c r="AJ630" s="43">
        <f t="shared" si="1715"/>
        <v>0</v>
      </c>
      <c r="AK630" s="45">
        <f t="shared" ref="AK630" si="1722">SUM(AK420:AK422)</f>
        <v>0</v>
      </c>
      <c r="AL630" s="47">
        <f t="shared" si="1715"/>
        <v>0</v>
      </c>
      <c r="AM630" s="45">
        <f t="shared" si="1715"/>
        <v>0</v>
      </c>
      <c r="AN630" s="95">
        <f t="shared" si="1715"/>
        <v>0</v>
      </c>
      <c r="AO630" s="109">
        <f t="shared" ref="AO630" si="1723">SUM(AO420:AO422)</f>
        <v>0</v>
      </c>
      <c r="AP630" s="47">
        <f t="shared" si="1715"/>
        <v>0</v>
      </c>
      <c r="AQ630" s="45">
        <f t="shared" ref="AQ630" si="1724">SUM(AQ420:AQ422)</f>
        <v>0</v>
      </c>
      <c r="AR630" s="95">
        <f t="shared" si="1715"/>
        <v>0</v>
      </c>
      <c r="AS630" s="109">
        <f t="shared" ref="AS630" si="1725">SUM(AS420:AS422)</f>
        <v>0</v>
      </c>
      <c r="AT630" s="47">
        <f t="shared" si="1715"/>
        <v>0</v>
      </c>
      <c r="AU630" s="45">
        <f t="shared" ref="AU630:AV630" si="1726">SUM(AU420:AU422)</f>
        <v>838</v>
      </c>
      <c r="AV630" s="109">
        <f t="shared" si="1726"/>
        <v>0</v>
      </c>
      <c r="AW630" s="109">
        <f t="shared" si="1715"/>
        <v>1003</v>
      </c>
      <c r="AX630" s="45">
        <f t="shared" ref="AX630" si="1727">SUM(AX420:AX422)</f>
        <v>0</v>
      </c>
      <c r="AY630" s="47">
        <f t="shared" si="1715"/>
        <v>0</v>
      </c>
      <c r="AZ630" s="45">
        <f t="shared" si="1715"/>
        <v>0</v>
      </c>
      <c r="BA630" s="95">
        <f t="shared" si="1715"/>
        <v>0</v>
      </c>
      <c r="BB630" s="45">
        <f t="shared" ref="BB630" si="1728">SUM(BB420:BB422)</f>
        <v>1019</v>
      </c>
      <c r="BC630" s="47">
        <f>SUM(BC420:BC422)</f>
        <v>803</v>
      </c>
      <c r="BD630" s="45">
        <f t="shared" ref="BD630" si="1729">SUM(BD420:BD422)</f>
        <v>991</v>
      </c>
      <c r="BE630" s="95">
        <f>SUM(BE420:BE422)</f>
        <v>825</v>
      </c>
      <c r="BF630" s="109">
        <f t="shared" ref="BF630" si="1730">SUM(BF420:BF422)</f>
        <v>820</v>
      </c>
      <c r="BG630" s="47">
        <f>SUM(BG420:BG422)</f>
        <v>991</v>
      </c>
      <c r="BH630" s="45">
        <f t="shared" ref="BH630" si="1731">SUM(BH420:BH422)</f>
        <v>1069</v>
      </c>
      <c r="BI630" s="47">
        <f>SUM(BI420:BI422)</f>
        <v>753</v>
      </c>
      <c r="BJ630" s="109">
        <f t="shared" ref="BJ630:BK630" si="1732">SUM(BJ420:BJ422)</f>
        <v>78</v>
      </c>
      <c r="BK630" s="43">
        <f t="shared" si="1732"/>
        <v>937</v>
      </c>
      <c r="BL630" s="95">
        <f t="shared" si="1715"/>
        <v>814</v>
      </c>
      <c r="BM630" s="109">
        <f t="shared" ref="BM630:BN630" si="1733">SUM(BM420:BM422)</f>
        <v>849</v>
      </c>
      <c r="BN630" s="46">
        <f t="shared" si="1733"/>
        <v>927</v>
      </c>
      <c r="BO630" s="47">
        <f t="shared" si="1715"/>
        <v>50</v>
      </c>
      <c r="BP630" s="45">
        <f t="shared" ref="BP630" si="1734">SUM(BP420:BP422)</f>
        <v>979</v>
      </c>
      <c r="BQ630" s="47">
        <f t="shared" ref="BQ630:BR630" si="1735">SUM(BQ420:BQ422)</f>
        <v>851</v>
      </c>
      <c r="BR630" s="45">
        <f t="shared" si="1735"/>
        <v>749</v>
      </c>
      <c r="BS630" s="47">
        <f t="shared" si="1715"/>
        <v>1095</v>
      </c>
      <c r="BT630" s="45">
        <f t="shared" ref="BT630:BU630" si="1736">SUM(BT420:BT422)</f>
        <v>881</v>
      </c>
      <c r="BU630" s="43">
        <f t="shared" si="1736"/>
        <v>74</v>
      </c>
      <c r="BV630" s="95">
        <f t="shared" si="1715"/>
        <v>859</v>
      </c>
      <c r="BW630" s="109">
        <f t="shared" ref="BW630" si="1737">SUM(BW420:BW422)</f>
        <v>855</v>
      </c>
      <c r="BX630" s="47">
        <f t="shared" si="1715"/>
        <v>995</v>
      </c>
      <c r="BY630" s="45">
        <f t="shared" ref="BY630" si="1738">SUM(BY420:BY422)</f>
        <v>815</v>
      </c>
      <c r="BZ630" s="95">
        <f t="shared" si="1715"/>
        <v>965</v>
      </c>
      <c r="CA630" s="109">
        <f t="shared" ref="CA630" si="1739">SUM(CA420:CA422)</f>
        <v>959</v>
      </c>
      <c r="CB630" s="47">
        <f t="shared" si="1715"/>
        <v>842</v>
      </c>
      <c r="CC630" s="47">
        <f t="shared" si="1715"/>
        <v>1263</v>
      </c>
      <c r="CD630" s="44">
        <f t="shared" si="1715"/>
        <v>1302</v>
      </c>
      <c r="CE630" s="109">
        <f t="shared" ref="CE630" si="1740">SUM(CE420:CE422)</f>
        <v>926</v>
      </c>
      <c r="CF630" s="43">
        <f>SUM(CF420:CF422)</f>
        <v>648</v>
      </c>
      <c r="CG630" s="45">
        <f>SUM(CG420:CG422)</f>
        <v>453</v>
      </c>
      <c r="CH630" s="46">
        <f t="shared" ref="CH630:CJ630" si="1741">SUM(CH420:CH422)</f>
        <v>564</v>
      </c>
      <c r="CI630" s="46">
        <f t="shared" si="1741"/>
        <v>478</v>
      </c>
      <c r="CJ630" s="46">
        <f t="shared" si="1741"/>
        <v>556</v>
      </c>
      <c r="CK630" s="95">
        <f>SUM(CK420:CK422)</f>
        <v>928</v>
      </c>
    </row>
    <row r="631" spans="1:89" ht="13" x14ac:dyDescent="0.25">
      <c r="A631" s="91"/>
      <c r="B631" s="96" t="s">
        <v>653</v>
      </c>
      <c r="C631" s="93">
        <f>SUM(C423)</f>
        <v>1344</v>
      </c>
      <c r="D631" s="93">
        <f>SUM(D423)</f>
        <v>1029</v>
      </c>
      <c r="E631" s="89">
        <v>0.58695652173913049</v>
      </c>
      <c r="F631" s="45">
        <f t="shared" ref="F631:CD631" si="1742">SUM(F423)</f>
        <v>0</v>
      </c>
      <c r="G631" s="109">
        <f t="shared" si="1742"/>
        <v>0</v>
      </c>
      <c r="H631" s="109">
        <f t="shared" ref="H631:Q631" si="1743">SUM(H423)</f>
        <v>0</v>
      </c>
      <c r="I631" s="109">
        <f t="shared" si="1743"/>
        <v>0</v>
      </c>
      <c r="J631" s="109">
        <f t="shared" ref="J631:K631" si="1744">SUM(J423)</f>
        <v>2</v>
      </c>
      <c r="K631" s="109">
        <f t="shared" si="1744"/>
        <v>0</v>
      </c>
      <c r="L631" s="109">
        <f t="shared" si="1743"/>
        <v>0</v>
      </c>
      <c r="M631" s="109">
        <f t="shared" si="1743"/>
        <v>509</v>
      </c>
      <c r="N631" s="109">
        <f t="shared" si="1743"/>
        <v>0</v>
      </c>
      <c r="O631" s="109">
        <f t="shared" si="1743"/>
        <v>0</v>
      </c>
      <c r="P631" s="46">
        <f t="shared" si="1743"/>
        <v>9</v>
      </c>
      <c r="Q631" s="46">
        <f t="shared" si="1743"/>
        <v>2</v>
      </c>
      <c r="R631" s="46">
        <f t="shared" ref="R631" si="1745">SUM(R423)</f>
        <v>496</v>
      </c>
      <c r="S631" s="47">
        <f t="shared" si="1742"/>
        <v>0</v>
      </c>
      <c r="T631" s="45">
        <f>SUM(T423)</f>
        <v>494</v>
      </c>
      <c r="U631" s="47">
        <f t="shared" ref="U631:V631" si="1746">SUM(U423)</f>
        <v>496</v>
      </c>
      <c r="V631" s="45">
        <f t="shared" si="1746"/>
        <v>515</v>
      </c>
      <c r="W631" s="47">
        <f>SUM(W423)</f>
        <v>482</v>
      </c>
      <c r="X631" s="45">
        <f>SUM(X423)</f>
        <v>514</v>
      </c>
      <c r="Y631" s="47">
        <f>SUM(Y423)</f>
        <v>465</v>
      </c>
      <c r="Z631" s="109">
        <f t="shared" ref="Z631:AE631" si="1747">SUM(Z423)</f>
        <v>521</v>
      </c>
      <c r="AA631" s="46">
        <f t="shared" si="1747"/>
        <v>0</v>
      </c>
      <c r="AB631" s="46">
        <f t="shared" si="1747"/>
        <v>42</v>
      </c>
      <c r="AC631" s="46">
        <f t="shared" si="1747"/>
        <v>453</v>
      </c>
      <c r="AD631" s="46">
        <f t="shared" si="1747"/>
        <v>0</v>
      </c>
      <c r="AE631" s="43">
        <f t="shared" si="1747"/>
        <v>0</v>
      </c>
      <c r="AF631" s="95">
        <f t="shared" si="1742"/>
        <v>0</v>
      </c>
      <c r="AG631" s="109">
        <f t="shared" ref="AG631" si="1748">SUM(AG423)</f>
        <v>535</v>
      </c>
      <c r="AH631" s="47">
        <f t="shared" si="1742"/>
        <v>458</v>
      </c>
      <c r="AI631" s="45">
        <f t="shared" si="1742"/>
        <v>0</v>
      </c>
      <c r="AJ631" s="43">
        <f t="shared" si="1742"/>
        <v>0</v>
      </c>
      <c r="AK631" s="45">
        <f t="shared" ref="AK631" si="1749">SUM(AK423)</f>
        <v>0</v>
      </c>
      <c r="AL631" s="47">
        <f t="shared" si="1742"/>
        <v>0</v>
      </c>
      <c r="AM631" s="45">
        <f t="shared" si="1742"/>
        <v>0</v>
      </c>
      <c r="AN631" s="95">
        <f t="shared" si="1742"/>
        <v>0</v>
      </c>
      <c r="AO631" s="109">
        <f t="shared" ref="AO631" si="1750">SUM(AO423)</f>
        <v>0</v>
      </c>
      <c r="AP631" s="47">
        <f t="shared" si="1742"/>
        <v>0</v>
      </c>
      <c r="AQ631" s="45">
        <f t="shared" ref="AQ631" si="1751">SUM(AQ423)</f>
        <v>484</v>
      </c>
      <c r="AR631" s="95">
        <f t="shared" si="1742"/>
        <v>487</v>
      </c>
      <c r="AS631" s="109">
        <f t="shared" ref="AS631" si="1752">SUM(AS423)</f>
        <v>0</v>
      </c>
      <c r="AT631" s="47">
        <f t="shared" si="1742"/>
        <v>0</v>
      </c>
      <c r="AU631" s="45">
        <f t="shared" ref="AU631:AV631" si="1753">SUM(AU423)</f>
        <v>0</v>
      </c>
      <c r="AV631" s="109">
        <f t="shared" si="1753"/>
        <v>0</v>
      </c>
      <c r="AW631" s="109">
        <f t="shared" si="1742"/>
        <v>0</v>
      </c>
      <c r="AX631" s="45">
        <f t="shared" ref="AX631" si="1754">SUM(AX423)</f>
        <v>0</v>
      </c>
      <c r="AY631" s="47">
        <f t="shared" si="1742"/>
        <v>0</v>
      </c>
      <c r="AZ631" s="45">
        <f t="shared" si="1742"/>
        <v>0</v>
      </c>
      <c r="BA631" s="95">
        <f t="shared" si="1742"/>
        <v>0</v>
      </c>
      <c r="BB631" s="45">
        <f t="shared" ref="BB631" si="1755">SUM(BB423)</f>
        <v>492</v>
      </c>
      <c r="BC631" s="47">
        <f>SUM(BC423)</f>
        <v>471</v>
      </c>
      <c r="BD631" s="45">
        <f t="shared" ref="BD631" si="1756">SUM(BD423)</f>
        <v>469</v>
      </c>
      <c r="BE631" s="95">
        <f>SUM(BE423)</f>
        <v>485</v>
      </c>
      <c r="BF631" s="109">
        <f t="shared" ref="BF631" si="1757">SUM(BF423)</f>
        <v>485</v>
      </c>
      <c r="BG631" s="47">
        <f>SUM(BG423)</f>
        <v>468</v>
      </c>
      <c r="BH631" s="45">
        <f t="shared" ref="BH631" si="1758">SUM(BH423)</f>
        <v>512</v>
      </c>
      <c r="BI631" s="47">
        <f>SUM(BI423)</f>
        <v>449</v>
      </c>
      <c r="BJ631" s="109">
        <f t="shared" ref="BJ631:BK631" si="1759">SUM(BJ423)</f>
        <v>52</v>
      </c>
      <c r="BK631" s="43">
        <f t="shared" si="1759"/>
        <v>432</v>
      </c>
      <c r="BL631" s="95">
        <f t="shared" si="1742"/>
        <v>483</v>
      </c>
      <c r="BM631" s="109">
        <f t="shared" ref="BM631:BN631" si="1760">SUM(BM423)</f>
        <v>481</v>
      </c>
      <c r="BN631" s="46">
        <f t="shared" si="1760"/>
        <v>443</v>
      </c>
      <c r="BO631" s="47">
        <f t="shared" si="1742"/>
        <v>36</v>
      </c>
      <c r="BP631" s="45">
        <f t="shared" ref="BP631" si="1761">SUM(BP423)</f>
        <v>496</v>
      </c>
      <c r="BQ631" s="47">
        <f t="shared" ref="BQ631:BR631" si="1762">SUM(BQ423)</f>
        <v>468</v>
      </c>
      <c r="BR631" s="45">
        <f t="shared" si="1762"/>
        <v>439</v>
      </c>
      <c r="BS631" s="47">
        <f t="shared" si="1742"/>
        <v>533</v>
      </c>
      <c r="BT631" s="45">
        <f t="shared" ref="BT631:BU631" si="1763">SUM(BT423)</f>
        <v>436</v>
      </c>
      <c r="BU631" s="43">
        <f t="shared" si="1763"/>
        <v>56</v>
      </c>
      <c r="BV631" s="95">
        <f t="shared" si="1742"/>
        <v>465</v>
      </c>
      <c r="BW631" s="109">
        <f t="shared" ref="BW631" si="1764">SUM(BW423)</f>
        <v>502</v>
      </c>
      <c r="BX631" s="47">
        <f t="shared" si="1742"/>
        <v>477</v>
      </c>
      <c r="BY631" s="45">
        <f t="shared" ref="BY631" si="1765">SUM(BY423)</f>
        <v>481</v>
      </c>
      <c r="BZ631" s="95">
        <f t="shared" si="1742"/>
        <v>461</v>
      </c>
      <c r="CA631" s="109">
        <f t="shared" ref="CA631" si="1766">SUM(CA423)</f>
        <v>464</v>
      </c>
      <c r="CB631" s="47">
        <f t="shared" si="1742"/>
        <v>486</v>
      </c>
      <c r="CC631" s="47">
        <f t="shared" si="1742"/>
        <v>653</v>
      </c>
      <c r="CD631" s="44">
        <f t="shared" si="1742"/>
        <v>709</v>
      </c>
      <c r="CE631" s="109">
        <f t="shared" ref="CE631" si="1767">SUM(CE423)</f>
        <v>402</v>
      </c>
      <c r="CF631" s="43">
        <f>SUM(CF423)</f>
        <v>395</v>
      </c>
      <c r="CG631" s="45">
        <f>SUM(CG423)</f>
        <v>254</v>
      </c>
      <c r="CH631" s="46">
        <f t="shared" ref="CH631:CJ631" si="1768">SUM(CH423)</f>
        <v>202</v>
      </c>
      <c r="CI631" s="46">
        <f t="shared" si="1768"/>
        <v>282</v>
      </c>
      <c r="CJ631" s="46">
        <f t="shared" si="1768"/>
        <v>349</v>
      </c>
      <c r="CK631" s="95">
        <f>SUM(CK423)</f>
        <v>377</v>
      </c>
    </row>
    <row r="632" spans="1:89" ht="13" x14ac:dyDescent="0.25">
      <c r="A632" s="91"/>
      <c r="B632" s="96" t="s">
        <v>654</v>
      </c>
      <c r="C632" s="93">
        <f>SUM(C424:C425)</f>
        <v>2121</v>
      </c>
      <c r="D632" s="93">
        <f>SUM(D424:D425)</f>
        <v>1718</v>
      </c>
      <c r="E632" s="89">
        <v>0.69914040114613185</v>
      </c>
      <c r="F632" s="45">
        <f t="shared" ref="F632:CD632" si="1769">SUM(F424:F425)</f>
        <v>0</v>
      </c>
      <c r="G632" s="109">
        <f t="shared" si="1769"/>
        <v>0</v>
      </c>
      <c r="H632" s="109">
        <f t="shared" ref="H632:Q632" si="1770">SUM(H424:H425)</f>
        <v>0</v>
      </c>
      <c r="I632" s="109">
        <f t="shared" si="1770"/>
        <v>2</v>
      </c>
      <c r="J632" s="109">
        <f t="shared" ref="J632:K632" si="1771">SUM(J424:J425)</f>
        <v>2</v>
      </c>
      <c r="K632" s="109">
        <f t="shared" si="1771"/>
        <v>0</v>
      </c>
      <c r="L632" s="109">
        <f t="shared" si="1770"/>
        <v>0</v>
      </c>
      <c r="M632" s="109">
        <f t="shared" si="1770"/>
        <v>931</v>
      </c>
      <c r="N632" s="109">
        <f t="shared" si="1770"/>
        <v>0</v>
      </c>
      <c r="O632" s="109">
        <f t="shared" si="1770"/>
        <v>0</v>
      </c>
      <c r="P632" s="46">
        <f t="shared" si="1770"/>
        <v>8</v>
      </c>
      <c r="Q632" s="46">
        <f t="shared" si="1770"/>
        <v>2</v>
      </c>
      <c r="R632" s="46">
        <f t="shared" ref="R632" si="1772">SUM(R424:R425)</f>
        <v>743</v>
      </c>
      <c r="S632" s="47">
        <f t="shared" si="1769"/>
        <v>1</v>
      </c>
      <c r="T632" s="45">
        <f>SUM(T424:T425)</f>
        <v>861</v>
      </c>
      <c r="U632" s="47">
        <f t="shared" ref="U632:V632" si="1773">SUM(U424:U425)</f>
        <v>802</v>
      </c>
      <c r="V632" s="45">
        <f t="shared" si="1773"/>
        <v>852</v>
      </c>
      <c r="W632" s="47">
        <f>SUM(W424:W425)</f>
        <v>820</v>
      </c>
      <c r="X632" s="45">
        <f>SUM(X424:X425)</f>
        <v>865</v>
      </c>
      <c r="Y632" s="47">
        <f>SUM(Y424:Y425)</f>
        <v>777</v>
      </c>
      <c r="Z632" s="109">
        <f t="shared" ref="Z632:AE632" si="1774">SUM(Z424:Z425)</f>
        <v>925</v>
      </c>
      <c r="AA632" s="46">
        <f t="shared" si="1774"/>
        <v>0</v>
      </c>
      <c r="AB632" s="46">
        <f t="shared" si="1774"/>
        <v>39</v>
      </c>
      <c r="AC632" s="46">
        <f t="shared" si="1774"/>
        <v>722</v>
      </c>
      <c r="AD632" s="46">
        <f t="shared" si="1774"/>
        <v>0</v>
      </c>
      <c r="AE632" s="43">
        <f t="shared" si="1774"/>
        <v>0</v>
      </c>
      <c r="AF632" s="95">
        <f t="shared" si="1769"/>
        <v>1</v>
      </c>
      <c r="AG632" s="109">
        <f t="shared" ref="AG632" si="1775">SUM(AG424:AG425)</f>
        <v>0</v>
      </c>
      <c r="AH632" s="47">
        <f t="shared" si="1769"/>
        <v>0</v>
      </c>
      <c r="AI632" s="45">
        <f t="shared" si="1769"/>
        <v>785</v>
      </c>
      <c r="AJ632" s="43">
        <f t="shared" si="1769"/>
        <v>858</v>
      </c>
      <c r="AK632" s="45">
        <f t="shared" ref="AK632" si="1776">SUM(AK424:AK425)</f>
        <v>790</v>
      </c>
      <c r="AL632" s="47">
        <f t="shared" si="1769"/>
        <v>850</v>
      </c>
      <c r="AM632" s="45">
        <f t="shared" si="1769"/>
        <v>0</v>
      </c>
      <c r="AN632" s="95">
        <f t="shared" si="1769"/>
        <v>0</v>
      </c>
      <c r="AO632" s="109">
        <f t="shared" ref="AO632" si="1777">SUM(AO424:AO425)</f>
        <v>0</v>
      </c>
      <c r="AP632" s="47">
        <f t="shared" si="1769"/>
        <v>0</v>
      </c>
      <c r="AQ632" s="45">
        <f t="shared" ref="AQ632" si="1778">SUM(AQ424:AQ425)</f>
        <v>0</v>
      </c>
      <c r="AR632" s="95">
        <f t="shared" si="1769"/>
        <v>0</v>
      </c>
      <c r="AS632" s="109">
        <f t="shared" ref="AS632" si="1779">SUM(AS424:AS425)</f>
        <v>0</v>
      </c>
      <c r="AT632" s="47">
        <f t="shared" si="1769"/>
        <v>0</v>
      </c>
      <c r="AU632" s="45">
        <f t="shared" ref="AU632:AV632" si="1780">SUM(AU424:AU425)</f>
        <v>0</v>
      </c>
      <c r="AV632" s="109">
        <f t="shared" si="1780"/>
        <v>0</v>
      </c>
      <c r="AW632" s="109">
        <f t="shared" si="1769"/>
        <v>0</v>
      </c>
      <c r="AX632" s="45">
        <f t="shared" ref="AX632" si="1781">SUM(AX424:AX425)</f>
        <v>799</v>
      </c>
      <c r="AY632" s="47">
        <f t="shared" si="1769"/>
        <v>837</v>
      </c>
      <c r="AZ632" s="45">
        <f t="shared" si="1769"/>
        <v>0</v>
      </c>
      <c r="BA632" s="95">
        <f t="shared" si="1769"/>
        <v>0</v>
      </c>
      <c r="BB632" s="45">
        <f t="shared" ref="BB632" si="1782">SUM(BB424:BB425)</f>
        <v>796</v>
      </c>
      <c r="BC632" s="47">
        <f>SUM(BC424:BC425)</f>
        <v>828</v>
      </c>
      <c r="BD632" s="45">
        <f t="shared" ref="BD632" si="1783">SUM(BD424:BD425)</f>
        <v>773</v>
      </c>
      <c r="BE632" s="95">
        <f>SUM(BE424:BE425)</f>
        <v>852</v>
      </c>
      <c r="BF632" s="109">
        <f t="shared" ref="BF632" si="1784">SUM(BF424:BF425)</f>
        <v>857</v>
      </c>
      <c r="BG632" s="47">
        <f>SUM(BG424:BG425)</f>
        <v>765</v>
      </c>
      <c r="BH632" s="45">
        <f t="shared" ref="BH632" si="1785">SUM(BH424:BH425)</f>
        <v>830</v>
      </c>
      <c r="BI632" s="47">
        <f>SUM(BI424:BI425)</f>
        <v>801</v>
      </c>
      <c r="BJ632" s="109">
        <f t="shared" ref="BJ632:BK632" si="1786">SUM(BJ424:BJ425)</f>
        <v>71</v>
      </c>
      <c r="BK632" s="43">
        <f t="shared" si="1786"/>
        <v>751</v>
      </c>
      <c r="BL632" s="95">
        <f t="shared" si="1769"/>
        <v>823</v>
      </c>
      <c r="BM632" s="109">
        <f t="shared" ref="BM632:BN632" si="1787">SUM(BM424:BM425)</f>
        <v>864</v>
      </c>
      <c r="BN632" s="46">
        <f t="shared" si="1787"/>
        <v>726</v>
      </c>
      <c r="BO632" s="47">
        <f t="shared" si="1769"/>
        <v>49</v>
      </c>
      <c r="BP632" s="45">
        <f t="shared" ref="BP632" si="1788">SUM(BP424:BP425)</f>
        <v>774</v>
      </c>
      <c r="BQ632" s="47">
        <f t="shared" ref="BQ632:BR632" si="1789">SUM(BQ424:BQ425)</f>
        <v>862</v>
      </c>
      <c r="BR632" s="45">
        <f t="shared" si="1789"/>
        <v>780</v>
      </c>
      <c r="BS632" s="47">
        <f t="shared" si="1769"/>
        <v>871</v>
      </c>
      <c r="BT632" s="45">
        <f t="shared" ref="BT632:BU632" si="1790">SUM(BT424:BT425)</f>
        <v>746</v>
      </c>
      <c r="BU632" s="43">
        <f t="shared" si="1790"/>
        <v>63</v>
      </c>
      <c r="BV632" s="95">
        <f t="shared" si="1769"/>
        <v>815</v>
      </c>
      <c r="BW632" s="109">
        <f t="shared" ref="BW632" si="1791">SUM(BW424:BW425)</f>
        <v>890</v>
      </c>
      <c r="BX632" s="47">
        <f t="shared" si="1769"/>
        <v>765</v>
      </c>
      <c r="BY632" s="45">
        <f t="shared" ref="BY632" si="1792">SUM(BY424:BY425)</f>
        <v>852</v>
      </c>
      <c r="BZ632" s="95">
        <f t="shared" si="1769"/>
        <v>757</v>
      </c>
      <c r="CA632" s="109">
        <f t="shared" ref="CA632" si="1793">SUM(CA424:CA425)</f>
        <v>775</v>
      </c>
      <c r="CB632" s="47">
        <f t="shared" si="1769"/>
        <v>848</v>
      </c>
      <c r="CC632" s="47">
        <f t="shared" si="1769"/>
        <v>1076</v>
      </c>
      <c r="CD632" s="44">
        <f t="shared" si="1769"/>
        <v>1191</v>
      </c>
      <c r="CE632" s="109">
        <f t="shared" ref="CE632" si="1794">SUM(CE424:CE425)</f>
        <v>744</v>
      </c>
      <c r="CF632" s="43">
        <f>SUM(CF424:CF425)</f>
        <v>622</v>
      </c>
      <c r="CG632" s="45">
        <f>SUM(CG424:CG425)</f>
        <v>400</v>
      </c>
      <c r="CH632" s="46">
        <f t="shared" ref="CH632:CJ632" si="1795">SUM(CH424:CH425)</f>
        <v>390</v>
      </c>
      <c r="CI632" s="46">
        <f t="shared" si="1795"/>
        <v>488</v>
      </c>
      <c r="CJ632" s="46">
        <f t="shared" si="1795"/>
        <v>549</v>
      </c>
      <c r="CK632" s="95">
        <f>SUM(CK424:CK425)</f>
        <v>696</v>
      </c>
    </row>
    <row r="633" spans="1:89" ht="13" x14ac:dyDescent="0.25">
      <c r="A633" s="91"/>
      <c r="B633" s="96" t="s">
        <v>655</v>
      </c>
      <c r="C633" s="97">
        <f>SUM(C426:C427)</f>
        <v>2683</v>
      </c>
      <c r="D633" s="97">
        <f>SUM(D426:D427)</f>
        <v>1773</v>
      </c>
      <c r="E633" s="89">
        <v>0.46010439970171513</v>
      </c>
      <c r="F633" s="45">
        <f t="shared" ref="F633:CD633" si="1796">SUM(F426:F427)</f>
        <v>0</v>
      </c>
      <c r="G633" s="109">
        <f t="shared" si="1796"/>
        <v>0</v>
      </c>
      <c r="H633" s="109">
        <f t="shared" ref="H633:Q633" si="1797">SUM(H426:H427)</f>
        <v>0</v>
      </c>
      <c r="I633" s="109">
        <f t="shared" si="1797"/>
        <v>0</v>
      </c>
      <c r="J633" s="109">
        <f t="shared" ref="J633:K633" si="1798">SUM(J426:J427)</f>
        <v>1</v>
      </c>
      <c r="K633" s="109">
        <f t="shared" si="1798"/>
        <v>0</v>
      </c>
      <c r="L633" s="109">
        <f t="shared" si="1797"/>
        <v>0</v>
      </c>
      <c r="M633" s="109">
        <f t="shared" si="1797"/>
        <v>1375</v>
      </c>
      <c r="N633" s="109">
        <f t="shared" si="1797"/>
        <v>1</v>
      </c>
      <c r="O633" s="109">
        <f t="shared" si="1797"/>
        <v>0</v>
      </c>
      <c r="P633" s="46">
        <f t="shared" si="1797"/>
        <v>10</v>
      </c>
      <c r="Q633" s="46">
        <f t="shared" si="1797"/>
        <v>3</v>
      </c>
      <c r="R633" s="46">
        <f t="shared" ref="R633" si="1799">SUM(R426:R427)</f>
        <v>352</v>
      </c>
      <c r="S633" s="47">
        <f t="shared" si="1796"/>
        <v>1</v>
      </c>
      <c r="T633" s="45">
        <f>SUM(T426:T427)</f>
        <v>1369</v>
      </c>
      <c r="U633" s="47">
        <f t="shared" ref="U633:V633" si="1800">SUM(U426:U427)</f>
        <v>342</v>
      </c>
      <c r="V633" s="45">
        <f t="shared" si="1800"/>
        <v>377</v>
      </c>
      <c r="W633" s="47">
        <f>SUM(W426:W427)</f>
        <v>1336</v>
      </c>
      <c r="X633" s="45">
        <f>SUM(X426:X427)</f>
        <v>1349</v>
      </c>
      <c r="Y633" s="47">
        <f>SUM(Y426:Y427)</f>
        <v>333</v>
      </c>
      <c r="Z633" s="109">
        <f t="shared" ref="Z633:AE633" si="1801">SUM(Z426:Z427)</f>
        <v>1369</v>
      </c>
      <c r="AA633" s="46">
        <f t="shared" si="1801"/>
        <v>0</v>
      </c>
      <c r="AB633" s="46">
        <f t="shared" si="1801"/>
        <v>51</v>
      </c>
      <c r="AC633" s="46">
        <f t="shared" si="1801"/>
        <v>319</v>
      </c>
      <c r="AD633" s="46">
        <f t="shared" si="1801"/>
        <v>0</v>
      </c>
      <c r="AE633" s="43">
        <f t="shared" si="1801"/>
        <v>0</v>
      </c>
      <c r="AF633" s="95">
        <f t="shared" si="1796"/>
        <v>0</v>
      </c>
      <c r="AG633" s="109">
        <f t="shared" ref="AG633" si="1802">SUM(AG426:AG427)</f>
        <v>1441</v>
      </c>
      <c r="AH633" s="47">
        <f t="shared" si="1796"/>
        <v>273</v>
      </c>
      <c r="AI633" s="45">
        <f t="shared" si="1796"/>
        <v>0</v>
      </c>
      <c r="AJ633" s="43">
        <f t="shared" si="1796"/>
        <v>0</v>
      </c>
      <c r="AK633" s="45">
        <f t="shared" ref="AK633" si="1803">SUM(AK426:AK427)</f>
        <v>0</v>
      </c>
      <c r="AL633" s="47">
        <f t="shared" si="1796"/>
        <v>0</v>
      </c>
      <c r="AM633" s="45">
        <f t="shared" si="1796"/>
        <v>0</v>
      </c>
      <c r="AN633" s="95">
        <f t="shared" si="1796"/>
        <v>0</v>
      </c>
      <c r="AO633" s="109">
        <f t="shared" ref="AO633" si="1804">SUM(AO426:AO427)</f>
        <v>0</v>
      </c>
      <c r="AP633" s="47">
        <f t="shared" si="1796"/>
        <v>0</v>
      </c>
      <c r="AQ633" s="45">
        <f t="shared" ref="AQ633" si="1805">SUM(AQ426:AQ427)</f>
        <v>330</v>
      </c>
      <c r="AR633" s="95">
        <f t="shared" si="1796"/>
        <v>1371</v>
      </c>
      <c r="AS633" s="109">
        <f t="shared" ref="AS633" si="1806">SUM(AS426:AS427)</f>
        <v>0</v>
      </c>
      <c r="AT633" s="47">
        <f t="shared" si="1796"/>
        <v>0</v>
      </c>
      <c r="AU633" s="45">
        <f t="shared" ref="AU633:AV633" si="1807">SUM(AU426:AU427)</f>
        <v>0</v>
      </c>
      <c r="AV633" s="109">
        <f t="shared" si="1807"/>
        <v>0</v>
      </c>
      <c r="AW633" s="109">
        <f t="shared" si="1796"/>
        <v>0</v>
      </c>
      <c r="AX633" s="45">
        <f t="shared" ref="AX633" si="1808">SUM(AX426:AX427)</f>
        <v>0</v>
      </c>
      <c r="AY633" s="47">
        <f t="shared" si="1796"/>
        <v>0</v>
      </c>
      <c r="AZ633" s="45">
        <f t="shared" si="1796"/>
        <v>0</v>
      </c>
      <c r="BA633" s="95">
        <f t="shared" si="1796"/>
        <v>0</v>
      </c>
      <c r="BB633" s="45">
        <f t="shared" ref="BB633" si="1809">SUM(BB426:BB427)</f>
        <v>349</v>
      </c>
      <c r="BC633" s="47">
        <f>SUM(BC426:BC427)</f>
        <v>1340</v>
      </c>
      <c r="BD633" s="45">
        <f t="shared" ref="BD633" si="1810">SUM(BD426:BD427)</f>
        <v>328</v>
      </c>
      <c r="BE633" s="95">
        <f>SUM(BE426:BE427)</f>
        <v>1363</v>
      </c>
      <c r="BF633" s="109">
        <f t="shared" ref="BF633" si="1811">SUM(BF426:BF427)</f>
        <v>1349</v>
      </c>
      <c r="BG633" s="47">
        <f>SUM(BG426:BG427)</f>
        <v>334</v>
      </c>
      <c r="BH633" s="45">
        <f t="shared" ref="BH633" si="1812">SUM(BH426:BH427)</f>
        <v>375</v>
      </c>
      <c r="BI633" s="47">
        <f>SUM(BI426:BI427)</f>
        <v>1296</v>
      </c>
      <c r="BJ633" s="109">
        <f t="shared" ref="BJ633:BK633" si="1813">SUM(BJ426:BJ427)</f>
        <v>37</v>
      </c>
      <c r="BK633" s="43">
        <f t="shared" si="1813"/>
        <v>287</v>
      </c>
      <c r="BL633" s="95">
        <f t="shared" si="1796"/>
        <v>1392</v>
      </c>
      <c r="BM633" s="109">
        <f t="shared" ref="BM633:BN633" si="1814">SUM(BM426:BM427)</f>
        <v>1375</v>
      </c>
      <c r="BN633" s="46">
        <f t="shared" si="1814"/>
        <v>269</v>
      </c>
      <c r="BO633" s="47">
        <f t="shared" si="1796"/>
        <v>45</v>
      </c>
      <c r="BP633" s="45">
        <f t="shared" ref="BP633" si="1815">SUM(BP426:BP427)</f>
        <v>331</v>
      </c>
      <c r="BQ633" s="47">
        <f t="shared" ref="BQ633:BR633" si="1816">SUM(BQ426:BQ427)</f>
        <v>1355</v>
      </c>
      <c r="BR633" s="45">
        <f t="shared" si="1816"/>
        <v>1285</v>
      </c>
      <c r="BS633" s="47">
        <f t="shared" si="1796"/>
        <v>410</v>
      </c>
      <c r="BT633" s="45">
        <f t="shared" ref="BT633:BU633" si="1817">SUM(BT426:BT427)</f>
        <v>297</v>
      </c>
      <c r="BU633" s="43">
        <f t="shared" si="1817"/>
        <v>55</v>
      </c>
      <c r="BV633" s="95">
        <f t="shared" si="1796"/>
        <v>1340</v>
      </c>
      <c r="BW633" s="109">
        <f t="shared" ref="BW633" si="1818">SUM(BW426:BW427)</f>
        <v>1380</v>
      </c>
      <c r="BX633" s="47">
        <f t="shared" si="1796"/>
        <v>340</v>
      </c>
      <c r="BY633" s="45">
        <f t="shared" ref="BY633" si="1819">SUM(BY426:BY427)</f>
        <v>1354</v>
      </c>
      <c r="BZ633" s="95">
        <f t="shared" si="1796"/>
        <v>310</v>
      </c>
      <c r="CA633" s="109">
        <f t="shared" ref="CA633" si="1820">SUM(CA426:CA427)</f>
        <v>320</v>
      </c>
      <c r="CB633" s="47">
        <f t="shared" si="1796"/>
        <v>1361</v>
      </c>
      <c r="CC633" s="47">
        <f t="shared" si="1796"/>
        <v>701</v>
      </c>
      <c r="CD633" s="44">
        <f t="shared" si="1796"/>
        <v>1499</v>
      </c>
      <c r="CE633" s="109">
        <f t="shared" ref="CE633" si="1821">SUM(CE426:CE427)</f>
        <v>559</v>
      </c>
      <c r="CF633" s="43">
        <f>SUM(CF426:CF427)</f>
        <v>885</v>
      </c>
      <c r="CG633" s="45">
        <f>SUM(CG426:CG427)</f>
        <v>319</v>
      </c>
      <c r="CH633" s="46">
        <f t="shared" ref="CH633:CJ633" si="1822">SUM(CH426:CH427)</f>
        <v>171</v>
      </c>
      <c r="CI633" s="46">
        <f t="shared" si="1822"/>
        <v>810</v>
      </c>
      <c r="CJ633" s="46">
        <f t="shared" si="1822"/>
        <v>836</v>
      </c>
      <c r="CK633" s="95">
        <f>SUM(CK426:CK427)</f>
        <v>443</v>
      </c>
    </row>
    <row r="634" spans="1:89" ht="13" x14ac:dyDescent="0.25">
      <c r="A634" s="91"/>
      <c r="B634" s="96" t="s">
        <v>656</v>
      </c>
      <c r="C634" s="99">
        <f>SUM(C471:C473)</f>
        <v>2653</v>
      </c>
      <c r="D634" s="99">
        <f>SUM(D471:D473)</f>
        <v>1955</v>
      </c>
      <c r="E634" s="89">
        <v>0.56247611769201378</v>
      </c>
      <c r="F634" s="45">
        <f t="shared" ref="F634:CD634" si="1823">SUM(F471:F473)</f>
        <v>0</v>
      </c>
      <c r="G634" s="109">
        <f t="shared" si="1823"/>
        <v>0</v>
      </c>
      <c r="H634" s="109">
        <f t="shared" ref="H634:Q634" si="1824">SUM(H471:H473)</f>
        <v>0</v>
      </c>
      <c r="I634" s="109">
        <f t="shared" si="1824"/>
        <v>1</v>
      </c>
      <c r="J634" s="109">
        <f t="shared" ref="J634:K634" si="1825">SUM(J471:J473)</f>
        <v>7</v>
      </c>
      <c r="K634" s="109">
        <f t="shared" si="1825"/>
        <v>0</v>
      </c>
      <c r="L634" s="109">
        <f t="shared" si="1824"/>
        <v>0</v>
      </c>
      <c r="M634" s="109">
        <f t="shared" si="1824"/>
        <v>995</v>
      </c>
      <c r="N634" s="109">
        <f t="shared" si="1824"/>
        <v>0</v>
      </c>
      <c r="O634" s="109">
        <f t="shared" si="1824"/>
        <v>0</v>
      </c>
      <c r="P634" s="46">
        <f t="shared" si="1824"/>
        <v>14</v>
      </c>
      <c r="Q634" s="46">
        <f t="shared" si="1824"/>
        <v>5</v>
      </c>
      <c r="R634" s="46">
        <f t="shared" ref="R634" si="1826">SUM(R471:R473)</f>
        <v>907</v>
      </c>
      <c r="S634" s="47">
        <f t="shared" si="1823"/>
        <v>0</v>
      </c>
      <c r="T634" s="45">
        <f>SUM(T471:T473)</f>
        <v>954</v>
      </c>
      <c r="U634" s="47">
        <f t="shared" ref="U634:V634" si="1827">SUM(U471:U473)</f>
        <v>935</v>
      </c>
      <c r="V634" s="45">
        <f t="shared" si="1827"/>
        <v>954</v>
      </c>
      <c r="W634" s="47">
        <f>SUM(W471:W473)</f>
        <v>936</v>
      </c>
      <c r="X634" s="45">
        <f>SUM(X471:X473)</f>
        <v>965</v>
      </c>
      <c r="Y634" s="47">
        <f>SUM(Y471:Y473)</f>
        <v>901</v>
      </c>
      <c r="Z634" s="109">
        <f t="shared" ref="Z634:AE634" si="1828">SUM(Z471:Z473)</f>
        <v>1003</v>
      </c>
      <c r="AA634" s="46">
        <f t="shared" si="1828"/>
        <v>0</v>
      </c>
      <c r="AB634" s="46">
        <f t="shared" si="1828"/>
        <v>84</v>
      </c>
      <c r="AC634" s="46">
        <f t="shared" si="1828"/>
        <v>836</v>
      </c>
      <c r="AD634" s="46">
        <f t="shared" si="1828"/>
        <v>0</v>
      </c>
      <c r="AE634" s="43">
        <f t="shared" si="1828"/>
        <v>0</v>
      </c>
      <c r="AF634" s="95">
        <f t="shared" si="1823"/>
        <v>0</v>
      </c>
      <c r="AG634" s="109">
        <f t="shared" ref="AG634" si="1829">SUM(AG471:AG473)</f>
        <v>0</v>
      </c>
      <c r="AH634" s="47">
        <f t="shared" si="1823"/>
        <v>0</v>
      </c>
      <c r="AI634" s="45">
        <f t="shared" si="1823"/>
        <v>899</v>
      </c>
      <c r="AJ634" s="43">
        <f t="shared" si="1823"/>
        <v>972</v>
      </c>
      <c r="AK634" s="45">
        <f t="shared" ref="AK634" si="1830">SUM(AK471:AK473)</f>
        <v>906</v>
      </c>
      <c r="AL634" s="47">
        <f t="shared" si="1823"/>
        <v>962</v>
      </c>
      <c r="AM634" s="45">
        <f t="shared" si="1823"/>
        <v>0</v>
      </c>
      <c r="AN634" s="95">
        <f t="shared" si="1823"/>
        <v>0</v>
      </c>
      <c r="AO634" s="109">
        <f t="shared" ref="AO634" si="1831">SUM(AO471:AO473)</f>
        <v>0</v>
      </c>
      <c r="AP634" s="47">
        <f t="shared" si="1823"/>
        <v>0</v>
      </c>
      <c r="AQ634" s="45">
        <f t="shared" ref="AQ634" si="1832">SUM(AQ471:AQ473)</f>
        <v>0</v>
      </c>
      <c r="AR634" s="95">
        <f t="shared" si="1823"/>
        <v>0</v>
      </c>
      <c r="AS634" s="109">
        <f t="shared" ref="AS634" si="1833">SUM(AS471:AS473)</f>
        <v>0</v>
      </c>
      <c r="AT634" s="47">
        <f t="shared" si="1823"/>
        <v>0</v>
      </c>
      <c r="AU634" s="45">
        <f t="shared" ref="AU634:AV634" si="1834">SUM(AU471:AU473)</f>
        <v>0</v>
      </c>
      <c r="AV634" s="109">
        <f t="shared" si="1834"/>
        <v>0</v>
      </c>
      <c r="AW634" s="109">
        <f t="shared" si="1823"/>
        <v>0</v>
      </c>
      <c r="AX634" s="45">
        <f t="shared" ref="AX634" si="1835">SUM(AX471:AX473)</f>
        <v>938</v>
      </c>
      <c r="AY634" s="47">
        <f t="shared" si="1823"/>
        <v>917</v>
      </c>
      <c r="AZ634" s="45">
        <f t="shared" si="1823"/>
        <v>0</v>
      </c>
      <c r="BA634" s="95">
        <f t="shared" si="1823"/>
        <v>0</v>
      </c>
      <c r="BB634" s="45">
        <f t="shared" ref="BB634" si="1836">SUM(BB471:BB473)</f>
        <v>904</v>
      </c>
      <c r="BC634" s="47">
        <f>SUM(BC471:BC473)</f>
        <v>936</v>
      </c>
      <c r="BD634" s="45">
        <f t="shared" ref="BD634" si="1837">SUM(BD471:BD473)</f>
        <v>873</v>
      </c>
      <c r="BE634" s="95">
        <f>SUM(BE471:BE473)</f>
        <v>954</v>
      </c>
      <c r="BF634" s="109">
        <f t="shared" ref="BF634" si="1838">SUM(BF471:BF473)</f>
        <v>932</v>
      </c>
      <c r="BG634" s="47">
        <f>SUM(BG471:BG473)</f>
        <v>888</v>
      </c>
      <c r="BH634" s="45">
        <f t="shared" ref="BH634" si="1839">SUM(BH471:BH473)</f>
        <v>935</v>
      </c>
      <c r="BI634" s="47">
        <f>SUM(BI471:BI473)</f>
        <v>903</v>
      </c>
      <c r="BJ634" s="109">
        <f t="shared" ref="BJ634:BK634" si="1840">SUM(BJ471:BJ473)</f>
        <v>96</v>
      </c>
      <c r="BK634" s="43">
        <f t="shared" si="1840"/>
        <v>815</v>
      </c>
      <c r="BL634" s="95">
        <f t="shared" si="1823"/>
        <v>951</v>
      </c>
      <c r="BM634" s="109">
        <f t="shared" ref="BM634:BN634" si="1841">SUM(BM471:BM473)</f>
        <v>959</v>
      </c>
      <c r="BN634" s="46">
        <f t="shared" si="1841"/>
        <v>812</v>
      </c>
      <c r="BO634" s="47">
        <f t="shared" si="1823"/>
        <v>73</v>
      </c>
      <c r="BP634" s="45">
        <f t="shared" ref="BP634" si="1842">SUM(BP471:BP473)</f>
        <v>889</v>
      </c>
      <c r="BQ634" s="47">
        <f t="shared" ref="BQ634:BR634" si="1843">SUM(BQ471:BQ473)</f>
        <v>960</v>
      </c>
      <c r="BR634" s="45">
        <f t="shared" si="1843"/>
        <v>879</v>
      </c>
      <c r="BS634" s="47">
        <f t="shared" si="1823"/>
        <v>986</v>
      </c>
      <c r="BT634" s="45">
        <f t="shared" ref="BT634:BU634" si="1844">SUM(BT471:BT473)</f>
        <v>841</v>
      </c>
      <c r="BU634" s="43">
        <f t="shared" si="1844"/>
        <v>94</v>
      </c>
      <c r="BV634" s="95">
        <f t="shared" si="1823"/>
        <v>892</v>
      </c>
      <c r="BW634" s="109">
        <f t="shared" ref="BW634" si="1845">SUM(BW471:BW473)</f>
        <v>995</v>
      </c>
      <c r="BX634" s="47">
        <f t="shared" si="1823"/>
        <v>877</v>
      </c>
      <c r="BY634" s="45">
        <f t="shared" ref="BY634" si="1846">SUM(BY471:BY473)</f>
        <v>949</v>
      </c>
      <c r="BZ634" s="95">
        <f t="shared" si="1823"/>
        <v>853</v>
      </c>
      <c r="CA634" s="109">
        <f t="shared" ref="CA634" si="1847">SUM(CA471:CA473)</f>
        <v>869</v>
      </c>
      <c r="CB634" s="47">
        <f t="shared" si="1823"/>
        <v>950</v>
      </c>
      <c r="CC634" s="47">
        <f t="shared" si="1823"/>
        <v>1190</v>
      </c>
      <c r="CD634" s="44">
        <f t="shared" si="1823"/>
        <v>1339</v>
      </c>
      <c r="CE634" s="109">
        <f t="shared" ref="CE634" si="1848">SUM(CE471:CE473)</f>
        <v>813</v>
      </c>
      <c r="CF634" s="43">
        <f>SUM(CF471:CF473)</f>
        <v>727</v>
      </c>
      <c r="CG634" s="45">
        <f>SUM(CG471:CG473)</f>
        <v>399</v>
      </c>
      <c r="CH634" s="46">
        <f t="shared" ref="CH634:CJ634" si="1849">SUM(CH471:CH473)</f>
        <v>419</v>
      </c>
      <c r="CI634" s="46">
        <f t="shared" si="1849"/>
        <v>544</v>
      </c>
      <c r="CJ634" s="46">
        <f t="shared" si="1849"/>
        <v>633</v>
      </c>
      <c r="CK634" s="95">
        <f>SUM(CK471:CK473)</f>
        <v>815</v>
      </c>
    </row>
    <row r="635" spans="1:89" ht="13" x14ac:dyDescent="0.25">
      <c r="A635" s="91"/>
      <c r="B635" s="96" t="s">
        <v>657</v>
      </c>
      <c r="C635" s="99">
        <f>SUM(C477:C478)</f>
        <v>2045</v>
      </c>
      <c r="D635" s="99">
        <f>SUM(D477:D478)</f>
        <v>1150</v>
      </c>
      <c r="E635" s="89">
        <v>0.3401360544217687</v>
      </c>
      <c r="F635" s="45">
        <f t="shared" ref="F635:CD635" si="1850">SUM(F477:F478)</f>
        <v>0</v>
      </c>
      <c r="G635" s="109">
        <f t="shared" si="1850"/>
        <v>0</v>
      </c>
      <c r="H635" s="109">
        <f t="shared" ref="H635:Q635" si="1851">SUM(H477:H478)</f>
        <v>0</v>
      </c>
      <c r="I635" s="109">
        <f t="shared" si="1851"/>
        <v>0</v>
      </c>
      <c r="J635" s="109">
        <f t="shared" ref="J635:K635" si="1852">SUM(J477:J478)</f>
        <v>5</v>
      </c>
      <c r="K635" s="109">
        <f t="shared" si="1852"/>
        <v>0</v>
      </c>
      <c r="L635" s="109">
        <f t="shared" si="1851"/>
        <v>0</v>
      </c>
      <c r="M635" s="109">
        <f t="shared" si="1851"/>
        <v>1053</v>
      </c>
      <c r="N635" s="109">
        <f t="shared" si="1851"/>
        <v>0</v>
      </c>
      <c r="O635" s="109">
        <f t="shared" si="1851"/>
        <v>0</v>
      </c>
      <c r="P635" s="46">
        <f t="shared" si="1851"/>
        <v>4</v>
      </c>
      <c r="Q635" s="46">
        <f t="shared" si="1851"/>
        <v>3</v>
      </c>
      <c r="R635" s="46">
        <f t="shared" ref="R635" si="1853">SUM(R477:R478)</f>
        <v>64</v>
      </c>
      <c r="S635" s="47">
        <f t="shared" si="1850"/>
        <v>0</v>
      </c>
      <c r="T635" s="45">
        <f>SUM(T477:T478)</f>
        <v>1038</v>
      </c>
      <c r="U635" s="47">
        <f t="shared" ref="U635:V635" si="1854">SUM(U477:U478)</f>
        <v>67</v>
      </c>
      <c r="V635" s="45">
        <f t="shared" si="1854"/>
        <v>88</v>
      </c>
      <c r="W635" s="47">
        <f>SUM(W477:W478)</f>
        <v>1016</v>
      </c>
      <c r="X635" s="45">
        <f>SUM(X477:X478)</f>
        <v>1041</v>
      </c>
      <c r="Y635" s="47">
        <f>SUM(Y477:Y478)</f>
        <v>53</v>
      </c>
      <c r="Z635" s="109">
        <f t="shared" ref="Z635:AE635" si="1855">SUM(Z477:Z478)</f>
        <v>1027</v>
      </c>
      <c r="AA635" s="46">
        <f t="shared" si="1855"/>
        <v>0</v>
      </c>
      <c r="AB635" s="46">
        <f t="shared" si="1855"/>
        <v>35</v>
      </c>
      <c r="AC635" s="46">
        <f t="shared" si="1855"/>
        <v>51</v>
      </c>
      <c r="AD635" s="46">
        <f t="shared" si="1855"/>
        <v>0</v>
      </c>
      <c r="AE635" s="43">
        <f t="shared" si="1855"/>
        <v>0</v>
      </c>
      <c r="AF635" s="95">
        <f t="shared" si="1850"/>
        <v>0</v>
      </c>
      <c r="AG635" s="109">
        <f t="shared" ref="AG635" si="1856">SUM(AG477:AG478)</f>
        <v>0</v>
      </c>
      <c r="AH635" s="47">
        <f t="shared" si="1850"/>
        <v>0</v>
      </c>
      <c r="AI635" s="45">
        <f t="shared" si="1850"/>
        <v>50</v>
      </c>
      <c r="AJ635" s="43">
        <f t="shared" si="1850"/>
        <v>1042</v>
      </c>
      <c r="AK635" s="45">
        <f t="shared" ref="AK635" si="1857">SUM(AK477:AK478)</f>
        <v>58</v>
      </c>
      <c r="AL635" s="47">
        <f t="shared" si="1850"/>
        <v>1035</v>
      </c>
      <c r="AM635" s="45">
        <f t="shared" si="1850"/>
        <v>0</v>
      </c>
      <c r="AN635" s="95">
        <f t="shared" si="1850"/>
        <v>0</v>
      </c>
      <c r="AO635" s="109">
        <f t="shared" ref="AO635" si="1858">SUM(AO477:AO478)</f>
        <v>0</v>
      </c>
      <c r="AP635" s="47">
        <f t="shared" si="1850"/>
        <v>0</v>
      </c>
      <c r="AQ635" s="45">
        <f t="shared" ref="AQ635" si="1859">SUM(AQ477:AQ478)</f>
        <v>0</v>
      </c>
      <c r="AR635" s="95">
        <f t="shared" si="1850"/>
        <v>0</v>
      </c>
      <c r="AS635" s="109">
        <f t="shared" ref="AS635" si="1860">SUM(AS477:AS478)</f>
        <v>1044</v>
      </c>
      <c r="AT635" s="47">
        <f t="shared" si="1850"/>
        <v>57</v>
      </c>
      <c r="AU635" s="45">
        <f t="shared" ref="AU635:AV635" si="1861">SUM(AU477:AU478)</f>
        <v>0</v>
      </c>
      <c r="AV635" s="109">
        <f t="shared" si="1861"/>
        <v>0</v>
      </c>
      <c r="AW635" s="109">
        <f t="shared" si="1850"/>
        <v>0</v>
      </c>
      <c r="AX635" s="45">
        <f t="shared" ref="AX635" si="1862">SUM(AX477:AX478)</f>
        <v>0</v>
      </c>
      <c r="AY635" s="47">
        <f t="shared" si="1850"/>
        <v>0</v>
      </c>
      <c r="AZ635" s="45">
        <f t="shared" si="1850"/>
        <v>0</v>
      </c>
      <c r="BA635" s="95">
        <f t="shared" si="1850"/>
        <v>0</v>
      </c>
      <c r="BB635" s="45">
        <f t="shared" ref="BB635" si="1863">SUM(BB477:BB478)</f>
        <v>72</v>
      </c>
      <c r="BC635" s="47">
        <f>SUM(BC477:BC478)</f>
        <v>1025</v>
      </c>
      <c r="BD635" s="45">
        <f t="shared" ref="BD635" si="1864">SUM(BD477:BD478)</f>
        <v>66</v>
      </c>
      <c r="BE635" s="95">
        <f>SUM(BE477:BE478)</f>
        <v>1029</v>
      </c>
      <c r="BF635" s="109">
        <f t="shared" ref="BF635" si="1865">SUM(BF477:BF478)</f>
        <v>1027</v>
      </c>
      <c r="BG635" s="47">
        <f>SUM(BG477:BG478)</f>
        <v>60</v>
      </c>
      <c r="BH635" s="45">
        <f t="shared" ref="BH635" si="1866">SUM(BH477:BH478)</f>
        <v>77</v>
      </c>
      <c r="BI635" s="47">
        <f>SUM(BI477:BI478)</f>
        <v>1013</v>
      </c>
      <c r="BJ635" s="109">
        <f t="shared" ref="BJ635:BK635" si="1867">SUM(BJ477:BJ478)</f>
        <v>21</v>
      </c>
      <c r="BK635" s="43">
        <f t="shared" si="1867"/>
        <v>35</v>
      </c>
      <c r="BL635" s="95">
        <f t="shared" si="1850"/>
        <v>1055</v>
      </c>
      <c r="BM635" s="109">
        <f t="shared" ref="BM635:BN635" si="1868">SUM(BM477:BM478)</f>
        <v>1031</v>
      </c>
      <c r="BN635" s="46">
        <f t="shared" si="1868"/>
        <v>41</v>
      </c>
      <c r="BO635" s="47">
        <f t="shared" si="1850"/>
        <v>26</v>
      </c>
      <c r="BP635" s="45">
        <f t="shared" ref="BP635" si="1869">SUM(BP477:BP478)</f>
        <v>52</v>
      </c>
      <c r="BQ635" s="47">
        <f t="shared" ref="BQ635:BR635" si="1870">SUM(BQ477:BQ478)</f>
        <v>1041</v>
      </c>
      <c r="BR635" s="45">
        <f t="shared" si="1870"/>
        <v>1006</v>
      </c>
      <c r="BS635" s="47">
        <f t="shared" si="1850"/>
        <v>86</v>
      </c>
      <c r="BT635" s="45">
        <f t="shared" ref="BT635:BU635" si="1871">SUM(BT477:BT478)</f>
        <v>82</v>
      </c>
      <c r="BU635" s="43">
        <f t="shared" si="1871"/>
        <v>32</v>
      </c>
      <c r="BV635" s="95">
        <f t="shared" si="1850"/>
        <v>987</v>
      </c>
      <c r="BW635" s="109">
        <f t="shared" ref="BW635" si="1872">SUM(BW477:BW478)</f>
        <v>1038</v>
      </c>
      <c r="BX635" s="47">
        <f t="shared" si="1850"/>
        <v>65</v>
      </c>
      <c r="BY635" s="45">
        <f t="shared" ref="BY635" si="1873">SUM(BY477:BY478)</f>
        <v>1024</v>
      </c>
      <c r="BZ635" s="95">
        <f t="shared" si="1850"/>
        <v>56</v>
      </c>
      <c r="CA635" s="109">
        <f t="shared" ref="CA635" si="1874">SUM(CA477:CA478)</f>
        <v>64</v>
      </c>
      <c r="CB635" s="47">
        <f t="shared" si="1850"/>
        <v>1028</v>
      </c>
      <c r="CC635" s="47">
        <f t="shared" si="1850"/>
        <v>282</v>
      </c>
      <c r="CD635" s="44">
        <f t="shared" si="1850"/>
        <v>1050</v>
      </c>
      <c r="CE635" s="109">
        <f t="shared" ref="CE635" si="1875">SUM(CE477:CE478)</f>
        <v>301</v>
      </c>
      <c r="CF635" s="43">
        <f>SUM(CF477:CF478)</f>
        <v>593</v>
      </c>
      <c r="CG635" s="45">
        <f>SUM(CG477:CG478)</f>
        <v>168</v>
      </c>
      <c r="CH635" s="46">
        <f t="shared" ref="CH635:CJ635" si="1876">SUM(CH477:CH478)</f>
        <v>55</v>
      </c>
      <c r="CI635" s="46">
        <f t="shared" si="1876"/>
        <v>602</v>
      </c>
      <c r="CJ635" s="46">
        <f t="shared" si="1876"/>
        <v>570</v>
      </c>
      <c r="CK635" s="95">
        <f>SUM(CK477:CK478)</f>
        <v>216</v>
      </c>
    </row>
    <row r="636" spans="1:89" ht="13" x14ac:dyDescent="0.25">
      <c r="A636" s="91"/>
      <c r="B636" s="96" t="s">
        <v>658</v>
      </c>
      <c r="C636" s="99">
        <f>SUM(C479:C480)</f>
        <v>2120</v>
      </c>
      <c r="D636" s="99">
        <f>SUM(D479:D480)</f>
        <v>1215</v>
      </c>
      <c r="E636" s="89">
        <v>0.33011049723756908</v>
      </c>
      <c r="F636" s="45">
        <f t="shared" ref="F636:CD636" si="1877">SUM(F479:F480)</f>
        <v>0</v>
      </c>
      <c r="G636" s="109">
        <f t="shared" si="1877"/>
        <v>0</v>
      </c>
      <c r="H636" s="109">
        <f t="shared" ref="H636:Q636" si="1878">SUM(H479:H480)</f>
        <v>0</v>
      </c>
      <c r="I636" s="109">
        <f t="shared" si="1878"/>
        <v>0</v>
      </c>
      <c r="J636" s="109">
        <f t="shared" ref="J636:K636" si="1879">SUM(J479:J480)</f>
        <v>3</v>
      </c>
      <c r="K636" s="109">
        <f t="shared" si="1879"/>
        <v>0</v>
      </c>
      <c r="L636" s="109">
        <f t="shared" si="1878"/>
        <v>0</v>
      </c>
      <c r="M636" s="109">
        <f t="shared" si="1878"/>
        <v>633</v>
      </c>
      <c r="N636" s="109">
        <f t="shared" si="1878"/>
        <v>0</v>
      </c>
      <c r="O636" s="109">
        <f t="shared" si="1878"/>
        <v>0</v>
      </c>
      <c r="P636" s="46">
        <f t="shared" si="1878"/>
        <v>8</v>
      </c>
      <c r="Q636" s="46">
        <f t="shared" si="1878"/>
        <v>2</v>
      </c>
      <c r="R636" s="46">
        <f t="shared" ref="R636" si="1880">SUM(R479:R480)</f>
        <v>556</v>
      </c>
      <c r="S636" s="47">
        <f t="shared" si="1877"/>
        <v>1</v>
      </c>
      <c r="T636" s="45">
        <f>SUM(T479:T480)</f>
        <v>633</v>
      </c>
      <c r="U636" s="47">
        <f t="shared" ref="U636:V636" si="1881">SUM(U479:U480)</f>
        <v>517</v>
      </c>
      <c r="V636" s="45">
        <f t="shared" si="1881"/>
        <v>548</v>
      </c>
      <c r="W636" s="47">
        <f>SUM(W479:W480)</f>
        <v>612</v>
      </c>
      <c r="X636" s="45">
        <f>SUM(X479:X480)</f>
        <v>637</v>
      </c>
      <c r="Y636" s="47">
        <f>SUM(Y479:Y480)</f>
        <v>487</v>
      </c>
      <c r="Z636" s="109">
        <f t="shared" ref="Z636:AE636" si="1882">SUM(Z479:Z480)</f>
        <v>640</v>
      </c>
      <c r="AA636" s="46">
        <f t="shared" si="1882"/>
        <v>0</v>
      </c>
      <c r="AB636" s="46">
        <f t="shared" si="1882"/>
        <v>52</v>
      </c>
      <c r="AC636" s="46">
        <f t="shared" si="1882"/>
        <v>482</v>
      </c>
      <c r="AD636" s="46">
        <f t="shared" si="1882"/>
        <v>0</v>
      </c>
      <c r="AE636" s="43">
        <f t="shared" si="1882"/>
        <v>0</v>
      </c>
      <c r="AF636" s="95">
        <f t="shared" si="1877"/>
        <v>0</v>
      </c>
      <c r="AG636" s="109">
        <f t="shared" ref="AG636" si="1883">SUM(AG479:AG480)</f>
        <v>0</v>
      </c>
      <c r="AH636" s="47">
        <f t="shared" si="1877"/>
        <v>0</v>
      </c>
      <c r="AI636" s="45">
        <f t="shared" si="1877"/>
        <v>496</v>
      </c>
      <c r="AJ636" s="43">
        <f t="shared" si="1877"/>
        <v>626</v>
      </c>
      <c r="AK636" s="45">
        <f t="shared" ref="AK636" si="1884">SUM(AK479:AK480)</f>
        <v>502</v>
      </c>
      <c r="AL636" s="47">
        <f t="shared" si="1877"/>
        <v>622</v>
      </c>
      <c r="AM636" s="45">
        <f t="shared" si="1877"/>
        <v>0</v>
      </c>
      <c r="AN636" s="95">
        <f t="shared" si="1877"/>
        <v>0</v>
      </c>
      <c r="AO636" s="109">
        <f t="shared" ref="AO636" si="1885">SUM(AO479:AO480)</f>
        <v>0</v>
      </c>
      <c r="AP636" s="47">
        <f t="shared" si="1877"/>
        <v>0</v>
      </c>
      <c r="AQ636" s="45">
        <f t="shared" ref="AQ636" si="1886">SUM(AQ479:AQ480)</f>
        <v>0</v>
      </c>
      <c r="AR636" s="95">
        <f t="shared" si="1877"/>
        <v>0</v>
      </c>
      <c r="AS636" s="109">
        <f t="shared" ref="AS636" si="1887">SUM(AS479:AS480)</f>
        <v>638</v>
      </c>
      <c r="AT636" s="47">
        <f t="shared" si="1877"/>
        <v>490</v>
      </c>
      <c r="AU636" s="45">
        <f t="shared" ref="AU636:AV636" si="1888">SUM(AU479:AU480)</f>
        <v>0</v>
      </c>
      <c r="AV636" s="109">
        <f t="shared" si="1888"/>
        <v>0</v>
      </c>
      <c r="AW636" s="109">
        <f t="shared" si="1877"/>
        <v>0</v>
      </c>
      <c r="AX636" s="45">
        <f t="shared" ref="AX636" si="1889">SUM(AX479:AX480)</f>
        <v>0</v>
      </c>
      <c r="AY636" s="47">
        <f t="shared" si="1877"/>
        <v>0</v>
      </c>
      <c r="AZ636" s="45">
        <f t="shared" si="1877"/>
        <v>0</v>
      </c>
      <c r="BA636" s="95">
        <f t="shared" si="1877"/>
        <v>0</v>
      </c>
      <c r="BB636" s="45">
        <f t="shared" ref="BB636" si="1890">SUM(BB479:BB480)</f>
        <v>498</v>
      </c>
      <c r="BC636" s="47">
        <f>SUM(BC479:BC480)</f>
        <v>615</v>
      </c>
      <c r="BD636" s="45">
        <f t="shared" ref="BD636" si="1891">SUM(BD479:BD480)</f>
        <v>494</v>
      </c>
      <c r="BE636" s="95">
        <f>SUM(BE479:BE480)</f>
        <v>617</v>
      </c>
      <c r="BF636" s="109">
        <f t="shared" ref="BF636" si="1892">SUM(BF479:BF480)</f>
        <v>621</v>
      </c>
      <c r="BG636" s="47">
        <f>SUM(BG479:BG480)</f>
        <v>479</v>
      </c>
      <c r="BH636" s="45">
        <f t="shared" ref="BH636" si="1893">SUM(BH479:BH480)</f>
        <v>498</v>
      </c>
      <c r="BI636" s="47">
        <f>SUM(BI479:BI480)</f>
        <v>618</v>
      </c>
      <c r="BJ636" s="109">
        <f t="shared" ref="BJ636:BK636" si="1894">SUM(BJ479:BJ480)</f>
        <v>52</v>
      </c>
      <c r="BK636" s="43">
        <f t="shared" si="1894"/>
        <v>451</v>
      </c>
      <c r="BL636" s="95">
        <f t="shared" si="1877"/>
        <v>619</v>
      </c>
      <c r="BM636" s="109">
        <f t="shared" ref="BM636:BN636" si="1895">SUM(BM479:BM480)</f>
        <v>613</v>
      </c>
      <c r="BN636" s="46">
        <f t="shared" si="1895"/>
        <v>453</v>
      </c>
      <c r="BO636" s="47">
        <f t="shared" si="1877"/>
        <v>49</v>
      </c>
      <c r="BP636" s="45">
        <f t="shared" ref="BP636" si="1896">SUM(BP479:BP480)</f>
        <v>496</v>
      </c>
      <c r="BQ636" s="47">
        <f t="shared" ref="BQ636:BR636" si="1897">SUM(BQ479:BQ480)</f>
        <v>609</v>
      </c>
      <c r="BR636" s="45">
        <f t="shared" si="1897"/>
        <v>601</v>
      </c>
      <c r="BS636" s="47">
        <f t="shared" si="1877"/>
        <v>532</v>
      </c>
      <c r="BT636" s="45">
        <f t="shared" ref="BT636:BU636" si="1898">SUM(BT479:BT480)</f>
        <v>486</v>
      </c>
      <c r="BU636" s="43">
        <f t="shared" si="1898"/>
        <v>46</v>
      </c>
      <c r="BV636" s="95">
        <f t="shared" si="1877"/>
        <v>587</v>
      </c>
      <c r="BW636" s="109">
        <f t="shared" ref="BW636" si="1899">SUM(BW479:BW480)</f>
        <v>645</v>
      </c>
      <c r="BX636" s="47">
        <f t="shared" si="1877"/>
        <v>491</v>
      </c>
      <c r="BY636" s="45">
        <f t="shared" ref="BY636" si="1900">SUM(BY479:BY480)</f>
        <v>621</v>
      </c>
      <c r="BZ636" s="95">
        <f t="shared" si="1877"/>
        <v>482</v>
      </c>
      <c r="CA636" s="109">
        <f t="shared" ref="CA636" si="1901">SUM(CA479:CA480)</f>
        <v>477</v>
      </c>
      <c r="CB636" s="47">
        <f t="shared" si="1877"/>
        <v>630</v>
      </c>
      <c r="CC636" s="47">
        <f t="shared" si="1877"/>
        <v>683</v>
      </c>
      <c r="CD636" s="44">
        <f t="shared" si="1877"/>
        <v>833</v>
      </c>
      <c r="CE636" s="109">
        <f t="shared" ref="CE636" si="1902">SUM(CE479:CE480)</f>
        <v>485</v>
      </c>
      <c r="CF636" s="43">
        <f>SUM(CF479:CF480)</f>
        <v>419</v>
      </c>
      <c r="CG636" s="45">
        <f>SUM(CG479:CG480)</f>
        <v>258</v>
      </c>
      <c r="CH636" s="46">
        <f t="shared" ref="CH636:CJ636" si="1903">SUM(CH479:CH480)</f>
        <v>214</v>
      </c>
      <c r="CI636" s="46">
        <f t="shared" si="1903"/>
        <v>313</v>
      </c>
      <c r="CJ636" s="46">
        <f t="shared" si="1903"/>
        <v>362</v>
      </c>
      <c r="CK636" s="95">
        <f>SUM(CK479:CK480)</f>
        <v>436</v>
      </c>
    </row>
    <row r="637" spans="1:89" ht="13" x14ac:dyDescent="0.25">
      <c r="A637" s="91"/>
      <c r="B637" s="96" t="s">
        <v>659</v>
      </c>
      <c r="C637" s="99">
        <f>SUM(C481:C482)</f>
        <v>2852</v>
      </c>
      <c r="D637" s="99">
        <f>SUM(D481:D482)</f>
        <v>2303</v>
      </c>
      <c r="E637" s="89">
        <v>0.65182186234817818</v>
      </c>
      <c r="F637" s="45">
        <f t="shared" ref="F637:CD637" si="1904">SUM(F481:F482)</f>
        <v>0</v>
      </c>
      <c r="G637" s="109">
        <f t="shared" si="1904"/>
        <v>0</v>
      </c>
      <c r="H637" s="109">
        <f t="shared" ref="H637:Q637" si="1905">SUM(H481:H482)</f>
        <v>0</v>
      </c>
      <c r="I637" s="109">
        <f t="shared" si="1905"/>
        <v>1</v>
      </c>
      <c r="J637" s="109">
        <f t="shared" ref="J637:K637" si="1906">SUM(J481:J482)</f>
        <v>3</v>
      </c>
      <c r="K637" s="109">
        <f t="shared" si="1906"/>
        <v>0</v>
      </c>
      <c r="L637" s="109">
        <f t="shared" si="1905"/>
        <v>0</v>
      </c>
      <c r="M637" s="109">
        <f t="shared" si="1905"/>
        <v>1418</v>
      </c>
      <c r="N637" s="109">
        <f t="shared" si="1905"/>
        <v>0</v>
      </c>
      <c r="O637" s="109">
        <f t="shared" si="1905"/>
        <v>0</v>
      </c>
      <c r="P637" s="46">
        <f t="shared" si="1905"/>
        <v>12</v>
      </c>
      <c r="Q637" s="46">
        <f t="shared" si="1905"/>
        <v>11</v>
      </c>
      <c r="R637" s="46">
        <f t="shared" ref="R637" si="1907">SUM(R481:R482)</f>
        <v>806</v>
      </c>
      <c r="S637" s="47">
        <f t="shared" si="1904"/>
        <v>0</v>
      </c>
      <c r="T637" s="45">
        <f>SUM(T481:T482)</f>
        <v>1272</v>
      </c>
      <c r="U637" s="47">
        <f t="shared" ref="U637:V637" si="1908">SUM(U481:U482)</f>
        <v>927</v>
      </c>
      <c r="V637" s="45">
        <f t="shared" si="1908"/>
        <v>970</v>
      </c>
      <c r="W637" s="47">
        <f>SUM(W481:W482)</f>
        <v>1242</v>
      </c>
      <c r="X637" s="45">
        <f>SUM(X481:X482)</f>
        <v>1282</v>
      </c>
      <c r="Y637" s="47">
        <f>SUM(Y481:Y482)</f>
        <v>882</v>
      </c>
      <c r="Z637" s="109">
        <f t="shared" ref="Z637:AE637" si="1909">SUM(Z481:Z482)</f>
        <v>1420</v>
      </c>
      <c r="AA637" s="46">
        <f t="shared" si="1909"/>
        <v>0</v>
      </c>
      <c r="AB637" s="46">
        <f t="shared" si="1909"/>
        <v>49</v>
      </c>
      <c r="AC637" s="46">
        <f t="shared" si="1909"/>
        <v>791</v>
      </c>
      <c r="AD637" s="46">
        <f t="shared" si="1909"/>
        <v>0</v>
      </c>
      <c r="AE637" s="43">
        <f t="shared" si="1909"/>
        <v>0</v>
      </c>
      <c r="AF637" s="95">
        <f t="shared" si="1904"/>
        <v>0</v>
      </c>
      <c r="AG637" s="109">
        <f t="shared" ref="AG637" si="1910">SUM(AG481:AG482)</f>
        <v>1402</v>
      </c>
      <c r="AH637" s="47">
        <f t="shared" si="1904"/>
        <v>808</v>
      </c>
      <c r="AI637" s="45">
        <f t="shared" si="1904"/>
        <v>0</v>
      </c>
      <c r="AJ637" s="43">
        <f t="shared" si="1904"/>
        <v>0</v>
      </c>
      <c r="AK637" s="45">
        <f t="shared" ref="AK637" si="1911">SUM(AK481:AK482)</f>
        <v>0</v>
      </c>
      <c r="AL637" s="47">
        <f t="shared" si="1904"/>
        <v>0</v>
      </c>
      <c r="AM637" s="45">
        <f t="shared" si="1904"/>
        <v>0</v>
      </c>
      <c r="AN637" s="95">
        <f t="shared" si="1904"/>
        <v>0</v>
      </c>
      <c r="AO637" s="109">
        <f t="shared" ref="AO637" si="1912">SUM(AO481:AO482)</f>
        <v>0</v>
      </c>
      <c r="AP637" s="47">
        <f t="shared" si="1904"/>
        <v>0</v>
      </c>
      <c r="AQ637" s="45">
        <f t="shared" ref="AQ637" si="1913">SUM(AQ481:AQ482)</f>
        <v>871</v>
      </c>
      <c r="AR637" s="95">
        <f t="shared" si="1904"/>
        <v>1244</v>
      </c>
      <c r="AS637" s="109">
        <f t="shared" ref="AS637" si="1914">SUM(AS481:AS482)</f>
        <v>0</v>
      </c>
      <c r="AT637" s="47">
        <f t="shared" si="1904"/>
        <v>0</v>
      </c>
      <c r="AU637" s="45">
        <f t="shared" ref="AU637:AV637" si="1915">SUM(AU481:AU482)</f>
        <v>0</v>
      </c>
      <c r="AV637" s="109">
        <f t="shared" si="1915"/>
        <v>0</v>
      </c>
      <c r="AW637" s="109">
        <f t="shared" si="1904"/>
        <v>0</v>
      </c>
      <c r="AX637" s="45">
        <f t="shared" ref="AX637" si="1916">SUM(AX481:AX482)</f>
        <v>0</v>
      </c>
      <c r="AY637" s="47">
        <f t="shared" si="1904"/>
        <v>0</v>
      </c>
      <c r="AZ637" s="45">
        <f t="shared" si="1904"/>
        <v>0</v>
      </c>
      <c r="BA637" s="95">
        <f t="shared" si="1904"/>
        <v>0</v>
      </c>
      <c r="BB637" s="45">
        <f t="shared" ref="BB637" si="1917">SUM(BB481:BB482)</f>
        <v>904</v>
      </c>
      <c r="BC637" s="47">
        <f>SUM(BC481:BC482)</f>
        <v>1226</v>
      </c>
      <c r="BD637" s="45">
        <f t="shared" ref="BD637" si="1918">SUM(BD481:BD482)</f>
        <v>880</v>
      </c>
      <c r="BE637" s="95">
        <f>SUM(BE481:BE482)</f>
        <v>1241</v>
      </c>
      <c r="BF637" s="109">
        <f t="shared" ref="BF637" si="1919">SUM(BF481:BF482)</f>
        <v>1225</v>
      </c>
      <c r="BG637" s="47">
        <f>SUM(BG481:BG482)</f>
        <v>881</v>
      </c>
      <c r="BH637" s="45">
        <f t="shared" ref="BH637" si="1920">SUM(BH481:BH482)</f>
        <v>985</v>
      </c>
      <c r="BI637" s="47">
        <f>SUM(BI481:BI482)</f>
        <v>1140</v>
      </c>
      <c r="BJ637" s="109">
        <f t="shared" ref="BJ637:BK637" si="1921">SUM(BJ481:BJ482)</f>
        <v>80</v>
      </c>
      <c r="BK637" s="43">
        <f t="shared" si="1921"/>
        <v>840</v>
      </c>
      <c r="BL637" s="95">
        <f t="shared" si="1904"/>
        <v>1222</v>
      </c>
      <c r="BM637" s="109">
        <f t="shared" ref="BM637:BN637" si="1922">SUM(BM481:BM482)</f>
        <v>1248</v>
      </c>
      <c r="BN637" s="46">
        <f t="shared" si="1922"/>
        <v>835</v>
      </c>
      <c r="BO637" s="47">
        <f t="shared" si="1904"/>
        <v>61</v>
      </c>
      <c r="BP637" s="45">
        <f t="shared" ref="BP637" si="1923">SUM(BP481:BP482)</f>
        <v>921</v>
      </c>
      <c r="BQ637" s="47">
        <f t="shared" ref="BQ637:BR637" si="1924">SUM(BQ481:BQ482)</f>
        <v>1206</v>
      </c>
      <c r="BR637" s="45">
        <f t="shared" si="1924"/>
        <v>1126</v>
      </c>
      <c r="BS637" s="47">
        <f t="shared" si="1904"/>
        <v>1025</v>
      </c>
      <c r="BT637" s="45">
        <f t="shared" ref="BT637:BU637" si="1925">SUM(BT481:BT482)</f>
        <v>847</v>
      </c>
      <c r="BU637" s="43">
        <f t="shared" si="1925"/>
        <v>78</v>
      </c>
      <c r="BV637" s="95">
        <f t="shared" si="1904"/>
        <v>1176</v>
      </c>
      <c r="BW637" s="109">
        <f t="shared" ref="BW637" si="1926">SUM(BW481:BW482)</f>
        <v>1284</v>
      </c>
      <c r="BX637" s="47">
        <f t="shared" si="1904"/>
        <v>888</v>
      </c>
      <c r="BY637" s="45">
        <f t="shared" ref="BY637" si="1927">SUM(BY481:BY482)</f>
        <v>1236</v>
      </c>
      <c r="BZ637" s="95">
        <f t="shared" si="1904"/>
        <v>833</v>
      </c>
      <c r="CA637" s="109">
        <f t="shared" ref="CA637" si="1928">SUM(CA481:CA482)</f>
        <v>849</v>
      </c>
      <c r="CB637" s="47">
        <f t="shared" si="1904"/>
        <v>1259</v>
      </c>
      <c r="CC637" s="47">
        <f t="shared" si="1904"/>
        <v>1322</v>
      </c>
      <c r="CD637" s="44">
        <f t="shared" si="1904"/>
        <v>1606</v>
      </c>
      <c r="CE637" s="109">
        <f t="shared" ref="CE637" si="1929">SUM(CE481:CE482)</f>
        <v>909</v>
      </c>
      <c r="CF637" s="43">
        <f>SUM(CF481:CF482)</f>
        <v>873</v>
      </c>
      <c r="CG637" s="45">
        <f>SUM(CG481:CG482)</f>
        <v>597</v>
      </c>
      <c r="CH637" s="46">
        <f t="shared" ref="CH637:CJ637" si="1930">SUM(CH481:CH482)</f>
        <v>453</v>
      </c>
      <c r="CI637" s="46">
        <f t="shared" si="1930"/>
        <v>707</v>
      </c>
      <c r="CJ637" s="46">
        <f t="shared" si="1930"/>
        <v>898</v>
      </c>
      <c r="CK637" s="95">
        <f>SUM(CK481:CK482)</f>
        <v>792</v>
      </c>
    </row>
    <row r="638" spans="1:89" ht="13" x14ac:dyDescent="0.25">
      <c r="A638" s="91"/>
      <c r="B638" s="96" t="s">
        <v>660</v>
      </c>
      <c r="C638" s="99">
        <f>SUM(C495:C496)</f>
        <v>2050</v>
      </c>
      <c r="D638" s="99">
        <f>SUM(D495:D496)</f>
        <v>1552</v>
      </c>
      <c r="E638" s="89">
        <v>0.58276533592989288</v>
      </c>
      <c r="F638" s="45">
        <f t="shared" ref="F638:CD638" si="1931">SUM(F495:F496)</f>
        <v>0</v>
      </c>
      <c r="G638" s="109">
        <f t="shared" si="1931"/>
        <v>0</v>
      </c>
      <c r="H638" s="109">
        <f t="shared" ref="H638:Q638" si="1932">SUM(H495:H496)</f>
        <v>0</v>
      </c>
      <c r="I638" s="109">
        <f t="shared" si="1932"/>
        <v>0</v>
      </c>
      <c r="J638" s="109">
        <f t="shared" ref="J638:K638" si="1933">SUM(J495:J496)</f>
        <v>2</v>
      </c>
      <c r="K638" s="109">
        <f t="shared" si="1933"/>
        <v>0</v>
      </c>
      <c r="L638" s="109">
        <f t="shared" si="1932"/>
        <v>0</v>
      </c>
      <c r="M638" s="109">
        <f t="shared" si="1932"/>
        <v>644</v>
      </c>
      <c r="N638" s="109">
        <f t="shared" si="1932"/>
        <v>0</v>
      </c>
      <c r="O638" s="109">
        <f t="shared" si="1932"/>
        <v>0</v>
      </c>
      <c r="P638" s="46">
        <f t="shared" si="1932"/>
        <v>10</v>
      </c>
      <c r="Q638" s="46">
        <f t="shared" si="1932"/>
        <v>1</v>
      </c>
      <c r="R638" s="46">
        <f t="shared" ref="R638" si="1934">SUM(R495:R496)</f>
        <v>875</v>
      </c>
      <c r="S638" s="47">
        <f t="shared" si="1931"/>
        <v>0</v>
      </c>
      <c r="T638" s="45">
        <f>SUM(T495:T496)</f>
        <v>583</v>
      </c>
      <c r="U638" s="47">
        <f t="shared" ref="U638:V638" si="1935">SUM(U495:U496)</f>
        <v>906</v>
      </c>
      <c r="V638" s="45">
        <f t="shared" si="1935"/>
        <v>936</v>
      </c>
      <c r="W638" s="47">
        <f>SUM(W495:W496)</f>
        <v>568</v>
      </c>
      <c r="X638" s="45">
        <f>SUM(X495:X496)</f>
        <v>596</v>
      </c>
      <c r="Y638" s="47">
        <f>SUM(Y495:Y496)</f>
        <v>875</v>
      </c>
      <c r="Z638" s="109">
        <f t="shared" ref="Z638:AE638" si="1936">SUM(Z495:Z496)</f>
        <v>647</v>
      </c>
      <c r="AA638" s="46">
        <f t="shared" si="1936"/>
        <v>0</v>
      </c>
      <c r="AB638" s="46">
        <f t="shared" si="1936"/>
        <v>57</v>
      </c>
      <c r="AC638" s="46">
        <f t="shared" si="1936"/>
        <v>813</v>
      </c>
      <c r="AD638" s="46">
        <f t="shared" si="1936"/>
        <v>0</v>
      </c>
      <c r="AE638" s="43">
        <f t="shared" si="1936"/>
        <v>0</v>
      </c>
      <c r="AF638" s="95">
        <f t="shared" si="1931"/>
        <v>0</v>
      </c>
      <c r="AG638" s="109">
        <f t="shared" ref="AG638" si="1937">SUM(AG495:AG496)</f>
        <v>665</v>
      </c>
      <c r="AH638" s="47">
        <f t="shared" si="1931"/>
        <v>830</v>
      </c>
      <c r="AI638" s="45">
        <f t="shared" si="1931"/>
        <v>0</v>
      </c>
      <c r="AJ638" s="43">
        <f t="shared" si="1931"/>
        <v>0</v>
      </c>
      <c r="AK638" s="45">
        <f t="shared" ref="AK638" si="1938">SUM(AK495:AK496)</f>
        <v>875</v>
      </c>
      <c r="AL638" s="47">
        <f t="shared" si="1931"/>
        <v>603</v>
      </c>
      <c r="AM638" s="45">
        <f t="shared" si="1931"/>
        <v>0</v>
      </c>
      <c r="AN638" s="95">
        <f t="shared" si="1931"/>
        <v>0</v>
      </c>
      <c r="AO638" s="109">
        <f t="shared" ref="AO638" si="1939">SUM(AO495:AO496)</f>
        <v>0</v>
      </c>
      <c r="AP638" s="47">
        <f t="shared" si="1931"/>
        <v>0</v>
      </c>
      <c r="AQ638" s="45">
        <f t="shared" ref="AQ638" si="1940">SUM(AQ495:AQ496)</f>
        <v>0</v>
      </c>
      <c r="AR638" s="95">
        <f t="shared" si="1931"/>
        <v>0</v>
      </c>
      <c r="AS638" s="109">
        <f t="shared" ref="AS638" si="1941">SUM(AS495:AS496)</f>
        <v>627</v>
      </c>
      <c r="AT638" s="47">
        <f t="shared" si="1931"/>
        <v>851</v>
      </c>
      <c r="AU638" s="45">
        <f t="shared" ref="AU638:AV638" si="1942">SUM(AU495:AU496)</f>
        <v>0</v>
      </c>
      <c r="AV638" s="109">
        <f t="shared" si="1942"/>
        <v>0</v>
      </c>
      <c r="AW638" s="109">
        <f t="shared" si="1931"/>
        <v>0</v>
      </c>
      <c r="AX638" s="45">
        <f t="shared" ref="AX638" si="1943">SUM(AX495:AX496)</f>
        <v>0</v>
      </c>
      <c r="AY638" s="47">
        <f t="shared" si="1931"/>
        <v>0</v>
      </c>
      <c r="AZ638" s="45">
        <f t="shared" si="1931"/>
        <v>0</v>
      </c>
      <c r="BA638" s="95">
        <f t="shared" si="1931"/>
        <v>0</v>
      </c>
      <c r="BB638" s="45">
        <f t="shared" ref="BB638" si="1944">SUM(BB495:BB496)</f>
        <v>908</v>
      </c>
      <c r="BC638" s="47">
        <f>SUM(BC495:BC496)</f>
        <v>547</v>
      </c>
      <c r="BD638" s="45">
        <f t="shared" ref="BD638" si="1945">SUM(BD495:BD496)</f>
        <v>875</v>
      </c>
      <c r="BE638" s="95">
        <f>SUM(BE495:BE496)</f>
        <v>576</v>
      </c>
      <c r="BF638" s="109">
        <f t="shared" ref="BF638" si="1946">SUM(BF495:BF496)</f>
        <v>563</v>
      </c>
      <c r="BG638" s="47">
        <f>SUM(BG495:BG496)</f>
        <v>882</v>
      </c>
      <c r="BH638" s="45">
        <f t="shared" ref="BH638" si="1947">SUM(BH495:BH496)</f>
        <v>936</v>
      </c>
      <c r="BI638" s="47">
        <f>SUM(BI495:BI496)</f>
        <v>528</v>
      </c>
      <c r="BJ638" s="109">
        <f t="shared" ref="BJ638:BK638" si="1948">SUM(BJ495:BJ496)</f>
        <v>77</v>
      </c>
      <c r="BK638" s="43">
        <f t="shared" si="1948"/>
        <v>816</v>
      </c>
      <c r="BL638" s="95">
        <f t="shared" si="1931"/>
        <v>570</v>
      </c>
      <c r="BM638" s="109">
        <f t="shared" ref="BM638:BN638" si="1949">SUM(BM495:BM496)</f>
        <v>584</v>
      </c>
      <c r="BN638" s="46">
        <f t="shared" si="1949"/>
        <v>817</v>
      </c>
      <c r="BO638" s="47">
        <f t="shared" si="1931"/>
        <v>63</v>
      </c>
      <c r="BP638" s="45">
        <f t="shared" ref="BP638" si="1950">SUM(BP495:BP496)</f>
        <v>911</v>
      </c>
      <c r="BQ638" s="47">
        <f t="shared" ref="BQ638:BR638" si="1951">SUM(BQ495:BQ496)</f>
        <v>558</v>
      </c>
      <c r="BR638" s="45">
        <f t="shared" si="1951"/>
        <v>521</v>
      </c>
      <c r="BS638" s="47">
        <f t="shared" si="1931"/>
        <v>958</v>
      </c>
      <c r="BT638" s="45">
        <f t="shared" ref="BT638:BU638" si="1952">SUM(BT495:BT496)</f>
        <v>839</v>
      </c>
      <c r="BU638" s="43">
        <f t="shared" si="1952"/>
        <v>66</v>
      </c>
      <c r="BV638" s="95">
        <f t="shared" si="1931"/>
        <v>537</v>
      </c>
      <c r="BW638" s="109">
        <f t="shared" ref="BW638" si="1953">SUM(BW495:BW496)</f>
        <v>593</v>
      </c>
      <c r="BX638" s="47">
        <f t="shared" si="1931"/>
        <v>892</v>
      </c>
      <c r="BY638" s="45">
        <f t="shared" ref="BY638" si="1954">SUM(BY495:BY496)</f>
        <v>571</v>
      </c>
      <c r="BZ638" s="95">
        <f t="shared" si="1931"/>
        <v>864</v>
      </c>
      <c r="CA638" s="109">
        <f t="shared" ref="CA638" si="1955">SUM(CA495:CA496)</f>
        <v>869</v>
      </c>
      <c r="CB638" s="47">
        <f t="shared" si="1931"/>
        <v>579</v>
      </c>
      <c r="CC638" s="47">
        <f t="shared" si="1931"/>
        <v>1104</v>
      </c>
      <c r="CD638" s="44">
        <f t="shared" si="1931"/>
        <v>998</v>
      </c>
      <c r="CE638" s="109">
        <f t="shared" ref="CE638" si="1956">SUM(CE495:CE496)</f>
        <v>767</v>
      </c>
      <c r="CF638" s="43">
        <f>SUM(CF495:CF496)</f>
        <v>468</v>
      </c>
      <c r="CG638" s="45">
        <f>SUM(CG495:CG496)</f>
        <v>389</v>
      </c>
      <c r="CH638" s="46">
        <f t="shared" ref="CH638:CJ638" si="1957">SUM(CH495:CH496)</f>
        <v>456</v>
      </c>
      <c r="CI638" s="46">
        <f t="shared" si="1957"/>
        <v>312</v>
      </c>
      <c r="CJ638" s="46">
        <f t="shared" si="1957"/>
        <v>408</v>
      </c>
      <c r="CK638" s="95">
        <f>SUM(CK495:CK496)</f>
        <v>762</v>
      </c>
    </row>
    <row r="639" spans="1:89" ht="13" x14ac:dyDescent="0.25">
      <c r="A639" s="91"/>
      <c r="B639" s="96" t="s">
        <v>661</v>
      </c>
      <c r="C639" s="99">
        <f>SUM(C486)</f>
        <v>771</v>
      </c>
      <c r="D639" s="99">
        <f>SUM(D486)</f>
        <v>618</v>
      </c>
      <c r="E639" s="89">
        <v>0.69129287598944589</v>
      </c>
      <c r="F639" s="45">
        <f t="shared" ref="F639:CD639" si="1958">SUM(F486)</f>
        <v>0</v>
      </c>
      <c r="G639" s="109">
        <f t="shared" si="1958"/>
        <v>0</v>
      </c>
      <c r="H639" s="109">
        <f t="shared" ref="H639:Q639" si="1959">SUM(H486)</f>
        <v>0</v>
      </c>
      <c r="I639" s="109">
        <f t="shared" si="1959"/>
        <v>0</v>
      </c>
      <c r="J639" s="109">
        <f t="shared" ref="J639:K639" si="1960">SUM(J486)</f>
        <v>1</v>
      </c>
      <c r="K639" s="109">
        <f t="shared" si="1960"/>
        <v>0</v>
      </c>
      <c r="L639" s="109">
        <f t="shared" si="1959"/>
        <v>0</v>
      </c>
      <c r="M639" s="109">
        <f t="shared" si="1959"/>
        <v>123</v>
      </c>
      <c r="N639" s="109">
        <f t="shared" si="1959"/>
        <v>0</v>
      </c>
      <c r="O639" s="109">
        <f t="shared" si="1959"/>
        <v>0</v>
      </c>
      <c r="P639" s="46">
        <f t="shared" si="1959"/>
        <v>3</v>
      </c>
      <c r="Q639" s="46">
        <f t="shared" si="1959"/>
        <v>0</v>
      </c>
      <c r="R639" s="46">
        <f t="shared" ref="R639" si="1961">SUM(R486)</f>
        <v>480</v>
      </c>
      <c r="S639" s="47">
        <f t="shared" si="1958"/>
        <v>0</v>
      </c>
      <c r="T639" s="45">
        <f>SUM(T486)</f>
        <v>105</v>
      </c>
      <c r="U639" s="47">
        <f t="shared" ref="U639:V639" si="1962">SUM(U486)</f>
        <v>494</v>
      </c>
      <c r="V639" s="45">
        <f t="shared" si="1962"/>
        <v>500</v>
      </c>
      <c r="W639" s="47">
        <f>SUM(W486)</f>
        <v>103</v>
      </c>
      <c r="X639" s="45">
        <f>SUM(X486)</f>
        <v>108</v>
      </c>
      <c r="Y639" s="47">
        <f>SUM(Y486)</f>
        <v>482</v>
      </c>
      <c r="Z639" s="109">
        <f t="shared" ref="Z639:AE639" si="1963">SUM(Z486)</f>
        <v>138</v>
      </c>
      <c r="AA639" s="46">
        <f t="shared" si="1963"/>
        <v>0</v>
      </c>
      <c r="AB639" s="46">
        <f t="shared" si="1963"/>
        <v>16</v>
      </c>
      <c r="AC639" s="46">
        <f t="shared" si="1963"/>
        <v>452</v>
      </c>
      <c r="AD639" s="46">
        <f t="shared" si="1963"/>
        <v>0</v>
      </c>
      <c r="AE639" s="43">
        <f t="shared" si="1963"/>
        <v>0</v>
      </c>
      <c r="AF639" s="95">
        <f t="shared" si="1958"/>
        <v>0</v>
      </c>
      <c r="AG639" s="109">
        <f t="shared" ref="AG639" si="1964">SUM(AG486)</f>
        <v>0</v>
      </c>
      <c r="AH639" s="47">
        <f t="shared" si="1958"/>
        <v>0</v>
      </c>
      <c r="AI639" s="45">
        <f t="shared" si="1958"/>
        <v>482</v>
      </c>
      <c r="AJ639" s="43">
        <f t="shared" si="1958"/>
        <v>109</v>
      </c>
      <c r="AK639" s="45">
        <f t="shared" ref="AK639" si="1965">SUM(AK486)</f>
        <v>483</v>
      </c>
      <c r="AL639" s="47">
        <f t="shared" si="1958"/>
        <v>105</v>
      </c>
      <c r="AM639" s="45">
        <f t="shared" si="1958"/>
        <v>0</v>
      </c>
      <c r="AN639" s="95">
        <f t="shared" si="1958"/>
        <v>0</v>
      </c>
      <c r="AO639" s="109">
        <f t="shared" ref="AO639" si="1966">SUM(AO486)</f>
        <v>0</v>
      </c>
      <c r="AP639" s="47">
        <f t="shared" si="1958"/>
        <v>0</v>
      </c>
      <c r="AQ639" s="45">
        <f t="shared" ref="AQ639" si="1967">SUM(AQ486)</f>
        <v>0</v>
      </c>
      <c r="AR639" s="95">
        <f t="shared" si="1958"/>
        <v>0</v>
      </c>
      <c r="AS639" s="109">
        <f t="shared" ref="AS639" si="1968">SUM(AS486)</f>
        <v>0</v>
      </c>
      <c r="AT639" s="47">
        <f t="shared" si="1958"/>
        <v>0</v>
      </c>
      <c r="AU639" s="45">
        <f t="shared" ref="AU639:AV639" si="1969">SUM(AU486)</f>
        <v>0</v>
      </c>
      <c r="AV639" s="109">
        <f t="shared" si="1969"/>
        <v>0</v>
      </c>
      <c r="AW639" s="109">
        <f t="shared" si="1958"/>
        <v>0</v>
      </c>
      <c r="AX639" s="45">
        <f t="shared" ref="AX639" si="1970">SUM(AX486)</f>
        <v>0</v>
      </c>
      <c r="AY639" s="47">
        <f t="shared" si="1958"/>
        <v>0</v>
      </c>
      <c r="AZ639" s="45">
        <f t="shared" si="1958"/>
        <v>108</v>
      </c>
      <c r="BA639" s="95">
        <f t="shared" si="1958"/>
        <v>480</v>
      </c>
      <c r="BB639" s="45">
        <f t="shared" ref="BB639" si="1971">SUM(BB486)</f>
        <v>484</v>
      </c>
      <c r="BC639" s="47">
        <f>SUM(BC486)</f>
        <v>103</v>
      </c>
      <c r="BD639" s="45">
        <f t="shared" ref="BD639" si="1972">SUM(BD486)</f>
        <v>477</v>
      </c>
      <c r="BE639" s="95">
        <f>SUM(BE486)</f>
        <v>102</v>
      </c>
      <c r="BF639" s="109">
        <f t="shared" ref="BF639" si="1973">SUM(BF486)</f>
        <v>100</v>
      </c>
      <c r="BG639" s="47">
        <f>SUM(BG486)</f>
        <v>476</v>
      </c>
      <c r="BH639" s="45">
        <f t="shared" ref="BH639" si="1974">SUM(BH486)</f>
        <v>495</v>
      </c>
      <c r="BI639" s="47">
        <f>SUM(BI486)</f>
        <v>90</v>
      </c>
      <c r="BJ639" s="109">
        <f t="shared" ref="BJ639:BK639" si="1975">SUM(BJ486)</f>
        <v>20</v>
      </c>
      <c r="BK639" s="43">
        <f t="shared" si="1975"/>
        <v>455</v>
      </c>
      <c r="BL639" s="95">
        <f t="shared" si="1958"/>
        <v>114</v>
      </c>
      <c r="BM639" s="109">
        <f t="shared" ref="BM639:BN639" si="1976">SUM(BM486)</f>
        <v>154</v>
      </c>
      <c r="BN639" s="46">
        <f t="shared" si="1976"/>
        <v>425</v>
      </c>
      <c r="BO639" s="47">
        <f t="shared" si="1958"/>
        <v>12</v>
      </c>
      <c r="BP639" s="45">
        <f t="shared" ref="BP639" si="1977">SUM(BP486)</f>
        <v>477</v>
      </c>
      <c r="BQ639" s="47">
        <f t="shared" ref="BQ639:BR639" si="1978">SUM(BQ486)</f>
        <v>109</v>
      </c>
      <c r="BR639" s="45">
        <f t="shared" si="1978"/>
        <v>87</v>
      </c>
      <c r="BS639" s="47">
        <f t="shared" si="1958"/>
        <v>502</v>
      </c>
      <c r="BT639" s="45">
        <f t="shared" ref="BT639:BU639" si="1979">SUM(BT486)</f>
        <v>467</v>
      </c>
      <c r="BU639" s="43">
        <f t="shared" si="1979"/>
        <v>21</v>
      </c>
      <c r="BV639" s="95">
        <f t="shared" si="1958"/>
        <v>95</v>
      </c>
      <c r="BW639" s="109">
        <f t="shared" ref="BW639" si="1980">SUM(BW486)</f>
        <v>123</v>
      </c>
      <c r="BX639" s="47">
        <f t="shared" si="1958"/>
        <v>480</v>
      </c>
      <c r="BY639" s="45">
        <f t="shared" ref="BY639" si="1981">SUM(BY486)</f>
        <v>119</v>
      </c>
      <c r="BZ639" s="95">
        <f t="shared" si="1958"/>
        <v>462</v>
      </c>
      <c r="CA639" s="109">
        <f t="shared" ref="CA639" si="1982">SUM(CA486)</f>
        <v>448</v>
      </c>
      <c r="CB639" s="47">
        <f t="shared" si="1958"/>
        <v>131</v>
      </c>
      <c r="CC639" s="47">
        <f t="shared" si="1958"/>
        <v>497</v>
      </c>
      <c r="CD639" s="44">
        <f t="shared" si="1958"/>
        <v>354</v>
      </c>
      <c r="CE639" s="109">
        <f t="shared" ref="CE639" si="1983">SUM(CE486)</f>
        <v>399</v>
      </c>
      <c r="CF639" s="43">
        <f>SUM(CF486)</f>
        <v>116</v>
      </c>
      <c r="CG639" s="45">
        <f>SUM(CG486)</f>
        <v>153</v>
      </c>
      <c r="CH639" s="46">
        <f t="shared" ref="CH639:CJ639" si="1984">SUM(CH486)</f>
        <v>264</v>
      </c>
      <c r="CI639" s="46">
        <f t="shared" si="1984"/>
        <v>45</v>
      </c>
      <c r="CJ639" s="46">
        <f t="shared" si="1984"/>
        <v>69</v>
      </c>
      <c r="CK639" s="95">
        <f>SUM(CK486)</f>
        <v>436</v>
      </c>
    </row>
    <row r="640" spans="1:89" ht="13" x14ac:dyDescent="0.25">
      <c r="A640" s="91"/>
      <c r="B640" s="96" t="s">
        <v>662</v>
      </c>
      <c r="C640" s="99">
        <f>SUM(C497:C500)</f>
        <v>3061</v>
      </c>
      <c r="D640" s="99">
        <f>SUM(D497:D500)</f>
        <v>2144</v>
      </c>
      <c r="E640" s="89">
        <v>0.51426675514266751</v>
      </c>
      <c r="F640" s="45">
        <f t="shared" ref="F640:CD640" si="1985">SUM(F497:F500)</f>
        <v>0</v>
      </c>
      <c r="G640" s="109">
        <f t="shared" si="1985"/>
        <v>0</v>
      </c>
      <c r="H640" s="109">
        <f t="shared" ref="H640:Q640" si="1986">SUM(H497:H500)</f>
        <v>0</v>
      </c>
      <c r="I640" s="109">
        <f t="shared" si="1986"/>
        <v>0</v>
      </c>
      <c r="J640" s="109">
        <f t="shared" ref="J640:K640" si="1987">SUM(J497:J500)</f>
        <v>2</v>
      </c>
      <c r="K640" s="109">
        <f t="shared" si="1987"/>
        <v>0</v>
      </c>
      <c r="L640" s="109">
        <f t="shared" si="1986"/>
        <v>0</v>
      </c>
      <c r="M640" s="109">
        <f t="shared" si="1986"/>
        <v>1115</v>
      </c>
      <c r="N640" s="109">
        <f t="shared" si="1986"/>
        <v>0</v>
      </c>
      <c r="O640" s="109">
        <f t="shared" si="1986"/>
        <v>0</v>
      </c>
      <c r="P640" s="46">
        <f t="shared" si="1986"/>
        <v>9</v>
      </c>
      <c r="Q640" s="46">
        <f t="shared" si="1986"/>
        <v>6</v>
      </c>
      <c r="R640" s="46">
        <f t="shared" ref="R640" si="1988">SUM(R497:R500)</f>
        <v>989</v>
      </c>
      <c r="S640" s="47">
        <f t="shared" si="1985"/>
        <v>0</v>
      </c>
      <c r="T640" s="45">
        <f>SUM(T497:T500)</f>
        <v>1101</v>
      </c>
      <c r="U640" s="47">
        <f t="shared" ref="U640:V640" si="1989">SUM(U497:U500)</f>
        <v>945</v>
      </c>
      <c r="V640" s="45">
        <f t="shared" si="1989"/>
        <v>1020</v>
      </c>
      <c r="W640" s="47">
        <f>SUM(W497:W500)</f>
        <v>1049</v>
      </c>
      <c r="X640" s="45">
        <f>SUM(X497:X500)</f>
        <v>1090</v>
      </c>
      <c r="Y640" s="47">
        <f>SUM(Y497:Y500)</f>
        <v>926</v>
      </c>
      <c r="Z640" s="109">
        <f t="shared" ref="Z640:AE640" si="1990">SUM(Z497:Z500)</f>
        <v>1150</v>
      </c>
      <c r="AA640" s="46">
        <f t="shared" si="1990"/>
        <v>0</v>
      </c>
      <c r="AB640" s="46">
        <f t="shared" si="1990"/>
        <v>70</v>
      </c>
      <c r="AC640" s="46">
        <f t="shared" si="1990"/>
        <v>875</v>
      </c>
      <c r="AD640" s="46">
        <f t="shared" si="1990"/>
        <v>0</v>
      </c>
      <c r="AE640" s="43">
        <f t="shared" si="1990"/>
        <v>0</v>
      </c>
      <c r="AF640" s="95">
        <f t="shared" si="1985"/>
        <v>0</v>
      </c>
      <c r="AG640" s="109">
        <f t="shared" ref="AG640" si="1991">SUM(AG497:AG500)</f>
        <v>1181</v>
      </c>
      <c r="AH640" s="47">
        <f t="shared" si="1985"/>
        <v>864</v>
      </c>
      <c r="AI640" s="45">
        <f t="shared" si="1985"/>
        <v>0</v>
      </c>
      <c r="AJ640" s="43">
        <f t="shared" si="1985"/>
        <v>0</v>
      </c>
      <c r="AK640" s="45">
        <f t="shared" ref="AK640" si="1992">SUM(AK497:AK500)</f>
        <v>0</v>
      </c>
      <c r="AL640" s="47">
        <f t="shared" si="1985"/>
        <v>0</v>
      </c>
      <c r="AM640" s="45">
        <f t="shared" si="1985"/>
        <v>0</v>
      </c>
      <c r="AN640" s="95">
        <f t="shared" si="1985"/>
        <v>0</v>
      </c>
      <c r="AO640" s="109">
        <f t="shared" ref="AO640" si="1993">SUM(AO497:AO500)</f>
        <v>896</v>
      </c>
      <c r="AP640" s="47">
        <f t="shared" si="1985"/>
        <v>1136</v>
      </c>
      <c r="AQ640" s="45">
        <f t="shared" ref="AQ640" si="1994">SUM(AQ497:AQ500)</f>
        <v>0</v>
      </c>
      <c r="AR640" s="95">
        <f t="shared" si="1985"/>
        <v>0</v>
      </c>
      <c r="AS640" s="109">
        <f t="shared" ref="AS640" si="1995">SUM(AS497:AS500)</f>
        <v>0</v>
      </c>
      <c r="AT640" s="47">
        <f t="shared" si="1985"/>
        <v>0</v>
      </c>
      <c r="AU640" s="45">
        <f t="shared" ref="AU640:AV640" si="1996">SUM(AU497:AU500)</f>
        <v>0</v>
      </c>
      <c r="AV640" s="109">
        <f t="shared" si="1996"/>
        <v>0</v>
      </c>
      <c r="AW640" s="109">
        <f t="shared" si="1985"/>
        <v>0</v>
      </c>
      <c r="AX640" s="45">
        <f t="shared" ref="AX640" si="1997">SUM(AX497:AX500)</f>
        <v>0</v>
      </c>
      <c r="AY640" s="47">
        <f t="shared" si="1985"/>
        <v>0</v>
      </c>
      <c r="AZ640" s="45">
        <f t="shared" si="1985"/>
        <v>0</v>
      </c>
      <c r="BA640" s="95">
        <f t="shared" si="1985"/>
        <v>0</v>
      </c>
      <c r="BB640" s="45">
        <f t="shared" ref="BB640" si="1998">SUM(BB497:BB500)</f>
        <v>940</v>
      </c>
      <c r="BC640" s="47">
        <f>SUM(BC497:BC500)</f>
        <v>1052</v>
      </c>
      <c r="BD640" s="45">
        <f t="shared" ref="BD640" si="1999">SUM(BD497:BD500)</f>
        <v>914</v>
      </c>
      <c r="BE640" s="95">
        <f>SUM(BE497:BE500)</f>
        <v>1067</v>
      </c>
      <c r="BF640" s="109">
        <f t="shared" ref="BF640" si="2000">SUM(BF497:BF500)</f>
        <v>1072</v>
      </c>
      <c r="BG640" s="47">
        <f>SUM(BG497:BG500)</f>
        <v>905</v>
      </c>
      <c r="BH640" s="45">
        <f t="shared" ref="BH640" si="2001">SUM(BH497:BH500)</f>
        <v>963</v>
      </c>
      <c r="BI640" s="47">
        <f>SUM(BI497:BI500)</f>
        <v>1014</v>
      </c>
      <c r="BJ640" s="109">
        <f t="shared" ref="BJ640:BK640" si="2002">SUM(BJ497:BJ500)</f>
        <v>82</v>
      </c>
      <c r="BK640" s="43">
        <f t="shared" si="2002"/>
        <v>853</v>
      </c>
      <c r="BL640" s="95">
        <f t="shared" si="1985"/>
        <v>1081</v>
      </c>
      <c r="BM640" s="109">
        <f t="shared" ref="BM640:BN640" si="2003">SUM(BM497:BM500)</f>
        <v>1109</v>
      </c>
      <c r="BN640" s="46">
        <f t="shared" si="2003"/>
        <v>831</v>
      </c>
      <c r="BO640" s="47">
        <f t="shared" si="1985"/>
        <v>65</v>
      </c>
      <c r="BP640" s="45">
        <f t="shared" ref="BP640" si="2004">SUM(BP497:BP500)</f>
        <v>919</v>
      </c>
      <c r="BQ640" s="47">
        <f t="shared" ref="BQ640:BR640" si="2005">SUM(BQ497:BQ500)</f>
        <v>1068</v>
      </c>
      <c r="BR640" s="45">
        <f t="shared" si="2005"/>
        <v>996</v>
      </c>
      <c r="BS640" s="47">
        <f t="shared" si="1985"/>
        <v>1028</v>
      </c>
      <c r="BT640" s="45">
        <f t="shared" ref="BT640:BU640" si="2006">SUM(BT497:BT500)</f>
        <v>873</v>
      </c>
      <c r="BU640" s="43">
        <f t="shared" si="2006"/>
        <v>85</v>
      </c>
      <c r="BV640" s="95">
        <f t="shared" si="1985"/>
        <v>1032</v>
      </c>
      <c r="BW640" s="109">
        <f t="shared" ref="BW640" si="2007">SUM(BW497:BW500)</f>
        <v>1133</v>
      </c>
      <c r="BX640" s="47">
        <f t="shared" si="1985"/>
        <v>922</v>
      </c>
      <c r="BY640" s="45">
        <f t="shared" ref="BY640" si="2008">SUM(BY497:BY500)</f>
        <v>1086</v>
      </c>
      <c r="BZ640" s="95">
        <f t="shared" si="1985"/>
        <v>889</v>
      </c>
      <c r="CA640" s="109">
        <f t="shared" ref="CA640" si="2009">SUM(CA497:CA500)</f>
        <v>909</v>
      </c>
      <c r="CB640" s="47">
        <f t="shared" si="1985"/>
        <v>1076</v>
      </c>
      <c r="CC640" s="47">
        <f t="shared" si="1985"/>
        <v>1228</v>
      </c>
      <c r="CD640" s="44">
        <f t="shared" si="1985"/>
        <v>1458</v>
      </c>
      <c r="CE640" s="109">
        <f t="shared" ref="CE640" si="2010">SUM(CE497:CE500)</f>
        <v>837</v>
      </c>
      <c r="CF640" s="43">
        <f>SUM(CF497:CF500)</f>
        <v>807</v>
      </c>
      <c r="CG640" s="45">
        <f>SUM(CG497:CG500)</f>
        <v>464</v>
      </c>
      <c r="CH640" s="46">
        <f t="shared" ref="CH640:CJ640" si="2011">SUM(CH497:CH500)</f>
        <v>436</v>
      </c>
      <c r="CI640" s="46">
        <f t="shared" si="2011"/>
        <v>628</v>
      </c>
      <c r="CJ640" s="46">
        <f t="shared" si="2011"/>
        <v>679</v>
      </c>
      <c r="CK640" s="95">
        <f>SUM(CK497:CK500)</f>
        <v>875</v>
      </c>
    </row>
    <row r="641" spans="1:89" ht="13" x14ac:dyDescent="0.25">
      <c r="A641" s="91"/>
      <c r="B641" s="96" t="s">
        <v>663</v>
      </c>
      <c r="C641" s="99">
        <f>SUM(C501:C503)</f>
        <v>3808</v>
      </c>
      <c r="D641" s="99">
        <f>SUM(D501:D503)</f>
        <v>2653</v>
      </c>
      <c r="E641" s="89">
        <v>0.52646980579941471</v>
      </c>
      <c r="F641" s="45">
        <f t="shared" ref="F641:CD641" si="2012">SUM(F501:F503)</f>
        <v>0</v>
      </c>
      <c r="G641" s="109">
        <f t="shared" si="2012"/>
        <v>0</v>
      </c>
      <c r="H641" s="109">
        <f t="shared" ref="H641:Q641" si="2013">SUM(H501:H503)</f>
        <v>1</v>
      </c>
      <c r="I641" s="109">
        <f t="shared" si="2013"/>
        <v>2</v>
      </c>
      <c r="J641" s="109">
        <f t="shared" ref="J641:K641" si="2014">SUM(J501:J503)</f>
        <v>4</v>
      </c>
      <c r="K641" s="109">
        <f t="shared" si="2014"/>
        <v>0</v>
      </c>
      <c r="L641" s="109">
        <f t="shared" si="2013"/>
        <v>0</v>
      </c>
      <c r="M641" s="109">
        <f t="shared" si="2013"/>
        <v>1966</v>
      </c>
      <c r="N641" s="109">
        <f t="shared" si="2013"/>
        <v>0</v>
      </c>
      <c r="O641" s="109">
        <f t="shared" si="2013"/>
        <v>0</v>
      </c>
      <c r="P641" s="46">
        <f t="shared" si="2013"/>
        <v>18</v>
      </c>
      <c r="Q641" s="46">
        <f t="shared" si="2013"/>
        <v>4</v>
      </c>
      <c r="R641" s="46">
        <f t="shared" ref="R641" si="2015">SUM(R501:R503)</f>
        <v>628</v>
      </c>
      <c r="S641" s="47">
        <f t="shared" si="2012"/>
        <v>1</v>
      </c>
      <c r="T641" s="45">
        <f>SUM(T501:T503)</f>
        <v>1914</v>
      </c>
      <c r="U641" s="47">
        <f t="shared" ref="U641:V641" si="2016">SUM(U501:U503)</f>
        <v>668</v>
      </c>
      <c r="V641" s="45">
        <f t="shared" si="2016"/>
        <v>723</v>
      </c>
      <c r="W641" s="47">
        <f>SUM(W501:W503)</f>
        <v>1859</v>
      </c>
      <c r="X641" s="45">
        <f>SUM(X501:X503)</f>
        <v>1906</v>
      </c>
      <c r="Y641" s="47">
        <f>SUM(Y501:Y503)</f>
        <v>631</v>
      </c>
      <c r="Z641" s="109">
        <f t="shared" ref="Z641:AE641" si="2017">SUM(Z501:Z503)</f>
        <v>1946</v>
      </c>
      <c r="AA641" s="46">
        <f t="shared" si="2017"/>
        <v>0</v>
      </c>
      <c r="AB641" s="46">
        <f t="shared" si="2017"/>
        <v>76</v>
      </c>
      <c r="AC641" s="46">
        <f t="shared" si="2017"/>
        <v>575</v>
      </c>
      <c r="AD641" s="46">
        <f t="shared" si="2017"/>
        <v>0</v>
      </c>
      <c r="AE641" s="43">
        <f t="shared" si="2017"/>
        <v>0</v>
      </c>
      <c r="AF641" s="95">
        <f t="shared" si="2012"/>
        <v>0</v>
      </c>
      <c r="AG641" s="109">
        <f t="shared" ref="AG641" si="2018">SUM(AG501:AG503)</f>
        <v>1950</v>
      </c>
      <c r="AH641" s="47">
        <f t="shared" si="2012"/>
        <v>598</v>
      </c>
      <c r="AI641" s="45">
        <f t="shared" si="2012"/>
        <v>0</v>
      </c>
      <c r="AJ641" s="43">
        <f t="shared" si="2012"/>
        <v>0</v>
      </c>
      <c r="AK641" s="45">
        <f t="shared" ref="AK641" si="2019">SUM(AK501:AK503)</f>
        <v>638</v>
      </c>
      <c r="AL641" s="47">
        <f t="shared" si="2012"/>
        <v>1880</v>
      </c>
      <c r="AM641" s="45">
        <f t="shared" si="2012"/>
        <v>0</v>
      </c>
      <c r="AN641" s="95">
        <f t="shared" si="2012"/>
        <v>0</v>
      </c>
      <c r="AO641" s="109">
        <f t="shared" ref="AO641" si="2020">SUM(AO501:AO503)</f>
        <v>0</v>
      </c>
      <c r="AP641" s="47">
        <f t="shared" si="2012"/>
        <v>0</v>
      </c>
      <c r="AQ641" s="45">
        <f t="shared" ref="AQ641" si="2021">SUM(AQ501:AQ503)</f>
        <v>0</v>
      </c>
      <c r="AR641" s="95">
        <f t="shared" si="2012"/>
        <v>0</v>
      </c>
      <c r="AS641" s="109">
        <f t="shared" ref="AS641" si="2022">SUM(AS501:AS503)</f>
        <v>1907</v>
      </c>
      <c r="AT641" s="47">
        <f t="shared" si="2012"/>
        <v>612</v>
      </c>
      <c r="AU641" s="45">
        <f t="shared" ref="AU641:AV641" si="2023">SUM(AU501:AU503)</f>
        <v>0</v>
      </c>
      <c r="AV641" s="109">
        <f t="shared" si="2023"/>
        <v>0</v>
      </c>
      <c r="AW641" s="109">
        <f t="shared" si="2012"/>
        <v>0</v>
      </c>
      <c r="AX641" s="45">
        <f t="shared" ref="AX641" si="2024">SUM(AX501:AX503)</f>
        <v>0</v>
      </c>
      <c r="AY641" s="47">
        <f t="shared" si="2012"/>
        <v>0</v>
      </c>
      <c r="AZ641" s="45">
        <f t="shared" si="2012"/>
        <v>0</v>
      </c>
      <c r="BA641" s="95">
        <f t="shared" si="2012"/>
        <v>0</v>
      </c>
      <c r="BB641" s="45">
        <f t="shared" ref="BB641" si="2025">SUM(BB501:BB503)</f>
        <v>654</v>
      </c>
      <c r="BC641" s="47">
        <f>SUM(BC501:BC503)</f>
        <v>1841</v>
      </c>
      <c r="BD641" s="45">
        <f t="shared" ref="BD641" si="2026">SUM(BD501:BD503)</f>
        <v>629</v>
      </c>
      <c r="BE641" s="95">
        <f>SUM(BE501:BE503)</f>
        <v>1858</v>
      </c>
      <c r="BF641" s="109">
        <f t="shared" ref="BF641" si="2027">SUM(BF501:BF503)</f>
        <v>1848</v>
      </c>
      <c r="BG641" s="47">
        <f>SUM(BG501:BG503)</f>
        <v>629</v>
      </c>
      <c r="BH641" s="45">
        <f t="shared" ref="BH641" si="2028">SUM(BH501:BH503)</f>
        <v>689</v>
      </c>
      <c r="BI641" s="47">
        <f>SUM(BI501:BI503)</f>
        <v>1803</v>
      </c>
      <c r="BJ641" s="109">
        <f t="shared" ref="BJ641:BK641" si="2029">SUM(BJ501:BJ503)</f>
        <v>106</v>
      </c>
      <c r="BK641" s="43">
        <f t="shared" si="2029"/>
        <v>543</v>
      </c>
      <c r="BL641" s="95">
        <f t="shared" si="2012"/>
        <v>1882</v>
      </c>
      <c r="BM641" s="109">
        <f t="shared" ref="BM641:BN641" si="2030">SUM(BM501:BM503)</f>
        <v>1884</v>
      </c>
      <c r="BN641" s="46">
        <f t="shared" si="2030"/>
        <v>550</v>
      </c>
      <c r="BO641" s="47">
        <f t="shared" si="2012"/>
        <v>80</v>
      </c>
      <c r="BP641" s="45">
        <f t="shared" ref="BP641" si="2031">SUM(BP501:BP503)</f>
        <v>622</v>
      </c>
      <c r="BQ641" s="47">
        <f t="shared" ref="BQ641:BR641" si="2032">SUM(BQ501:BQ503)</f>
        <v>1862</v>
      </c>
      <c r="BR641" s="45">
        <f t="shared" si="2032"/>
        <v>1779</v>
      </c>
      <c r="BS641" s="47">
        <f t="shared" si="2012"/>
        <v>741</v>
      </c>
      <c r="BT641" s="45">
        <f t="shared" ref="BT641:BU641" si="2033">SUM(BT501:BT503)</f>
        <v>567</v>
      </c>
      <c r="BU641" s="43">
        <f t="shared" si="2033"/>
        <v>96</v>
      </c>
      <c r="BV641" s="95">
        <f t="shared" si="2012"/>
        <v>1830</v>
      </c>
      <c r="BW641" s="109">
        <f t="shared" ref="BW641" si="2034">SUM(BW501:BW503)</f>
        <v>1896</v>
      </c>
      <c r="BX641" s="47">
        <f t="shared" si="2012"/>
        <v>634</v>
      </c>
      <c r="BY641" s="45">
        <f t="shared" ref="BY641" si="2035">SUM(BY501:BY503)</f>
        <v>1862</v>
      </c>
      <c r="BZ641" s="95">
        <f t="shared" si="2012"/>
        <v>601</v>
      </c>
      <c r="CA641" s="109">
        <f t="shared" ref="CA641" si="2036">SUM(CA501:CA503)</f>
        <v>615</v>
      </c>
      <c r="CB641" s="47">
        <f t="shared" si="2012"/>
        <v>1883</v>
      </c>
      <c r="CC641" s="47">
        <f t="shared" si="2012"/>
        <v>1251</v>
      </c>
      <c r="CD641" s="44">
        <f t="shared" si="2012"/>
        <v>2174</v>
      </c>
      <c r="CE641" s="109">
        <f t="shared" ref="CE641" si="2037">SUM(CE501:CE503)</f>
        <v>793</v>
      </c>
      <c r="CF641" s="43">
        <f>SUM(CF501:CF503)</f>
        <v>1299</v>
      </c>
      <c r="CG641" s="45">
        <f>SUM(CG501:CG503)</f>
        <v>570</v>
      </c>
      <c r="CH641" s="46">
        <f t="shared" ref="CH641:CJ641" si="2038">SUM(CH501:CH503)</f>
        <v>307</v>
      </c>
      <c r="CI641" s="46">
        <f t="shared" si="2038"/>
        <v>1150</v>
      </c>
      <c r="CJ641" s="46">
        <f t="shared" si="2038"/>
        <v>1258</v>
      </c>
      <c r="CK641" s="95">
        <f>SUM(CK501:CK503)</f>
        <v>671</v>
      </c>
    </row>
    <row r="642" spans="1:89" ht="13" x14ac:dyDescent="0.25">
      <c r="A642" s="91"/>
      <c r="B642" s="96" t="s">
        <v>664</v>
      </c>
      <c r="C642" s="99">
        <f>SUM(C558:C559)</f>
        <v>1939</v>
      </c>
      <c r="D642" s="99">
        <f>SUM(D558:D559)</f>
        <v>1552</v>
      </c>
      <c r="E642" s="89">
        <v>0.64825429911412191</v>
      </c>
      <c r="F642" s="45">
        <f t="shared" ref="F642:CD642" si="2039">SUM(F558:F559)</f>
        <v>0</v>
      </c>
      <c r="G642" s="109">
        <f t="shared" si="2039"/>
        <v>0</v>
      </c>
      <c r="H642" s="109">
        <f t="shared" ref="H642:Q642" si="2040">SUM(H558:H559)</f>
        <v>0</v>
      </c>
      <c r="I642" s="109">
        <f t="shared" si="2040"/>
        <v>0</v>
      </c>
      <c r="J642" s="109">
        <f t="shared" ref="J642:K642" si="2041">SUM(J558:J559)</f>
        <v>2</v>
      </c>
      <c r="K642" s="109">
        <f t="shared" si="2041"/>
        <v>0</v>
      </c>
      <c r="L642" s="109">
        <f t="shared" si="2040"/>
        <v>0</v>
      </c>
      <c r="M642" s="109">
        <f t="shared" si="2040"/>
        <v>814</v>
      </c>
      <c r="N642" s="109">
        <f t="shared" si="2040"/>
        <v>0</v>
      </c>
      <c r="O642" s="109">
        <f t="shared" si="2040"/>
        <v>0</v>
      </c>
      <c r="P642" s="46">
        <f t="shared" si="2040"/>
        <v>16</v>
      </c>
      <c r="Q642" s="46">
        <f t="shared" si="2040"/>
        <v>3</v>
      </c>
      <c r="R642" s="46">
        <f t="shared" ref="R642" si="2042">SUM(R558:R559)</f>
        <v>682</v>
      </c>
      <c r="S642" s="47">
        <f t="shared" si="2039"/>
        <v>0</v>
      </c>
      <c r="T642" s="45">
        <f>SUM(T558:T559)</f>
        <v>732</v>
      </c>
      <c r="U642" s="47">
        <f t="shared" ref="U642:V642" si="2043">SUM(U558:U559)</f>
        <v>759</v>
      </c>
      <c r="V642" s="45">
        <f t="shared" si="2043"/>
        <v>788</v>
      </c>
      <c r="W642" s="47">
        <f>SUM(W558:W559)</f>
        <v>708</v>
      </c>
      <c r="X642" s="45">
        <f>SUM(X558:X559)</f>
        <v>725</v>
      </c>
      <c r="Y642" s="47">
        <f>SUM(Y558:Y559)</f>
        <v>743</v>
      </c>
      <c r="Z642" s="109">
        <f t="shared" ref="Z642:AE642" si="2044">SUM(Z558:Z559)</f>
        <v>784</v>
      </c>
      <c r="AA642" s="46">
        <f t="shared" si="2044"/>
        <v>0</v>
      </c>
      <c r="AB642" s="46">
        <f t="shared" si="2044"/>
        <v>51</v>
      </c>
      <c r="AC642" s="46">
        <f t="shared" si="2044"/>
        <v>682</v>
      </c>
      <c r="AD642" s="46">
        <f t="shared" si="2044"/>
        <v>0</v>
      </c>
      <c r="AE642" s="43">
        <f t="shared" si="2044"/>
        <v>0</v>
      </c>
      <c r="AF642" s="95">
        <f t="shared" si="2039"/>
        <v>0</v>
      </c>
      <c r="AG642" s="109">
        <f t="shared" ref="AG642" si="2045">SUM(AG558:AG559)</f>
        <v>805</v>
      </c>
      <c r="AH642" s="47">
        <f t="shared" si="2039"/>
        <v>689</v>
      </c>
      <c r="AI642" s="45">
        <f t="shared" si="2039"/>
        <v>0</v>
      </c>
      <c r="AJ642" s="43">
        <f t="shared" si="2039"/>
        <v>0</v>
      </c>
      <c r="AK642" s="45">
        <f t="shared" ref="AK642" si="2046">SUM(AK558:AK559)</f>
        <v>725</v>
      </c>
      <c r="AL642" s="47">
        <f t="shared" si="2039"/>
        <v>739</v>
      </c>
      <c r="AM642" s="45">
        <f t="shared" si="2039"/>
        <v>0</v>
      </c>
      <c r="AN642" s="95">
        <f t="shared" si="2039"/>
        <v>0</v>
      </c>
      <c r="AO642" s="109">
        <f t="shared" ref="AO642" si="2047">SUM(AO558:AO559)</f>
        <v>0</v>
      </c>
      <c r="AP642" s="47">
        <f t="shared" si="2039"/>
        <v>0</v>
      </c>
      <c r="AQ642" s="45">
        <f t="shared" ref="AQ642" si="2048">SUM(AQ558:AQ559)</f>
        <v>0</v>
      </c>
      <c r="AR642" s="95">
        <f t="shared" si="2039"/>
        <v>0</v>
      </c>
      <c r="AS642" s="109">
        <f t="shared" ref="AS642" si="2049">SUM(AS558:AS559)</f>
        <v>771</v>
      </c>
      <c r="AT642" s="47">
        <f t="shared" si="2039"/>
        <v>700</v>
      </c>
      <c r="AU642" s="45">
        <f t="shared" ref="AU642:AV642" si="2050">SUM(AU558:AU559)</f>
        <v>0</v>
      </c>
      <c r="AV642" s="109">
        <f t="shared" si="2050"/>
        <v>0</v>
      </c>
      <c r="AW642" s="109">
        <f t="shared" si="2039"/>
        <v>0</v>
      </c>
      <c r="AX642" s="45">
        <f t="shared" ref="AX642" si="2051">SUM(AX558:AX559)</f>
        <v>0</v>
      </c>
      <c r="AY642" s="47">
        <f t="shared" si="2039"/>
        <v>0</v>
      </c>
      <c r="AZ642" s="45">
        <f t="shared" si="2039"/>
        <v>0</v>
      </c>
      <c r="BA642" s="95">
        <f t="shared" si="2039"/>
        <v>0</v>
      </c>
      <c r="BB642" s="45">
        <f t="shared" ref="BB642" si="2052">SUM(BB558:BB559)</f>
        <v>757</v>
      </c>
      <c r="BC642" s="47">
        <f>SUM(BC558:BC559)</f>
        <v>689</v>
      </c>
      <c r="BD642" s="45">
        <f t="shared" ref="BD642" si="2053">SUM(BD558:BD559)</f>
        <v>737</v>
      </c>
      <c r="BE642" s="95">
        <f>SUM(BE558:BE559)</f>
        <v>701</v>
      </c>
      <c r="BF642" s="109">
        <f t="shared" ref="BF642" si="2054">SUM(BF558:BF559)</f>
        <v>700</v>
      </c>
      <c r="BG642" s="47">
        <f>SUM(BG558:BG559)</f>
        <v>725</v>
      </c>
      <c r="BH642" s="45">
        <f t="shared" ref="BH642" si="2055">SUM(BH558:BH559)</f>
        <v>789</v>
      </c>
      <c r="BI642" s="47">
        <f>SUM(BI558:BI559)</f>
        <v>658</v>
      </c>
      <c r="BJ642" s="109">
        <f t="shared" ref="BJ642:BK642" si="2056">SUM(BJ558:BJ559)</f>
        <v>79</v>
      </c>
      <c r="BK642" s="43">
        <f t="shared" si="2056"/>
        <v>703</v>
      </c>
      <c r="BL642" s="95">
        <f t="shared" si="2039"/>
        <v>662</v>
      </c>
      <c r="BM642" s="109">
        <f t="shared" ref="BM642:BN642" si="2057">SUM(BM558:BM559)</f>
        <v>707</v>
      </c>
      <c r="BN642" s="46">
        <f t="shared" si="2057"/>
        <v>696</v>
      </c>
      <c r="BO642" s="47">
        <f t="shared" si="2039"/>
        <v>45</v>
      </c>
      <c r="BP642" s="45">
        <f t="shared" ref="BP642" si="2058">SUM(BP558:BP559)</f>
        <v>778</v>
      </c>
      <c r="BQ642" s="47">
        <f t="shared" ref="BQ642:BR642" si="2059">SUM(BQ558:BQ559)</f>
        <v>671</v>
      </c>
      <c r="BR642" s="45">
        <f t="shared" si="2059"/>
        <v>603</v>
      </c>
      <c r="BS642" s="47">
        <f t="shared" si="2039"/>
        <v>850</v>
      </c>
      <c r="BT642" s="45">
        <f t="shared" ref="BT642:BU642" si="2060">SUM(BT558:BT559)</f>
        <v>696</v>
      </c>
      <c r="BU642" s="43">
        <f t="shared" si="2060"/>
        <v>73</v>
      </c>
      <c r="BV642" s="95">
        <f t="shared" si="2039"/>
        <v>662</v>
      </c>
      <c r="BW642" s="109">
        <f t="shared" ref="BW642" si="2061">SUM(BW558:BW559)</f>
        <v>708</v>
      </c>
      <c r="BX642" s="47">
        <f t="shared" si="2039"/>
        <v>754</v>
      </c>
      <c r="BY642" s="45">
        <f t="shared" ref="BY642" si="2062">SUM(BY558:BY559)</f>
        <v>699</v>
      </c>
      <c r="BZ642" s="95">
        <f t="shared" si="2039"/>
        <v>712</v>
      </c>
      <c r="CA642" s="109">
        <f t="shared" ref="CA642" si="2063">SUM(CA558:CA559)</f>
        <v>742</v>
      </c>
      <c r="CB642" s="47">
        <f t="shared" si="2039"/>
        <v>696</v>
      </c>
      <c r="CC642" s="47">
        <f t="shared" si="2039"/>
        <v>996</v>
      </c>
      <c r="CD642" s="44">
        <f t="shared" si="2039"/>
        <v>1032</v>
      </c>
      <c r="CE642" s="109">
        <f t="shared" ref="CE642" si="2064">SUM(CE558:CE559)</f>
        <v>639</v>
      </c>
      <c r="CF642" s="43">
        <f>SUM(CF558:CF559)</f>
        <v>529</v>
      </c>
      <c r="CG642" s="45">
        <f>SUM(CG558:CG559)</f>
        <v>414</v>
      </c>
      <c r="CH642" s="46">
        <f t="shared" ref="CH642:CJ642" si="2065">SUM(CH558:CH559)</f>
        <v>343</v>
      </c>
      <c r="CI642" s="46">
        <f t="shared" si="2065"/>
        <v>406</v>
      </c>
      <c r="CJ642" s="46">
        <f t="shared" si="2065"/>
        <v>496</v>
      </c>
      <c r="CK642" s="95">
        <f>SUM(CK558:CK559)</f>
        <v>564</v>
      </c>
    </row>
    <row r="643" spans="1:89" ht="13" x14ac:dyDescent="0.25">
      <c r="A643" s="91"/>
      <c r="B643" s="96" t="s">
        <v>665</v>
      </c>
      <c r="C643" s="99">
        <f>SUM(C563:C564)</f>
        <v>2609</v>
      </c>
      <c r="D643" s="99">
        <f>SUM(D563:D564)</f>
        <v>1696</v>
      </c>
      <c r="E643" s="89">
        <v>0.45582100872203263</v>
      </c>
      <c r="F643" s="45">
        <f t="shared" ref="F643:CD643" si="2066">SUM(F563:F564)</f>
        <v>0</v>
      </c>
      <c r="G643" s="109">
        <f t="shared" si="2066"/>
        <v>0</v>
      </c>
      <c r="H643" s="109">
        <f t="shared" ref="H643:Q643" si="2067">SUM(H563:H564)</f>
        <v>0</v>
      </c>
      <c r="I643" s="109">
        <f t="shared" si="2067"/>
        <v>0</v>
      </c>
      <c r="J643" s="109">
        <f t="shared" ref="J643:K643" si="2068">SUM(J563:J564)</f>
        <v>5</v>
      </c>
      <c r="K643" s="109">
        <f t="shared" si="2068"/>
        <v>0</v>
      </c>
      <c r="L643" s="109">
        <f t="shared" si="2067"/>
        <v>0</v>
      </c>
      <c r="M643" s="109">
        <f t="shared" si="2067"/>
        <v>1433</v>
      </c>
      <c r="N643" s="109">
        <f t="shared" si="2067"/>
        <v>0</v>
      </c>
      <c r="O643" s="109">
        <f t="shared" si="2067"/>
        <v>0</v>
      </c>
      <c r="P643" s="46">
        <f t="shared" si="2067"/>
        <v>15</v>
      </c>
      <c r="Q643" s="46">
        <f t="shared" si="2067"/>
        <v>1</v>
      </c>
      <c r="R643" s="46">
        <f t="shared" ref="R643" si="2069">SUM(R563:R564)</f>
        <v>227</v>
      </c>
      <c r="S643" s="47">
        <f t="shared" si="2066"/>
        <v>0</v>
      </c>
      <c r="T643" s="45">
        <f>SUM(T563:T564)</f>
        <v>1410</v>
      </c>
      <c r="U643" s="47">
        <f t="shared" ref="U643:V643" si="2070">SUM(U563:U564)</f>
        <v>242</v>
      </c>
      <c r="V643" s="45">
        <f t="shared" si="2070"/>
        <v>263</v>
      </c>
      <c r="W643" s="47">
        <f>SUM(W563:W564)</f>
        <v>1390</v>
      </c>
      <c r="X643" s="45">
        <f>SUM(X563:X564)</f>
        <v>1397</v>
      </c>
      <c r="Y643" s="47">
        <f>SUM(Y563:Y564)</f>
        <v>230</v>
      </c>
      <c r="Z643" s="109">
        <f t="shared" ref="Z643:AE643" si="2071">SUM(Z563:Z564)</f>
        <v>1413</v>
      </c>
      <c r="AA643" s="46">
        <f t="shared" si="2071"/>
        <v>0</v>
      </c>
      <c r="AB643" s="46">
        <f t="shared" si="2071"/>
        <v>57</v>
      </c>
      <c r="AC643" s="46">
        <f t="shared" si="2071"/>
        <v>199</v>
      </c>
      <c r="AD643" s="46">
        <f t="shared" si="2071"/>
        <v>0</v>
      </c>
      <c r="AE643" s="43">
        <f t="shared" si="2071"/>
        <v>0</v>
      </c>
      <c r="AF643" s="95">
        <f t="shared" si="2066"/>
        <v>0</v>
      </c>
      <c r="AG643" s="109">
        <f t="shared" ref="AG643" si="2072">SUM(AG563:AG564)</f>
        <v>0</v>
      </c>
      <c r="AH643" s="47">
        <f t="shared" si="2066"/>
        <v>0</v>
      </c>
      <c r="AI643" s="45">
        <f t="shared" si="2066"/>
        <v>229</v>
      </c>
      <c r="AJ643" s="43">
        <f t="shared" si="2066"/>
        <v>1409</v>
      </c>
      <c r="AK643" s="45">
        <f t="shared" ref="AK643" si="2073">SUM(AK563:AK564)</f>
        <v>232</v>
      </c>
      <c r="AL643" s="47">
        <f t="shared" si="2066"/>
        <v>1410</v>
      </c>
      <c r="AM643" s="45">
        <f t="shared" si="2066"/>
        <v>0</v>
      </c>
      <c r="AN643" s="95">
        <f t="shared" si="2066"/>
        <v>0</v>
      </c>
      <c r="AO643" s="109">
        <f t="shared" ref="AO643" si="2074">SUM(AO563:AO564)</f>
        <v>0</v>
      </c>
      <c r="AP643" s="47">
        <f t="shared" si="2066"/>
        <v>0</v>
      </c>
      <c r="AQ643" s="45">
        <f t="shared" ref="AQ643" si="2075">SUM(AQ563:AQ564)</f>
        <v>0</v>
      </c>
      <c r="AR643" s="95">
        <f t="shared" si="2066"/>
        <v>0</v>
      </c>
      <c r="AS643" s="109">
        <f t="shared" ref="AS643" si="2076">SUM(AS563:AS564)</f>
        <v>1407</v>
      </c>
      <c r="AT643" s="47">
        <f t="shared" si="2066"/>
        <v>229</v>
      </c>
      <c r="AU643" s="45">
        <f t="shared" ref="AU643:AV643" si="2077">SUM(AU563:AU564)</f>
        <v>0</v>
      </c>
      <c r="AV643" s="109">
        <f t="shared" si="2077"/>
        <v>0</v>
      </c>
      <c r="AW643" s="109">
        <f t="shared" si="2066"/>
        <v>0</v>
      </c>
      <c r="AX643" s="45">
        <f t="shared" ref="AX643" si="2078">SUM(AX563:AX564)</f>
        <v>0</v>
      </c>
      <c r="AY643" s="47">
        <f t="shared" si="2066"/>
        <v>0</v>
      </c>
      <c r="AZ643" s="45">
        <f t="shared" si="2066"/>
        <v>0</v>
      </c>
      <c r="BA643" s="95">
        <f t="shared" si="2066"/>
        <v>0</v>
      </c>
      <c r="BB643" s="45">
        <f t="shared" ref="BB643" si="2079">SUM(BB563:BB564)</f>
        <v>244</v>
      </c>
      <c r="BC643" s="47">
        <f>SUM(BC563:BC564)</f>
        <v>1382</v>
      </c>
      <c r="BD643" s="45">
        <f t="shared" ref="BD643" si="2080">SUM(BD563:BD564)</f>
        <v>228</v>
      </c>
      <c r="BE643" s="95">
        <f>SUM(BE563:BE564)</f>
        <v>1407</v>
      </c>
      <c r="BF643" s="109">
        <f t="shared" ref="BF643" si="2081">SUM(BF563:BF564)</f>
        <v>1401</v>
      </c>
      <c r="BG643" s="47">
        <f>SUM(BG563:BG564)</f>
        <v>230</v>
      </c>
      <c r="BH643" s="45">
        <f t="shared" ref="BH643" si="2082">SUM(BH563:BH564)</f>
        <v>255</v>
      </c>
      <c r="BI643" s="47">
        <f>SUM(BI563:BI564)</f>
        <v>1370</v>
      </c>
      <c r="BJ643" s="109">
        <f t="shared" ref="BJ643:BK643" si="2083">SUM(BJ563:BJ564)</f>
        <v>66</v>
      </c>
      <c r="BK643" s="43">
        <f t="shared" si="2083"/>
        <v>193</v>
      </c>
      <c r="BL643" s="95">
        <f t="shared" si="2066"/>
        <v>1394</v>
      </c>
      <c r="BM643" s="109">
        <f t="shared" ref="BM643:BN643" si="2084">SUM(BM563:BM564)</f>
        <v>1369</v>
      </c>
      <c r="BN643" s="46">
        <f t="shared" si="2084"/>
        <v>202</v>
      </c>
      <c r="BO643" s="47">
        <f t="shared" si="2066"/>
        <v>59</v>
      </c>
      <c r="BP643" s="45">
        <f t="shared" ref="BP643" si="2085">SUM(BP563:BP564)</f>
        <v>221</v>
      </c>
      <c r="BQ643" s="47">
        <f t="shared" ref="BQ643:BR643" si="2086">SUM(BQ563:BQ564)</f>
        <v>1400</v>
      </c>
      <c r="BR643" s="45">
        <f t="shared" si="2086"/>
        <v>1326</v>
      </c>
      <c r="BS643" s="47">
        <f t="shared" si="2066"/>
        <v>298</v>
      </c>
      <c r="BT643" s="45">
        <f t="shared" ref="BT643:BU643" si="2087">SUM(BT563:BT564)</f>
        <v>267</v>
      </c>
      <c r="BU643" s="43">
        <f t="shared" si="2087"/>
        <v>53</v>
      </c>
      <c r="BV643" s="95">
        <f t="shared" si="2066"/>
        <v>1315</v>
      </c>
      <c r="BW643" s="109">
        <f t="shared" ref="BW643" si="2088">SUM(BW563:BW564)</f>
        <v>1422</v>
      </c>
      <c r="BX643" s="47">
        <f t="shared" si="2066"/>
        <v>218</v>
      </c>
      <c r="BY643" s="45">
        <f t="shared" ref="BY643" si="2089">SUM(BY563:BY564)</f>
        <v>1388</v>
      </c>
      <c r="BZ643" s="95">
        <f t="shared" si="2066"/>
        <v>226</v>
      </c>
      <c r="CA643" s="109">
        <f t="shared" ref="CA643" si="2090">SUM(CA563:CA564)</f>
        <v>243</v>
      </c>
      <c r="CB643" s="47">
        <f t="shared" si="2066"/>
        <v>1390</v>
      </c>
      <c r="CC643" s="47">
        <f t="shared" si="2066"/>
        <v>699</v>
      </c>
      <c r="CD643" s="44">
        <f t="shared" si="2066"/>
        <v>1490</v>
      </c>
      <c r="CE643" s="109">
        <f t="shared" ref="CE643" si="2091">SUM(CE563:CE564)</f>
        <v>521</v>
      </c>
      <c r="CF643" s="43">
        <f>SUM(CF563:CF564)</f>
        <v>866</v>
      </c>
      <c r="CG643" s="45">
        <f>SUM(CG563:CG564)</f>
        <v>332</v>
      </c>
      <c r="CH643" s="46">
        <f t="shared" ref="CH643:CJ643" si="2092">SUM(CH563:CH564)</f>
        <v>134</v>
      </c>
      <c r="CI643" s="46">
        <f t="shared" si="2092"/>
        <v>866</v>
      </c>
      <c r="CJ643" s="46">
        <f t="shared" si="2092"/>
        <v>900</v>
      </c>
      <c r="CK643" s="95">
        <f>SUM(CK563:CK564)</f>
        <v>318</v>
      </c>
    </row>
    <row r="644" spans="1:89" ht="13" x14ac:dyDescent="0.25">
      <c r="A644" s="91"/>
      <c r="B644" s="96" t="s">
        <v>666</v>
      </c>
      <c r="C644" s="99">
        <f>SUM(C3:C203)+SUM(C208:C211)+SUM(C232:C262)+SUM(C274:C294)+SUM(C296:C297)+SUM(C300)+SUM(C314:C350)+SUM(C389:C397)+SUM(C400:C423)+SUM(C426:C427)+SUM(C481:C482)+SUM(C495:C503)+SUM(C508)+SUM(C512)+SUM(C514:C515)+SUM(C532:C559)</f>
        <v>401369</v>
      </c>
      <c r="D644" s="99">
        <f>SUM(D3:D203)+SUM(D208:D211)+SUM(D232:D262)+SUM(D274:D294)+SUM(D296:D297)+SUM(D300)+SUM(D314:D350)+SUM(D389:D397)+SUM(D400:D423)+SUM(D426:D427)+SUM(D481:D482)+SUM(D495:D503)+SUM(D508)+SUM(D512)+SUM(D514:D515)+SUM(D532:D559)</f>
        <v>267937</v>
      </c>
      <c r="E644" s="89">
        <v>0.50087430156369339</v>
      </c>
      <c r="F644" s="45">
        <f t="shared" ref="F644:CD644" si="2093">SUM(F3:F203)+SUM(F208:F211)+SUM(F232:F262)+SUM(F274:F294)+SUM(F296:F297)+SUM(F300)+SUM(F314:F350)+SUM(F389:F397)+SUM(F400:F423)+SUM(F426:F427)+SUM(F481:F482)+SUM(F495:F503)+SUM(F508)+SUM(F512)+SUM(F514:F515)+SUM(F532:F559)</f>
        <v>2</v>
      </c>
      <c r="G644" s="109">
        <f t="shared" ref="G644" si="2094">SUM(G3:G203)+SUM(G208:G211)+SUM(G232:G262)+SUM(G274:G294)+SUM(G296:G297)+SUM(G300)+SUM(G314:G350)+SUM(G389:G397)+SUM(G400:G423)+SUM(G426:G427)+SUM(G481:G482)+SUM(G495:G503)+SUM(G508)+SUM(G512)+SUM(G514:G515)+SUM(G532:G559)</f>
        <v>0</v>
      </c>
      <c r="H644" s="109">
        <f t="shared" ref="H644:Q644" si="2095">SUM(H3:H203)+SUM(H208:H211)+SUM(H232:H262)+SUM(H274:H294)+SUM(H296:H297)+SUM(H300)+SUM(H314:H350)+SUM(H389:H397)+SUM(H400:H423)+SUM(H426:H427)+SUM(H481:H482)+SUM(H495:H503)+SUM(H508)+SUM(H512)+SUM(H514:H515)+SUM(H532:H559)</f>
        <v>7</v>
      </c>
      <c r="I644" s="109">
        <f t="shared" si="2095"/>
        <v>187</v>
      </c>
      <c r="J644" s="109">
        <f t="shared" ref="J644:K644" si="2096">SUM(J3:J203)+SUM(J208:J211)+SUM(J232:J262)+SUM(J274:J294)+SUM(J296:J297)+SUM(J300)+SUM(J314:J350)+SUM(J389:J397)+SUM(J400:J423)+SUM(J426:J427)+SUM(J481:J482)+SUM(J495:J503)+SUM(J508)+SUM(J512)+SUM(J514:J515)+SUM(J532:J559)</f>
        <v>498</v>
      </c>
      <c r="K644" s="109">
        <f t="shared" si="2096"/>
        <v>0</v>
      </c>
      <c r="L644" s="109">
        <f t="shared" si="2095"/>
        <v>1</v>
      </c>
      <c r="M644" s="109">
        <f t="shared" si="2095"/>
        <v>164978</v>
      </c>
      <c r="N644" s="109">
        <f t="shared" si="2095"/>
        <v>1</v>
      </c>
      <c r="O644" s="109">
        <f t="shared" si="2095"/>
        <v>0</v>
      </c>
      <c r="P644" s="46">
        <f t="shared" si="2095"/>
        <v>1593</v>
      </c>
      <c r="Q644" s="46">
        <f t="shared" si="2095"/>
        <v>521</v>
      </c>
      <c r="R644" s="46">
        <f t="shared" ref="R644" si="2097">SUM(R3:R203)+SUM(R208:R211)+SUM(R232:R262)+SUM(R274:R294)+SUM(R296:R297)+SUM(R300)+SUM(R314:R350)+SUM(R389:R397)+SUM(R400:R423)+SUM(R426:R427)+SUM(R481:R482)+SUM(R495:R503)+SUM(R508)+SUM(R512)+SUM(R514:R515)+SUM(R532:R559)</f>
        <v>95565</v>
      </c>
      <c r="S644" s="47">
        <f t="shared" si="2093"/>
        <v>74</v>
      </c>
      <c r="T644" s="45">
        <f>SUM(T3:T203)+SUM(T208:T211)+SUM(T232:T262)+SUM(T274:T294)+SUM(T296:T297)+SUM(T300)+SUM(T314:T350)+SUM(T389:T397)+SUM(T400:T423)+SUM(T426:T427)+SUM(T481:T482)+SUM(T495:T503)+SUM(T508)+SUM(T512)+SUM(T514:T515)+SUM(T532:T559)</f>
        <v>157543</v>
      </c>
      <c r="U644" s="47">
        <f t="shared" ref="U644:V644" si="2098">SUM(U3:U203)+SUM(U208:U211)+SUM(U232:U262)+SUM(U274:U294)+SUM(U296:U297)+SUM(U300)+SUM(U314:U350)+SUM(U389:U397)+SUM(U400:U423)+SUM(U426:U427)+SUM(U481:U482)+SUM(U495:U503)+SUM(U508)+SUM(U512)+SUM(U514:U515)+SUM(U532:U559)</f>
        <v>100545</v>
      </c>
      <c r="V644" s="45">
        <f t="shared" si="2098"/>
        <v>105442</v>
      </c>
      <c r="W644" s="47">
        <f>SUM(W3:W203)+SUM(W208:W211)+SUM(W232:W262)+SUM(W274:W294)+SUM(W296:W297)+SUM(W300)+SUM(W314:W350)+SUM(W389:W397)+SUM(W400:W423)+SUM(W426:W427)+SUM(W481:W482)+SUM(W495:W503)+SUM(W508)+SUM(W512)+SUM(W514:W515)+SUM(W532:W559)</f>
        <v>153632</v>
      </c>
      <c r="X644" s="45">
        <f>SUM(X3:X203)+SUM(X208:X211)+SUM(X232:X262)+SUM(X274:X294)+SUM(X296:X297)+SUM(X300)+SUM(X314:X350)+SUM(X389:X397)+SUM(X400:X423)+SUM(X426:X427)+SUM(X481:X482)+SUM(X495:X503)+SUM(X508)+SUM(X512)+SUM(X514:X515)+SUM(X532:X559)</f>
        <v>158687</v>
      </c>
      <c r="Y644" s="47">
        <f>SUM(Y3:Y203)+SUM(Y208:Y211)+SUM(Y232:Y262)+SUM(Y274:Y294)+SUM(Y296:Y297)+SUM(Y300)+SUM(Y314:Y350)+SUM(Y389:Y397)+SUM(Y400:Y423)+SUM(Y426:Y427)+SUM(Y481:Y482)+SUM(Y495:Y503)+SUM(Y508)+SUM(Y512)+SUM(Y514:Y515)+SUM(Y532:Y559)</f>
        <v>95707</v>
      </c>
      <c r="Z644" s="109">
        <f t="shared" ref="Z644:AE644" si="2099">SUM(Z3:Z203)+SUM(Z208:Z211)+SUM(Z232:Z262)+SUM(Z274:Z294)+SUM(Z296:Z297)+SUM(Z300)+SUM(Z314:Z350)+SUM(Z389:Z397)+SUM(Z400:Z423)+SUM(Z426:Z427)+SUM(Z481:Z482)+SUM(Z495:Z503)+SUM(Z508)+SUM(Z512)+SUM(Z514:Z515)+SUM(Z532:Z559)</f>
        <v>165807</v>
      </c>
      <c r="AA644" s="46">
        <f t="shared" si="2099"/>
        <v>5</v>
      </c>
      <c r="AB644" s="46">
        <f t="shared" si="2099"/>
        <v>8213</v>
      </c>
      <c r="AC644" s="46">
        <f t="shared" si="2099"/>
        <v>88288</v>
      </c>
      <c r="AD644" s="46">
        <f t="shared" si="2099"/>
        <v>0</v>
      </c>
      <c r="AE644" s="43">
        <f t="shared" si="2099"/>
        <v>0</v>
      </c>
      <c r="AF644" s="95">
        <f t="shared" si="2093"/>
        <v>44</v>
      </c>
      <c r="AG644" s="109">
        <f t="shared" ref="AG644" si="2100">SUM(AG3:AG203)+SUM(AG208:AG211)+SUM(AG232:AG262)+SUM(AG274:AG294)+SUM(AG296:AG297)+SUM(AG300)+SUM(AG314:AG350)+SUM(AG389:AG397)+SUM(AG400:AG423)+SUM(AG426:AG427)+SUM(AG481:AG482)+SUM(AG495:AG503)+SUM(AG508)+SUM(AG512)+SUM(AG514:AG515)+SUM(AG532:AG559)</f>
        <v>165300</v>
      </c>
      <c r="AH644" s="47">
        <f t="shared" si="2093"/>
        <v>90003</v>
      </c>
      <c r="AI644" s="45">
        <f t="shared" si="2093"/>
        <v>1053</v>
      </c>
      <c r="AJ644" s="43">
        <f t="shared" si="2093"/>
        <v>1020</v>
      </c>
      <c r="AK644" s="45">
        <f t="shared" ref="AK644" si="2101">SUM(AK3:AK203)+SUM(AK208:AK211)+SUM(AK232:AK262)+SUM(AK274:AK294)+SUM(AK296:AK297)+SUM(AK300)+SUM(AK314:AK350)+SUM(AK389:AK397)+SUM(AK400:AK423)+SUM(AK426:AK427)+SUM(AK481:AK482)+SUM(AK495:AK503)+SUM(AK508)+SUM(AK512)+SUM(AK514:AK515)+SUM(AK532:AK559)</f>
        <v>36745</v>
      </c>
      <c r="AL644" s="47">
        <f t="shared" si="2093"/>
        <v>30053</v>
      </c>
      <c r="AM644" s="45">
        <f t="shared" si="2093"/>
        <v>27744</v>
      </c>
      <c r="AN644" s="95">
        <f t="shared" si="2093"/>
        <v>10526</v>
      </c>
      <c r="AO644" s="109">
        <f t="shared" ref="AO644" si="2102">SUM(AO3:AO203)+SUM(AO208:AO211)+SUM(AO232:AO262)+SUM(AO274:AO294)+SUM(AO296:AO297)+SUM(AO300)+SUM(AO314:AO350)+SUM(AO389:AO397)+SUM(AO400:AO423)+SUM(AO426:AO427)+SUM(AO481:AO482)+SUM(AO495:AO503)+SUM(AO508)+SUM(AO512)+SUM(AO514:AO515)+SUM(AO532:AO559)</f>
        <v>6517</v>
      </c>
      <c r="AP644" s="47">
        <f t="shared" si="2093"/>
        <v>34264</v>
      </c>
      <c r="AQ644" s="45">
        <f t="shared" ref="AQ644" si="2103">SUM(AQ3:AQ203)+SUM(AQ208:AQ211)+SUM(AQ232:AQ262)+SUM(AQ274:AQ294)+SUM(AQ296:AQ297)+SUM(AQ300)+SUM(AQ314:AQ350)+SUM(AQ389:AQ397)+SUM(AQ400:AQ423)+SUM(AQ426:AQ427)+SUM(AQ481:AQ482)+SUM(AQ495:AQ503)+SUM(AQ508)+SUM(AQ512)+SUM(AQ514:AQ515)+SUM(AQ532:AQ559)</f>
        <v>18926</v>
      </c>
      <c r="AR644" s="95">
        <f t="shared" si="2093"/>
        <v>42296</v>
      </c>
      <c r="AS644" s="109">
        <f t="shared" ref="AS644" si="2104">SUM(AS3:AS203)+SUM(AS208:AS211)+SUM(AS232:AS262)+SUM(AS274:AS294)+SUM(AS296:AS297)+SUM(AS300)+SUM(AS314:AS350)+SUM(AS389:AS397)+SUM(AS400:AS423)+SUM(AS426:AS427)+SUM(AS481:AS482)+SUM(AS495:AS503)+SUM(AS508)+SUM(AS512)+SUM(AS514:AS515)+SUM(AS532:AS559)</f>
        <v>25944</v>
      </c>
      <c r="AT644" s="47">
        <f t="shared" si="2093"/>
        <v>25666</v>
      </c>
      <c r="AU644" s="45">
        <f t="shared" ref="AU644" si="2105">SUM(AU3:AU203)+SUM(AU208:AU211)+SUM(AU232:AU262)+SUM(AU274:AU294)+SUM(AU296:AU297)+SUM(AU300)+SUM(AU314:AU350)+SUM(AU389:AU397)+SUM(AU400:AU423)+SUM(AU426:AU427)+SUM(AU481:AU482)+SUM(AU495:AU503)+SUM(AU508)+SUM(AU512)+SUM(AU514:AU515)+SUM(AU532:AU559)</f>
        <v>23675</v>
      </c>
      <c r="AV644" s="109">
        <f t="shared" ref="AV644" si="2106">SUM(AV3:AV203)+SUM(AV208:AV211)+SUM(AV232:AV262)+SUM(AV274:AV294)+SUM(AV296:AV297)+SUM(AV300)+SUM(AV314:AV350)+SUM(AV389:AV397)+SUM(AV400:AV423)+SUM(AV426:AV427)+SUM(AV481:AV482)+SUM(AV495:AV503)+SUM(AV508)+SUM(AV512)+SUM(AV514:AV515)+SUM(AV532:AV559)</f>
        <v>2</v>
      </c>
      <c r="AW644" s="109">
        <f t="shared" si="2093"/>
        <v>23231</v>
      </c>
      <c r="AX644" s="45">
        <f t="shared" ref="AX644" si="2107">SUM(AX3:AX203)+SUM(AX208:AX211)+SUM(AX232:AX262)+SUM(AX274:AX294)+SUM(AX296:AX297)+SUM(AX300)+SUM(AX314:AX350)+SUM(AX389:AX397)+SUM(AX400:AX423)+SUM(AX426:AX427)+SUM(AX481:AX482)+SUM(AX495:AX503)+SUM(AX508)+SUM(AX512)+SUM(AX514:AX515)+SUM(AX532:AX559)</f>
        <v>98</v>
      </c>
      <c r="AY644" s="47">
        <f t="shared" si="2093"/>
        <v>398</v>
      </c>
      <c r="AZ644" s="45">
        <f t="shared" si="2093"/>
        <v>4783</v>
      </c>
      <c r="BA644" s="95">
        <f t="shared" si="2093"/>
        <v>9991</v>
      </c>
      <c r="BB644" s="45">
        <f t="shared" ref="BB644" si="2108">SUM(BB3:BB203)+SUM(BB208:BB211)+SUM(BB232:BB262)+SUM(BB274:BB294)+SUM(BB296:BB297)+SUM(BB300)+SUM(BB314:BB350)+SUM(BB389:BB397)+SUM(BB400:BB423)+SUM(BB426:BB427)+SUM(BB481:BB482)+SUM(BB495:BB503)+SUM(BB508)+SUM(BB512)+SUM(BB514:BB515)+SUM(BB532:BB559)</f>
        <v>99418</v>
      </c>
      <c r="BC644" s="47">
        <f>SUM(BC3:BC203)+SUM(BC208:BC211)+SUM(BC232:BC262)+SUM(BC274:BC294)+SUM(BC296:BC297)+SUM(BC300)+SUM(BC314:BC350)+SUM(BC389:BC397)+SUM(BC400:BC423)+SUM(BC426:BC427)+SUM(BC481:BC482)+SUM(BC495:BC503)+SUM(BC508)+SUM(BC512)+SUM(BC514:BC515)+SUM(BC532:BC559)</f>
        <v>151772</v>
      </c>
      <c r="BD644" s="45">
        <f t="shared" ref="BD644" si="2109">SUM(BD3:BD203)+SUM(BD208:BD211)+SUM(BD232:BD262)+SUM(BD274:BD294)+SUM(BD296:BD297)+SUM(BD300)+SUM(BD314:BD350)+SUM(BD389:BD397)+SUM(BD400:BD423)+SUM(BD426:BD427)+SUM(BD481:BD482)+SUM(BD495:BD503)+SUM(BD508)+SUM(BD512)+SUM(BD514:BD515)+SUM(BD532:BD559)</f>
        <v>95758</v>
      </c>
      <c r="BE644" s="95">
        <f>SUM(BE3:BE203)+SUM(BE208:BE211)+SUM(BE232:BE262)+SUM(BE274:BE294)+SUM(BE296:BE297)+SUM(BE300)+SUM(BE314:BE350)+SUM(BE389:BE397)+SUM(BE400:BE423)+SUM(BE426:BE427)+SUM(BE481:BE482)+SUM(BE495:BE503)+SUM(BE508)+SUM(BE512)+SUM(BE514:BE515)+SUM(BE532:BE559)</f>
        <v>154674</v>
      </c>
      <c r="BF644" s="109">
        <f t="shared" ref="BF644" si="2110">SUM(BF3:BF203)+SUM(BF208:BF211)+SUM(BF232:BF262)+SUM(BF274:BF294)+SUM(BF296:BF297)+SUM(BF300)+SUM(BF314:BF350)+SUM(BF389:BF397)+SUM(BF400:BF423)+SUM(BF426:BF427)+SUM(BF481:BF482)+SUM(BF495:BF503)+SUM(BF508)+SUM(BF512)+SUM(BF514:BF515)+SUM(BF532:BF559)</f>
        <v>153292</v>
      </c>
      <c r="BG644" s="47">
        <f>SUM(BG3:BG203)+SUM(BG208:BG211)+SUM(BG232:BG262)+SUM(BG274:BG294)+SUM(BG296:BG297)+SUM(BG300)+SUM(BG314:BG350)+SUM(BG389:BG397)+SUM(BG400:BG423)+SUM(BG426:BG427)+SUM(BG481:BG482)+SUM(BG495:BG503)+SUM(BG508)+SUM(BG512)+SUM(BG514:BG515)+SUM(BG532:BG559)</f>
        <v>95932</v>
      </c>
      <c r="BH644" s="45">
        <f t="shared" ref="BH644" si="2111">SUM(BH3:BH203)+SUM(BH208:BH211)+SUM(BH232:BH262)+SUM(BH274:BH294)+SUM(BH296:BH297)+SUM(BH300)+SUM(BH314:BH350)+SUM(BH389:BH397)+SUM(BH400:BH423)+SUM(BH426:BH427)+SUM(BH481:BH482)+SUM(BH495:BH503)+SUM(BH508)+SUM(BH512)+SUM(BH514:BH515)+SUM(BH532:BH559)</f>
        <v>103811</v>
      </c>
      <c r="BI644" s="47">
        <f>SUM(BI3:BI203)+SUM(BI208:BI211)+SUM(BI232:BI262)+SUM(BI274:BI294)+SUM(BI296:BI297)+SUM(BI300)+SUM(BI314:BI350)+SUM(BI389:BI397)+SUM(BI400:BI423)+SUM(BI426:BI427)+SUM(BI481:BI482)+SUM(BI495:BI503)+SUM(BI508)+SUM(BI512)+SUM(BI514:BI515)+SUM(BI532:BI559)</f>
        <v>146495</v>
      </c>
      <c r="BJ644" s="109">
        <f t="shared" ref="BJ644:BK644" si="2112">SUM(BJ3:BJ203)+SUM(BJ208:BJ211)+SUM(BJ232:BJ262)+SUM(BJ274:BJ294)+SUM(BJ296:BJ297)+SUM(BJ300)+SUM(BJ314:BJ350)+SUM(BJ389:BJ397)+SUM(BJ400:BJ423)+SUM(BJ426:BJ427)+SUM(BJ481:BJ482)+SUM(BJ495:BJ503)+SUM(BJ508)+SUM(BJ512)+SUM(BJ514:BJ515)+SUM(BJ532:BJ559)</f>
        <v>11013</v>
      </c>
      <c r="BK644" s="43">
        <f t="shared" si="2112"/>
        <v>89056</v>
      </c>
      <c r="BL644" s="95">
        <f t="shared" si="2093"/>
        <v>153125</v>
      </c>
      <c r="BM644" s="109">
        <f t="shared" ref="BM644:BN644" si="2113">SUM(BM3:BM203)+SUM(BM208:BM211)+SUM(BM232:BM262)+SUM(BM274:BM294)+SUM(BM296:BM297)+SUM(BM300)+SUM(BM314:BM350)+SUM(BM389:BM397)+SUM(BM400:BM423)+SUM(BM426:BM427)+SUM(BM481:BM482)+SUM(BM495:BM503)+SUM(BM508)+SUM(BM512)+SUM(BM514:BM515)+SUM(BM532:BM559)</f>
        <v>155941</v>
      </c>
      <c r="BN644" s="46">
        <f t="shared" si="2113"/>
        <v>87933</v>
      </c>
      <c r="BO644" s="47">
        <f t="shared" si="2093"/>
        <v>8656</v>
      </c>
      <c r="BP644" s="45">
        <f t="shared" ref="BP644" si="2114">SUM(BP3:BP203)+SUM(BP208:BP211)+SUM(BP232:BP262)+SUM(BP274:BP294)+SUM(BP296:BP297)+SUM(BP300)+SUM(BP314:BP350)+SUM(BP389:BP397)+SUM(BP400:BP423)+SUM(BP426:BP427)+SUM(BP481:BP482)+SUM(BP495:BP503)+SUM(BP508)+SUM(BP512)+SUM(BP514:BP515)+SUM(BP532:BP559)</f>
        <v>98445</v>
      </c>
      <c r="BQ644" s="47">
        <f t="shared" ref="BQ644" si="2115">SUM(BQ3:BQ203)+SUM(BQ208:BQ211)+SUM(BQ232:BQ262)+SUM(BQ274:BQ294)+SUM(BQ296:BQ297)+SUM(BQ300)+SUM(BQ314:BQ350)+SUM(BQ389:BQ397)+SUM(BQ400:BQ423)+SUM(BQ426:BQ427)+SUM(BQ481:BQ482)+SUM(BQ495:BQ503)+SUM(BQ508)+SUM(BQ512)+SUM(BQ514:BQ515)+SUM(BQ532:BQ559)</f>
        <v>152682</v>
      </c>
      <c r="BR644" s="45">
        <f t="shared" ref="BR644" si="2116">SUM(BR3:BR203)+SUM(BR208:BR211)+SUM(BR232:BR262)+SUM(BR274:BR294)+SUM(BR296:BR297)+SUM(BR300)+SUM(BR314:BR350)+SUM(BR389:BR397)+SUM(BR400:BR423)+SUM(BR426:BR427)+SUM(BR481:BR482)+SUM(BR495:BR503)+SUM(BR508)+SUM(BR512)+SUM(BR514:BR515)+SUM(BR532:BR559)</f>
        <v>143580</v>
      </c>
      <c r="BS644" s="47">
        <f t="shared" si="2093"/>
        <v>109968</v>
      </c>
      <c r="BT644" s="45">
        <f t="shared" ref="BT644:BU644" si="2117">SUM(BT3:BT203)+SUM(BT208:BT211)+SUM(BT232:BT262)+SUM(BT274:BT294)+SUM(BT296:BT297)+SUM(BT300)+SUM(BT314:BT350)+SUM(BT389:BT397)+SUM(BT400:BT423)+SUM(BT426:BT427)+SUM(BT481:BT482)+SUM(BT495:BT503)+SUM(BT508)+SUM(BT512)+SUM(BT514:BT515)+SUM(BT532:BT559)</f>
        <v>90801</v>
      </c>
      <c r="BU644" s="43">
        <f t="shared" si="2117"/>
        <v>10799</v>
      </c>
      <c r="BV644" s="95">
        <f t="shared" si="2093"/>
        <v>148570</v>
      </c>
      <c r="BW644" s="109">
        <f t="shared" ref="BW644" si="2118">SUM(BW3:BW203)+SUM(BW208:BW211)+SUM(BW232:BW262)+SUM(BW274:BW294)+SUM(BW296:BW297)+SUM(BW300)+SUM(BW314:BW350)+SUM(BW389:BW397)+SUM(BW400:BW423)+SUM(BW426:BW427)+SUM(BW481:BW482)+SUM(BW495:BW503)+SUM(BW508)+SUM(BW512)+SUM(BW514:BW515)+SUM(BW532:BW559)</f>
        <v>157872</v>
      </c>
      <c r="BX644" s="47">
        <f t="shared" si="2093"/>
        <v>97913</v>
      </c>
      <c r="BY644" s="45">
        <f t="shared" ref="BY644" si="2119">SUM(BY3:BY203)+SUM(BY208:BY211)+SUM(BY232:BY262)+SUM(BY274:BY294)+SUM(BY296:BY297)+SUM(BY300)+SUM(BY314:BY350)+SUM(BY389:BY397)+SUM(BY400:BY423)+SUM(BY426:BY427)+SUM(BY481:BY482)+SUM(BY495:BY503)+SUM(BY508)+SUM(BY512)+SUM(BY514:BY515)+SUM(BY532:BY559)</f>
        <v>154941</v>
      </c>
      <c r="BZ644" s="95">
        <f t="shared" si="2093"/>
        <v>92426</v>
      </c>
      <c r="CA644" s="109">
        <f t="shared" ref="CA644" si="2120">SUM(CA3:CA203)+SUM(CA208:CA211)+SUM(CA232:CA262)+SUM(CA274:CA294)+SUM(CA296:CA297)+SUM(CA300)+SUM(CA314:CA350)+SUM(CA389:CA397)+SUM(CA400:CA423)+SUM(CA426:CA427)+SUM(CA481:CA482)+SUM(CA495:CA503)+SUM(CA508)+SUM(CA512)+SUM(CA514:CA515)+SUM(CA532:CA559)</f>
        <v>94659</v>
      </c>
      <c r="CB644" s="47">
        <f t="shared" si="2093"/>
        <v>155293</v>
      </c>
      <c r="CC644" s="47">
        <f t="shared" si="2093"/>
        <v>148304</v>
      </c>
      <c r="CD644" s="44">
        <f t="shared" si="2093"/>
        <v>197790</v>
      </c>
      <c r="CE644" s="109">
        <f t="shared" ref="CE644" si="2121">SUM(CE3:CE203)+SUM(CE208:CE211)+SUM(CE232:CE262)+SUM(CE274:CE294)+SUM(CE296:CE297)+SUM(CE300)+SUM(CE314:CE350)+SUM(CE389:CE397)+SUM(CE400:CE423)+SUM(CE426:CE427)+SUM(CE481:CE482)+SUM(CE495:CE503)+SUM(CE508)+SUM(CE512)+SUM(CE514:CE515)+SUM(CE532:CE559)</f>
        <v>103013</v>
      </c>
      <c r="CF644" s="43">
        <f>SUM(CF3:CF203)+SUM(CF208:CF211)+SUM(CF232:CF262)+SUM(CF274:CF294)+SUM(CF296:CF297)+SUM(CF300)+SUM(CF314:CF350)+SUM(CF389:CF397)+SUM(CF400:CF423)+SUM(CF426:CF427)+SUM(CF481:CF482)+SUM(CF495:CF503)+SUM(CF508)+SUM(CF512)+SUM(CF514:CF515)+SUM(CF532:CF559)</f>
        <v>109699</v>
      </c>
      <c r="CG644" s="45">
        <f>SUM(CG3:CG203)+SUM(CG208:CG211)+SUM(CG232:CG262)+SUM(CG274:CG294)+SUM(CG296:CG297)+SUM(CG300)+SUM(CG314:CG350)+SUM(CG389:CG397)+SUM(CG400:CG423)+SUM(CG426:CG427)+SUM(CG481:CG482)+SUM(CG495:CG503)+SUM(CG508)+SUM(CG512)+SUM(CG514:CG515)+SUM(CG532:CG559)</f>
        <v>61108</v>
      </c>
      <c r="CH644" s="46">
        <f t="shared" ref="CH644:CJ644" si="2122">SUM(CH3:CH203)+SUM(CH208:CH211)+SUM(CH232:CH262)+SUM(CH274:CH294)+SUM(CH296:CH297)+SUM(CH300)+SUM(CH314:CH350)+SUM(CH389:CH397)+SUM(CH400:CH423)+SUM(CH426:CH427)+SUM(CH481:CH482)+SUM(CH495:CH503)+SUM(CH508)+SUM(CH512)+SUM(CH514:CH515)+SUM(CH532:CH559)</f>
        <v>51939</v>
      </c>
      <c r="CI644" s="46">
        <f t="shared" si="2122"/>
        <v>90349</v>
      </c>
      <c r="CJ644" s="46">
        <f t="shared" si="2122"/>
        <v>102418</v>
      </c>
      <c r="CK644" s="95">
        <f>SUM(CK3:CK203)+SUM(CK208:CK211)+SUM(CK232:CK262)+SUM(CK274:CK294)+SUM(CK296:CK297)+SUM(CK300)+SUM(CK314:CK350)+SUM(CK389:CK397)+SUM(CK400:CK423)+SUM(CK426:CK427)+SUM(CK481:CK482)+SUM(CK495:CK503)+SUM(CK508)+SUM(CK512)+SUM(CK514:CK515)+SUM(CK532:CK559)</f>
        <v>90981</v>
      </c>
    </row>
    <row r="645" spans="1:89" ht="13" x14ac:dyDescent="0.25">
      <c r="A645" s="91"/>
      <c r="B645" s="96" t="s">
        <v>667</v>
      </c>
      <c r="C645" s="99">
        <f>SUM(C204:C207)+SUM(C212:C231)+SUM(C263:C273)+SUM(C294:C299)+SUM(C301:C313)+SUM(C351:C388)+SUM(C398:C399)+SUM(C424:C425)+SUM(C428:C480)+SUM(C483:C494)+SUM(C504:C507)+SUM(C509:C511)+SUM(C513)+SUM(C516:C531)+SUM(C560:C564)</f>
        <v>206238</v>
      </c>
      <c r="D645" s="99">
        <f>SUM(D204:D207)+SUM(D212:D231)+SUM(D263:D273)+SUM(D294:D299)+SUM(D301:D313)+SUM(D351:D388)+SUM(D398:D399)+SUM(D424:D425)+SUM(D428:D480)+SUM(D483:D494)+SUM(D504:D507)+SUM(D509:D511)+SUM(D513)+SUM(D516:D531)+SUM(D560:D564)</f>
        <v>151010</v>
      </c>
      <c r="E645" s="89">
        <v>0.54319858394478171</v>
      </c>
      <c r="F645" s="45">
        <f t="shared" ref="F645:CD645" si="2123">SUM(F204:F207)+SUM(F212:F231)+SUM(F263:F273)+SUM(F294:F299)+SUM(F301:F313)+SUM(F351:F388)+SUM(F398:F399)+SUM(F424:F425)+SUM(F428:F480)+SUM(F483:F494)+SUM(F504:F507)+SUM(F509:F511)+SUM(F513)+SUM(F516:F531)+SUM(F560:F564)</f>
        <v>0</v>
      </c>
      <c r="G645" s="109">
        <f t="shared" ref="G645" si="2124">SUM(G204:G207)+SUM(G212:G231)+SUM(G263:G273)+SUM(G294:G299)+SUM(G301:G313)+SUM(G351:G388)+SUM(G398:G399)+SUM(G424:G425)+SUM(G428:G480)+SUM(G483:G494)+SUM(G504:G507)+SUM(G509:G511)+SUM(G513)+SUM(G516:G531)+SUM(G560:G564)</f>
        <v>0</v>
      </c>
      <c r="H645" s="109">
        <f t="shared" ref="H645:Q645" si="2125">SUM(H204:H207)+SUM(H212:H231)+SUM(H263:H273)+SUM(H294:H299)+SUM(H301:H313)+SUM(H351:H388)+SUM(H398:H399)+SUM(H424:H425)+SUM(H428:H480)+SUM(H483:H494)+SUM(H504:H507)+SUM(H509:H511)+SUM(H513)+SUM(H516:H531)+SUM(H560:H564)</f>
        <v>1</v>
      </c>
      <c r="I645" s="109">
        <f t="shared" si="2125"/>
        <v>42</v>
      </c>
      <c r="J645" s="109">
        <f t="shared" ref="J645:K645" si="2126">SUM(J204:J207)+SUM(J212:J231)+SUM(J263:J273)+SUM(J294:J299)+SUM(J301:J313)+SUM(J351:J388)+SUM(J398:J399)+SUM(J424:J425)+SUM(J428:J480)+SUM(J483:J494)+SUM(J504:J507)+SUM(J509:J511)+SUM(J513)+SUM(J516:J531)+SUM(J560:J564)</f>
        <v>324</v>
      </c>
      <c r="K645" s="109">
        <f t="shared" si="2126"/>
        <v>0</v>
      </c>
      <c r="L645" s="109">
        <f t="shared" si="2125"/>
        <v>1</v>
      </c>
      <c r="M645" s="109">
        <f t="shared" si="2125"/>
        <v>69558</v>
      </c>
      <c r="N645" s="109">
        <f t="shared" si="2125"/>
        <v>0</v>
      </c>
      <c r="O645" s="109">
        <f t="shared" si="2125"/>
        <v>1</v>
      </c>
      <c r="P645" s="46">
        <f t="shared" si="2125"/>
        <v>840</v>
      </c>
      <c r="Q645" s="46">
        <f t="shared" si="2125"/>
        <v>276</v>
      </c>
      <c r="R645" s="46">
        <f t="shared" ref="R645" si="2127">SUM(R204:R207)+SUM(R212:R231)+SUM(R263:R273)+SUM(R294:R299)+SUM(R301:R313)+SUM(R351:R388)+SUM(R398:R399)+SUM(R424:R425)+SUM(R428:R480)+SUM(R483:R494)+SUM(R504:R507)+SUM(R509:R511)+SUM(R513)+SUM(R516:R531)+SUM(R560:R564)</f>
        <v>77954</v>
      </c>
      <c r="S645" s="47">
        <f t="shared" si="2123"/>
        <v>15</v>
      </c>
      <c r="T645" s="45">
        <f>SUM(T204:T207)+SUM(T212:T231)+SUM(T263:T273)+SUM(T294:T299)+SUM(T301:T313)+SUM(T351:T388)+SUM(T398:T399)+SUM(T424:T425)+SUM(T428:T480)+SUM(T483:T494)+SUM(T504:T507)+SUM(T509:T511)+SUM(T513)+SUM(T516:T531)+SUM(T560:T564)</f>
        <v>66423</v>
      </c>
      <c r="U645" s="47">
        <f t="shared" ref="U645:V645" si="2128">SUM(U204:U207)+SUM(U212:U231)+SUM(U263:U273)+SUM(U294:U299)+SUM(U301:U313)+SUM(U351:U388)+SUM(U398:U399)+SUM(U424:U425)+SUM(U428:U480)+SUM(U483:U494)+SUM(U504:U507)+SUM(U509:U511)+SUM(U513)+SUM(U516:U531)+SUM(U560:U564)</f>
        <v>78946</v>
      </c>
      <c r="V645" s="45">
        <f t="shared" si="2128"/>
        <v>82442</v>
      </c>
      <c r="W645" s="47">
        <f>SUM(W204:W207)+SUM(W212:W231)+SUM(W263:W273)+SUM(W294:W299)+SUM(W301:W313)+SUM(W351:W388)+SUM(W398:W399)+SUM(W424:W425)+SUM(W428:W480)+SUM(W483:W494)+SUM(W504:W507)+SUM(W509:W511)+SUM(W513)+SUM(W516:W531)+SUM(W560:W564)</f>
        <v>63815</v>
      </c>
      <c r="X645" s="45">
        <f>SUM(X204:X207)+SUM(X212:X231)+SUM(X263:X273)+SUM(X294:X299)+SUM(X301:X313)+SUM(X351:X388)+SUM(X398:X399)+SUM(X424:X425)+SUM(X428:X480)+SUM(X483:X494)+SUM(X504:X507)+SUM(X509:X511)+SUM(X513)+SUM(X516:X531)+SUM(X560:X564)</f>
        <v>66950</v>
      </c>
      <c r="Y645" s="47">
        <f>SUM(Y204:Y207)+SUM(Y212:Y231)+SUM(Y263:Y273)+SUM(Y294:Y299)+SUM(Y301:Y313)+SUM(Y351:Y388)+SUM(Y398:Y399)+SUM(Y424:Y425)+SUM(Y428:Y480)+SUM(Y483:Y494)+SUM(Y504:Y507)+SUM(Y509:Y511)+SUM(Y513)+SUM(Y516:Y531)+SUM(Y560:Y564)</f>
        <v>76189</v>
      </c>
      <c r="Z645" s="109">
        <f t="shared" ref="Z645:AE645" si="2129">SUM(Z204:Z207)+SUM(Z212:Z231)+SUM(Z263:Z273)+SUM(Z294:Z299)+SUM(Z301:Z313)+SUM(Z351:Z388)+SUM(Z398:Z399)+SUM(Z424:Z425)+SUM(Z428:Z480)+SUM(Z483:Z494)+SUM(Z504:Z507)+SUM(Z509:Z511)+SUM(Z513)+SUM(Z516:Z531)+SUM(Z560:Z564)</f>
        <v>71211</v>
      </c>
      <c r="AA645" s="46">
        <f t="shared" si="2129"/>
        <v>2</v>
      </c>
      <c r="AB645" s="46">
        <f t="shared" si="2129"/>
        <v>5188</v>
      </c>
      <c r="AC645" s="46">
        <f t="shared" si="2129"/>
        <v>71317</v>
      </c>
      <c r="AD645" s="46">
        <f t="shared" si="2129"/>
        <v>1</v>
      </c>
      <c r="AE645" s="43">
        <f t="shared" si="2129"/>
        <v>0</v>
      </c>
      <c r="AF645" s="95">
        <f t="shared" si="2123"/>
        <v>13</v>
      </c>
      <c r="AG645" s="109">
        <f t="shared" ref="AG645" si="2130">SUM(AG204:AG207)+SUM(AG212:AG231)+SUM(AG263:AG273)+SUM(AG294:AG299)+SUM(AG301:AG313)+SUM(AG351:AG388)+SUM(AG398:AG399)+SUM(AG424:AG425)+SUM(AG428:AG480)+SUM(AG483:AG494)+SUM(AG504:AG507)+SUM(AG509:AG511)+SUM(AG513)+SUM(AG516:AG531)+SUM(AG560:AG564)</f>
        <v>95</v>
      </c>
      <c r="AH645" s="47">
        <f t="shared" si="2123"/>
        <v>107</v>
      </c>
      <c r="AI645" s="45">
        <f t="shared" si="2123"/>
        <v>76342</v>
      </c>
      <c r="AJ645" s="43">
        <f t="shared" si="2123"/>
        <v>66342</v>
      </c>
      <c r="AK645" s="45">
        <f t="shared" ref="AK645" si="2131">SUM(AK204:AK207)+SUM(AK212:AK231)+SUM(AK263:AK273)+SUM(AK294:AK299)+SUM(AK301:AK313)+SUM(AK351:AK388)+SUM(AK398:AK399)+SUM(AK424:AK425)+SUM(AK428:AK480)+SUM(AK483:AK494)+SUM(AK504:AK507)+SUM(AK509:AK511)+SUM(AK513)+SUM(AK516:AK531)+SUM(AK560:AK564)</f>
        <v>71601</v>
      </c>
      <c r="AL645" s="47">
        <f t="shared" si="2123"/>
        <v>52722</v>
      </c>
      <c r="AM645" s="45">
        <f t="shared" si="2123"/>
        <v>0</v>
      </c>
      <c r="AN645" s="95">
        <f t="shared" si="2123"/>
        <v>0</v>
      </c>
      <c r="AO645" s="109">
        <f t="shared" ref="AO645" si="2132">SUM(AO204:AO207)+SUM(AO212:AO231)+SUM(AO263:AO273)+SUM(AO294:AO299)+SUM(AO301:AO313)+SUM(AO351:AO388)+SUM(AO398:AO399)+SUM(AO424:AO425)+SUM(AO428:AO480)+SUM(AO483:AO494)+SUM(AO504:AO507)+SUM(AO509:AO511)+SUM(AO513)+SUM(AO516:AO531)+SUM(AO560:AO564)</f>
        <v>0</v>
      </c>
      <c r="AP645" s="47">
        <f t="shared" si="2123"/>
        <v>0</v>
      </c>
      <c r="AQ645" s="45">
        <f t="shared" ref="AQ645" si="2133">SUM(AQ204:AQ207)+SUM(AQ212:AQ231)+SUM(AQ263:AQ273)+SUM(AQ294:AQ299)+SUM(AQ301:AQ313)+SUM(AQ351:AQ388)+SUM(AQ398:AQ399)+SUM(AQ424:AQ425)+SUM(AQ428:AQ480)+SUM(AQ483:AQ494)+SUM(AQ504:AQ507)+SUM(AQ509:AQ511)+SUM(AQ513)+SUM(AQ516:AQ531)+SUM(AQ560:AQ564)</f>
        <v>0</v>
      </c>
      <c r="AR645" s="95">
        <f t="shared" si="2123"/>
        <v>0</v>
      </c>
      <c r="AS645" s="109">
        <f t="shared" ref="AS645" si="2134">SUM(AS204:AS207)+SUM(AS212:AS231)+SUM(AS263:AS273)+SUM(AS294:AS299)+SUM(AS301:AS313)+SUM(AS351:AS388)+SUM(AS398:AS399)+SUM(AS424:AS425)+SUM(AS428:AS480)+SUM(AS483:AS494)+SUM(AS504:AS507)+SUM(AS509:AS511)+SUM(AS513)+SUM(AS516:AS531)+SUM(AS560:AS564)</f>
        <v>13539</v>
      </c>
      <c r="AT645" s="47">
        <f t="shared" si="2123"/>
        <v>5665</v>
      </c>
      <c r="AU645" s="45">
        <f t="shared" ref="AU645" si="2135">SUM(AU204:AU207)+SUM(AU212:AU231)+SUM(AU263:AU273)+SUM(AU294:AU299)+SUM(AU301:AU313)+SUM(AU351:AU388)+SUM(AU398:AU399)+SUM(AU424:AU425)+SUM(AU428:AU480)+SUM(AU483:AU494)+SUM(AU504:AU507)+SUM(AU509:AU511)+SUM(AU513)+SUM(AU516:AU531)+SUM(AU560:AU564)</f>
        <v>13126</v>
      </c>
      <c r="AV645" s="109">
        <f t="shared" ref="AV645" si="2136">SUM(AV204:AV207)+SUM(AV212:AV231)+SUM(AV263:AV273)+SUM(AV294:AV299)+SUM(AV301:AV313)+SUM(AV351:AV388)+SUM(AV398:AV399)+SUM(AV424:AV425)+SUM(AV428:AV480)+SUM(AV483:AV494)+SUM(AV504:AV507)+SUM(AV509:AV511)+SUM(AV513)+SUM(AV516:AV531)+SUM(AV560:AV564)</f>
        <v>3</v>
      </c>
      <c r="AW645" s="109">
        <f t="shared" si="2123"/>
        <v>6036</v>
      </c>
      <c r="AX645" s="45">
        <f t="shared" ref="AX645" si="2137">SUM(AX204:AX207)+SUM(AX212:AX231)+SUM(AX263:AX273)+SUM(AX294:AX299)+SUM(AX301:AX313)+SUM(AX351:AX388)+SUM(AX398:AX399)+SUM(AX424:AX425)+SUM(AX428:AX480)+SUM(AX483:AX494)+SUM(AX504:AX507)+SUM(AX509:AX511)+SUM(AX513)+SUM(AX516:AX531)+SUM(AX560:AX564)</f>
        <v>32829</v>
      </c>
      <c r="AY645" s="47">
        <f t="shared" si="2123"/>
        <v>24241</v>
      </c>
      <c r="AZ645" s="45">
        <f t="shared" si="2123"/>
        <v>14703</v>
      </c>
      <c r="BA645" s="95">
        <f t="shared" si="2123"/>
        <v>32872</v>
      </c>
      <c r="BB645" s="45">
        <f t="shared" ref="BB645" si="2138">SUM(BB204:BB207)+SUM(BB212:BB231)+SUM(BB263:BB273)+SUM(BB294:BB299)+SUM(BB301:BB313)+SUM(BB351:BB388)+SUM(BB398:BB399)+SUM(BB424:BB425)+SUM(BB428:BB480)+SUM(BB483:BB494)+SUM(BB504:BB507)+SUM(BB509:BB511)+SUM(BB513)+SUM(BB516:BB531)+SUM(BB560:BB564)</f>
        <v>77560</v>
      </c>
      <c r="BC645" s="47">
        <f>SUM(BC204:BC207)+SUM(BC212:BC231)+SUM(BC263:BC273)+SUM(BC294:BC299)+SUM(BC301:BC313)+SUM(BC351:BC388)+SUM(BC398:BC399)+SUM(BC424:BC425)+SUM(BC428:BC480)+SUM(BC483:BC494)+SUM(BC504:BC507)+SUM(BC509:BC511)+SUM(BC513)+SUM(BC516:BC531)+SUM(BC560:BC564)</f>
        <v>64017</v>
      </c>
      <c r="BD645" s="45">
        <f t="shared" ref="BD645" si="2139">SUM(BD204:BD207)+SUM(BD212:BD231)+SUM(BD263:BD273)+SUM(BD294:BD299)+SUM(BD301:BD313)+SUM(BD351:BD388)+SUM(BD398:BD399)+SUM(BD424:BD425)+SUM(BD428:BD480)+SUM(BD483:BD494)+SUM(BD504:BD507)+SUM(BD509:BD511)+SUM(BD513)+SUM(BD516:BD531)+SUM(BD560:BD564)</f>
        <v>75720</v>
      </c>
      <c r="BE645" s="95">
        <f>SUM(BE204:BE207)+SUM(BE212:BE231)+SUM(BE263:BE273)+SUM(BE294:BE299)+SUM(BE301:BE313)+SUM(BE351:BE388)+SUM(BE398:BE399)+SUM(BE424:BE425)+SUM(BE428:BE480)+SUM(BE483:BE494)+SUM(BE504:BE507)+SUM(BE509:BE511)+SUM(BE513)+SUM(BE516:BE531)+SUM(BE560:BE564)</f>
        <v>65149</v>
      </c>
      <c r="BF645" s="109">
        <f t="shared" ref="BF645" si="2140">SUM(BF204:BF207)+SUM(BF212:BF231)+SUM(BF263:BF273)+SUM(BF294:BF299)+SUM(BF301:BF313)+SUM(BF351:BF388)+SUM(BF398:BF399)+SUM(BF424:BF425)+SUM(BF428:BF480)+SUM(BF483:BF494)+SUM(BF504:BF507)+SUM(BF509:BF511)+SUM(BF513)+SUM(BF516:BF531)+SUM(BF560:BF564)</f>
        <v>64709</v>
      </c>
      <c r="BG645" s="47">
        <f>SUM(BG204:BG207)+SUM(BG212:BG231)+SUM(BG263:BG273)+SUM(BG294:BG299)+SUM(BG301:BG313)+SUM(BG351:BG388)+SUM(BG398:BG399)+SUM(BG424:BG425)+SUM(BG428:BG480)+SUM(BG483:BG494)+SUM(BG504:BG507)+SUM(BG509:BG511)+SUM(BG513)+SUM(BG516:BG531)+SUM(BG560:BG564)</f>
        <v>75405</v>
      </c>
      <c r="BH645" s="45">
        <f t="shared" ref="BH645" si="2141">SUM(BH204:BH207)+SUM(BH212:BH231)+SUM(BH263:BH273)+SUM(BH294:BH299)+SUM(BH301:BH313)+SUM(BH351:BH388)+SUM(BH398:BH399)+SUM(BH424:BH425)+SUM(BH428:BH480)+SUM(BH483:BH494)+SUM(BH504:BH507)+SUM(BH509:BH511)+SUM(BH513)+SUM(BH516:BH531)+SUM(BH560:BH564)</f>
        <v>80519</v>
      </c>
      <c r="BI645" s="47">
        <f>SUM(BI204:BI207)+SUM(BI212:BI231)+SUM(BI263:BI273)+SUM(BI294:BI299)+SUM(BI301:BI313)+SUM(BI351:BI388)+SUM(BI398:BI399)+SUM(BI424:BI425)+SUM(BI428:BI480)+SUM(BI483:BI494)+SUM(BI504:BI507)+SUM(BI509:BI511)+SUM(BI513)+SUM(BI516:BI531)+SUM(BI560:BI564)</f>
        <v>61217</v>
      </c>
      <c r="BJ645" s="109">
        <f t="shared" ref="BJ645:BK645" si="2142">SUM(BJ204:BJ207)+SUM(BJ212:BJ231)+SUM(BJ263:BJ273)+SUM(BJ294:BJ299)+SUM(BJ301:BJ313)+SUM(BJ351:BJ388)+SUM(BJ398:BJ399)+SUM(BJ424:BJ425)+SUM(BJ428:BJ480)+SUM(BJ483:BJ494)+SUM(BJ504:BJ507)+SUM(BJ509:BJ511)+SUM(BJ513)+SUM(BJ516:BJ531)+SUM(BJ560:BJ564)</f>
        <v>5971</v>
      </c>
      <c r="BK645" s="43">
        <f t="shared" si="2142"/>
        <v>70725</v>
      </c>
      <c r="BL645" s="95">
        <f t="shared" si="2123"/>
        <v>66301</v>
      </c>
      <c r="BM645" s="109">
        <f t="shared" ref="BM645:BN645" si="2143">SUM(BM204:BM207)+SUM(BM212:BM231)+SUM(BM263:BM273)+SUM(BM294:BM299)+SUM(BM301:BM313)+SUM(BM351:BM388)+SUM(BM398:BM399)+SUM(BM424:BM425)+SUM(BM428:BM480)+SUM(BM483:BM494)+SUM(BM504:BM507)+SUM(BM509:BM511)+SUM(BM513)+SUM(BM516:BM531)+SUM(BM560:BM564)</f>
        <v>68152</v>
      </c>
      <c r="BN645" s="46">
        <f t="shared" si="2143"/>
        <v>69830</v>
      </c>
      <c r="BO645" s="47">
        <f t="shared" si="2123"/>
        <v>4538</v>
      </c>
      <c r="BP645" s="45">
        <f t="shared" ref="BP645" si="2144">SUM(BP204:BP207)+SUM(BP212:BP231)+SUM(BP263:BP273)+SUM(BP294:BP299)+SUM(BP301:BP313)+SUM(BP351:BP388)+SUM(BP398:BP399)+SUM(BP424:BP425)+SUM(BP428:BP480)+SUM(BP483:BP494)+SUM(BP504:BP507)+SUM(BP509:BP511)+SUM(BP513)+SUM(BP516:BP531)+SUM(BP560:BP564)</f>
        <v>76881</v>
      </c>
      <c r="BQ645" s="47">
        <f t="shared" ref="BQ645" si="2145">SUM(BQ204:BQ207)+SUM(BQ212:BQ231)+SUM(BQ263:BQ273)+SUM(BQ294:BQ299)+SUM(BQ301:BQ313)+SUM(BQ351:BQ388)+SUM(BQ398:BQ399)+SUM(BQ424:BQ425)+SUM(BQ428:BQ480)+SUM(BQ483:BQ494)+SUM(BQ504:BQ507)+SUM(BQ509:BQ511)+SUM(BQ513)+SUM(BQ516:BQ531)+SUM(BQ560:BQ564)</f>
        <v>64839</v>
      </c>
      <c r="BR645" s="45">
        <f t="shared" ref="BR645" si="2146">SUM(BR204:BR207)+SUM(BR212:BR231)+SUM(BR263:BR273)+SUM(BR294:BR299)+SUM(BR301:BR313)+SUM(BR351:BR388)+SUM(BR398:BR399)+SUM(BR424:BR425)+SUM(BR428:BR480)+SUM(BR483:BR494)+SUM(BR504:BR507)+SUM(BR509:BR511)+SUM(BR513)+SUM(BR516:BR531)+SUM(BR560:BR564)</f>
        <v>59993</v>
      </c>
      <c r="BS645" s="47">
        <f t="shared" si="2123"/>
        <v>83558</v>
      </c>
      <c r="BT645" s="45">
        <f t="shared" ref="BT645:BU645" si="2147">SUM(BT204:BT207)+SUM(BT212:BT231)+SUM(BT263:BT273)+SUM(BT294:BT299)+SUM(BT301:BT313)+SUM(BT351:BT388)+SUM(BT398:BT399)+SUM(BT424:BT425)+SUM(BT428:BT480)+SUM(BT483:BT494)+SUM(BT504:BT507)+SUM(BT509:BT511)+SUM(BT513)+SUM(BT516:BT531)+SUM(BT560:BT564)</f>
        <v>72856</v>
      </c>
      <c r="BU645" s="43">
        <f t="shared" si="2147"/>
        <v>6040</v>
      </c>
      <c r="BV645" s="95">
        <f t="shared" si="2123"/>
        <v>62136</v>
      </c>
      <c r="BW645" s="109">
        <f t="shared" ref="BW645" si="2148">SUM(BW204:BW207)+SUM(BW212:BW231)+SUM(BW263:BW273)+SUM(BW294:BW299)+SUM(BW301:BW313)+SUM(BW351:BW388)+SUM(BW398:BW399)+SUM(BW424:BW425)+SUM(BW428:BW480)+SUM(BW483:BW494)+SUM(BW504:BW507)+SUM(BW509:BW511)+SUM(BW513)+SUM(BW516:BW531)+SUM(BW560:BW564)</f>
        <v>67094</v>
      </c>
      <c r="BX645" s="47">
        <f t="shared" si="2123"/>
        <v>77737</v>
      </c>
      <c r="BY645" s="45">
        <f t="shared" ref="BY645" si="2149">SUM(BY204:BY207)+SUM(BY212:BY231)+SUM(BY263:BY273)+SUM(BY294:BY299)+SUM(BY301:BY313)+SUM(BY351:BY388)+SUM(BY398:BY399)+SUM(BY424:BY425)+SUM(BY428:BY480)+SUM(BY483:BY494)+SUM(BY504:BY507)+SUM(BY509:BY511)+SUM(BY513)+SUM(BY516:BY531)+SUM(BY560:BY564)</f>
        <v>66049</v>
      </c>
      <c r="BZ645" s="95">
        <f t="shared" si="2123"/>
        <v>73506</v>
      </c>
      <c r="CA645" s="109">
        <f t="shared" ref="CA645" si="2150">SUM(CA204:CA207)+SUM(CA212:CA231)+SUM(CA263:CA273)+SUM(CA294:CA299)+SUM(CA301:CA313)+SUM(CA351:CA388)+SUM(CA398:CA399)+SUM(CA424:CA425)+SUM(CA428:CA480)+SUM(CA483:CA494)+SUM(CA504:CA507)+SUM(CA509:CA511)+SUM(CA513)+SUM(CA516:CA531)+SUM(CA560:CA564)</f>
        <v>74295</v>
      </c>
      <c r="CB645" s="47">
        <f t="shared" si="2123"/>
        <v>66823</v>
      </c>
      <c r="CC645" s="47">
        <f t="shared" si="2123"/>
        <v>96824</v>
      </c>
      <c r="CD645" s="44">
        <f t="shared" si="2123"/>
        <v>103153</v>
      </c>
      <c r="CE645" s="109">
        <f t="shared" ref="CE645" si="2151">SUM(CE204:CE207)+SUM(CE212:CE231)+SUM(CE263:CE273)+SUM(CE294:CE299)+SUM(CE301:CE313)+SUM(CE351:CE388)+SUM(CE398:CE399)+SUM(CE424:CE425)+SUM(CE428:CE480)+SUM(CE483:CE494)+SUM(CE504:CE507)+SUM(CE509:CE511)+SUM(CE513)+SUM(CE516:CE531)+SUM(CE560:CE564)</f>
        <v>68869</v>
      </c>
      <c r="CF645" s="43">
        <f>SUM(CF204:CF207)+SUM(CF212:CF231)+SUM(CF263:CF273)+SUM(CF294:CF299)+SUM(CF301:CF313)+SUM(CF351:CF388)+SUM(CF398:CF399)+SUM(CF424:CF425)+SUM(CF428:CF480)+SUM(CF483:CF494)+SUM(CF504:CF507)+SUM(CF509:CF511)+SUM(CF513)+SUM(CF516:CF531)+SUM(CF560:CF564)</f>
        <v>50971</v>
      </c>
      <c r="CG645" s="45">
        <f>SUM(CG204:CG207)+SUM(CG212:CG231)+SUM(CG263:CG273)+SUM(CG294:CG299)+SUM(CG301:CG313)+SUM(CG351:CG388)+SUM(CG398:CG399)+SUM(CG424:CG425)+SUM(CG428:CG480)+SUM(CG483:CG494)+SUM(CG504:CG507)+SUM(CG509:CG511)+SUM(CG513)+SUM(CG516:CG531)+SUM(CG560:CG564)</f>
        <v>32823</v>
      </c>
      <c r="CH645" s="46">
        <f t="shared" ref="CH645:CJ645" si="2152">SUM(CH204:CH207)+SUM(CH212:CH231)+SUM(CH263:CH273)+SUM(CH294:CH299)+SUM(CH301:CH313)+SUM(CH351:CH388)+SUM(CH398:CH399)+SUM(CH424:CH425)+SUM(CH428:CH480)+SUM(CH483:CH494)+SUM(CH504:CH507)+SUM(CH509:CH511)+SUM(CH513)+SUM(CH516:CH531)+SUM(CH560:CH564)</f>
        <v>40421</v>
      </c>
      <c r="CI645" s="46">
        <f t="shared" si="2152"/>
        <v>35902</v>
      </c>
      <c r="CJ645" s="46">
        <f t="shared" si="2152"/>
        <v>40725</v>
      </c>
      <c r="CK645" s="95">
        <f>SUM(CK204:CK207)+SUM(CK212:CK231)+SUM(CK263:CK273)+SUM(CK294:CK299)+SUM(CK301:CK313)+SUM(CK351:CK388)+SUM(CK398:CK399)+SUM(CK424:CK425)+SUM(CK428:CK480)+SUM(CK483:CK494)+SUM(CK504:CK507)+SUM(CK509:CK511)+SUM(CK513)+SUM(CK516:CK531)+SUM(CK560:CK564)</f>
        <v>71667</v>
      </c>
    </row>
    <row r="646" spans="1:89" ht="13" x14ac:dyDescent="0.25">
      <c r="A646" s="91"/>
      <c r="B646" s="96" t="s">
        <v>668</v>
      </c>
      <c r="C646" s="99">
        <f>SUM(C193:C203)+SUM(C208:C224)+SUM(C238:C244)+SUM(C254:C262)+SUM(C294:C308)+SUM(C420:C422)+SUM(C507)+SUM(C523)+SUM(C530)+SUM(C533:C545)+SUM(C547:C557)</f>
        <v>89015</v>
      </c>
      <c r="D646" s="99">
        <f>SUM(D193:D203)+SUM(D208:D224)+SUM(D238:D244)+SUM(D254:D262)+SUM(D294:D308)+SUM(D420:D422)+SUM(D507)+SUM(D523)+SUM(D530)+SUM(D533:D545)+SUM(D547:D557)</f>
        <v>67019</v>
      </c>
      <c r="E646" s="89">
        <v>0.58752756551618035</v>
      </c>
      <c r="F646" s="45">
        <f t="shared" ref="F646:CD646" si="2153">SUM(F193:F203)+SUM(F208:F224)+SUM(F238:F244)+SUM(F254:F262)+SUM(F294:F308)+SUM(F420:F422)+SUM(F507)+SUM(F523)+SUM(F530)+SUM(F533:F545)+SUM(F547:F557)</f>
        <v>1</v>
      </c>
      <c r="G646" s="109">
        <f t="shared" ref="G646" si="2154">SUM(G193:G203)+SUM(G208:G224)+SUM(G238:G244)+SUM(G254:G262)+SUM(G294:G308)+SUM(G420:G422)+SUM(G507)+SUM(G523)+SUM(G530)+SUM(G533:G545)+SUM(G547:G557)</f>
        <v>0</v>
      </c>
      <c r="H646" s="109">
        <f t="shared" ref="H646:Q646" si="2155">SUM(H193:H203)+SUM(H208:H224)+SUM(H238:H244)+SUM(H254:H262)+SUM(H294:H308)+SUM(H420:H422)+SUM(H507)+SUM(H523)+SUM(H530)+SUM(H533:H545)+SUM(H547:H557)</f>
        <v>5</v>
      </c>
      <c r="I646" s="109">
        <f t="shared" si="2155"/>
        <v>15</v>
      </c>
      <c r="J646" s="109">
        <f t="shared" ref="J646:K646" si="2156">SUM(J193:J203)+SUM(J208:J224)+SUM(J238:J244)+SUM(J254:J262)+SUM(J294:J308)+SUM(J420:J422)+SUM(J507)+SUM(J523)+SUM(J530)+SUM(J533:J545)+SUM(J547:J557)</f>
        <v>132</v>
      </c>
      <c r="K646" s="109">
        <f t="shared" si="2156"/>
        <v>0</v>
      </c>
      <c r="L646" s="109">
        <f t="shared" si="2155"/>
        <v>1</v>
      </c>
      <c r="M646" s="109">
        <f t="shared" si="2155"/>
        <v>37269</v>
      </c>
      <c r="N646" s="109">
        <f t="shared" si="2155"/>
        <v>0</v>
      </c>
      <c r="O646" s="109">
        <f t="shared" si="2155"/>
        <v>0</v>
      </c>
      <c r="P646" s="46">
        <f t="shared" si="2155"/>
        <v>426</v>
      </c>
      <c r="Q646" s="46">
        <f t="shared" si="2155"/>
        <v>140</v>
      </c>
      <c r="R646" s="46">
        <f t="shared" ref="R646" si="2157">SUM(R193:R203)+SUM(R208:R224)+SUM(R238:R244)+SUM(R254:R262)+SUM(R294:R308)+SUM(R420:R422)+SUM(R507)+SUM(R523)+SUM(R530)+SUM(R533:R545)+SUM(R547:R557)</f>
        <v>27894</v>
      </c>
      <c r="S646" s="47">
        <f t="shared" si="2153"/>
        <v>14</v>
      </c>
      <c r="T646" s="45">
        <f>SUM(T193:T203)+SUM(T208:T224)+SUM(T238:T244)+SUM(T254:T262)+SUM(T294:T308)+SUM(T420:T422)+SUM(T507)+SUM(T523)+SUM(T530)+SUM(T533:T545)+SUM(T547:T557)</f>
        <v>35514</v>
      </c>
      <c r="U646" s="47">
        <f t="shared" ref="U646:V646" si="2158">SUM(U193:U203)+SUM(U208:U224)+SUM(U238:U244)+SUM(U254:U262)+SUM(U294:U308)+SUM(U420:U422)+SUM(U507)+SUM(U523)+SUM(U530)+SUM(U533:U545)+SUM(U547:U557)</f>
        <v>29126</v>
      </c>
      <c r="V646" s="45">
        <f t="shared" si="2158"/>
        <v>30400</v>
      </c>
      <c r="W646" s="47">
        <f>SUM(W193:W203)+SUM(W208:W224)+SUM(W238:W244)+SUM(W254:W262)+SUM(W294:W308)+SUM(W420:W422)+SUM(W507)+SUM(W523)+SUM(W530)+SUM(W533:W545)+SUM(W547:W557)</f>
        <v>34439</v>
      </c>
      <c r="X646" s="45">
        <f>SUM(X193:X203)+SUM(X208:X224)+SUM(X238:X244)+SUM(X254:X262)+SUM(X294:X308)+SUM(X420:X422)+SUM(X507)+SUM(X523)+SUM(X530)+SUM(X533:X545)+SUM(X547:X557)</f>
        <v>35702</v>
      </c>
      <c r="Y646" s="47">
        <f>SUM(Y193:Y203)+SUM(Y208:Y224)+SUM(Y238:Y244)+SUM(Y254:Y262)+SUM(Y294:Y308)+SUM(Y420:Y422)+SUM(Y507)+SUM(Y523)+SUM(Y530)+SUM(Y533:Y545)+SUM(Y547:Y557)</f>
        <v>28055</v>
      </c>
      <c r="Z646" s="109">
        <f t="shared" ref="Z646:AE646" si="2159">SUM(Z193:Z203)+SUM(Z208:Z224)+SUM(Z238:Z244)+SUM(Z254:Z262)+SUM(Z294:Z308)+SUM(Z420:Z422)+SUM(Z507)+SUM(Z523)+SUM(Z530)+SUM(Z533:Z545)+SUM(Z547:Z557)</f>
        <v>37731</v>
      </c>
      <c r="AA646" s="46">
        <f t="shared" si="2159"/>
        <v>3</v>
      </c>
      <c r="AB646" s="46">
        <f t="shared" si="2159"/>
        <v>2007</v>
      </c>
      <c r="AC646" s="46">
        <f t="shared" si="2159"/>
        <v>25911</v>
      </c>
      <c r="AD646" s="46">
        <f t="shared" si="2159"/>
        <v>0</v>
      </c>
      <c r="AE646" s="43">
        <f t="shared" si="2159"/>
        <v>0</v>
      </c>
      <c r="AF646" s="95">
        <f t="shared" si="2153"/>
        <v>11</v>
      </c>
      <c r="AG646" s="109">
        <f t="shared" ref="AG646" si="2160">SUM(AG193:AG203)+SUM(AG208:AG224)+SUM(AG238:AG244)+SUM(AG254:AG262)+SUM(AG294:AG308)+SUM(AG420:AG422)+SUM(AG507)+SUM(AG523)+SUM(AG530)+SUM(AG533:AG545)+SUM(AG547:AG557)</f>
        <v>24291</v>
      </c>
      <c r="AH646" s="47">
        <f t="shared" si="2153"/>
        <v>21136</v>
      </c>
      <c r="AI646" s="45">
        <f t="shared" si="2153"/>
        <v>5919</v>
      </c>
      <c r="AJ646" s="43">
        <f t="shared" si="2153"/>
        <v>13051</v>
      </c>
      <c r="AK646" s="45">
        <f t="shared" ref="AK646" si="2161">SUM(AK193:AK203)+SUM(AK208:AK224)+SUM(AK238:AK244)+SUM(AK254:AK262)+SUM(AK294:AK308)+SUM(AK420:AK422)+SUM(AK507)+SUM(AK523)+SUM(AK530)+SUM(AK533:AK545)+SUM(AK547:AK557)</f>
        <v>0</v>
      </c>
      <c r="AL646" s="47">
        <f t="shared" si="2153"/>
        <v>0</v>
      </c>
      <c r="AM646" s="45">
        <f t="shared" si="2153"/>
        <v>0</v>
      </c>
      <c r="AN646" s="95">
        <f t="shared" si="2153"/>
        <v>0</v>
      </c>
      <c r="AO646" s="109">
        <f t="shared" ref="AO646" si="2162">SUM(AO193:AO203)+SUM(AO208:AO224)+SUM(AO238:AO244)+SUM(AO254:AO262)+SUM(AO294:AO308)+SUM(AO420:AO422)+SUM(AO507)+SUM(AO523)+SUM(AO530)+SUM(AO533:AO545)+SUM(AO547:AO557)</f>
        <v>0</v>
      </c>
      <c r="AP646" s="47">
        <f t="shared" si="2153"/>
        <v>0</v>
      </c>
      <c r="AQ646" s="45">
        <f t="shared" ref="AQ646" si="2163">SUM(AQ193:AQ203)+SUM(AQ208:AQ224)+SUM(AQ238:AQ244)+SUM(AQ254:AQ262)+SUM(AQ294:AQ308)+SUM(AQ420:AQ422)+SUM(AQ507)+SUM(AQ523)+SUM(AQ530)+SUM(AQ533:AQ545)+SUM(AQ547:AQ557)</f>
        <v>0</v>
      </c>
      <c r="AR646" s="95">
        <f t="shared" si="2153"/>
        <v>0</v>
      </c>
      <c r="AS646" s="109">
        <f t="shared" ref="AS646" si="2164">SUM(AS193:AS203)+SUM(AS208:AS224)+SUM(AS238:AS244)+SUM(AS254:AS262)+SUM(AS294:AS308)+SUM(AS420:AS422)+SUM(AS507)+SUM(AS523)+SUM(AS530)+SUM(AS533:AS545)+SUM(AS547:AS557)</f>
        <v>0</v>
      </c>
      <c r="AT646" s="47">
        <f t="shared" si="2153"/>
        <v>0</v>
      </c>
      <c r="AU646" s="45">
        <f t="shared" ref="AU646" si="2165">SUM(AU193:AU203)+SUM(AU208:AU224)+SUM(AU238:AU244)+SUM(AU254:AU262)+SUM(AU294:AU308)+SUM(AU420:AU422)+SUM(AU507)+SUM(AU523)+SUM(AU530)+SUM(AU533:AU545)+SUM(AU547:AU557)</f>
        <v>35671</v>
      </c>
      <c r="AV646" s="109">
        <f t="shared" ref="AV646" si="2166">SUM(AV193:AV203)+SUM(AV208:AV224)+SUM(AV238:AV244)+SUM(AV254:AV262)+SUM(AV294:AV308)+SUM(AV420:AV422)+SUM(AV507)+SUM(AV523)+SUM(AV530)+SUM(AV533:AV545)+SUM(AV547:AV557)</f>
        <v>5</v>
      </c>
      <c r="AW646" s="109">
        <f t="shared" si="2153"/>
        <v>28121</v>
      </c>
      <c r="AX646" s="45">
        <f t="shared" ref="AX646" si="2167">SUM(AX193:AX203)+SUM(AX208:AX224)+SUM(AX238:AX244)+SUM(AX254:AX262)+SUM(AX294:AX308)+SUM(AX420:AX422)+SUM(AX507)+SUM(AX523)+SUM(AX530)+SUM(AX533:AX545)+SUM(AX547:AX557)</f>
        <v>0</v>
      </c>
      <c r="AY646" s="47">
        <f t="shared" si="2153"/>
        <v>0</v>
      </c>
      <c r="AZ646" s="45">
        <f t="shared" si="2153"/>
        <v>0</v>
      </c>
      <c r="BA646" s="95">
        <f t="shared" si="2153"/>
        <v>0</v>
      </c>
      <c r="BB646" s="45">
        <f t="shared" ref="BB646" si="2168">SUM(BB193:BB203)+SUM(BB208:BB224)+SUM(BB238:BB244)+SUM(BB254:BB262)+SUM(BB294:BB308)+SUM(BB420:BB422)+SUM(BB507)+SUM(BB523)+SUM(BB530)+SUM(BB533:BB545)+SUM(BB547:BB557)</f>
        <v>28945</v>
      </c>
      <c r="BC646" s="47">
        <f>SUM(BC193:BC203)+SUM(BC208:BC224)+SUM(BC238:BC244)+SUM(BC254:BC262)+SUM(BC294:BC308)+SUM(BC420:BC422)+SUM(BC507)+SUM(BC523)+SUM(BC530)+SUM(BC533:BC545)+SUM(BC547:BC557)</f>
        <v>34033</v>
      </c>
      <c r="BD646" s="45">
        <f t="shared" ref="BD646" si="2169">SUM(BD193:BD203)+SUM(BD208:BD224)+SUM(BD238:BD244)+SUM(BD254:BD262)+SUM(BD294:BD308)+SUM(BD420:BD422)+SUM(BD507)+SUM(BD523)+SUM(BD530)+SUM(BD533:BD545)+SUM(BD547:BD557)</f>
        <v>28261</v>
      </c>
      <c r="BE646" s="95">
        <f>SUM(BE193:BE203)+SUM(BE208:BE224)+SUM(BE238:BE244)+SUM(BE254:BE262)+SUM(BE294:BE308)+SUM(BE420:BE422)+SUM(BE507)+SUM(BE523)+SUM(BE530)+SUM(BE533:BE545)+SUM(BE547:BE557)</f>
        <v>34459</v>
      </c>
      <c r="BF646" s="109">
        <f t="shared" ref="BF646" si="2170">SUM(BF193:BF203)+SUM(BF208:BF224)+SUM(BF238:BF244)+SUM(BF254:BF262)+SUM(BF294:BF308)+SUM(BF420:BF422)+SUM(BF507)+SUM(BF523)+SUM(BF530)+SUM(BF533:BF545)+SUM(BF547:BF557)</f>
        <v>34474</v>
      </c>
      <c r="BG646" s="47">
        <f>SUM(BG193:BG203)+SUM(BG208:BG224)+SUM(BG238:BG244)+SUM(BG254:BG262)+SUM(BG294:BG308)+SUM(BG420:BG422)+SUM(BG507)+SUM(BG523)+SUM(BG530)+SUM(BG533:BG545)+SUM(BG547:BG557)</f>
        <v>28007</v>
      </c>
      <c r="BH646" s="45">
        <f t="shared" ref="BH646" si="2171">SUM(BH193:BH203)+SUM(BH208:BH224)+SUM(BH238:BH244)+SUM(BH254:BH262)+SUM(BH294:BH308)+SUM(BH420:BH422)+SUM(BH507)+SUM(BH523)+SUM(BH530)+SUM(BH533:BH545)+SUM(BH547:BH557)</f>
        <v>29984</v>
      </c>
      <c r="BI646" s="47">
        <f>SUM(BI193:BI203)+SUM(BI208:BI224)+SUM(BI238:BI244)+SUM(BI254:BI262)+SUM(BI294:BI308)+SUM(BI420:BI422)+SUM(BI507)+SUM(BI523)+SUM(BI530)+SUM(BI533:BI545)+SUM(BI547:BI557)</f>
        <v>32606</v>
      </c>
      <c r="BJ646" s="109">
        <f t="shared" ref="BJ646:BK646" si="2172">SUM(BJ193:BJ203)+SUM(BJ208:BJ224)+SUM(BJ238:BJ244)+SUM(BJ254:BJ262)+SUM(BJ294:BJ308)+SUM(BJ420:BJ422)+SUM(BJ507)+SUM(BJ523)+SUM(BJ530)+SUM(BJ533:BJ545)+SUM(BJ547:BJ557)</f>
        <v>2640</v>
      </c>
      <c r="BK646" s="43">
        <f t="shared" si="2172"/>
        <v>26215</v>
      </c>
      <c r="BL646" s="95">
        <f t="shared" si="2153"/>
        <v>34480</v>
      </c>
      <c r="BM646" s="109">
        <f t="shared" ref="BM646:BN646" si="2173">SUM(BM193:BM203)+SUM(BM208:BM224)+SUM(BM238:BM244)+SUM(BM254:BM262)+SUM(BM294:BM308)+SUM(BM420:BM422)+SUM(BM507)+SUM(BM523)+SUM(BM530)+SUM(BM533:BM545)+SUM(BM547:BM557)</f>
        <v>34838</v>
      </c>
      <c r="BN646" s="46">
        <f t="shared" si="2173"/>
        <v>26157</v>
      </c>
      <c r="BO646" s="47">
        <f t="shared" si="2153"/>
        <v>2101</v>
      </c>
      <c r="BP646" s="45">
        <f t="shared" ref="BP646" si="2174">SUM(BP193:BP203)+SUM(BP208:BP224)+SUM(BP238:BP244)+SUM(BP254:BP262)+SUM(BP294:BP308)+SUM(BP420:BP422)+SUM(BP507)+SUM(BP523)+SUM(BP530)+SUM(BP533:BP545)+SUM(BP547:BP557)</f>
        <v>28275</v>
      </c>
      <c r="BQ646" s="47">
        <f t="shared" ref="BQ646" si="2175">SUM(BQ193:BQ203)+SUM(BQ208:BQ224)+SUM(BQ238:BQ244)+SUM(BQ254:BQ262)+SUM(BQ294:BQ308)+SUM(BQ420:BQ422)+SUM(BQ507)+SUM(BQ523)+SUM(BQ530)+SUM(BQ533:BQ545)+SUM(BQ547:BQ557)</f>
        <v>34773</v>
      </c>
      <c r="BR646" s="45">
        <f t="shared" ref="BR646" si="2176">SUM(BR193:BR203)+SUM(BR208:BR224)+SUM(BR238:BR244)+SUM(BR254:BR262)+SUM(BR294:BR308)+SUM(BR420:BR422)+SUM(BR507)+SUM(BR523)+SUM(BR530)+SUM(BR533:BR545)+SUM(BR547:BR557)</f>
        <v>32105</v>
      </c>
      <c r="BS646" s="47">
        <f t="shared" si="2153"/>
        <v>31440</v>
      </c>
      <c r="BT646" s="45">
        <f t="shared" ref="BT646:BU646" si="2177">SUM(BT193:BT203)+SUM(BT208:BT224)+SUM(BT238:BT244)+SUM(BT254:BT262)+SUM(BT294:BT308)+SUM(BT420:BT422)+SUM(BT507)+SUM(BT523)+SUM(BT530)+SUM(BT533:BT545)+SUM(BT547:BT557)</f>
        <v>26742</v>
      </c>
      <c r="BU646" s="43">
        <f t="shared" si="2177"/>
        <v>2606</v>
      </c>
      <c r="BV646" s="95">
        <f t="shared" si="2153"/>
        <v>33284</v>
      </c>
      <c r="BW646" s="109">
        <f t="shared" ref="BW646" si="2178">SUM(BW193:BW203)+SUM(BW208:BW224)+SUM(BW238:BW244)+SUM(BW254:BW262)+SUM(BW294:BW308)+SUM(BW420:BW422)+SUM(BW507)+SUM(BW523)+SUM(BW530)+SUM(BW533:BW545)+SUM(BW547:BW557)</f>
        <v>35650</v>
      </c>
      <c r="BX646" s="47">
        <f t="shared" si="2153"/>
        <v>28355</v>
      </c>
      <c r="BY646" s="45">
        <f t="shared" ref="BY646" si="2179">SUM(BY193:BY203)+SUM(BY208:BY224)+SUM(BY238:BY244)+SUM(BY254:BY262)+SUM(BY294:BY308)+SUM(BY420:BY422)+SUM(BY507)+SUM(BY523)+SUM(BY530)+SUM(BY533:BY545)+SUM(BY547:BY557)</f>
        <v>34609</v>
      </c>
      <c r="BZ646" s="95">
        <f t="shared" si="2153"/>
        <v>27292</v>
      </c>
      <c r="CA646" s="109">
        <f t="shared" ref="CA646" si="2180">SUM(CA193:CA203)+SUM(CA208:CA224)+SUM(CA238:CA244)+SUM(CA254:CA262)+SUM(CA294:CA308)+SUM(CA420:CA422)+SUM(CA507)+SUM(CA523)+SUM(CA530)+SUM(CA533:CA545)+SUM(CA547:CA557)</f>
        <v>27610</v>
      </c>
      <c r="CB646" s="47">
        <f t="shared" si="2153"/>
        <v>34974</v>
      </c>
      <c r="CC646" s="47">
        <f t="shared" si="2153"/>
        <v>40265</v>
      </c>
      <c r="CD646" s="44">
        <f t="shared" si="2153"/>
        <v>47882</v>
      </c>
      <c r="CE646" s="109">
        <f t="shared" ref="CE646" si="2181">SUM(CE193:CE203)+SUM(CE208:CE224)+SUM(CE238:CE244)+SUM(CE254:CE262)+SUM(CE294:CE308)+SUM(CE420:CE422)+SUM(CE507)+SUM(CE523)+SUM(CE530)+SUM(CE533:CE545)+SUM(CE547:CE557)</f>
        <v>27523</v>
      </c>
      <c r="CF646" s="43">
        <f>SUM(CF193:CF203)+SUM(CF208:CF224)+SUM(CF238:CF244)+SUM(CF254:CF262)+SUM(CF294:CF308)+SUM(CF420:CF422)+SUM(CF507)+SUM(CF523)+SUM(CF530)+SUM(CF533:CF545)+SUM(CF547:CF557)</f>
        <v>25946</v>
      </c>
      <c r="CG646" s="45">
        <f>SUM(CG193:CG203)+SUM(CG208:CG224)+SUM(CG238:CG244)+SUM(CG254:CG262)+SUM(CG294:CG308)+SUM(CG420:CG422)+SUM(CG507)+SUM(CG523)+SUM(CG530)+SUM(CG533:CG545)+SUM(CG547:CG557)</f>
        <v>14968</v>
      </c>
      <c r="CH646" s="46">
        <f t="shared" ref="CH646:CJ646" si="2182">SUM(CH193:CH203)+SUM(CH208:CH224)+SUM(CH238:CH244)+SUM(CH254:CH262)+SUM(CH294:CH308)+SUM(CH420:CH422)+SUM(CH507)+SUM(CH523)+SUM(CH530)+SUM(CH533:CH545)+SUM(CH547:CH557)</f>
        <v>14394</v>
      </c>
      <c r="CI646" s="46">
        <f t="shared" si="2182"/>
        <v>20547</v>
      </c>
      <c r="CJ646" s="46">
        <f t="shared" si="2182"/>
        <v>23492</v>
      </c>
      <c r="CK646" s="95">
        <f>SUM(CK193:CK203)+SUM(CK208:CK224)+SUM(CK238:CK244)+SUM(CK254:CK262)+SUM(CK294:CK308)+SUM(CK420:CK422)+SUM(CK507)+SUM(CK523)+SUM(CK530)+SUM(CK533:CK545)+SUM(CK547:CK557)</f>
        <v>25811</v>
      </c>
    </row>
    <row r="647" spans="1:89" ht="13" x14ac:dyDescent="0.25">
      <c r="A647" s="91"/>
      <c r="B647" s="96" t="s">
        <v>669</v>
      </c>
      <c r="C647" s="99">
        <f>SUM(C204:C207)+SUM(C225:C237)+SUM(C245:C253)+SUM(C263:C273)+SUM(C286:C293)+SUM(C309:C349)+SUM(C351:C389)+SUM(C391:C393)+SUM(C396)+SUM(C398:C418)+SUM(C424:C425)+SUM(C428:C480)+SUM(C483:C496)+SUM(C501:C506)+SUM(C508:C511)+SUM(C513:C514)+SUM(C516:C522)+SUM(C524:C529)+SUM(C531:C532)+SUM(C546)+SUM(C558:C564)</f>
        <v>267492</v>
      </c>
      <c r="D647" s="99">
        <f>SUM(D204:D207)+SUM(D225:D237)+SUM(D245:D253)+SUM(D263:D273)+SUM(D286:D293)+SUM(D309:D349)+SUM(D351:D389)+SUM(D391:D393)+SUM(D396)+SUM(D398:D418)+SUM(D424:D425)+SUM(D428:D480)+SUM(D483:D496)+SUM(D501:D506)+SUM(D508:D511)+SUM(D513:D514)+SUM(D516:D522)+SUM(D524:D529)+SUM(D531:D532)+SUM(D546)+SUM(D558:D564)</f>
        <v>201738</v>
      </c>
      <c r="E647" s="89">
        <v>0.55507168060014622</v>
      </c>
      <c r="F647" s="45">
        <f t="shared" ref="F647:CD647" si="2183">SUM(F204:F207)+SUM(F225:F237)+SUM(F245:F253)+SUM(F263:F273)+SUM(F286:F293)+SUM(F309:F349)+SUM(F351:F389)+SUM(F391:F393)+SUM(F396)+SUM(F398:F418)+SUM(F424:F425)+SUM(F428:F480)+SUM(F483:F496)+SUM(F501:F506)+SUM(F508:F511)+SUM(F513:F514)+SUM(F516:F522)+SUM(F524:F529)+SUM(F531:F532)+SUM(F546)+SUM(F558:F564)</f>
        <v>0</v>
      </c>
      <c r="G647" s="109">
        <f t="shared" ref="G647" si="2184">SUM(G204:G207)+SUM(G225:G237)+SUM(G245:G253)+SUM(G263:G273)+SUM(G286:G293)+SUM(G309:G349)+SUM(G351:G389)+SUM(G391:G393)+SUM(G396)+SUM(G398:G418)+SUM(G424:G425)+SUM(G428:G480)+SUM(G483:G496)+SUM(G501:G506)+SUM(G508:G511)+SUM(G513:G514)+SUM(G516:G522)+SUM(G524:G529)+SUM(G531:G532)+SUM(G546)+SUM(G558:G564)</f>
        <v>0</v>
      </c>
      <c r="H647" s="109">
        <f t="shared" ref="H647:Q647" si="2185">SUM(H204:H207)+SUM(H225:H237)+SUM(H245:H253)+SUM(H263:H273)+SUM(H286:H293)+SUM(H309:H349)+SUM(H351:H389)+SUM(H391:H393)+SUM(H396)+SUM(H398:H418)+SUM(H424:H425)+SUM(H428:H480)+SUM(H483:H496)+SUM(H501:H506)+SUM(H508:H511)+SUM(H513:H514)+SUM(H516:H522)+SUM(H524:H529)+SUM(H531:H532)+SUM(H546)+SUM(H558:H564)</f>
        <v>2</v>
      </c>
      <c r="I647" s="109">
        <f t="shared" si="2185"/>
        <v>54</v>
      </c>
      <c r="J647" s="109">
        <f t="shared" ref="J647:K647" si="2186">SUM(J204:J207)+SUM(J225:J237)+SUM(J245:J253)+SUM(J263:J273)+SUM(J286:J293)+SUM(J309:J349)+SUM(J351:J389)+SUM(J391:J393)+SUM(J396)+SUM(J398:J418)+SUM(J424:J425)+SUM(J428:J480)+SUM(J483:J496)+SUM(J501:J506)+SUM(J508:J511)+SUM(J513:J514)+SUM(J516:J522)+SUM(J524:J529)+SUM(J531:J532)+SUM(J546)+SUM(J558:J564)</f>
        <v>404</v>
      </c>
      <c r="K647" s="109">
        <f t="shared" si="2186"/>
        <v>0</v>
      </c>
      <c r="L647" s="109">
        <f t="shared" si="2185"/>
        <v>1</v>
      </c>
      <c r="M647" s="109">
        <f t="shared" si="2185"/>
        <v>88630</v>
      </c>
      <c r="N647" s="109">
        <f t="shared" si="2185"/>
        <v>0</v>
      </c>
      <c r="O647" s="109">
        <f t="shared" si="2185"/>
        <v>1</v>
      </c>
      <c r="P647" s="46">
        <f t="shared" si="2185"/>
        <v>1194</v>
      </c>
      <c r="Q647" s="46">
        <f t="shared" si="2185"/>
        <v>352</v>
      </c>
      <c r="R647" s="46">
        <f t="shared" ref="R647" si="2187">SUM(R204:R207)+SUM(R225:R237)+SUM(R245:R253)+SUM(R263:R273)+SUM(R286:R293)+SUM(R309:R349)+SUM(R351:R389)+SUM(R391:R393)+SUM(R396)+SUM(R398:R418)+SUM(R424:R425)+SUM(R428:R480)+SUM(R483:R496)+SUM(R501:R506)+SUM(R508:R511)+SUM(R513:R514)+SUM(R516:R522)+SUM(R524:R529)+SUM(R531:R532)+SUM(R546)+SUM(R558:R564)</f>
        <v>108278</v>
      </c>
      <c r="S647" s="47">
        <f t="shared" si="2183"/>
        <v>15</v>
      </c>
      <c r="T647" s="45">
        <f>SUM(T204:T207)+SUM(T225:T237)+SUM(T245:T253)+SUM(T263:T273)+SUM(T286:T293)+SUM(T309:T349)+SUM(T351:T389)+SUM(T391:T393)+SUM(T396)+SUM(T398:T418)+SUM(T424:T425)+SUM(T428:T480)+SUM(T483:T496)+SUM(T501:T506)+SUM(T508:T511)+SUM(T513:T514)+SUM(T516:T522)+SUM(T524:T529)+SUM(T531:T532)+SUM(T546)+SUM(T558:T564)</f>
        <v>83346</v>
      </c>
      <c r="U647" s="47">
        <f t="shared" ref="U647:V647" si="2188">SUM(U204:U207)+SUM(U225:U237)+SUM(U245:U253)+SUM(U263:U273)+SUM(U286:U293)+SUM(U309:U349)+SUM(U351:U389)+SUM(U391:U393)+SUM(U396)+SUM(U398:U418)+SUM(U424:U425)+SUM(U428:U480)+SUM(U483:U496)+SUM(U501:U506)+SUM(U508:U511)+SUM(U513:U514)+SUM(U516:U522)+SUM(U524:U529)+SUM(U531:U532)+SUM(U546)+SUM(U558:U564)</f>
        <v>110739</v>
      </c>
      <c r="V647" s="45">
        <f t="shared" si="2188"/>
        <v>115553</v>
      </c>
      <c r="W647" s="47">
        <f>SUM(W204:W207)+SUM(W225:W237)+SUM(W245:W253)+SUM(W263:W273)+SUM(W286:W293)+SUM(W309:W349)+SUM(W351:W389)+SUM(W391:W393)+SUM(W396)+SUM(W398:W418)+SUM(W424:W425)+SUM(W428:W480)+SUM(W483:W496)+SUM(W501:W506)+SUM(W508:W511)+SUM(W513:W514)+SUM(W516:W522)+SUM(W524:W529)+SUM(W531:W532)+SUM(W546)+SUM(W558:W564)</f>
        <v>79830</v>
      </c>
      <c r="X647" s="45">
        <f>SUM(X204:X207)+SUM(X225:X237)+SUM(X245:X253)+SUM(X263:X273)+SUM(X286:X293)+SUM(X309:X349)+SUM(X351:X389)+SUM(X391:X393)+SUM(X396)+SUM(X398:X418)+SUM(X424:X425)+SUM(X428:X480)+SUM(X483:X496)+SUM(X501:X506)+SUM(X508:X511)+SUM(X513:X514)+SUM(X516:X522)+SUM(X524:X529)+SUM(X531:X532)+SUM(X546)+SUM(X558:X564)</f>
        <v>84349</v>
      </c>
      <c r="Y647" s="47">
        <f>SUM(Y204:Y207)+SUM(Y225:Y237)+SUM(Y245:Y253)+SUM(Y263:Y273)+SUM(Y286:Y293)+SUM(Y309:Y349)+SUM(Y351:Y389)+SUM(Y391:Y393)+SUM(Y396)+SUM(Y398:Y418)+SUM(Y424:Y425)+SUM(Y428:Y480)+SUM(Y483:Y496)+SUM(Y501:Y506)+SUM(Y508:Y511)+SUM(Y513:Y514)+SUM(Y516:Y522)+SUM(Y524:Y529)+SUM(Y531:Y532)+SUM(Y546)+SUM(Y558:Y564)</f>
        <v>106675</v>
      </c>
      <c r="Z647" s="109">
        <f t="shared" ref="Z647:AE647" si="2189">SUM(Z204:Z207)+SUM(Z225:Z237)+SUM(Z245:Z253)+SUM(Z263:Z273)+SUM(Z286:Z293)+SUM(Z309:Z349)+SUM(Z351:Z389)+SUM(Z391:Z393)+SUM(Z396)+SUM(Z398:Z418)+SUM(Z424:Z425)+SUM(Z428:Z480)+SUM(Z483:Z496)+SUM(Z501:Z506)+SUM(Z508:Z511)+SUM(Z513:Z514)+SUM(Z516:Z522)+SUM(Z524:Z529)+SUM(Z531:Z532)+SUM(Z546)+SUM(Z558:Z564)</f>
        <v>90879</v>
      </c>
      <c r="AA647" s="46">
        <f t="shared" si="2189"/>
        <v>1</v>
      </c>
      <c r="AB647" s="46">
        <f t="shared" si="2189"/>
        <v>6788</v>
      </c>
      <c r="AC647" s="46">
        <f t="shared" si="2189"/>
        <v>99755</v>
      </c>
      <c r="AD647" s="46">
        <f t="shared" si="2189"/>
        <v>1</v>
      </c>
      <c r="AE647" s="43">
        <f t="shared" si="2189"/>
        <v>0</v>
      </c>
      <c r="AF647" s="95">
        <f t="shared" si="2183"/>
        <v>13</v>
      </c>
      <c r="AG647" s="109">
        <f t="shared" ref="AG647" si="2190">SUM(AG204:AG207)+SUM(AG225:AG237)+SUM(AG245:AG253)+SUM(AG263:AG273)+SUM(AG286:AG293)+SUM(AG309:AG349)+SUM(AG351:AG389)+SUM(AG391:AG393)+SUM(AG396)+SUM(AG398:AG418)+SUM(AG424:AG425)+SUM(AG428:AG480)+SUM(AG483:AG496)+SUM(AG501:AG506)+SUM(AG508:AG511)+SUM(AG513:AG514)+SUM(AG516:AG522)+SUM(AG524:AG529)+SUM(AG531:AG532)+SUM(AG546)+SUM(AG558:AG564)</f>
        <v>33621</v>
      </c>
      <c r="AH647" s="47">
        <f t="shared" si="2183"/>
        <v>34492</v>
      </c>
      <c r="AI647" s="45">
        <f t="shared" si="2183"/>
        <v>70423</v>
      </c>
      <c r="AJ647" s="43">
        <f t="shared" si="2183"/>
        <v>53291</v>
      </c>
      <c r="AK647" s="45">
        <f t="shared" ref="AK647" si="2191">SUM(AK204:AK207)+SUM(AK225:AK237)+SUM(AK245:AK253)+SUM(AK263:AK273)+SUM(AK286:AK293)+SUM(AK309:AK349)+SUM(AK351:AK389)+SUM(AK391:AK393)+SUM(AK396)+SUM(AK398:AK418)+SUM(AK424:AK425)+SUM(AK428:AK480)+SUM(AK483:AK496)+SUM(AK501:AK506)+SUM(AK508:AK511)+SUM(AK513:AK514)+SUM(AK516:AK522)+SUM(AK524:AK529)+SUM(AK531:AK532)+SUM(AK546)+SUM(AK558:AK564)</f>
        <v>108346</v>
      </c>
      <c r="AL647" s="47">
        <f t="shared" si="2183"/>
        <v>82775</v>
      </c>
      <c r="AM647" s="45">
        <f t="shared" si="2183"/>
        <v>0</v>
      </c>
      <c r="AN647" s="95">
        <f t="shared" si="2183"/>
        <v>0</v>
      </c>
      <c r="AO647" s="109">
        <f t="shared" ref="AO647" si="2192">SUM(AO204:AO207)+SUM(AO225:AO237)+SUM(AO245:AO253)+SUM(AO263:AO273)+SUM(AO286:AO293)+SUM(AO309:AO349)+SUM(AO351:AO389)+SUM(AO391:AO393)+SUM(AO396)+SUM(AO398:AO418)+SUM(AO424:AO425)+SUM(AO428:AO480)+SUM(AO483:AO496)+SUM(AO501:AO506)+SUM(AO508:AO511)+SUM(AO513:AO514)+SUM(AO516:AO522)+SUM(AO524:AO529)+SUM(AO531:AO532)+SUM(AO546)+SUM(AO558:AO564)</f>
        <v>0</v>
      </c>
      <c r="AP647" s="47">
        <f t="shared" si="2183"/>
        <v>0</v>
      </c>
      <c r="AQ647" s="45">
        <f t="shared" ref="AQ647" si="2193">SUM(AQ204:AQ207)+SUM(AQ225:AQ237)+SUM(AQ245:AQ253)+SUM(AQ263:AQ273)+SUM(AQ286:AQ293)+SUM(AQ309:AQ349)+SUM(AQ351:AQ389)+SUM(AQ391:AQ393)+SUM(AQ396)+SUM(AQ398:AQ418)+SUM(AQ424:AQ425)+SUM(AQ428:AQ480)+SUM(AQ483:AQ496)+SUM(AQ501:AQ506)+SUM(AQ508:AQ511)+SUM(AQ513:AQ514)+SUM(AQ516:AQ522)+SUM(AQ524:AQ529)+SUM(AQ531:AQ532)+SUM(AQ546)+SUM(AQ558:AQ564)</f>
        <v>0</v>
      </c>
      <c r="AR647" s="95">
        <f t="shared" si="2183"/>
        <v>0</v>
      </c>
      <c r="AS647" s="109">
        <f t="shared" ref="AS647" si="2194">SUM(AS204:AS207)+SUM(AS225:AS237)+SUM(AS245:AS253)+SUM(AS263:AS273)+SUM(AS286:AS293)+SUM(AS309:AS349)+SUM(AS351:AS389)+SUM(AS391:AS393)+SUM(AS396)+SUM(AS398:AS418)+SUM(AS424:AS425)+SUM(AS428:AS480)+SUM(AS483:AS496)+SUM(AS501:AS506)+SUM(AS508:AS511)+SUM(AS513:AS514)+SUM(AS516:AS522)+SUM(AS524:AS529)+SUM(AS531:AS532)+SUM(AS546)+SUM(AS558:AS564)</f>
        <v>39483</v>
      </c>
      <c r="AT647" s="47">
        <f t="shared" si="2183"/>
        <v>31331</v>
      </c>
      <c r="AU647" s="45">
        <f t="shared" ref="AU647" si="2195">SUM(AU204:AU207)+SUM(AU225:AU237)+SUM(AU245:AU253)+SUM(AU263:AU273)+SUM(AU286:AU293)+SUM(AU309:AU349)+SUM(AU351:AU389)+SUM(AU391:AU393)+SUM(AU396)+SUM(AU398:AU418)+SUM(AU424:AU425)+SUM(AU428:AU480)+SUM(AU483:AU496)+SUM(AU501:AU506)+SUM(AU508:AU511)+SUM(AU513:AU514)+SUM(AU516:AU522)+SUM(AU524:AU529)+SUM(AU531:AU532)+SUM(AU546)+SUM(AU558:AU564)</f>
        <v>0</v>
      </c>
      <c r="AV647" s="109">
        <f t="shared" ref="AV647" si="2196">SUM(AV204:AV207)+SUM(AV225:AV237)+SUM(AV245:AV253)+SUM(AV263:AV273)+SUM(AV286:AV293)+SUM(AV309:AV349)+SUM(AV351:AV389)+SUM(AV391:AV393)+SUM(AV396)+SUM(AV398:AV418)+SUM(AV424:AV425)+SUM(AV428:AV480)+SUM(AV483:AV496)+SUM(AV501:AV506)+SUM(AV508:AV511)+SUM(AV513:AV514)+SUM(AV516:AV522)+SUM(AV524:AV529)+SUM(AV531:AV532)+SUM(AV546)+SUM(AV558:AV564)</f>
        <v>0</v>
      </c>
      <c r="AW647" s="109">
        <f t="shared" si="2183"/>
        <v>0</v>
      </c>
      <c r="AX647" s="45">
        <f t="shared" ref="AX647" si="2197">SUM(AX204:AX207)+SUM(AX225:AX237)+SUM(AX245:AX253)+SUM(AX263:AX273)+SUM(AX286:AX293)+SUM(AX309:AX349)+SUM(AX351:AX389)+SUM(AX391:AX393)+SUM(AX396)+SUM(AX398:AX418)+SUM(AX424:AX425)+SUM(AX428:AX480)+SUM(AX483:AX496)+SUM(AX501:AX506)+SUM(AX508:AX511)+SUM(AX513:AX514)+SUM(AX516:AX522)+SUM(AX524:AX529)+SUM(AX531:AX532)+SUM(AX546)+SUM(AX558:AX564)</f>
        <v>32927</v>
      </c>
      <c r="AY647" s="47">
        <f t="shared" si="2183"/>
        <v>24639</v>
      </c>
      <c r="AZ647" s="45">
        <f t="shared" si="2183"/>
        <v>19486</v>
      </c>
      <c r="BA647" s="95">
        <f t="shared" si="2183"/>
        <v>42863</v>
      </c>
      <c r="BB647" s="45">
        <f t="shared" ref="BB647" si="2198">SUM(BB204:BB207)+SUM(BB225:BB237)+SUM(BB245:BB253)+SUM(BB263:BB273)+SUM(BB286:BB293)+SUM(BB309:BB349)+SUM(BB351:BB389)+SUM(BB391:BB393)+SUM(BB396)+SUM(BB398:BB418)+SUM(BB424:BB425)+SUM(BB428:BB480)+SUM(BB483:BB496)+SUM(BB501:BB506)+SUM(BB508:BB511)+SUM(BB513:BB514)+SUM(BB516:BB522)+SUM(BB524:BB529)+SUM(BB531:BB532)+SUM(BB546)+SUM(BB558:BB564)</f>
        <v>108985</v>
      </c>
      <c r="BC647" s="47">
        <f>SUM(BC204:BC207)+SUM(BC225:BC237)+SUM(BC245:BC253)+SUM(BC263:BC273)+SUM(BC286:BC293)+SUM(BC309:BC349)+SUM(BC351:BC389)+SUM(BC391:BC393)+SUM(BC396)+SUM(BC398:BC418)+SUM(BC424:BC425)+SUM(BC428:BC480)+SUM(BC483:BC496)+SUM(BC501:BC506)+SUM(BC508:BC511)+SUM(BC513:BC514)+SUM(BC516:BC522)+SUM(BC524:BC529)+SUM(BC531:BC532)+SUM(BC546)+SUM(BC558:BC564)</f>
        <v>79548</v>
      </c>
      <c r="BD647" s="45">
        <f t="shared" ref="BD647" si="2199">SUM(BD204:BD207)+SUM(BD225:BD237)+SUM(BD245:BD253)+SUM(BD263:BD273)+SUM(BD286:BD293)+SUM(BD309:BD349)+SUM(BD351:BD389)+SUM(BD391:BD393)+SUM(BD396)+SUM(BD398:BD418)+SUM(BD424:BD425)+SUM(BD428:BD480)+SUM(BD483:BD496)+SUM(BD501:BD506)+SUM(BD508:BD511)+SUM(BD513:BD514)+SUM(BD516:BD522)+SUM(BD524:BD529)+SUM(BD531:BD532)+SUM(BD546)+SUM(BD558:BD564)</f>
        <v>106103</v>
      </c>
      <c r="BE647" s="95">
        <f>SUM(BE204:BE207)+SUM(BE225:BE237)+SUM(BE245:BE253)+SUM(BE263:BE273)+SUM(BE286:BE293)+SUM(BE309:BE349)+SUM(BE351:BE389)+SUM(BE391:BE393)+SUM(BE396)+SUM(BE398:BE418)+SUM(BE424:BE425)+SUM(BE428:BE480)+SUM(BE483:BE496)+SUM(BE501:BE506)+SUM(BE508:BE511)+SUM(BE513:BE514)+SUM(BE516:BE522)+SUM(BE524:BE529)+SUM(BE531:BE532)+SUM(BE546)+SUM(BE558:BE564)</f>
        <v>81553</v>
      </c>
      <c r="BF647" s="109">
        <f t="shared" ref="BF647" si="2200">SUM(BF204:BF207)+SUM(BF225:BF237)+SUM(BF245:BF253)+SUM(BF263:BF273)+SUM(BF286:BF293)+SUM(BF309:BF349)+SUM(BF351:BF389)+SUM(BF391:BF393)+SUM(BF396)+SUM(BF398:BF418)+SUM(BF424:BF425)+SUM(BF428:BF480)+SUM(BF483:BF496)+SUM(BF501:BF506)+SUM(BF508:BF511)+SUM(BF513:BF514)+SUM(BF516:BF522)+SUM(BF524:BF529)+SUM(BF531:BF532)+SUM(BF546)+SUM(BF558:BF564)</f>
        <v>80593</v>
      </c>
      <c r="BG647" s="47">
        <f>SUM(BG204:BG207)+SUM(BG225:BG237)+SUM(BG245:BG253)+SUM(BG263:BG273)+SUM(BG286:BG293)+SUM(BG309:BG349)+SUM(BG351:BG389)+SUM(BG391:BG393)+SUM(BG396)+SUM(BG398:BG418)+SUM(BG424:BG425)+SUM(BG428:BG480)+SUM(BG483:BG496)+SUM(BG501:BG506)+SUM(BG508:BG511)+SUM(BG513:BG514)+SUM(BG516:BG522)+SUM(BG524:BG529)+SUM(BG531:BG532)+SUM(BG546)+SUM(BG558:BG564)</f>
        <v>105882</v>
      </c>
      <c r="BH647" s="45">
        <f t="shared" ref="BH647" si="2201">SUM(BH204:BH207)+SUM(BH225:BH237)+SUM(BH245:BH253)+SUM(BH263:BH273)+SUM(BH286:BH293)+SUM(BH309:BH349)+SUM(BH351:BH389)+SUM(BH391:BH393)+SUM(BH396)+SUM(BH398:BH418)+SUM(BH424:BH425)+SUM(BH428:BH480)+SUM(BH483:BH496)+SUM(BH501:BH506)+SUM(BH508:BH511)+SUM(BH513:BH514)+SUM(BH516:BH522)+SUM(BH524:BH529)+SUM(BH531:BH532)+SUM(BH546)+SUM(BH558:BH564)</f>
        <v>113373</v>
      </c>
      <c r="BI647" s="47">
        <f>SUM(BI204:BI207)+SUM(BI225:BI237)+SUM(BI245:BI253)+SUM(BI263:BI273)+SUM(BI286:BI293)+SUM(BI309:BI349)+SUM(BI351:BI389)+SUM(BI391:BI393)+SUM(BI396)+SUM(BI398:BI418)+SUM(BI424:BI425)+SUM(BI428:BI480)+SUM(BI483:BI496)+SUM(BI501:BI506)+SUM(BI508:BI511)+SUM(BI513:BI514)+SUM(BI516:BI522)+SUM(BI524:BI529)+SUM(BI531:BI532)+SUM(BI546)+SUM(BI558:BI564)</f>
        <v>75674</v>
      </c>
      <c r="BJ647" s="109">
        <f t="shared" ref="BJ647:BK647" si="2202">SUM(BJ204:BJ207)+SUM(BJ225:BJ237)+SUM(BJ245:BJ253)+SUM(BJ263:BJ273)+SUM(BJ286:BJ293)+SUM(BJ309:BJ349)+SUM(BJ351:BJ389)+SUM(BJ391:BJ393)+SUM(BJ396)+SUM(BJ398:BJ418)+SUM(BJ424:BJ425)+SUM(BJ428:BJ480)+SUM(BJ483:BJ496)+SUM(BJ501:BJ506)+SUM(BJ508:BJ511)+SUM(BJ513:BJ514)+SUM(BJ516:BJ522)+SUM(BJ524:BJ529)+SUM(BJ531:BJ532)+SUM(BJ546)+SUM(BJ558:BJ564)</f>
        <v>8465</v>
      </c>
      <c r="BK647" s="43">
        <f t="shared" si="2202"/>
        <v>99716</v>
      </c>
      <c r="BL647" s="95">
        <f t="shared" si="2183"/>
        <v>81963</v>
      </c>
      <c r="BM647" s="109">
        <f t="shared" ref="BM647:BN647" si="2203">SUM(BM204:BM207)+SUM(BM225:BM237)+SUM(BM245:BM253)+SUM(BM263:BM273)+SUM(BM286:BM293)+SUM(BM309:BM349)+SUM(BM351:BM389)+SUM(BM391:BM393)+SUM(BM396)+SUM(BM398:BM418)+SUM(BM424:BM425)+SUM(BM428:BM480)+SUM(BM483:BM496)+SUM(BM501:BM506)+SUM(BM508:BM511)+SUM(BM513:BM514)+SUM(BM516:BM522)+SUM(BM524:BM529)+SUM(BM531:BM532)+SUM(BM546)+SUM(BM558:BM564)</f>
        <v>85674</v>
      </c>
      <c r="BN647" s="46">
        <f t="shared" si="2203"/>
        <v>98053</v>
      </c>
      <c r="BO647" s="47">
        <f t="shared" si="2183"/>
        <v>6247</v>
      </c>
      <c r="BP647" s="45">
        <f t="shared" ref="BP647" si="2204">SUM(BP204:BP207)+SUM(BP225:BP237)+SUM(BP245:BP253)+SUM(BP263:BP273)+SUM(BP286:BP293)+SUM(BP309:BP349)+SUM(BP351:BP389)+SUM(BP391:BP393)+SUM(BP396)+SUM(BP398:BP418)+SUM(BP424:BP425)+SUM(BP428:BP480)+SUM(BP483:BP496)+SUM(BP501:BP506)+SUM(BP508:BP511)+SUM(BP513:BP514)+SUM(BP516:BP522)+SUM(BP524:BP529)+SUM(BP531:BP532)+SUM(BP546)+SUM(BP558:BP564)</f>
        <v>108526</v>
      </c>
      <c r="BQ647" s="47">
        <f t="shared" ref="BQ647" si="2205">SUM(BQ204:BQ207)+SUM(BQ225:BQ237)+SUM(BQ245:BQ253)+SUM(BQ263:BQ273)+SUM(BQ286:BQ293)+SUM(BQ309:BQ349)+SUM(BQ351:BQ389)+SUM(BQ391:BQ393)+SUM(BQ396)+SUM(BQ398:BQ418)+SUM(BQ424:BQ425)+SUM(BQ428:BQ480)+SUM(BQ483:BQ496)+SUM(BQ501:BQ506)+SUM(BQ508:BQ511)+SUM(BQ513:BQ514)+SUM(BQ516:BQ522)+SUM(BQ524:BQ529)+SUM(BQ531:BQ532)+SUM(BQ546)+SUM(BQ558:BQ564)</f>
        <v>80368</v>
      </c>
      <c r="BR647" s="45">
        <f t="shared" ref="BR647" si="2206">SUM(BR204:BR207)+SUM(BR225:BR237)+SUM(BR245:BR253)+SUM(BR263:BR273)+SUM(BR286:BR293)+SUM(BR309:BR349)+SUM(BR351:BR389)+SUM(BR391:BR393)+SUM(BR396)+SUM(BR398:BR418)+SUM(BR424:BR425)+SUM(BR428:BR480)+SUM(BR483:BR496)+SUM(BR501:BR506)+SUM(BR508:BR511)+SUM(BR513:BR514)+SUM(BR516:BR522)+SUM(BR524:BR529)+SUM(BR531:BR532)+SUM(BR546)+SUM(BR558:BR564)</f>
        <v>73886</v>
      </c>
      <c r="BS647" s="47">
        <f t="shared" si="2183"/>
        <v>117508</v>
      </c>
      <c r="BT647" s="45">
        <f t="shared" ref="BT647:BU647" si="2207">SUM(BT204:BT207)+SUM(BT225:BT237)+SUM(BT245:BT253)+SUM(BT263:BT273)+SUM(BT286:BT293)+SUM(BT309:BT349)+SUM(BT351:BT389)+SUM(BT391:BT393)+SUM(BT396)+SUM(BT398:BT418)+SUM(BT424:BT425)+SUM(BT428:BT480)+SUM(BT483:BT496)+SUM(BT501:BT506)+SUM(BT508:BT511)+SUM(BT513:BT514)+SUM(BT516:BT522)+SUM(BT524:BT529)+SUM(BT531:BT532)+SUM(BT546)+SUM(BT558:BT564)</f>
        <v>101899</v>
      </c>
      <c r="BU647" s="43">
        <f t="shared" si="2207"/>
        <v>8250</v>
      </c>
      <c r="BV647" s="95">
        <f t="shared" si="2183"/>
        <v>77401</v>
      </c>
      <c r="BW647" s="109">
        <f t="shared" ref="BW647" si="2208">SUM(BW204:BW207)+SUM(BW225:BW237)+SUM(BW245:BW253)+SUM(BW263:BW273)+SUM(BW286:BW293)+SUM(BW309:BW349)+SUM(BW351:BW389)+SUM(BW391:BW393)+SUM(BW396)+SUM(BW398:BW418)+SUM(BW424:BW425)+SUM(BW428:BW480)+SUM(BW483:BW496)+SUM(BW501:BW506)+SUM(BW508:BW511)+SUM(BW513:BW514)+SUM(BW516:BW522)+SUM(BW524:BW529)+SUM(BW531:BW532)+SUM(BW546)+SUM(BW558:BW564)</f>
        <v>84166</v>
      </c>
      <c r="BX647" s="47">
        <f t="shared" si="2183"/>
        <v>108761</v>
      </c>
      <c r="BY647" s="45">
        <f t="shared" ref="BY647" si="2209">SUM(BY204:BY207)+SUM(BY225:BY237)+SUM(BY245:BY253)+SUM(BY263:BY273)+SUM(BY286:BY293)+SUM(BY309:BY349)+SUM(BY351:BY389)+SUM(BY391:BY393)+SUM(BY396)+SUM(BY398:BY418)+SUM(BY424:BY425)+SUM(BY428:BY480)+SUM(BY483:BY496)+SUM(BY501:BY506)+SUM(BY508:BY511)+SUM(BY513:BY514)+SUM(BY516:BY522)+SUM(BY524:BY529)+SUM(BY531:BY532)+SUM(BY546)+SUM(BY558:BY564)</f>
        <v>82703</v>
      </c>
      <c r="BZ647" s="95">
        <f t="shared" si="2183"/>
        <v>103020</v>
      </c>
      <c r="CA647" s="109">
        <f t="shared" ref="CA647" si="2210">SUM(CA204:CA207)+SUM(CA225:CA237)+SUM(CA245:CA253)+SUM(CA263:CA273)+SUM(CA286:CA293)+SUM(CA309:CA349)+SUM(CA351:CA389)+SUM(CA391:CA393)+SUM(CA396)+SUM(CA398:CA418)+SUM(CA424:CA425)+SUM(CA428:CA480)+SUM(CA483:CA496)+SUM(CA501:CA506)+SUM(CA508:CA511)+SUM(CA513:CA514)+SUM(CA516:CA522)+SUM(CA524:CA529)+SUM(CA531:CA532)+SUM(CA546)+SUM(CA558:CA564)</f>
        <v>104407</v>
      </c>
      <c r="CB647" s="47">
        <f t="shared" si="2183"/>
        <v>83419</v>
      </c>
      <c r="CC647" s="47">
        <f t="shared" si="2183"/>
        <v>134062</v>
      </c>
      <c r="CD647" s="44">
        <f t="shared" si="2183"/>
        <v>134106</v>
      </c>
      <c r="CE647" s="109">
        <f t="shared" ref="CE647" si="2211">SUM(CE204:CE207)+SUM(CE225:CE237)+SUM(CE245:CE253)+SUM(CE263:CE273)+SUM(CE286:CE293)+SUM(CE309:CE349)+SUM(CE351:CE389)+SUM(CE391:CE393)+SUM(CE396)+SUM(CE398:CE418)+SUM(CE424:CE425)+SUM(CE428:CE480)+SUM(CE483:CE496)+SUM(CE501:CE506)+SUM(CE508:CE511)+SUM(CE513:CE514)+SUM(CE516:CE522)+SUM(CE524:CE529)+SUM(CE531:CE532)+SUM(CE546)+SUM(CE558:CE564)</f>
        <v>93590</v>
      </c>
      <c r="CF647" s="43">
        <f>SUM(CF204:CF207)+SUM(CF225:CF237)+SUM(CF245:CF253)+SUM(CF263:CF273)+SUM(CF286:CF293)+SUM(CF309:CF349)+SUM(CF351:CF389)+SUM(CF391:CF393)+SUM(CF396)+SUM(CF398:CF418)+SUM(CF424:CF425)+SUM(CF428:CF480)+SUM(CF483:CF496)+SUM(CF501:CF506)+SUM(CF508:CF511)+SUM(CF513:CF514)+SUM(CF516:CF522)+SUM(CF524:CF529)+SUM(CF531:CF532)+SUM(CF546)+SUM(CF558:CF564)</f>
        <v>65264</v>
      </c>
      <c r="CG647" s="45">
        <f>SUM(CG204:CG207)+SUM(CG225:CG237)+SUM(CG245:CG253)+SUM(CG263:CG273)+SUM(CG286:CG293)+SUM(CG309:CG349)+SUM(CG351:CG389)+SUM(CG391:CG393)+SUM(CG396)+SUM(CG398:CG418)+SUM(CG424:CG425)+SUM(CG428:CG480)+SUM(CG483:CG496)+SUM(CG501:CG506)+SUM(CG508:CG511)+SUM(CG513:CG514)+SUM(CG516:CG522)+SUM(CG524:CG529)+SUM(CG531:CG532)+SUM(CG546)+SUM(CG558:CG564)</f>
        <v>46223</v>
      </c>
      <c r="CH647" s="46">
        <f t="shared" ref="CH647:CJ647" si="2212">SUM(CH204:CH207)+SUM(CH225:CH237)+SUM(CH245:CH253)+SUM(CH263:CH273)+SUM(CH286:CH293)+SUM(CH309:CH349)+SUM(CH351:CH389)+SUM(CH391:CH393)+SUM(CH396)+SUM(CH398:CH418)+SUM(CH424:CH425)+SUM(CH428:CH480)+SUM(CH483:CH496)+SUM(CH501:CH506)+SUM(CH508:CH511)+SUM(CH513:CH514)+SUM(CH516:CH522)+SUM(CH524:CH529)+SUM(CH531:CH532)+SUM(CH546)+SUM(CH558:CH564)</f>
        <v>58141</v>
      </c>
      <c r="CI647" s="46">
        <f t="shared" si="2212"/>
        <v>44141</v>
      </c>
      <c r="CJ647" s="46">
        <f t="shared" si="2212"/>
        <v>51487</v>
      </c>
      <c r="CK647" s="95">
        <f>SUM(CK204:CK207)+SUM(CK225:CK237)+SUM(CK245:CK253)+SUM(CK263:CK273)+SUM(CK286:CK293)+SUM(CK309:CK349)+SUM(CK351:CK389)+SUM(CK391:CK393)+SUM(CK396)+SUM(CK398:CK418)+SUM(CK424:CK425)+SUM(CK428:CK480)+SUM(CK483:CK496)+SUM(CK501:CK506)+SUM(CK508:CK511)+SUM(CK513:CK514)+SUM(CK516:CK522)+SUM(CK524:CK529)+SUM(CK531:CK532)+SUM(CK546)+SUM(CK558:CK564)</f>
        <v>97946</v>
      </c>
    </row>
    <row r="648" spans="1:89" ht="13" x14ac:dyDescent="0.25">
      <c r="A648" s="91"/>
      <c r="B648" s="96" t="s">
        <v>670</v>
      </c>
      <c r="C648" s="93">
        <f>SUM(C3:C192)+SUM(C274:C285)+SUM(C350)+SUM(C390)+SUM(C394:C395)+SUM(C397)+SUM(C419)+SUM(C423)+SUM(C426:C427)+SUM(C481:C482)+SUM(C497:C500)+SUM(C512)+SUM(C515)</f>
        <v>247692</v>
      </c>
      <c r="D648" s="93">
        <f>SUM(D3:D192)+SUM(D274:D285)+SUM(D350)+SUM(D390)+SUM(D394:D395)+SUM(D397)+SUM(D419)+SUM(D423)+SUM(D426:D427)+SUM(D481:D482)+SUM(D497:D500)+SUM(D512)+SUM(D515)</f>
        <v>147791</v>
      </c>
      <c r="E648" s="89">
        <v>0.44056436127708803</v>
      </c>
      <c r="F648" s="45">
        <f t="shared" ref="F648:CD648" si="2213">SUM(F3:F192)+SUM(F274:F285)+SUM(F350)+SUM(F390)+SUM(F394:F395)+SUM(F397)+SUM(F419)+SUM(F423)+SUM(F426:F427)+SUM(F481:F482)+SUM(F497:F500)+SUM(F512)+SUM(F515)</f>
        <v>1</v>
      </c>
      <c r="G648" s="109">
        <f t="shared" ref="G648" si="2214">SUM(G3:G192)+SUM(G274:G285)+SUM(G350)+SUM(G390)+SUM(G394:G395)+SUM(G397)+SUM(G419)+SUM(G423)+SUM(G426:G427)+SUM(G481:G482)+SUM(G497:G500)+SUM(G512)+SUM(G515)</f>
        <v>0</v>
      </c>
      <c r="H648" s="109">
        <f t="shared" ref="H648:Q648" si="2215">SUM(H3:H192)+SUM(H274:H285)+SUM(H350)+SUM(H390)+SUM(H394:H395)+SUM(H397)+SUM(H419)+SUM(H423)+SUM(H426:H427)+SUM(H481:H482)+SUM(H497:H500)+SUM(H512)+SUM(H515)</f>
        <v>1</v>
      </c>
      <c r="I648" s="109">
        <f t="shared" si="2215"/>
        <v>160</v>
      </c>
      <c r="J648" s="109">
        <f t="shared" ref="J648:K648" si="2216">SUM(J3:J192)+SUM(J274:J285)+SUM(J350)+SUM(J390)+SUM(J394:J395)+SUM(J397)+SUM(J419)+SUM(J423)+SUM(J426:J427)+SUM(J481:J482)+SUM(J497:J500)+SUM(J512)+SUM(J515)</f>
        <v>283</v>
      </c>
      <c r="K648" s="109">
        <f t="shared" si="2216"/>
        <v>0</v>
      </c>
      <c r="L648" s="109">
        <f t="shared" si="2215"/>
        <v>0</v>
      </c>
      <c r="M648" s="109">
        <f t="shared" si="2215"/>
        <v>107461</v>
      </c>
      <c r="N648" s="109">
        <f t="shared" si="2215"/>
        <v>1</v>
      </c>
      <c r="O648" s="109">
        <f t="shared" si="2215"/>
        <v>0</v>
      </c>
      <c r="P648" s="46">
        <f t="shared" si="2215"/>
        <v>800</v>
      </c>
      <c r="Q648" s="46">
        <f t="shared" si="2215"/>
        <v>297</v>
      </c>
      <c r="R648" s="46">
        <f t="shared" ref="R648" si="2217">SUM(R3:R192)+SUM(R274:R285)+SUM(R350)+SUM(R390)+SUM(R394:R395)+SUM(R397)+SUM(R419)+SUM(R423)+SUM(R426:R427)+SUM(R481:R482)+SUM(R497:R500)+SUM(R512)+SUM(R515)</f>
        <v>36193</v>
      </c>
      <c r="S648" s="47">
        <f t="shared" si="2213"/>
        <v>60</v>
      </c>
      <c r="T648" s="45">
        <f>SUM(T3:T192)+SUM(T274:T285)+SUM(T350)+SUM(T390)+SUM(T394:T395)+SUM(T397)+SUM(T419)+SUM(T423)+SUM(T426:T427)+SUM(T481:T482)+SUM(T497:T500)+SUM(T512)+SUM(T515)</f>
        <v>104001</v>
      </c>
      <c r="U648" s="47">
        <f t="shared" ref="U648:V648" si="2218">SUM(U3:U192)+SUM(U274:U285)+SUM(U350)+SUM(U390)+SUM(U394:U395)+SUM(U397)+SUM(U419)+SUM(U423)+SUM(U426:U427)+SUM(U481:U482)+SUM(U497:U500)+SUM(U512)+SUM(U515)</f>
        <v>38435</v>
      </c>
      <c r="V648" s="45">
        <f t="shared" si="2218"/>
        <v>40709</v>
      </c>
      <c r="W648" s="47">
        <f>SUM(W3:W192)+SUM(W274:W285)+SUM(W350)+SUM(W390)+SUM(W394:W395)+SUM(W397)+SUM(W419)+SUM(W423)+SUM(W426:W427)+SUM(W481:W482)+SUM(W497:W500)+SUM(W512)+SUM(W515)</f>
        <v>102100</v>
      </c>
      <c r="X648" s="45">
        <f>SUM(X3:X192)+SUM(X274:X285)+SUM(X350)+SUM(X390)+SUM(X394:X395)+SUM(X397)+SUM(X419)+SUM(X423)+SUM(X426:X427)+SUM(X481:X482)+SUM(X497:X500)+SUM(X512)+SUM(X515)</f>
        <v>104477</v>
      </c>
      <c r="Y648" s="47">
        <f>SUM(Y3:Y192)+SUM(Y274:Y285)+SUM(Y350)+SUM(Y390)+SUM(Y394:Y395)+SUM(Y397)+SUM(Y419)+SUM(Y423)+SUM(Y426:Y427)+SUM(Y481:Y482)+SUM(Y497:Y500)+SUM(Y512)+SUM(Y515)</f>
        <v>36000</v>
      </c>
      <c r="Z648" s="109">
        <f t="shared" ref="Z648:AE648" si="2219">SUM(Z3:Z192)+SUM(Z274:Z285)+SUM(Z350)+SUM(Z390)+SUM(Z394:Z395)+SUM(Z397)+SUM(Z419)+SUM(Z423)+SUM(Z426:Z427)+SUM(Z481:Z482)+SUM(Z497:Z500)+SUM(Z512)+SUM(Z515)</f>
        <v>107215</v>
      </c>
      <c r="AA648" s="46">
        <f t="shared" si="2219"/>
        <v>2</v>
      </c>
      <c r="AB648" s="46">
        <f t="shared" si="2219"/>
        <v>4535</v>
      </c>
      <c r="AC648" s="46">
        <f t="shared" si="2219"/>
        <v>32857</v>
      </c>
      <c r="AD648" s="46">
        <f t="shared" si="2219"/>
        <v>0</v>
      </c>
      <c r="AE648" s="43">
        <f t="shared" si="2219"/>
        <v>0</v>
      </c>
      <c r="AF648" s="95">
        <f t="shared" si="2213"/>
        <v>33</v>
      </c>
      <c r="AG648" s="109">
        <f t="shared" ref="AG648" si="2220">SUM(AG3:AG192)+SUM(AG274:AG285)+SUM(AG350)+SUM(AG390)+SUM(AG394:AG395)+SUM(AG397)+SUM(AG419)+SUM(AG423)+SUM(AG426:AG427)+SUM(AG481:AG482)+SUM(AG497:AG500)+SUM(AG512)+SUM(AG515)</f>
        <v>107388</v>
      </c>
      <c r="AH648" s="47">
        <f t="shared" si="2213"/>
        <v>34375</v>
      </c>
      <c r="AI648" s="45">
        <f t="shared" si="2213"/>
        <v>0</v>
      </c>
      <c r="AJ648" s="43">
        <f t="shared" si="2213"/>
        <v>0</v>
      </c>
      <c r="AK648" s="45">
        <f t="shared" ref="AK648" si="2221">SUM(AK3:AK192)+SUM(AK274:AK285)+SUM(AK350)+SUM(AK390)+SUM(AK394:AK395)+SUM(AK397)+SUM(AK419)+SUM(AK423)+SUM(AK426:AK427)+SUM(AK481:AK482)+SUM(AK497:AK500)+SUM(AK512)+SUM(AK515)</f>
        <v>0</v>
      </c>
      <c r="AL648" s="47">
        <f t="shared" si="2213"/>
        <v>0</v>
      </c>
      <c r="AM648" s="45">
        <f t="shared" si="2213"/>
        <v>27744</v>
      </c>
      <c r="AN648" s="95">
        <f t="shared" si="2213"/>
        <v>10526</v>
      </c>
      <c r="AO648" s="109">
        <f t="shared" ref="AO648" si="2222">SUM(AO3:AO192)+SUM(AO274:AO285)+SUM(AO350)+SUM(AO390)+SUM(AO394:AO395)+SUM(AO397)+SUM(AO419)+SUM(AO423)+SUM(AO426:AO427)+SUM(AO481:AO482)+SUM(AO497:AO500)+SUM(AO512)+SUM(AO515)</f>
        <v>6517</v>
      </c>
      <c r="AP648" s="47">
        <f t="shared" si="2213"/>
        <v>34264</v>
      </c>
      <c r="AQ648" s="45">
        <f t="shared" ref="AQ648" si="2223">SUM(AQ3:AQ192)+SUM(AQ274:AQ285)+SUM(AQ350)+SUM(AQ390)+SUM(AQ394:AQ395)+SUM(AQ397)+SUM(AQ419)+SUM(AQ423)+SUM(AQ426:AQ427)+SUM(AQ481:AQ482)+SUM(AQ497:AQ500)+SUM(AQ512)+SUM(AQ515)</f>
        <v>18926</v>
      </c>
      <c r="AR648" s="95">
        <f t="shared" si="2213"/>
        <v>42296</v>
      </c>
      <c r="AS648" s="109">
        <f t="shared" ref="AS648" si="2224">SUM(AS3:AS192)+SUM(AS274:AS285)+SUM(AS350)+SUM(AS390)+SUM(AS394:AS395)+SUM(AS397)+SUM(AS419)+SUM(AS423)+SUM(AS426:AS427)+SUM(AS481:AS482)+SUM(AS497:AS500)+SUM(AS512)+SUM(AS515)</f>
        <v>0</v>
      </c>
      <c r="AT648" s="47">
        <f t="shared" si="2213"/>
        <v>0</v>
      </c>
      <c r="AU648" s="45">
        <f t="shared" ref="AU648" si="2225">SUM(AU3:AU192)+SUM(AU274:AU285)+SUM(AU350)+SUM(AU390)+SUM(AU394:AU395)+SUM(AU397)+SUM(AU419)+SUM(AU423)+SUM(AU426:AU427)+SUM(AU481:AU482)+SUM(AU497:AU500)+SUM(AU512)+SUM(AU515)</f>
        <v>0</v>
      </c>
      <c r="AV648" s="109">
        <f t="shared" ref="AV648" si="2226">SUM(AV3:AV192)+SUM(AV274:AV285)+SUM(AV350)+SUM(AV390)+SUM(AV394:AV395)+SUM(AV397)+SUM(AV419)+SUM(AV423)+SUM(AV426:AV427)+SUM(AV481:AV482)+SUM(AV497:AV500)+SUM(AV512)+SUM(AV515)</f>
        <v>0</v>
      </c>
      <c r="AW648" s="109">
        <f t="shared" si="2213"/>
        <v>0</v>
      </c>
      <c r="AX648" s="45">
        <f t="shared" ref="AX648" si="2227">SUM(AX3:AX192)+SUM(AX274:AX285)+SUM(AX350)+SUM(AX390)+SUM(AX394:AX395)+SUM(AX397)+SUM(AX419)+SUM(AX423)+SUM(AX426:AX427)+SUM(AX481:AX482)+SUM(AX497:AX500)+SUM(AX512)+SUM(AX515)</f>
        <v>0</v>
      </c>
      <c r="AY648" s="47">
        <f t="shared" si="2213"/>
        <v>0</v>
      </c>
      <c r="AZ648" s="45">
        <f t="shared" si="2213"/>
        <v>0</v>
      </c>
      <c r="BA648" s="95">
        <f t="shared" si="2213"/>
        <v>0</v>
      </c>
      <c r="BB648" s="45">
        <f t="shared" ref="BB648" si="2228">SUM(BB3:BB192)+SUM(BB274:BB285)+SUM(BB350)+SUM(BB390)+SUM(BB394:BB395)+SUM(BB397)+SUM(BB419)+SUM(BB423)+SUM(BB426:BB427)+SUM(BB481:BB482)+SUM(BB497:BB500)+SUM(BB512)+SUM(BB515)</f>
        <v>37856</v>
      </c>
      <c r="BC648" s="47">
        <f>SUM(BC3:BC192)+SUM(BC274:BC285)+SUM(BC350)+SUM(BC390)+SUM(BC394:BC395)+SUM(BC397)+SUM(BC419)+SUM(BC423)+SUM(BC426:BC427)+SUM(BC481:BC482)+SUM(BC497:BC500)+SUM(BC512)+SUM(BC515)</f>
        <v>101138</v>
      </c>
      <c r="BD648" s="45">
        <f t="shared" ref="BD648" si="2229">SUM(BD3:BD192)+SUM(BD274:BD285)+SUM(BD350)+SUM(BD390)+SUM(BD394:BD395)+SUM(BD397)+SUM(BD419)+SUM(BD423)+SUM(BD426:BD427)+SUM(BD481:BD482)+SUM(BD497:BD500)+SUM(BD512)+SUM(BD515)</f>
        <v>35945</v>
      </c>
      <c r="BE648" s="95">
        <f>SUM(BE3:BE192)+SUM(BE274:BE285)+SUM(BE350)+SUM(BE390)+SUM(BE394:BE395)+SUM(BE397)+SUM(BE419)+SUM(BE423)+SUM(BE426:BE427)+SUM(BE481:BE482)+SUM(BE497:BE500)+SUM(BE512)+SUM(BE515)</f>
        <v>102744</v>
      </c>
      <c r="BF648" s="109">
        <f t="shared" ref="BF648" si="2230">SUM(BF3:BF192)+SUM(BF274:BF285)+SUM(BF350)+SUM(BF390)+SUM(BF394:BF395)+SUM(BF397)+SUM(BF419)+SUM(BF423)+SUM(BF426:BF427)+SUM(BF481:BF482)+SUM(BF497:BF500)+SUM(BF512)+SUM(BF515)</f>
        <v>101857</v>
      </c>
      <c r="BG648" s="47">
        <f>SUM(BG3:BG192)+SUM(BG274:BG285)+SUM(BG350)+SUM(BG390)+SUM(BG394:BG395)+SUM(BG397)+SUM(BG419)+SUM(BG423)+SUM(BG426:BG427)+SUM(BG481:BG482)+SUM(BG497:BG500)+SUM(BG512)+SUM(BG515)</f>
        <v>36288</v>
      </c>
      <c r="BH648" s="45">
        <f t="shared" ref="BH648" si="2231">SUM(BH3:BH192)+SUM(BH274:BH285)+SUM(BH350)+SUM(BH390)+SUM(BH394:BH395)+SUM(BH397)+SUM(BH419)+SUM(BH423)+SUM(BH426:BH427)+SUM(BH481:BH482)+SUM(BH497:BH500)+SUM(BH512)+SUM(BH515)</f>
        <v>39760</v>
      </c>
      <c r="BI648" s="47">
        <f>SUM(BI3:BI192)+SUM(BI274:BI285)+SUM(BI350)+SUM(BI390)+SUM(BI394:BI395)+SUM(BI397)+SUM(BI419)+SUM(BI423)+SUM(BI426:BI427)+SUM(BI481:BI482)+SUM(BI497:BI500)+SUM(BI512)+SUM(BI515)</f>
        <v>98401</v>
      </c>
      <c r="BJ648" s="109">
        <f t="shared" ref="BJ648:BK648" si="2232">SUM(BJ3:BJ192)+SUM(BJ274:BJ285)+SUM(BJ350)+SUM(BJ390)+SUM(BJ394:BJ395)+SUM(BJ397)+SUM(BJ419)+SUM(BJ423)+SUM(BJ426:BJ427)+SUM(BJ481:BJ482)+SUM(BJ497:BJ500)+SUM(BJ512)+SUM(BJ515)</f>
        <v>5787</v>
      </c>
      <c r="BK648" s="43">
        <f t="shared" si="2232"/>
        <v>32755</v>
      </c>
      <c r="BL648" s="95">
        <f t="shared" si="2213"/>
        <v>101895</v>
      </c>
      <c r="BM648" s="109">
        <f t="shared" ref="BM648:BN648" si="2233">SUM(BM3:BM192)+SUM(BM274:BM285)+SUM(BM350)+SUM(BM390)+SUM(BM394:BM395)+SUM(BM397)+SUM(BM419)+SUM(BM423)+SUM(BM426:BM427)+SUM(BM481:BM482)+SUM(BM497:BM500)+SUM(BM512)+SUM(BM515)</f>
        <v>102463</v>
      </c>
      <c r="BN648" s="46">
        <f t="shared" si="2233"/>
        <v>32473</v>
      </c>
      <c r="BO648" s="47">
        <f t="shared" si="2213"/>
        <v>4779</v>
      </c>
      <c r="BP648" s="45">
        <f t="shared" ref="BP648" si="2234">SUM(BP3:BP192)+SUM(BP274:BP285)+SUM(BP350)+SUM(BP390)+SUM(BP394:BP395)+SUM(BP397)+SUM(BP419)+SUM(BP423)+SUM(BP426:BP427)+SUM(BP481:BP482)+SUM(BP497:BP500)+SUM(BP512)+SUM(BP515)</f>
        <v>37367</v>
      </c>
      <c r="BQ648" s="47">
        <f t="shared" ref="BQ648" si="2235">SUM(BQ3:BQ192)+SUM(BQ274:BQ285)+SUM(BQ350)+SUM(BQ390)+SUM(BQ394:BQ395)+SUM(BQ397)+SUM(BQ419)+SUM(BQ423)+SUM(BQ426:BQ427)+SUM(BQ481:BQ482)+SUM(BQ497:BQ500)+SUM(BQ512)+SUM(BQ515)</f>
        <v>101277</v>
      </c>
      <c r="BR648" s="45">
        <f t="shared" ref="BR648" si="2236">SUM(BR3:BR192)+SUM(BR274:BR285)+SUM(BR350)+SUM(BR390)+SUM(BR394:BR395)+SUM(BR397)+SUM(BR419)+SUM(BR423)+SUM(BR426:BR427)+SUM(BR481:BR482)+SUM(BR497:BR500)+SUM(BR512)+SUM(BR515)</f>
        <v>96565</v>
      </c>
      <c r="BS648" s="47">
        <f t="shared" si="2213"/>
        <v>43308</v>
      </c>
      <c r="BT648" s="45">
        <f t="shared" ref="BT648:BU648" si="2237">SUM(BT3:BT192)+SUM(BT274:BT285)+SUM(BT350)+SUM(BT390)+SUM(BT394:BT395)+SUM(BT397)+SUM(BT419)+SUM(BT423)+SUM(BT426:BT427)+SUM(BT481:BT482)+SUM(BT497:BT500)+SUM(BT512)+SUM(BT515)</f>
        <v>33890</v>
      </c>
      <c r="BU648" s="43">
        <f t="shared" si="2237"/>
        <v>5906</v>
      </c>
      <c r="BV648" s="95">
        <f t="shared" si="2213"/>
        <v>98981</v>
      </c>
      <c r="BW648" s="109">
        <f t="shared" ref="BW648" si="2238">SUM(BW3:BW192)+SUM(BW274:BW285)+SUM(BW350)+SUM(BW390)+SUM(BW394:BW395)+SUM(BW397)+SUM(BW419)+SUM(BW423)+SUM(BW426:BW427)+SUM(BW481:BW482)+SUM(BW497:BW500)+SUM(BW512)+SUM(BW515)</f>
        <v>103993</v>
      </c>
      <c r="BX648" s="47">
        <f t="shared" si="2213"/>
        <v>37400</v>
      </c>
      <c r="BY648" s="45">
        <f t="shared" ref="BY648" si="2239">SUM(BY3:BY192)+SUM(BY274:BY285)+SUM(BY350)+SUM(BY390)+SUM(BY394:BY395)+SUM(BY397)+SUM(BY419)+SUM(BY423)+SUM(BY426:BY427)+SUM(BY481:BY482)+SUM(BY497:BY500)+SUM(BY512)+SUM(BY515)</f>
        <v>102580</v>
      </c>
      <c r="BZ648" s="95">
        <f t="shared" si="2213"/>
        <v>34496</v>
      </c>
      <c r="CA648" s="109">
        <f t="shared" ref="CA648" si="2240">SUM(CA3:CA192)+SUM(CA274:CA285)+SUM(CA350)+SUM(CA390)+SUM(CA394:CA395)+SUM(CA397)+SUM(CA419)+SUM(CA423)+SUM(CA426:CA427)+SUM(CA481:CA482)+SUM(CA497:CA500)+SUM(CA512)+SUM(CA515)</f>
        <v>35804</v>
      </c>
      <c r="CB648" s="47">
        <f t="shared" si="2213"/>
        <v>102624</v>
      </c>
      <c r="CC648" s="47">
        <f t="shared" si="2213"/>
        <v>69291</v>
      </c>
      <c r="CD648" s="44">
        <f t="shared" si="2213"/>
        <v>117327</v>
      </c>
      <c r="CE648" s="109">
        <f t="shared" ref="CE648" si="2241">SUM(CE3:CE192)+SUM(CE274:CE285)+SUM(CE350)+SUM(CE390)+SUM(CE394:CE395)+SUM(CE397)+SUM(CE419)+SUM(CE423)+SUM(CE426:CE427)+SUM(CE481:CE482)+SUM(CE497:CE500)+SUM(CE512)+SUM(CE515)</f>
        <v>49730</v>
      </c>
      <c r="CF648" s="43">
        <f>SUM(CF3:CF192)+SUM(CF274:CF285)+SUM(CF350)+SUM(CF390)+SUM(CF394:CF395)+SUM(CF397)+SUM(CF419)+SUM(CF423)+SUM(CF426:CF427)+SUM(CF481:CF482)+SUM(CF497:CF500)+SUM(CF512)+SUM(CF515)</f>
        <v>68640</v>
      </c>
      <c r="CG648" s="45">
        <f>SUM(CG3:CG192)+SUM(CG274:CG285)+SUM(CG350)+SUM(CG390)+SUM(CG394:CG395)+SUM(CG397)+SUM(CG419)+SUM(CG423)+SUM(CG426:CG427)+SUM(CG481:CG482)+SUM(CG497:CG500)+SUM(CG512)+SUM(CG515)</f>
        <v>32221</v>
      </c>
      <c r="CH648" s="46">
        <f t="shared" ref="CH648:CJ648" si="2242">SUM(CH3:CH192)+SUM(CH274:CH285)+SUM(CH350)+SUM(CH390)+SUM(CH394:CH395)+SUM(CH397)+SUM(CH419)+SUM(CH423)+SUM(CH426:CH427)+SUM(CH481:CH482)+SUM(CH497:CH500)+SUM(CH512)+SUM(CH515)</f>
        <v>19274</v>
      </c>
      <c r="CI648" s="46">
        <f t="shared" si="2242"/>
        <v>60979</v>
      </c>
      <c r="CJ648" s="46">
        <f t="shared" si="2242"/>
        <v>67410</v>
      </c>
      <c r="CK648" s="95">
        <f>SUM(CK3:CK192)+SUM(CK274:CK285)+SUM(CK350)+SUM(CK390)+SUM(CK394:CK395)+SUM(CK397)+SUM(CK419)+SUM(CK423)+SUM(CK426:CK427)+SUM(CK481:CK482)+SUM(CK497:CK500)+SUM(CK512)+SUM(CK515)</f>
        <v>37875</v>
      </c>
    </row>
    <row r="649" spans="1:89" ht="13" x14ac:dyDescent="0.25">
      <c r="A649" s="91"/>
      <c r="B649" s="96" t="s">
        <v>671</v>
      </c>
      <c r="C649" s="93">
        <f>SUM(C49:C53)+SUM(C65:C68)+SUM(C73:C79)+SUM(C112:C131)+SUM(C162:C192)</f>
        <v>79354</v>
      </c>
      <c r="D649" s="93">
        <f>SUM(D49:D53)+SUM(D65:D68)+SUM(D73:D79)+SUM(D112:D131)+SUM(D162:D192)</f>
        <v>40439</v>
      </c>
      <c r="E649" s="89">
        <v>0.36986141570621994</v>
      </c>
      <c r="F649" s="45">
        <f t="shared" ref="F649:CD649" si="2243">SUM(F49:F53)+SUM(F65:F68)+SUM(F73:F79)+SUM(F112:F131)+SUM(F162:F192)</f>
        <v>1</v>
      </c>
      <c r="G649" s="109">
        <f t="shared" ref="G649" si="2244">SUM(G49:G53)+SUM(G65:G68)+SUM(G73:G79)+SUM(G112:G131)+SUM(G162:G192)</f>
        <v>0</v>
      </c>
      <c r="H649" s="109">
        <f t="shared" ref="H649:Q649" si="2245">SUM(H49:H53)+SUM(H65:H68)+SUM(H73:H79)+SUM(H112:H131)+SUM(H162:H192)</f>
        <v>0</v>
      </c>
      <c r="I649" s="109">
        <f t="shared" si="2245"/>
        <v>58</v>
      </c>
      <c r="J649" s="109">
        <f t="shared" ref="J649:K649" si="2246">SUM(J49:J53)+SUM(J65:J68)+SUM(J73:J79)+SUM(J112:J131)+SUM(J162:J192)</f>
        <v>96</v>
      </c>
      <c r="K649" s="109">
        <f t="shared" si="2246"/>
        <v>0</v>
      </c>
      <c r="L649" s="109">
        <f t="shared" si="2245"/>
        <v>0</v>
      </c>
      <c r="M649" s="109">
        <f t="shared" si="2245"/>
        <v>28444</v>
      </c>
      <c r="N649" s="109">
        <f t="shared" si="2245"/>
        <v>0</v>
      </c>
      <c r="O649" s="109">
        <f t="shared" si="2245"/>
        <v>0</v>
      </c>
      <c r="P649" s="46">
        <f t="shared" si="2245"/>
        <v>237</v>
      </c>
      <c r="Q649" s="46">
        <f t="shared" si="2245"/>
        <v>64</v>
      </c>
      <c r="R649" s="46">
        <f t="shared" ref="R649" si="2247">SUM(R49:R53)+SUM(R65:R68)+SUM(R73:R79)+SUM(R112:R131)+SUM(R162:R192)</f>
        <v>10788</v>
      </c>
      <c r="S649" s="47">
        <f t="shared" si="2243"/>
        <v>21</v>
      </c>
      <c r="T649" s="45">
        <f>SUM(T49:T53)+SUM(T65:T68)+SUM(T73:T79)+SUM(T112:T131)+SUM(T162:T192)</f>
        <v>27905</v>
      </c>
      <c r="U649" s="47">
        <f t="shared" ref="U649:V649" si="2248">SUM(U49:U53)+SUM(U65:U68)+SUM(U73:U79)+SUM(U112:U131)+SUM(U162:U192)</f>
        <v>11027</v>
      </c>
      <c r="V649" s="45">
        <f t="shared" si="2248"/>
        <v>11778</v>
      </c>
      <c r="W649" s="47">
        <f>SUM(W49:W53)+SUM(W65:W68)+SUM(W73:W79)+SUM(W112:W131)+SUM(W162:W192)</f>
        <v>27227</v>
      </c>
      <c r="X649" s="45">
        <f>SUM(X49:X53)+SUM(X65:X68)+SUM(X73:X79)+SUM(X112:X131)+SUM(X162:X192)</f>
        <v>28037</v>
      </c>
      <c r="Y649" s="47">
        <f>SUM(Y49:Y53)+SUM(Y65:Y68)+SUM(Y73:Y79)+SUM(Y112:Y131)+SUM(Y162:Y192)</f>
        <v>10366</v>
      </c>
      <c r="Z649" s="109">
        <f t="shared" ref="Z649:AE649" si="2249">SUM(Z49:Z53)+SUM(Z65:Z68)+SUM(Z73:Z79)+SUM(Z112:Z131)+SUM(Z162:Z192)</f>
        <v>28423</v>
      </c>
      <c r="AA649" s="46">
        <f t="shared" si="2249"/>
        <v>0</v>
      </c>
      <c r="AB649" s="46">
        <f t="shared" si="2249"/>
        <v>1480</v>
      </c>
      <c r="AC649" s="46">
        <f t="shared" si="2249"/>
        <v>9570</v>
      </c>
      <c r="AD649" s="46">
        <f t="shared" si="2249"/>
        <v>0</v>
      </c>
      <c r="AE649" s="43">
        <f t="shared" si="2249"/>
        <v>0</v>
      </c>
      <c r="AF649" s="95">
        <f t="shared" si="2243"/>
        <v>17</v>
      </c>
      <c r="AG649" s="109">
        <f t="shared" ref="AG649" si="2250">SUM(AG49:AG53)+SUM(AG65:AG68)+SUM(AG73:AG79)+SUM(AG112:AG131)+SUM(AG162:AG192)</f>
        <v>28660</v>
      </c>
      <c r="AH649" s="47">
        <f t="shared" si="2243"/>
        <v>9937</v>
      </c>
      <c r="AI649" s="45">
        <f t="shared" si="2243"/>
        <v>0</v>
      </c>
      <c r="AJ649" s="43">
        <f t="shared" si="2243"/>
        <v>0</v>
      </c>
      <c r="AK649" s="45">
        <f t="shared" ref="AK649" si="2251">SUM(AK49:AK53)+SUM(AK65:AK68)+SUM(AK73:AK79)+SUM(AK112:AK131)+SUM(AK162:AK192)</f>
        <v>0</v>
      </c>
      <c r="AL649" s="47">
        <f t="shared" si="2243"/>
        <v>0</v>
      </c>
      <c r="AM649" s="45">
        <f t="shared" si="2243"/>
        <v>27744</v>
      </c>
      <c r="AN649" s="95">
        <f t="shared" si="2243"/>
        <v>10526</v>
      </c>
      <c r="AO649" s="109">
        <f t="shared" ref="AO649" si="2252">SUM(AO49:AO53)+SUM(AO65:AO68)+SUM(AO73:AO79)+SUM(AO112:AO131)+SUM(AO162:AO192)</f>
        <v>0</v>
      </c>
      <c r="AP649" s="47">
        <f t="shared" si="2243"/>
        <v>0</v>
      </c>
      <c r="AQ649" s="45">
        <f t="shared" ref="AQ649" si="2253">SUM(AQ49:AQ53)+SUM(AQ65:AQ68)+SUM(AQ73:AQ79)+SUM(AQ112:AQ131)+SUM(AQ162:AQ192)</f>
        <v>0</v>
      </c>
      <c r="AR649" s="95">
        <f t="shared" si="2243"/>
        <v>0</v>
      </c>
      <c r="AS649" s="109">
        <f t="shared" ref="AS649" si="2254">SUM(AS49:AS53)+SUM(AS65:AS68)+SUM(AS73:AS79)+SUM(AS112:AS131)+SUM(AS162:AS192)</f>
        <v>0</v>
      </c>
      <c r="AT649" s="47">
        <f t="shared" si="2243"/>
        <v>0</v>
      </c>
      <c r="AU649" s="45">
        <f t="shared" ref="AU649" si="2255">SUM(AU49:AU53)+SUM(AU65:AU68)+SUM(AU73:AU79)+SUM(AU112:AU131)+SUM(AU162:AU192)</f>
        <v>0</v>
      </c>
      <c r="AV649" s="109">
        <f t="shared" ref="AV649" si="2256">SUM(AV49:AV53)+SUM(AV65:AV68)+SUM(AV73:AV79)+SUM(AV112:AV131)+SUM(AV162:AV192)</f>
        <v>0</v>
      </c>
      <c r="AW649" s="109">
        <f t="shared" si="2243"/>
        <v>0</v>
      </c>
      <c r="AX649" s="45">
        <f t="shared" ref="AX649" si="2257">SUM(AX49:AX53)+SUM(AX65:AX68)+SUM(AX73:AX79)+SUM(AX112:AX131)+SUM(AX162:AX192)</f>
        <v>0</v>
      </c>
      <c r="AY649" s="47">
        <f t="shared" si="2243"/>
        <v>0</v>
      </c>
      <c r="AZ649" s="45">
        <f t="shared" si="2243"/>
        <v>0</v>
      </c>
      <c r="BA649" s="95">
        <f t="shared" si="2243"/>
        <v>0</v>
      </c>
      <c r="BB649" s="45">
        <f t="shared" ref="BB649" si="2258">SUM(BB49:BB53)+SUM(BB65:BB68)+SUM(BB73:BB79)+SUM(BB112:BB131)+SUM(BB162:BB192)</f>
        <v>10926</v>
      </c>
      <c r="BC649" s="47">
        <f>SUM(BC49:BC53)+SUM(BC65:BC68)+SUM(BC73:BC79)+SUM(BC112:BC131)+SUM(BC162:BC192)</f>
        <v>27108</v>
      </c>
      <c r="BD649" s="45">
        <f t="shared" ref="BD649" si="2259">SUM(BD49:BD53)+SUM(BD65:BD68)+SUM(BD73:BD79)+SUM(BD112:BD131)+SUM(BD162:BD192)</f>
        <v>10378</v>
      </c>
      <c r="BE649" s="95">
        <f>SUM(BE49:BE53)+SUM(BE65:BE68)+SUM(BE73:BE79)+SUM(BE112:BE131)+SUM(BE162:BE192)</f>
        <v>27519</v>
      </c>
      <c r="BF649" s="109">
        <f t="shared" ref="BF649" si="2260">SUM(BF49:BF53)+SUM(BF65:BF68)+SUM(BF73:BF79)+SUM(BF112:BF131)+SUM(BF162:BF192)</f>
        <v>27275</v>
      </c>
      <c r="BG649" s="47">
        <f>SUM(BG49:BG53)+SUM(BG65:BG68)+SUM(BG73:BG79)+SUM(BG112:BG131)+SUM(BG162:BG192)</f>
        <v>10481</v>
      </c>
      <c r="BH649" s="45">
        <f t="shared" ref="BH649" si="2261">SUM(BH49:BH53)+SUM(BH65:BH68)+SUM(BH73:BH79)+SUM(BH112:BH131)+SUM(BH162:BH192)</f>
        <v>11322</v>
      </c>
      <c r="BI649" s="47">
        <f>SUM(BI49:BI53)+SUM(BI65:BI68)+SUM(BI73:BI79)+SUM(BI112:BI131)+SUM(BI162:BI192)</f>
        <v>26396</v>
      </c>
      <c r="BJ649" s="109">
        <f t="shared" ref="BJ649:BK649" si="2262">SUM(BJ49:BJ53)+SUM(BJ65:BJ68)+SUM(BJ73:BJ79)+SUM(BJ112:BJ131)+SUM(BJ162:BJ192)</f>
        <v>1739</v>
      </c>
      <c r="BK649" s="43">
        <f t="shared" si="2262"/>
        <v>9370</v>
      </c>
      <c r="BL649" s="95">
        <f t="shared" si="2243"/>
        <v>27316</v>
      </c>
      <c r="BM649" s="109">
        <f t="shared" ref="BM649:BN649" si="2263">SUM(BM49:BM53)+SUM(BM65:BM68)+SUM(BM73:BM79)+SUM(BM112:BM131)+SUM(BM162:BM192)</f>
        <v>27460</v>
      </c>
      <c r="BN649" s="46">
        <f t="shared" si="2263"/>
        <v>9275</v>
      </c>
      <c r="BO649" s="47">
        <f t="shared" si="2243"/>
        <v>1487</v>
      </c>
      <c r="BP649" s="45">
        <f t="shared" ref="BP649" si="2264">SUM(BP49:BP53)+SUM(BP65:BP68)+SUM(BP73:BP79)+SUM(BP112:BP131)+SUM(BP162:BP192)</f>
        <v>10671</v>
      </c>
      <c r="BQ649" s="47">
        <f t="shared" ref="BQ649" si="2265">SUM(BQ49:BQ53)+SUM(BQ65:BQ68)+SUM(BQ73:BQ79)+SUM(BQ112:BQ131)+SUM(BQ162:BQ192)</f>
        <v>27156</v>
      </c>
      <c r="BR649" s="45">
        <f t="shared" ref="BR649" si="2266">SUM(BR49:BR53)+SUM(BR65:BR68)+SUM(BR73:BR79)+SUM(BR112:BR131)+SUM(BR162:BR192)</f>
        <v>25881</v>
      </c>
      <c r="BS649" s="47">
        <f t="shared" si="2243"/>
        <v>12394</v>
      </c>
      <c r="BT649" s="45">
        <f t="shared" ref="BT649:BU649" si="2267">SUM(BT49:BT53)+SUM(BT65:BT68)+SUM(BT73:BT79)+SUM(BT112:BT131)+SUM(BT162:BT192)</f>
        <v>9769</v>
      </c>
      <c r="BU649" s="43">
        <f t="shared" si="2267"/>
        <v>1849</v>
      </c>
      <c r="BV649" s="95">
        <f t="shared" si="2243"/>
        <v>26357</v>
      </c>
      <c r="BW649" s="109">
        <f t="shared" ref="BW649" si="2268">SUM(BW49:BW53)+SUM(BW65:BW68)+SUM(BW73:BW79)+SUM(BW112:BW131)+SUM(BW162:BW192)</f>
        <v>27724</v>
      </c>
      <c r="BX649" s="47">
        <f t="shared" si="2243"/>
        <v>10998</v>
      </c>
      <c r="BY649" s="45">
        <f t="shared" ref="BY649" si="2269">SUM(BY49:BY53)+SUM(BY65:BY68)+SUM(BY73:BY79)+SUM(BY112:BY131)+SUM(BY162:BY192)</f>
        <v>27563</v>
      </c>
      <c r="BZ649" s="95">
        <f t="shared" si="2243"/>
        <v>9961</v>
      </c>
      <c r="CA649" s="109">
        <f t="shared" ref="CA649" si="2270">SUM(CA49:CA53)+SUM(CA65:CA68)+SUM(CA73:CA79)+SUM(CA112:CA131)+SUM(CA162:CA192)</f>
        <v>10389</v>
      </c>
      <c r="CB649" s="47">
        <f t="shared" si="2243"/>
        <v>27427</v>
      </c>
      <c r="CC649" s="47">
        <f t="shared" si="2243"/>
        <v>19461</v>
      </c>
      <c r="CD649" s="44">
        <f t="shared" si="2243"/>
        <v>31840</v>
      </c>
      <c r="CE649" s="109">
        <f t="shared" ref="CE649" si="2271">SUM(CE49:CE53)+SUM(CE65:CE68)+SUM(CE73:CE79)+SUM(CE112:CE131)+SUM(CE162:CE192)</f>
        <v>14395</v>
      </c>
      <c r="CF649" s="43">
        <f>SUM(CF49:CF53)+SUM(CF65:CF68)+SUM(CF73:CF79)+SUM(CF112:CF131)+SUM(CF162:CF192)</f>
        <v>17906</v>
      </c>
      <c r="CG649" s="45">
        <f>SUM(CG49:CG53)+SUM(CG65:CG68)+SUM(CG73:CG79)+SUM(CG112:CG131)+SUM(CG162:CG192)</f>
        <v>8844</v>
      </c>
      <c r="CH649" s="46">
        <f t="shared" ref="CH649:CJ649" si="2272">SUM(CH49:CH53)+SUM(CH65:CH68)+SUM(CH73:CH79)+SUM(CH112:CH131)+SUM(CH162:CH192)</f>
        <v>5664</v>
      </c>
      <c r="CI649" s="46">
        <f t="shared" si="2272"/>
        <v>15233</v>
      </c>
      <c r="CJ649" s="46">
        <f t="shared" si="2272"/>
        <v>17133</v>
      </c>
      <c r="CK649" s="95">
        <f>SUM(CK49:CK53)+SUM(CK65:CK68)+SUM(CK73:CK79)+SUM(CK112:CK131)+SUM(CK162:CK192)</f>
        <v>11305</v>
      </c>
    </row>
    <row r="650" spans="1:89" ht="13" x14ac:dyDescent="0.25">
      <c r="A650" s="91"/>
      <c r="B650" s="96" t="s">
        <v>672</v>
      </c>
      <c r="C650" s="93">
        <f>SUM(C54)+SUM(C57)+SUM(C60:C61)+SUM(C64)+SUM(C69:C72)+SUM(C80:C92)+SUM(C102:C111)+SUM(C132:C161)+SUM(C350)+SUM(C419)+SUM(C497:C500)+SUM(C512)+SUM(C515)</f>
        <v>75709</v>
      </c>
      <c r="D650" s="93">
        <f>SUM(D54)+SUM(D57)+SUM(D60:D61)+SUM(D64)+SUM(D69:D72)+SUM(D80:D92)+SUM(D102:D111)+SUM(D132:D161)+SUM(D350)+SUM(D419)+SUM(D497:D500)+SUM(D512)+SUM(D515)</f>
        <v>42288</v>
      </c>
      <c r="E650" s="89">
        <v>0.41204167230415373</v>
      </c>
      <c r="F650" s="45">
        <f t="shared" ref="F650:CD650" si="2273">SUM(F54)+SUM(F57)+SUM(F60:F61)+SUM(F64)+SUM(F69:F72)+SUM(F80:F92)+SUM(F102:F111)+SUM(F132:F161)+SUM(F350)+SUM(F419)+SUM(F497:F500)+SUM(F512)+SUM(F515)</f>
        <v>0</v>
      </c>
      <c r="G650" s="109">
        <f t="shared" ref="G650" si="2274">SUM(G54)+SUM(G57)+SUM(G60:G61)+SUM(G64)+SUM(G69:G72)+SUM(G80:G92)+SUM(G102:G111)+SUM(G132:G161)+SUM(G350)+SUM(G419)+SUM(G497:G500)+SUM(G512)+SUM(G515)</f>
        <v>0</v>
      </c>
      <c r="H650" s="109">
        <f t="shared" ref="H650:Q650" si="2275">SUM(H54)+SUM(H57)+SUM(H60:H61)+SUM(H64)+SUM(H69:H72)+SUM(H80:H92)+SUM(H102:H111)+SUM(H132:H161)+SUM(H350)+SUM(H419)+SUM(H497:H500)+SUM(H512)+SUM(H515)</f>
        <v>0</v>
      </c>
      <c r="I650" s="109">
        <f t="shared" si="2275"/>
        <v>54</v>
      </c>
      <c r="J650" s="109">
        <f t="shared" ref="J650:K650" si="2276">SUM(J54)+SUM(J57)+SUM(J60:J61)+SUM(J64)+SUM(J69:J72)+SUM(J80:J92)+SUM(J102:J111)+SUM(J132:J161)+SUM(J350)+SUM(J419)+SUM(J497:J500)+SUM(J512)+SUM(J515)</f>
        <v>79</v>
      </c>
      <c r="K650" s="109">
        <f t="shared" si="2276"/>
        <v>0</v>
      </c>
      <c r="L650" s="109">
        <f t="shared" si="2275"/>
        <v>0</v>
      </c>
      <c r="M650" s="109">
        <f t="shared" si="2275"/>
        <v>34216</v>
      </c>
      <c r="N650" s="109">
        <f t="shared" si="2275"/>
        <v>0</v>
      </c>
      <c r="O650" s="109">
        <f t="shared" si="2275"/>
        <v>0</v>
      </c>
      <c r="P650" s="46">
        <f t="shared" si="2275"/>
        <v>162</v>
      </c>
      <c r="Q650" s="46">
        <f t="shared" si="2275"/>
        <v>81</v>
      </c>
      <c r="R650" s="46">
        <f t="shared" ref="R650" si="2277">SUM(R54)+SUM(R57)+SUM(R60:R61)+SUM(R64)+SUM(R69:R72)+SUM(R80:R92)+SUM(R102:R111)+SUM(R132:R161)+SUM(R350)+SUM(R419)+SUM(R497:R500)+SUM(R512)+SUM(R515)</f>
        <v>6952</v>
      </c>
      <c r="S650" s="47">
        <f t="shared" si="2273"/>
        <v>24</v>
      </c>
      <c r="T650" s="45">
        <f>SUM(T54)+SUM(T57)+SUM(T60:T61)+SUM(T64)+SUM(T69:T72)+SUM(T80:T92)+SUM(T102:T111)+SUM(T132:T161)+SUM(T350)+SUM(T419)+SUM(T497:T500)+SUM(T512)+SUM(T515)</f>
        <v>33514</v>
      </c>
      <c r="U650" s="47">
        <f t="shared" ref="U650:V650" si="2278">SUM(U54)+SUM(U57)+SUM(U60:U61)+SUM(U64)+SUM(U69:U72)+SUM(U80:U92)+SUM(U102:U111)+SUM(U132:U161)+SUM(U350)+SUM(U419)+SUM(U497:U500)+SUM(U512)+SUM(U515)</f>
        <v>7277</v>
      </c>
      <c r="V650" s="45">
        <f t="shared" si="2278"/>
        <v>8031</v>
      </c>
      <c r="W650" s="47">
        <f>SUM(W54)+SUM(W57)+SUM(W60:W61)+SUM(W64)+SUM(W69:W72)+SUM(W80:W92)+SUM(W102:W111)+SUM(W132:W161)+SUM(W350)+SUM(W419)+SUM(W497:W500)+SUM(W512)+SUM(W515)</f>
        <v>32880</v>
      </c>
      <c r="X650" s="45">
        <f>SUM(X54)+SUM(X57)+SUM(X60:X61)+SUM(X64)+SUM(X69:X72)+SUM(X80:X92)+SUM(X102:X111)+SUM(X132:X161)+SUM(X350)+SUM(X419)+SUM(X497:X500)+SUM(X512)+SUM(X515)</f>
        <v>33482</v>
      </c>
      <c r="Y650" s="47">
        <f>SUM(Y54)+SUM(Y57)+SUM(Y60:Y61)+SUM(Y64)+SUM(Y69:Y72)+SUM(Y80:Y92)+SUM(Y102:Y111)+SUM(Y132:Y161)+SUM(Y350)+SUM(Y419)+SUM(Y497:Y500)+SUM(Y512)+SUM(Y515)</f>
        <v>6803</v>
      </c>
      <c r="Z650" s="109">
        <f t="shared" ref="Z650:AE650" si="2279">SUM(Z54)+SUM(Z57)+SUM(Z60:Z61)+SUM(Z64)+SUM(Z69:Z72)+SUM(Z80:Z92)+SUM(Z102:Z111)+SUM(Z132:Z161)+SUM(Z350)+SUM(Z419)+SUM(Z497:Z500)+SUM(Z512)+SUM(Z515)</f>
        <v>33929</v>
      </c>
      <c r="AA650" s="46">
        <f t="shared" si="2279"/>
        <v>0</v>
      </c>
      <c r="AB650" s="46">
        <f t="shared" si="2279"/>
        <v>1201</v>
      </c>
      <c r="AC650" s="46">
        <f t="shared" si="2279"/>
        <v>6198</v>
      </c>
      <c r="AD650" s="46">
        <f t="shared" si="2279"/>
        <v>0</v>
      </c>
      <c r="AE650" s="43">
        <f t="shared" si="2279"/>
        <v>0</v>
      </c>
      <c r="AF650" s="95">
        <f t="shared" si="2273"/>
        <v>11</v>
      </c>
      <c r="AG650" s="109">
        <f t="shared" ref="AG650" si="2280">SUM(AG54)+SUM(AG57)+SUM(AG60:AG61)+SUM(AG64)+SUM(AG69:AG72)+SUM(AG80:AG92)+SUM(AG102:AG111)+SUM(AG132:AG161)+SUM(AG350)+SUM(AG419)+SUM(AG497:AG500)+SUM(AG512)+SUM(AG515)</f>
        <v>33993</v>
      </c>
      <c r="AH650" s="47">
        <f t="shared" si="2273"/>
        <v>6515</v>
      </c>
      <c r="AI650" s="45">
        <f t="shared" si="2273"/>
        <v>0</v>
      </c>
      <c r="AJ650" s="43">
        <f t="shared" si="2273"/>
        <v>0</v>
      </c>
      <c r="AK650" s="45">
        <f t="shared" ref="AK650" si="2281">SUM(AK54)+SUM(AK57)+SUM(AK60:AK61)+SUM(AK64)+SUM(AK69:AK72)+SUM(AK80:AK92)+SUM(AK102:AK111)+SUM(AK132:AK161)+SUM(AK350)+SUM(AK419)+SUM(AK497:AK500)+SUM(AK512)+SUM(AK515)</f>
        <v>0</v>
      </c>
      <c r="AL650" s="47">
        <f t="shared" si="2273"/>
        <v>0</v>
      </c>
      <c r="AM650" s="45">
        <f t="shared" si="2273"/>
        <v>0</v>
      </c>
      <c r="AN650" s="95">
        <f t="shared" si="2273"/>
        <v>0</v>
      </c>
      <c r="AO650" s="109">
        <f t="shared" ref="AO650" si="2282">SUM(AO54)+SUM(AO57)+SUM(AO60:AO61)+SUM(AO64)+SUM(AO69:AO72)+SUM(AO80:AO92)+SUM(AO102:AO111)+SUM(AO132:AO161)+SUM(AO350)+SUM(AO419)+SUM(AO497:AO500)+SUM(AO512)+SUM(AO515)</f>
        <v>6517</v>
      </c>
      <c r="AP650" s="47">
        <f t="shared" si="2273"/>
        <v>34264</v>
      </c>
      <c r="AQ650" s="45">
        <f t="shared" ref="AQ650" si="2283">SUM(AQ54)+SUM(AQ57)+SUM(AQ60:AQ61)+SUM(AQ64)+SUM(AQ69:AQ72)+SUM(AQ80:AQ92)+SUM(AQ102:AQ111)+SUM(AQ132:AQ161)+SUM(AQ350)+SUM(AQ419)+SUM(AQ497:AQ500)+SUM(AQ512)+SUM(AQ515)</f>
        <v>0</v>
      </c>
      <c r="AR650" s="95">
        <f t="shared" si="2273"/>
        <v>0</v>
      </c>
      <c r="AS650" s="109">
        <f t="shared" ref="AS650" si="2284">SUM(AS54)+SUM(AS57)+SUM(AS60:AS61)+SUM(AS64)+SUM(AS69:AS72)+SUM(AS80:AS92)+SUM(AS102:AS111)+SUM(AS132:AS161)+SUM(AS350)+SUM(AS419)+SUM(AS497:AS500)+SUM(AS512)+SUM(AS515)</f>
        <v>0</v>
      </c>
      <c r="AT650" s="47">
        <f t="shared" si="2273"/>
        <v>0</v>
      </c>
      <c r="AU650" s="45">
        <f t="shared" ref="AU650" si="2285">SUM(AU54)+SUM(AU57)+SUM(AU60:AU61)+SUM(AU64)+SUM(AU69:AU72)+SUM(AU80:AU92)+SUM(AU102:AU111)+SUM(AU132:AU161)+SUM(AU350)+SUM(AU419)+SUM(AU497:AU500)+SUM(AU512)+SUM(AU515)</f>
        <v>0</v>
      </c>
      <c r="AV650" s="109">
        <f t="shared" ref="AV650" si="2286">SUM(AV54)+SUM(AV57)+SUM(AV60:AV61)+SUM(AV64)+SUM(AV69:AV72)+SUM(AV80:AV92)+SUM(AV102:AV111)+SUM(AV132:AV161)+SUM(AV350)+SUM(AV419)+SUM(AV497:AV500)+SUM(AV512)+SUM(AV515)</f>
        <v>0</v>
      </c>
      <c r="AW650" s="109">
        <f t="shared" si="2273"/>
        <v>0</v>
      </c>
      <c r="AX650" s="45">
        <f t="shared" ref="AX650" si="2287">SUM(AX54)+SUM(AX57)+SUM(AX60:AX61)+SUM(AX64)+SUM(AX69:AX72)+SUM(AX80:AX92)+SUM(AX102:AX111)+SUM(AX132:AX161)+SUM(AX350)+SUM(AX419)+SUM(AX497:AX500)+SUM(AX512)+SUM(AX515)</f>
        <v>0</v>
      </c>
      <c r="AY650" s="47">
        <f t="shared" si="2273"/>
        <v>0</v>
      </c>
      <c r="AZ650" s="45">
        <f t="shared" si="2273"/>
        <v>0</v>
      </c>
      <c r="BA650" s="95">
        <f t="shared" si="2273"/>
        <v>0</v>
      </c>
      <c r="BB650" s="45">
        <f t="shared" ref="BB650" si="2288">SUM(BB54)+SUM(BB57)+SUM(BB60:BB61)+SUM(BB64)+SUM(BB69:BB72)+SUM(BB80:BB92)+SUM(BB102:BB111)+SUM(BB132:BB161)+SUM(BB350)+SUM(BB419)+SUM(BB497:BB500)+SUM(BB512)+SUM(BB515)</f>
        <v>7329</v>
      </c>
      <c r="BC650" s="47">
        <f>SUM(BC54)+SUM(BC57)+SUM(BC60:BC61)+SUM(BC64)+SUM(BC69:BC72)+SUM(BC80:BC92)+SUM(BC102:BC111)+SUM(BC132:BC161)+SUM(BC350)+SUM(BC419)+SUM(BC497:BC500)+SUM(BC512)+SUM(BC515)</f>
        <v>32682</v>
      </c>
      <c r="BD650" s="45">
        <f t="shared" ref="BD650" si="2289">SUM(BD54)+SUM(BD57)+SUM(BD60:BD61)+SUM(BD64)+SUM(BD69:BD72)+SUM(BD80:BD92)+SUM(BD102:BD111)+SUM(BD132:BD161)+SUM(BD350)+SUM(BD419)+SUM(BD497:BD500)+SUM(BD512)+SUM(BD515)</f>
        <v>6760</v>
      </c>
      <c r="BE650" s="95">
        <f>SUM(BE54)+SUM(BE57)+SUM(BE60:BE61)+SUM(BE64)+SUM(BE69:BE72)+SUM(BE80:BE92)+SUM(BE102:BE111)+SUM(BE132:BE161)+SUM(BE350)+SUM(BE419)+SUM(BE497:BE500)+SUM(BE512)+SUM(BE515)</f>
        <v>33244</v>
      </c>
      <c r="BF650" s="109">
        <f t="shared" ref="BF650" si="2290">SUM(BF54)+SUM(BF57)+SUM(BF60:BF61)+SUM(BF64)+SUM(BF69:BF72)+SUM(BF80:BF92)+SUM(BF102:BF111)+SUM(BF132:BF161)+SUM(BF350)+SUM(BF419)+SUM(BF497:BF500)+SUM(BF512)+SUM(BF515)</f>
        <v>33050</v>
      </c>
      <c r="BG650" s="47">
        <f>SUM(BG54)+SUM(BG57)+SUM(BG60:BG61)+SUM(BG64)+SUM(BG69:BG72)+SUM(BG80:BG92)+SUM(BG102:BG111)+SUM(BG132:BG161)+SUM(BG350)+SUM(BG419)+SUM(BG497:BG500)+SUM(BG512)+SUM(BG515)</f>
        <v>6783</v>
      </c>
      <c r="BH650" s="45">
        <f t="shared" ref="BH650" si="2291">SUM(BH54)+SUM(BH57)+SUM(BH60:BH61)+SUM(BH64)+SUM(BH69:BH72)+SUM(BH80:BH92)+SUM(BH102:BH111)+SUM(BH132:BH161)+SUM(BH350)+SUM(BH419)+SUM(BH497:BH500)+SUM(BH512)+SUM(BH515)</f>
        <v>7701</v>
      </c>
      <c r="BI650" s="47">
        <f>SUM(BI54)+SUM(BI57)+SUM(BI60:BI61)+SUM(BI64)+SUM(BI69:BI72)+SUM(BI80:BI92)+SUM(BI102:BI111)+SUM(BI132:BI161)+SUM(BI350)+SUM(BI419)+SUM(BI497:BI500)+SUM(BI512)+SUM(BI515)</f>
        <v>32064</v>
      </c>
      <c r="BJ650" s="109">
        <f t="shared" ref="BJ650:BK650" si="2292">SUM(BJ54)+SUM(BJ57)+SUM(BJ60:BJ61)+SUM(BJ64)+SUM(BJ69:BJ72)+SUM(BJ80:BJ92)+SUM(BJ102:BJ111)+SUM(BJ132:BJ161)+SUM(BJ350)+SUM(BJ419)+SUM(BJ497:BJ500)+SUM(BJ512)+SUM(BJ515)</f>
        <v>1310</v>
      </c>
      <c r="BK650" s="43">
        <f t="shared" si="2292"/>
        <v>5969</v>
      </c>
      <c r="BL650" s="95">
        <f t="shared" si="2273"/>
        <v>33312</v>
      </c>
      <c r="BM650" s="109">
        <f t="shared" ref="BM650:BN650" si="2293">SUM(BM54)+SUM(BM57)+SUM(BM60:BM61)+SUM(BM64)+SUM(BM69:BM72)+SUM(BM80:BM92)+SUM(BM102:BM111)+SUM(BM132:BM161)+SUM(BM350)+SUM(BM419)+SUM(BM497:BM500)+SUM(BM512)+SUM(BM515)</f>
        <v>33006</v>
      </c>
      <c r="BN650" s="46">
        <f t="shared" si="2293"/>
        <v>6064</v>
      </c>
      <c r="BO650" s="47">
        <f t="shared" si="2273"/>
        <v>1128</v>
      </c>
      <c r="BP650" s="45">
        <f t="shared" ref="BP650" si="2294">SUM(BP54)+SUM(BP57)+SUM(BP60:BP61)+SUM(BP64)+SUM(BP69:BP72)+SUM(BP80:BP92)+SUM(BP102:BP111)+SUM(BP132:BP161)+SUM(BP350)+SUM(BP419)+SUM(BP497:BP500)+SUM(BP512)+SUM(BP515)</f>
        <v>7073</v>
      </c>
      <c r="BQ650" s="47">
        <f t="shared" ref="BQ650" si="2295">SUM(BQ54)+SUM(BQ57)+SUM(BQ60:BQ61)+SUM(BQ64)+SUM(BQ69:BQ72)+SUM(BQ80:BQ92)+SUM(BQ102:BQ111)+SUM(BQ132:BQ161)+SUM(BQ350)+SUM(BQ419)+SUM(BQ497:BQ500)+SUM(BQ512)+SUM(BQ515)</f>
        <v>32901</v>
      </c>
      <c r="BR650" s="45">
        <f t="shared" ref="BR650" si="2296">SUM(BR54)+SUM(BR57)+SUM(BR60:BR61)+SUM(BR64)+SUM(BR69:BR72)+SUM(BR80:BR92)+SUM(BR102:BR111)+SUM(BR132:BR161)+SUM(BR350)+SUM(BR419)+SUM(BR497:BR500)+SUM(BR512)+SUM(BR515)</f>
        <v>31519</v>
      </c>
      <c r="BS650" s="47">
        <f t="shared" si="2273"/>
        <v>8653</v>
      </c>
      <c r="BT650" s="45">
        <f t="shared" ref="BT650:BU650" si="2297">SUM(BT54)+SUM(BT57)+SUM(BT60:BT61)+SUM(BT64)+SUM(BT69:BT72)+SUM(BT80:BT92)+SUM(BT102:BT111)+SUM(BT132:BT161)+SUM(BT350)+SUM(BT419)+SUM(BT497:BT500)+SUM(BT512)+SUM(BT515)</f>
        <v>6499</v>
      </c>
      <c r="BU650" s="43">
        <f t="shared" si="2297"/>
        <v>1439</v>
      </c>
      <c r="BV650" s="95">
        <f t="shared" si="2273"/>
        <v>32197</v>
      </c>
      <c r="BW650" s="109">
        <f t="shared" ref="BW650" si="2298">SUM(BW54)+SUM(BW57)+SUM(BW60:BW61)+SUM(BW64)+SUM(BW69:BW72)+SUM(BW80:BW92)+SUM(BW102:BW111)+SUM(BW132:BW161)+SUM(BW350)+SUM(BW419)+SUM(BW497:BW500)+SUM(BW512)+SUM(BW515)</f>
        <v>33550</v>
      </c>
      <c r="BX650" s="47">
        <f t="shared" si="2273"/>
        <v>7090</v>
      </c>
      <c r="BY650" s="45">
        <f t="shared" ref="BY650" si="2299">SUM(BY54)+SUM(BY57)+SUM(BY60:BY61)+SUM(BY64)+SUM(BY69:BY72)+SUM(BY80:BY92)+SUM(BY102:BY111)+SUM(BY132:BY161)+SUM(BY350)+SUM(BY419)+SUM(BY497:BY500)+SUM(BY512)+SUM(BY515)</f>
        <v>33105</v>
      </c>
      <c r="BZ650" s="95">
        <f t="shared" si="2273"/>
        <v>6554</v>
      </c>
      <c r="CA650" s="109">
        <f t="shared" ref="CA650" si="2300">SUM(CA54)+SUM(CA57)+SUM(CA60:CA61)+SUM(CA64)+SUM(CA69:CA72)+SUM(CA80:CA92)+SUM(CA102:CA111)+SUM(CA132:CA161)+SUM(CA350)+SUM(CA419)+SUM(CA497:CA500)+SUM(CA512)+SUM(CA515)</f>
        <v>6861</v>
      </c>
      <c r="CB650" s="47">
        <f t="shared" si="2273"/>
        <v>33123</v>
      </c>
      <c r="CC650" s="47">
        <f t="shared" si="2273"/>
        <v>16592</v>
      </c>
      <c r="CD650" s="44">
        <f t="shared" si="2273"/>
        <v>35671</v>
      </c>
      <c r="CE650" s="109">
        <f t="shared" ref="CE650" si="2301">SUM(CE54)+SUM(CE57)+SUM(CE60:CE61)+SUM(CE64)+SUM(CE69:CE72)+SUM(CE80:CE92)+SUM(CE102:CE111)+SUM(CE132:CE161)+SUM(CE350)+SUM(CE419)+SUM(CE497:CE500)+SUM(CE512)+SUM(CE515)</f>
        <v>12894</v>
      </c>
      <c r="CF650" s="43">
        <f>SUM(CF54)+SUM(CF57)+SUM(CF60:CF61)+SUM(CF64)+SUM(CF69:CF72)+SUM(CF80:CF92)+SUM(CF102:CF111)+SUM(CF132:CF161)+SUM(CF350)+SUM(CF419)+SUM(CF497:CF500)+SUM(CF512)+SUM(CF515)</f>
        <v>21458</v>
      </c>
      <c r="CG650" s="45">
        <f>SUM(CG54)+SUM(CG57)+SUM(CG60:CG61)+SUM(CG64)+SUM(CG69:CG72)+SUM(CG80:CG92)+SUM(CG102:CG111)+SUM(CG132:CG161)+SUM(CG350)+SUM(CG419)+SUM(CG497:CG500)+SUM(CG512)+SUM(CG515)</f>
        <v>8527</v>
      </c>
      <c r="CH650" s="46">
        <f t="shared" ref="CH650:CJ650" si="2302">SUM(CH54)+SUM(CH57)+SUM(CH60:CH61)+SUM(CH64)+SUM(CH69:CH72)+SUM(CH80:CH92)+SUM(CH102:CH111)+SUM(CH132:CH161)+SUM(CH350)+SUM(CH419)+SUM(CH497:CH500)+SUM(CH512)+SUM(CH515)</f>
        <v>3864</v>
      </c>
      <c r="CI650" s="46">
        <f t="shared" si="2302"/>
        <v>20138</v>
      </c>
      <c r="CJ650" s="46">
        <f t="shared" si="2302"/>
        <v>21376</v>
      </c>
      <c r="CK650" s="95">
        <f>SUM(CK54)+SUM(CK57)+SUM(CK60:CK61)+SUM(CK64)+SUM(CK69:CK72)+SUM(CK80:CK92)+SUM(CK102:CK111)+SUM(CK132:CK161)+SUM(CK350)+SUM(CK419)+SUM(CK497:CK500)+SUM(CK512)+SUM(CK515)</f>
        <v>8954</v>
      </c>
    </row>
    <row r="651" spans="1:89" ht="13" x14ac:dyDescent="0.25">
      <c r="A651" s="91"/>
      <c r="B651" s="96" t="s">
        <v>673</v>
      </c>
      <c r="C651" s="88">
        <f>SUM(C3:C48)+SUM(C55:C56)+SUM(C58:C59)+SUM(C62:C63)+SUM(C93:C101)+SUM(C274:C285)+SUM(C390)+SUM(C394:C395)+SUM(C397)+SUM(C423)+SUM(C426:C427)+SUM(C481:C482)</f>
        <v>92629</v>
      </c>
      <c r="D651" s="88">
        <f>SUM(D3:D48)+SUM(D55:D56)+SUM(D58:D59)+SUM(D62:D63)+SUM(D93:D101)+SUM(D274:D285)+SUM(D390)+SUM(D394:D395)+SUM(D397)+SUM(D423)+SUM(D426:D427)+SUM(D481:D482)</f>
        <v>65064</v>
      </c>
      <c r="E651" s="89">
        <v>0.52944824659710354</v>
      </c>
      <c r="F651" s="45">
        <f t="shared" ref="F651:CD651" si="2303">SUM(F3:F48)+SUM(F55:F56)+SUM(F58:F59)+SUM(F62:F63)+SUM(F93:F101)+SUM(F274:F285)+SUM(F390)+SUM(F394:F395)+SUM(F397)+SUM(F423)+SUM(F426:F427)+SUM(F481:F482)</f>
        <v>0</v>
      </c>
      <c r="G651" s="109">
        <f t="shared" ref="G651" si="2304">SUM(G3:G48)+SUM(G55:G56)+SUM(G58:G59)+SUM(G62:G63)+SUM(G93:G101)+SUM(G274:G285)+SUM(G390)+SUM(G394:G395)+SUM(G397)+SUM(G423)+SUM(G426:G427)+SUM(G481:G482)</f>
        <v>0</v>
      </c>
      <c r="H651" s="109">
        <f t="shared" ref="H651:Q651" si="2305">SUM(H3:H48)+SUM(H55:H56)+SUM(H58:H59)+SUM(H62:H63)+SUM(H93:H101)+SUM(H274:H285)+SUM(H390)+SUM(H394:H395)+SUM(H397)+SUM(H423)+SUM(H426:H427)+SUM(H481:H482)</f>
        <v>1</v>
      </c>
      <c r="I651" s="109">
        <f t="shared" si="2305"/>
        <v>48</v>
      </c>
      <c r="J651" s="109">
        <f t="shared" ref="J651:K651" si="2306">SUM(J3:J48)+SUM(J55:J56)+SUM(J58:J59)+SUM(J62:J63)+SUM(J93:J101)+SUM(J274:J285)+SUM(J390)+SUM(J394:J395)+SUM(J397)+SUM(J423)+SUM(J426:J427)+SUM(J481:J482)</f>
        <v>108</v>
      </c>
      <c r="K651" s="109">
        <f t="shared" si="2306"/>
        <v>0</v>
      </c>
      <c r="L651" s="109">
        <f t="shared" si="2305"/>
        <v>0</v>
      </c>
      <c r="M651" s="109">
        <f t="shared" si="2305"/>
        <v>44801</v>
      </c>
      <c r="N651" s="109">
        <f t="shared" si="2305"/>
        <v>1</v>
      </c>
      <c r="O651" s="109">
        <f t="shared" si="2305"/>
        <v>0</v>
      </c>
      <c r="P651" s="46">
        <f t="shared" si="2305"/>
        <v>401</v>
      </c>
      <c r="Q651" s="46">
        <f t="shared" si="2305"/>
        <v>152</v>
      </c>
      <c r="R651" s="46">
        <f t="shared" ref="R651" si="2307">SUM(R3:R48)+SUM(R55:R56)+SUM(R58:R59)+SUM(R62:R63)+SUM(R93:R101)+SUM(R274:R285)+SUM(R390)+SUM(R394:R395)+SUM(R397)+SUM(R423)+SUM(R426:R427)+SUM(R481:R482)</f>
        <v>18453</v>
      </c>
      <c r="S651" s="47">
        <f t="shared" si="2303"/>
        <v>15</v>
      </c>
      <c r="T651" s="45">
        <f>SUM(T3:T48)+SUM(T55:T56)+SUM(T58:T59)+SUM(T62:T63)+SUM(T93:T101)+SUM(T274:T285)+SUM(T390)+SUM(T394:T395)+SUM(T397)+SUM(T423)+SUM(T426:T427)+SUM(T481:T482)</f>
        <v>42582</v>
      </c>
      <c r="U651" s="47">
        <f t="shared" ref="U651:V651" si="2308">SUM(U3:U48)+SUM(U55:U56)+SUM(U58:U59)+SUM(U62:U63)+SUM(U93:U101)+SUM(U274:U285)+SUM(U390)+SUM(U394:U395)+SUM(U397)+SUM(U423)+SUM(U426:U427)+SUM(U481:U482)</f>
        <v>20131</v>
      </c>
      <c r="V651" s="45">
        <f t="shared" si="2308"/>
        <v>20900</v>
      </c>
      <c r="W651" s="47">
        <f>SUM(W3:W48)+SUM(W55:W56)+SUM(W58:W59)+SUM(W62:W63)+SUM(W93:W101)+SUM(W274:W285)+SUM(W390)+SUM(W394:W395)+SUM(W397)+SUM(W423)+SUM(W426:W427)+SUM(W481:W482)</f>
        <v>41993</v>
      </c>
      <c r="X651" s="45">
        <f>SUM(X3:X48)+SUM(X55:X56)+SUM(X58:X59)+SUM(X62:X63)+SUM(X93:X101)+SUM(X274:X285)+SUM(X390)+SUM(X394:X395)+SUM(X397)+SUM(X423)+SUM(X426:X427)+SUM(X481:X482)</f>
        <v>42958</v>
      </c>
      <c r="Y651" s="47">
        <f>SUM(Y3:Y48)+SUM(Y55:Y56)+SUM(Y58:Y59)+SUM(Y62:Y63)+SUM(Y93:Y101)+SUM(Y274:Y285)+SUM(Y390)+SUM(Y394:Y395)+SUM(Y397)+SUM(Y423)+SUM(Y426:Y427)+SUM(Y481:Y482)</f>
        <v>18831</v>
      </c>
      <c r="Z651" s="109">
        <f t="shared" ref="Z651:AE651" si="2309">SUM(Z3:Z48)+SUM(Z55:Z56)+SUM(Z58:Z59)+SUM(Z62:Z63)+SUM(Z93:Z101)+SUM(Z274:Z285)+SUM(Z390)+SUM(Z394:Z395)+SUM(Z397)+SUM(Z423)+SUM(Z426:Z427)+SUM(Z481:Z482)</f>
        <v>44863</v>
      </c>
      <c r="AA651" s="46">
        <f t="shared" si="2309"/>
        <v>2</v>
      </c>
      <c r="AB651" s="46">
        <f t="shared" si="2309"/>
        <v>1854</v>
      </c>
      <c r="AC651" s="46">
        <f t="shared" si="2309"/>
        <v>17089</v>
      </c>
      <c r="AD651" s="46">
        <f t="shared" si="2309"/>
        <v>0</v>
      </c>
      <c r="AE651" s="43">
        <f t="shared" si="2309"/>
        <v>0</v>
      </c>
      <c r="AF651" s="95">
        <f t="shared" si="2303"/>
        <v>5</v>
      </c>
      <c r="AG651" s="109">
        <f t="shared" ref="AG651" si="2310">SUM(AG3:AG48)+SUM(AG55:AG56)+SUM(AG58:AG59)+SUM(AG62:AG63)+SUM(AG93:AG101)+SUM(AG274:AG285)+SUM(AG390)+SUM(AG394:AG395)+SUM(AG397)+SUM(AG423)+SUM(AG426:AG427)+SUM(AG481:AG482)</f>
        <v>44735</v>
      </c>
      <c r="AH651" s="47">
        <f t="shared" si="2303"/>
        <v>17923</v>
      </c>
      <c r="AI651" s="45">
        <f t="shared" si="2303"/>
        <v>0</v>
      </c>
      <c r="AJ651" s="43">
        <f t="shared" si="2303"/>
        <v>0</v>
      </c>
      <c r="AK651" s="45">
        <f t="shared" ref="AK651" si="2311">SUM(AK3:AK48)+SUM(AK55:AK56)+SUM(AK58:AK59)+SUM(AK62:AK63)+SUM(AK93:AK101)+SUM(AK274:AK285)+SUM(AK390)+SUM(AK394:AK395)+SUM(AK397)+SUM(AK423)+SUM(AK426:AK427)+SUM(AK481:AK482)</f>
        <v>0</v>
      </c>
      <c r="AL651" s="47">
        <f t="shared" si="2303"/>
        <v>0</v>
      </c>
      <c r="AM651" s="45">
        <f t="shared" si="2303"/>
        <v>0</v>
      </c>
      <c r="AN651" s="95">
        <f t="shared" si="2303"/>
        <v>0</v>
      </c>
      <c r="AO651" s="109">
        <f t="shared" ref="AO651" si="2312">SUM(AO3:AO48)+SUM(AO55:AO56)+SUM(AO58:AO59)+SUM(AO62:AO63)+SUM(AO93:AO101)+SUM(AO274:AO285)+SUM(AO390)+SUM(AO394:AO395)+SUM(AO397)+SUM(AO423)+SUM(AO426:AO427)+SUM(AO481:AO482)</f>
        <v>0</v>
      </c>
      <c r="AP651" s="47">
        <f t="shared" si="2303"/>
        <v>0</v>
      </c>
      <c r="AQ651" s="45">
        <f t="shared" ref="AQ651" si="2313">SUM(AQ3:AQ48)+SUM(AQ55:AQ56)+SUM(AQ58:AQ59)+SUM(AQ62:AQ63)+SUM(AQ93:AQ101)+SUM(AQ274:AQ285)+SUM(AQ390)+SUM(AQ394:AQ395)+SUM(AQ397)+SUM(AQ423)+SUM(AQ426:AQ427)+SUM(AQ481:AQ482)</f>
        <v>18926</v>
      </c>
      <c r="AR651" s="95">
        <f t="shared" si="2303"/>
        <v>42296</v>
      </c>
      <c r="AS651" s="109">
        <f t="shared" ref="AS651" si="2314">SUM(AS3:AS48)+SUM(AS55:AS56)+SUM(AS58:AS59)+SUM(AS62:AS63)+SUM(AS93:AS101)+SUM(AS274:AS285)+SUM(AS390)+SUM(AS394:AS395)+SUM(AS397)+SUM(AS423)+SUM(AS426:AS427)+SUM(AS481:AS482)</f>
        <v>0</v>
      </c>
      <c r="AT651" s="47">
        <f t="shared" si="2303"/>
        <v>0</v>
      </c>
      <c r="AU651" s="45">
        <f t="shared" ref="AU651" si="2315">SUM(AU3:AU48)+SUM(AU55:AU56)+SUM(AU58:AU59)+SUM(AU62:AU63)+SUM(AU93:AU101)+SUM(AU274:AU285)+SUM(AU390)+SUM(AU394:AU395)+SUM(AU397)+SUM(AU423)+SUM(AU426:AU427)+SUM(AU481:AU482)</f>
        <v>0</v>
      </c>
      <c r="AV651" s="109">
        <f t="shared" ref="AV651" si="2316">SUM(AV3:AV48)+SUM(AV55:AV56)+SUM(AV58:AV59)+SUM(AV62:AV63)+SUM(AV93:AV101)+SUM(AV274:AV285)+SUM(AV390)+SUM(AV394:AV395)+SUM(AV397)+SUM(AV423)+SUM(AV426:AV427)+SUM(AV481:AV482)</f>
        <v>0</v>
      </c>
      <c r="AW651" s="109">
        <f t="shared" si="2303"/>
        <v>0</v>
      </c>
      <c r="AX651" s="45">
        <f t="shared" ref="AX651" si="2317">SUM(AX3:AX48)+SUM(AX55:AX56)+SUM(AX58:AX59)+SUM(AX62:AX63)+SUM(AX93:AX101)+SUM(AX274:AX285)+SUM(AX390)+SUM(AX394:AX395)+SUM(AX397)+SUM(AX423)+SUM(AX426:AX427)+SUM(AX481:AX482)</f>
        <v>0</v>
      </c>
      <c r="AY651" s="47">
        <f t="shared" si="2303"/>
        <v>0</v>
      </c>
      <c r="AZ651" s="45">
        <f t="shared" si="2303"/>
        <v>0</v>
      </c>
      <c r="BA651" s="95">
        <f t="shared" si="2303"/>
        <v>0</v>
      </c>
      <c r="BB651" s="45">
        <f t="shared" ref="BB651" si="2318">SUM(BB3:BB48)+SUM(BB55:BB56)+SUM(BB58:BB59)+SUM(BB62:BB63)+SUM(BB93:BB101)+SUM(BB274:BB285)+SUM(BB390)+SUM(BB394:BB395)+SUM(BB397)+SUM(BB423)+SUM(BB426:BB427)+SUM(BB481:BB482)</f>
        <v>19601</v>
      </c>
      <c r="BC651" s="47">
        <f>SUM(BC3:BC48)+SUM(BC55:BC56)+SUM(BC58:BC59)+SUM(BC62:BC63)+SUM(BC93:BC101)+SUM(BC274:BC285)+SUM(BC390)+SUM(BC394:BC395)+SUM(BC397)+SUM(BC423)+SUM(BC426:BC427)+SUM(BC481:BC482)</f>
        <v>41348</v>
      </c>
      <c r="BD651" s="45">
        <f t="shared" ref="BD651" si="2319">SUM(BD3:BD48)+SUM(BD55:BD56)+SUM(BD58:BD59)+SUM(BD62:BD63)+SUM(BD93:BD101)+SUM(BD274:BD285)+SUM(BD390)+SUM(BD394:BD395)+SUM(BD397)+SUM(BD423)+SUM(BD426:BD427)+SUM(BD481:BD482)</f>
        <v>18807</v>
      </c>
      <c r="BE651" s="95">
        <f>SUM(BE3:BE48)+SUM(BE55:BE56)+SUM(BE58:BE59)+SUM(BE62:BE63)+SUM(BE93:BE101)+SUM(BE274:BE285)+SUM(BE390)+SUM(BE394:BE395)+SUM(BE397)+SUM(BE423)+SUM(BE426:BE427)+SUM(BE481:BE482)</f>
        <v>41981</v>
      </c>
      <c r="BF651" s="109">
        <f t="shared" ref="BF651" si="2320">SUM(BF3:BF48)+SUM(BF55:BF56)+SUM(BF58:BF59)+SUM(BF62:BF63)+SUM(BF93:BF101)+SUM(BF274:BF285)+SUM(BF390)+SUM(BF394:BF395)+SUM(BF397)+SUM(BF423)+SUM(BF426:BF427)+SUM(BF481:BF482)</f>
        <v>41532</v>
      </c>
      <c r="BG651" s="47">
        <f>SUM(BG3:BG48)+SUM(BG55:BG56)+SUM(BG58:BG59)+SUM(BG62:BG63)+SUM(BG93:BG101)+SUM(BG274:BG285)+SUM(BG390)+SUM(BG394:BG395)+SUM(BG397)+SUM(BG423)+SUM(BG426:BG427)+SUM(BG481:BG482)</f>
        <v>19024</v>
      </c>
      <c r="BH651" s="45">
        <f t="shared" ref="BH651" si="2321">SUM(BH3:BH48)+SUM(BH55:BH56)+SUM(BH58:BH59)+SUM(BH62:BH63)+SUM(BH93:BH101)+SUM(BH274:BH285)+SUM(BH390)+SUM(BH394:BH395)+SUM(BH397)+SUM(BH423)+SUM(BH426:BH427)+SUM(BH481:BH482)</f>
        <v>20737</v>
      </c>
      <c r="BI651" s="47">
        <f>SUM(BI3:BI48)+SUM(BI55:BI56)+SUM(BI58:BI59)+SUM(BI62:BI63)+SUM(BI93:BI101)+SUM(BI274:BI285)+SUM(BI390)+SUM(BI394:BI395)+SUM(BI397)+SUM(BI423)+SUM(BI426:BI427)+SUM(BI481:BI482)</f>
        <v>39941</v>
      </c>
      <c r="BJ651" s="109">
        <f t="shared" ref="BJ651:BK651" si="2322">SUM(BJ3:BJ48)+SUM(BJ55:BJ56)+SUM(BJ58:BJ59)+SUM(BJ62:BJ63)+SUM(BJ93:BJ101)+SUM(BJ274:BJ285)+SUM(BJ390)+SUM(BJ394:BJ395)+SUM(BJ397)+SUM(BJ423)+SUM(BJ426:BJ427)+SUM(BJ481:BJ482)</f>
        <v>2738</v>
      </c>
      <c r="BK651" s="43">
        <f t="shared" si="2322"/>
        <v>17416</v>
      </c>
      <c r="BL651" s="95">
        <f t="shared" si="2303"/>
        <v>41267</v>
      </c>
      <c r="BM651" s="109">
        <f t="shared" ref="BM651:BN651" si="2323">SUM(BM3:BM48)+SUM(BM55:BM56)+SUM(BM58:BM59)+SUM(BM62:BM63)+SUM(BM93:BM101)+SUM(BM274:BM285)+SUM(BM390)+SUM(BM394:BM395)+SUM(BM397)+SUM(BM423)+SUM(BM426:BM427)+SUM(BM481:BM482)</f>
        <v>41997</v>
      </c>
      <c r="BN651" s="46">
        <f t="shared" si="2323"/>
        <v>17134</v>
      </c>
      <c r="BO651" s="47">
        <f t="shared" si="2303"/>
        <v>2164</v>
      </c>
      <c r="BP651" s="45">
        <f t="shared" ref="BP651" si="2324">SUM(BP3:BP48)+SUM(BP55:BP56)+SUM(BP58:BP59)+SUM(BP62:BP63)+SUM(BP93:BP101)+SUM(BP274:BP285)+SUM(BP390)+SUM(BP394:BP395)+SUM(BP397)+SUM(BP423)+SUM(BP426:BP427)+SUM(BP481:BP482)</f>
        <v>19623</v>
      </c>
      <c r="BQ651" s="47">
        <f t="shared" ref="BQ651" si="2325">SUM(BQ3:BQ48)+SUM(BQ55:BQ56)+SUM(BQ58:BQ59)+SUM(BQ62:BQ63)+SUM(BQ93:BQ101)+SUM(BQ274:BQ285)+SUM(BQ390)+SUM(BQ394:BQ395)+SUM(BQ397)+SUM(BQ423)+SUM(BQ426:BQ427)+SUM(BQ481:BQ482)</f>
        <v>41220</v>
      </c>
      <c r="BR651" s="45">
        <f t="shared" ref="BR651" si="2326">SUM(BR3:BR48)+SUM(BR55:BR56)+SUM(BR58:BR59)+SUM(BR62:BR63)+SUM(BR93:BR101)+SUM(BR274:BR285)+SUM(BR390)+SUM(BR394:BR395)+SUM(BR397)+SUM(BR423)+SUM(BR426:BR427)+SUM(BR481:BR482)</f>
        <v>39165</v>
      </c>
      <c r="BS651" s="47">
        <f t="shared" si="2303"/>
        <v>22261</v>
      </c>
      <c r="BT651" s="45">
        <f t="shared" ref="BT651:BU651" si="2327">SUM(BT3:BT48)+SUM(BT55:BT56)+SUM(BT58:BT59)+SUM(BT62:BT63)+SUM(BT93:BT101)+SUM(BT274:BT285)+SUM(BT390)+SUM(BT394:BT395)+SUM(BT397)+SUM(BT423)+SUM(BT426:BT427)+SUM(BT481:BT482)</f>
        <v>17622</v>
      </c>
      <c r="BU651" s="43">
        <f t="shared" si="2327"/>
        <v>2618</v>
      </c>
      <c r="BV651" s="95">
        <f t="shared" si="2303"/>
        <v>40427</v>
      </c>
      <c r="BW651" s="109">
        <f t="shared" ref="BW651" si="2328">SUM(BW3:BW48)+SUM(BW55:BW56)+SUM(BW58:BW59)+SUM(BW62:BW63)+SUM(BW93:BW101)+SUM(BW274:BW285)+SUM(BW390)+SUM(BW394:BW395)+SUM(BW397)+SUM(BW423)+SUM(BW426:BW427)+SUM(BW481:BW482)</f>
        <v>42719</v>
      </c>
      <c r="BX651" s="47">
        <f t="shared" si="2303"/>
        <v>19312</v>
      </c>
      <c r="BY651" s="45">
        <f t="shared" ref="BY651" si="2329">SUM(BY3:BY48)+SUM(BY55:BY56)+SUM(BY58:BY59)+SUM(BY62:BY63)+SUM(BY93:BY101)+SUM(BY274:BY285)+SUM(BY390)+SUM(BY394:BY395)+SUM(BY397)+SUM(BY423)+SUM(BY426:BY427)+SUM(BY481:BY482)</f>
        <v>41912</v>
      </c>
      <c r="BZ651" s="95">
        <f t="shared" si="2303"/>
        <v>17981</v>
      </c>
      <c r="CA651" s="109">
        <f t="shared" ref="CA651" si="2330">SUM(CA3:CA48)+SUM(CA55:CA56)+SUM(CA58:CA59)+SUM(CA62:CA63)+SUM(CA93:CA101)+SUM(CA274:CA285)+SUM(CA390)+SUM(CA394:CA395)+SUM(CA397)+SUM(CA423)+SUM(CA426:CA427)+SUM(CA481:CA482)</f>
        <v>18554</v>
      </c>
      <c r="CB651" s="47">
        <f t="shared" si="2303"/>
        <v>42074</v>
      </c>
      <c r="CC651" s="47">
        <f t="shared" si="2303"/>
        <v>33238</v>
      </c>
      <c r="CD651" s="44">
        <f t="shared" si="2303"/>
        <v>49816</v>
      </c>
      <c r="CE651" s="109">
        <f t="shared" ref="CE651" si="2331">SUM(CE3:CE48)+SUM(CE55:CE56)+SUM(CE58:CE59)+SUM(CE62:CE63)+SUM(CE93:CE101)+SUM(CE274:CE285)+SUM(CE390)+SUM(CE394:CE395)+SUM(CE397)+SUM(CE423)+SUM(CE426:CE427)+SUM(CE481:CE482)</f>
        <v>22441</v>
      </c>
      <c r="CF651" s="43">
        <f>SUM(CF3:CF48)+SUM(CF55:CF56)+SUM(CF58:CF59)+SUM(CF62:CF63)+SUM(CF93:CF101)+SUM(CF274:CF285)+SUM(CF390)+SUM(CF394:CF395)+SUM(CF397)+SUM(CF423)+SUM(CF426:CF427)+SUM(CF481:CF482)</f>
        <v>29276</v>
      </c>
      <c r="CG651" s="45">
        <f>SUM(CG3:CG48)+SUM(CG55:CG56)+SUM(CG58:CG59)+SUM(CG62:CG63)+SUM(CG93:CG101)+SUM(CG274:CG285)+SUM(CG390)+SUM(CG394:CG395)+SUM(CG397)+SUM(CG423)+SUM(CG426:CG427)+SUM(CG481:CG482)</f>
        <v>14850</v>
      </c>
      <c r="CH651" s="46">
        <f t="shared" ref="CH651:CJ651" si="2332">SUM(CH3:CH48)+SUM(CH55:CH56)+SUM(CH58:CH59)+SUM(CH62:CH63)+SUM(CH93:CH101)+SUM(CH274:CH285)+SUM(CH390)+SUM(CH394:CH395)+SUM(CH397)+SUM(CH423)+SUM(CH426:CH427)+SUM(CH481:CH482)</f>
        <v>9746</v>
      </c>
      <c r="CI651" s="46">
        <f t="shared" si="2332"/>
        <v>25608</v>
      </c>
      <c r="CJ651" s="46">
        <f t="shared" si="2332"/>
        <v>28901</v>
      </c>
      <c r="CK651" s="95">
        <f>SUM(CK3:CK48)+SUM(CK55:CK56)+SUM(CK58:CK59)+SUM(CK62:CK63)+SUM(CK93:CK101)+SUM(CK274:CK285)+SUM(CK390)+SUM(CK394:CK395)+SUM(CK397)+SUM(CK423)+SUM(CK426:CK427)+SUM(CK481:CK482)</f>
        <v>17616</v>
      </c>
    </row>
    <row r="652" spans="1:89" ht="13" x14ac:dyDescent="0.25">
      <c r="A652" s="91"/>
      <c r="B652" s="96" t="s">
        <v>674</v>
      </c>
      <c r="C652" s="88">
        <f>SUM(C232:C237)+SUM(C245:C253)+SUM(C286:C293)+SUM(C309:C349)+SUM(C389)+SUM(C391:C393)+SUM(C396)+SUM(C477:C480)+SUM(C495:C496)+SUM(C501:C506)+SUM(C508)+SUM(C510)+SUM(C513)+SUM(C517:C519)+SUM(C521:C522)+SUM(C524:C527)+SUM(C529)+SUM(C532)+SUM(C546)+SUM(C558:C559)+SUM(C563:C564)</f>
        <v>98010</v>
      </c>
      <c r="D652" s="88">
        <f>SUM(D232:D237)+SUM(D245:D253)+SUM(D286:D293)+SUM(D309:D349)+SUM(D389)+SUM(D391:D393)+SUM(D396)+SUM(D477:D480)+SUM(D495:D496)+SUM(D501:D506)+SUM(D508)+SUM(D510)+SUM(D513)+SUM(D517:D519)+SUM(D521:D522)+SUM(D524:D527)+SUM(D529)+SUM(D532)+SUM(D546)+SUM(D558:D559)+SUM(D563:D564)</f>
        <v>75641</v>
      </c>
      <c r="E652" s="89">
        <v>0.58752756551618035</v>
      </c>
      <c r="F652" s="45">
        <f t="shared" ref="F652:CD652" si="2333">SUM(F232:F237)+SUM(F245:F253)+SUM(F286:F293)+SUM(F309:F349)+SUM(F389)+SUM(F391:F393)+SUM(F396)+SUM(F477:F480)+SUM(F495:F496)+SUM(F501:F506)+SUM(F508)+SUM(F510)+SUM(F513)+SUM(F517:F519)+SUM(F521:F522)+SUM(F524:F527)+SUM(F529)+SUM(F532)+SUM(F546)+SUM(F558:F559)+SUM(F563:F564)</f>
        <v>0</v>
      </c>
      <c r="G652" s="109">
        <f t="shared" ref="G652" si="2334">SUM(G232:G237)+SUM(G245:G253)+SUM(G286:G293)+SUM(G309:G349)+SUM(G389)+SUM(G391:G393)+SUM(G396)+SUM(G477:G480)+SUM(G495:G496)+SUM(G501:G506)+SUM(G508)+SUM(G510)+SUM(G513)+SUM(G517:G519)+SUM(G521:G522)+SUM(G524:G527)+SUM(G529)+SUM(G532)+SUM(G546)+SUM(G558:G559)+SUM(G563:G564)</f>
        <v>0</v>
      </c>
      <c r="H652" s="109">
        <f t="shared" ref="H652:Q652" si="2335">SUM(H232:H237)+SUM(H245:H253)+SUM(H286:H293)+SUM(H309:H349)+SUM(H389)+SUM(H391:H393)+SUM(H396)+SUM(H477:H480)+SUM(H495:H496)+SUM(H501:H506)+SUM(H508)+SUM(H510)+SUM(H513)+SUM(H517:H519)+SUM(H521:H522)+SUM(H524:H527)+SUM(H529)+SUM(H532)+SUM(H546)+SUM(H558:H559)+SUM(H563:H564)</f>
        <v>1</v>
      </c>
      <c r="I652" s="109">
        <f t="shared" si="2335"/>
        <v>19</v>
      </c>
      <c r="J652" s="109">
        <f t="shared" ref="J652:K652" si="2336">SUM(J232:J237)+SUM(J245:J253)+SUM(J286:J293)+SUM(J309:J349)+SUM(J389)+SUM(J391:J393)+SUM(J396)+SUM(J477:J480)+SUM(J495:J496)+SUM(J501:J506)+SUM(J508)+SUM(J510)+SUM(J513)+SUM(J517:J519)+SUM(J521:J522)+SUM(J524:J527)+SUM(J529)+SUM(J532)+SUM(J546)+SUM(J558:J559)+SUM(J563:J564)</f>
        <v>153</v>
      </c>
      <c r="K652" s="109">
        <f t="shared" si="2336"/>
        <v>0</v>
      </c>
      <c r="L652" s="109">
        <f t="shared" si="2335"/>
        <v>0</v>
      </c>
      <c r="M652" s="109">
        <f t="shared" si="2335"/>
        <v>41439</v>
      </c>
      <c r="N652" s="109">
        <f t="shared" si="2335"/>
        <v>0</v>
      </c>
      <c r="O652" s="109">
        <f t="shared" si="2335"/>
        <v>0</v>
      </c>
      <c r="P652" s="46">
        <f t="shared" si="2335"/>
        <v>489</v>
      </c>
      <c r="Q652" s="46">
        <f t="shared" si="2335"/>
        <v>134</v>
      </c>
      <c r="R652" s="46">
        <f t="shared" ref="R652" si="2337">SUM(R232:R237)+SUM(R245:R253)+SUM(R286:R293)+SUM(R309:R349)+SUM(R389)+SUM(R391:R393)+SUM(R396)+SUM(R477:R480)+SUM(R495:R496)+SUM(R501:R506)+SUM(R508)+SUM(R510)+SUM(R513)+SUM(R517:R519)+SUM(R521:R522)+SUM(R524:R527)+SUM(R529)+SUM(R532)+SUM(R546)+SUM(R558:R559)+SUM(R563:R564)</f>
        <v>32179</v>
      </c>
      <c r="S652" s="47">
        <f t="shared" si="2333"/>
        <v>8</v>
      </c>
      <c r="T652" s="45">
        <f>SUM(T232:T237)+SUM(T245:T253)+SUM(T286:T293)+SUM(T309:T349)+SUM(T389)+SUM(T391:T393)+SUM(T396)+SUM(T477:T480)+SUM(T495:T496)+SUM(T501:T506)+SUM(T508)+SUM(T510)+SUM(T513)+SUM(T517:T519)+SUM(T521:T522)+SUM(T524:T527)+SUM(T529)+SUM(T532)+SUM(T546)+SUM(T558:T559)+SUM(T563:T564)</f>
        <v>38699</v>
      </c>
      <c r="U652" s="47">
        <f t="shared" ref="U652:V652" si="2338">SUM(U232:U237)+SUM(U245:U253)+SUM(U286:U293)+SUM(U309:U349)+SUM(U389)+SUM(U391:U393)+SUM(U396)+SUM(U477:U480)+SUM(U495:U496)+SUM(U501:U506)+SUM(U508)+SUM(U510)+SUM(U513)+SUM(U517:U519)+SUM(U521:U522)+SUM(U524:U527)+SUM(U529)+SUM(U532)+SUM(U546)+SUM(U558:U559)+SUM(U563:U564)</f>
        <v>34197</v>
      </c>
      <c r="V652" s="45">
        <f t="shared" si="2338"/>
        <v>35661</v>
      </c>
      <c r="W652" s="47">
        <f>SUM(W232:W237)+SUM(W245:W253)+SUM(W286:W293)+SUM(W309:W349)+SUM(W389)+SUM(W391:W393)+SUM(W396)+SUM(W477:W480)+SUM(W495:W496)+SUM(W501:W506)+SUM(W508)+SUM(W510)+SUM(W513)+SUM(W517:W519)+SUM(W521:W522)+SUM(W524:W527)+SUM(W529)+SUM(W532)+SUM(W546)+SUM(W558:W559)+SUM(W563:W564)</f>
        <v>37619</v>
      </c>
      <c r="X652" s="45">
        <f>SUM(X232:X237)+SUM(X245:X253)+SUM(X286:X293)+SUM(X309:X349)+SUM(X389)+SUM(X391:X393)+SUM(X396)+SUM(X477:X480)+SUM(X495:X496)+SUM(X501:X506)+SUM(X508)+SUM(X510)+SUM(X513)+SUM(X517:X519)+SUM(X521:X522)+SUM(X524:X527)+SUM(X529)+SUM(X532)+SUM(X546)+SUM(X558:X559)+SUM(X563:X564)</f>
        <v>39148</v>
      </c>
      <c r="Y652" s="47">
        <f>SUM(Y232:Y237)+SUM(Y245:Y253)+SUM(Y286:Y293)+SUM(Y309:Y349)+SUM(Y389)+SUM(Y391:Y393)+SUM(Y396)+SUM(Y477:Y480)+SUM(Y495:Y496)+SUM(Y501:Y506)+SUM(Y508)+SUM(Y510)+SUM(Y513)+SUM(Y517:Y519)+SUM(Y521:Y522)+SUM(Y524:Y527)+SUM(Y529)+SUM(Y532)+SUM(Y546)+SUM(Y558:Y559)+SUM(Y563:Y564)</f>
        <v>32681</v>
      </c>
      <c r="Z652" s="109">
        <f t="shared" ref="Z652:AE652" si="2339">SUM(Z232:Z237)+SUM(Z245:Z253)+SUM(Z286:Z293)+SUM(Z309:Z349)+SUM(Z389)+SUM(Z391:Z393)+SUM(Z396)+SUM(Z477:Z480)+SUM(Z495:Z496)+SUM(Z501:Z506)+SUM(Z508)+SUM(Z510)+SUM(Z513)+SUM(Z517:Z519)+SUM(Z521:Z522)+SUM(Z524:Z527)+SUM(Z529)+SUM(Z532)+SUM(Z546)+SUM(Z558:Z559)+SUM(Z563:Z564)</f>
        <v>41806</v>
      </c>
      <c r="AA652" s="46">
        <f t="shared" si="2339"/>
        <v>0</v>
      </c>
      <c r="AB652" s="46">
        <f t="shared" si="2339"/>
        <v>2204</v>
      </c>
      <c r="AC652" s="46">
        <f t="shared" si="2339"/>
        <v>30138</v>
      </c>
      <c r="AD652" s="46">
        <f t="shared" si="2339"/>
        <v>0</v>
      </c>
      <c r="AE652" s="43">
        <f t="shared" si="2339"/>
        <v>0</v>
      </c>
      <c r="AF652" s="95">
        <f t="shared" si="2333"/>
        <v>4</v>
      </c>
      <c r="AG652" s="109">
        <f t="shared" ref="AG652" si="2340">SUM(AG232:AG237)+SUM(AG245:AG253)+SUM(AG286:AG293)+SUM(AG309:AG349)+SUM(AG389)+SUM(AG391:AG393)+SUM(AG396)+SUM(AG477:AG480)+SUM(AG495:AG496)+SUM(AG501:AG506)+SUM(AG508)+SUM(AG510)+SUM(AG513)+SUM(AG517:AG519)+SUM(AG521:AG522)+SUM(AG524:AG527)+SUM(AG529)+SUM(AG532)+SUM(AG546)+SUM(AG558:AG559)+SUM(AG563:AG564)</f>
        <v>27423</v>
      </c>
      <c r="AH652" s="47">
        <f t="shared" si="2333"/>
        <v>25061</v>
      </c>
      <c r="AI652" s="45">
        <f t="shared" si="2333"/>
        <v>6163</v>
      </c>
      <c r="AJ652" s="43">
        <f t="shared" si="2333"/>
        <v>13976</v>
      </c>
      <c r="AK652" s="45">
        <f t="shared" ref="AK652" si="2341">SUM(AK232:AK237)+SUM(AK245:AK253)+SUM(AK286:AK293)+SUM(AK309:AK349)+SUM(AK389)+SUM(AK391:AK393)+SUM(AK396)+SUM(AK477:AK480)+SUM(AK495:AK496)+SUM(AK501:AK506)+SUM(AK508)+SUM(AK510)+SUM(AK513)+SUM(AK517:AK519)+SUM(AK521:AK522)+SUM(AK524:AK527)+SUM(AK529)+SUM(AK532)+SUM(AK546)+SUM(AK558:AK559)+SUM(AK563:AK564)</f>
        <v>32897</v>
      </c>
      <c r="AL652" s="47">
        <f t="shared" si="2333"/>
        <v>38746</v>
      </c>
      <c r="AM652" s="45">
        <f t="shared" si="2333"/>
        <v>0</v>
      </c>
      <c r="AN652" s="95">
        <f t="shared" si="2333"/>
        <v>0</v>
      </c>
      <c r="AO652" s="109">
        <f t="shared" ref="AO652" si="2342">SUM(AO232:AO237)+SUM(AO245:AO253)+SUM(AO286:AO293)+SUM(AO309:AO349)+SUM(AO389)+SUM(AO391:AO393)+SUM(AO396)+SUM(AO477:AO480)+SUM(AO495:AO496)+SUM(AO501:AO506)+SUM(AO508)+SUM(AO510)+SUM(AO513)+SUM(AO517:AO519)+SUM(AO521:AO522)+SUM(AO524:AO527)+SUM(AO529)+SUM(AO532)+SUM(AO546)+SUM(AO558:AO559)+SUM(AO563:AO564)</f>
        <v>0</v>
      </c>
      <c r="AP652" s="47">
        <f t="shared" si="2333"/>
        <v>0</v>
      </c>
      <c r="AQ652" s="45">
        <f t="shared" ref="AQ652" si="2343">SUM(AQ232:AQ237)+SUM(AQ245:AQ253)+SUM(AQ286:AQ293)+SUM(AQ309:AQ349)+SUM(AQ389)+SUM(AQ391:AQ393)+SUM(AQ396)+SUM(AQ477:AQ480)+SUM(AQ495:AQ496)+SUM(AQ501:AQ506)+SUM(AQ508)+SUM(AQ510)+SUM(AQ513)+SUM(AQ517:AQ519)+SUM(AQ521:AQ522)+SUM(AQ524:AQ527)+SUM(AQ529)+SUM(AQ532)+SUM(AQ546)+SUM(AQ558:AQ559)+SUM(AQ563:AQ564)</f>
        <v>0</v>
      </c>
      <c r="AR652" s="95">
        <f t="shared" si="2333"/>
        <v>0</v>
      </c>
      <c r="AS652" s="109">
        <f t="shared" ref="AS652" si="2344">SUM(AS232:AS237)+SUM(AS245:AS253)+SUM(AS286:AS293)+SUM(AS309:AS349)+SUM(AS389)+SUM(AS391:AS393)+SUM(AS396)+SUM(AS477:AS480)+SUM(AS495:AS496)+SUM(AS501:AS506)+SUM(AS508)+SUM(AS510)+SUM(AS513)+SUM(AS517:AS519)+SUM(AS521:AS522)+SUM(AS524:AS527)+SUM(AS529)+SUM(AS532)+SUM(AS546)+SUM(AS558:AS559)+SUM(AS563:AS564)</f>
        <v>39483</v>
      </c>
      <c r="AT652" s="47">
        <f t="shared" si="2333"/>
        <v>31331</v>
      </c>
      <c r="AU652" s="45">
        <f t="shared" ref="AU652" si="2345">SUM(AU232:AU237)+SUM(AU245:AU253)+SUM(AU286:AU293)+SUM(AU309:AU349)+SUM(AU389)+SUM(AU391:AU393)+SUM(AU396)+SUM(AU477:AU480)+SUM(AU495:AU496)+SUM(AU501:AU506)+SUM(AU508)+SUM(AU510)+SUM(AU513)+SUM(AU517:AU519)+SUM(AU521:AU522)+SUM(AU524:AU527)+SUM(AU529)+SUM(AU532)+SUM(AU546)+SUM(AU558:AU559)+SUM(AU563:AU564)</f>
        <v>0</v>
      </c>
      <c r="AV652" s="109">
        <f t="shared" ref="AV652" si="2346">SUM(AV232:AV237)+SUM(AV245:AV253)+SUM(AV286:AV293)+SUM(AV309:AV349)+SUM(AV389)+SUM(AV391:AV393)+SUM(AV396)+SUM(AV477:AV480)+SUM(AV495:AV496)+SUM(AV501:AV506)+SUM(AV508)+SUM(AV510)+SUM(AV513)+SUM(AV517:AV519)+SUM(AV521:AV522)+SUM(AV524:AV527)+SUM(AV529)+SUM(AV532)+SUM(AV546)+SUM(AV558:AV559)+SUM(AV563:AV564)</f>
        <v>0</v>
      </c>
      <c r="AW652" s="109">
        <f t="shared" si="2333"/>
        <v>0</v>
      </c>
      <c r="AX652" s="45">
        <f t="shared" ref="AX652" si="2347">SUM(AX232:AX237)+SUM(AX245:AX253)+SUM(AX286:AX293)+SUM(AX309:AX349)+SUM(AX389)+SUM(AX391:AX393)+SUM(AX396)+SUM(AX477:AX480)+SUM(AX495:AX496)+SUM(AX501:AX506)+SUM(AX508)+SUM(AX510)+SUM(AX513)+SUM(AX517:AX519)+SUM(AX521:AX522)+SUM(AX524:AX527)+SUM(AX529)+SUM(AX532)+SUM(AX546)+SUM(AX558:AX559)+SUM(AX563:AX564)</f>
        <v>373</v>
      </c>
      <c r="AY652" s="47">
        <f t="shared" si="2333"/>
        <v>544</v>
      </c>
      <c r="AZ652" s="45">
        <f t="shared" si="2333"/>
        <v>0</v>
      </c>
      <c r="BA652" s="95">
        <f t="shared" si="2333"/>
        <v>0</v>
      </c>
      <c r="BB652" s="45">
        <f t="shared" ref="BB652" si="2348">SUM(BB232:BB237)+SUM(BB245:BB253)+SUM(BB286:BB293)+SUM(BB309:BB349)+SUM(BB389)+SUM(BB391:BB393)+SUM(BB396)+SUM(BB477:BB480)+SUM(BB495:BB496)+SUM(BB501:BB506)+SUM(BB508)+SUM(BB510)+SUM(BB513)+SUM(BB517:BB519)+SUM(BB521:BB522)+SUM(BB524:BB527)+SUM(BB529)+SUM(BB532)+SUM(BB546)+SUM(BB558:BB559)+SUM(BB563:BB564)</f>
        <v>33682</v>
      </c>
      <c r="BC652" s="47">
        <f>SUM(BC232:BC237)+SUM(BC245:BC253)+SUM(BC286:BC293)+SUM(BC309:BC349)+SUM(BC389)+SUM(BC391:BC393)+SUM(BC396)+SUM(BC477:BC480)+SUM(BC495:BC496)+SUM(BC501:BC506)+SUM(BC508)+SUM(BC510)+SUM(BC513)+SUM(BC517:BC519)+SUM(BC521:BC522)+SUM(BC524:BC527)+SUM(BC529)+SUM(BC532)+SUM(BC546)+SUM(BC558:BC559)+SUM(BC563:BC564)</f>
        <v>37062</v>
      </c>
      <c r="BD652" s="45">
        <f t="shared" ref="BD652" si="2349">SUM(BD232:BD237)+SUM(BD245:BD253)+SUM(BD286:BD293)+SUM(BD309:BD349)+SUM(BD389)+SUM(BD391:BD393)+SUM(BD396)+SUM(BD477:BD480)+SUM(BD495:BD496)+SUM(BD501:BD506)+SUM(BD508)+SUM(BD510)+SUM(BD513)+SUM(BD517:BD519)+SUM(BD521:BD522)+SUM(BD524:BD527)+SUM(BD529)+SUM(BD532)+SUM(BD546)+SUM(BD558:BD559)+SUM(BD563:BD564)</f>
        <v>32616</v>
      </c>
      <c r="BE652" s="95">
        <f>SUM(BE232:BE237)+SUM(BE245:BE253)+SUM(BE286:BE293)+SUM(BE309:BE349)+SUM(BE389)+SUM(BE391:BE393)+SUM(BE396)+SUM(BE477:BE480)+SUM(BE495:BE496)+SUM(BE501:BE506)+SUM(BE508)+SUM(BE510)+SUM(BE513)+SUM(BE517:BE519)+SUM(BE521:BE522)+SUM(BE524:BE527)+SUM(BE529)+SUM(BE532)+SUM(BE546)+SUM(BE558:BE559)+SUM(BE563:BE564)</f>
        <v>37949</v>
      </c>
      <c r="BF652" s="109">
        <f t="shared" ref="BF652" si="2350">SUM(BF232:BF237)+SUM(BF245:BF253)+SUM(BF286:BF293)+SUM(BF309:BF349)+SUM(BF389)+SUM(BF391:BF393)+SUM(BF396)+SUM(BF477:BF480)+SUM(BF495:BF496)+SUM(BF501:BF506)+SUM(BF508)+SUM(BF510)+SUM(BF513)+SUM(BF517:BF519)+SUM(BF521:BF522)+SUM(BF524:BF527)+SUM(BF529)+SUM(BF532)+SUM(BF546)+SUM(BF558:BF559)+SUM(BF563:BF564)</f>
        <v>37422</v>
      </c>
      <c r="BG652" s="47">
        <f>SUM(BG232:BG237)+SUM(BG245:BG253)+SUM(BG286:BG293)+SUM(BG309:BG349)+SUM(BG389)+SUM(BG391:BG393)+SUM(BG396)+SUM(BG477:BG480)+SUM(BG495:BG496)+SUM(BG501:BG506)+SUM(BG508)+SUM(BG510)+SUM(BG513)+SUM(BG517:BG519)+SUM(BG521:BG522)+SUM(BG524:BG527)+SUM(BG529)+SUM(BG532)+SUM(BG546)+SUM(BG558:BG559)+SUM(BG563:BG564)</f>
        <v>32675</v>
      </c>
      <c r="BH652" s="45">
        <f t="shared" ref="BH652" si="2351">SUM(BH232:BH237)+SUM(BH245:BH253)+SUM(BH286:BH293)+SUM(BH309:BH349)+SUM(BH389)+SUM(BH391:BH393)+SUM(BH396)+SUM(BH477:BH480)+SUM(BH495:BH496)+SUM(BH501:BH506)+SUM(BH508)+SUM(BH510)+SUM(BH513)+SUM(BH517:BH519)+SUM(BH521:BH522)+SUM(BH524:BH527)+SUM(BH529)+SUM(BH532)+SUM(BH546)+SUM(BH558:BH559)+SUM(BH563:BH564)</f>
        <v>35390</v>
      </c>
      <c r="BI652" s="47">
        <f>SUM(BI232:BI237)+SUM(BI245:BI253)+SUM(BI286:BI293)+SUM(BI309:BI349)+SUM(BI389)+SUM(BI391:BI393)+SUM(BI396)+SUM(BI477:BI480)+SUM(BI495:BI496)+SUM(BI501:BI506)+SUM(BI508)+SUM(BI510)+SUM(BI513)+SUM(BI517:BI519)+SUM(BI521:BI522)+SUM(BI524:BI527)+SUM(BI529)+SUM(BI532)+SUM(BI546)+SUM(BI558:BI559)+SUM(BI563:BI564)</f>
        <v>35528</v>
      </c>
      <c r="BJ652" s="109">
        <f t="shared" ref="BJ652:BK652" si="2352">SUM(BJ232:BJ237)+SUM(BJ245:BJ253)+SUM(BJ286:BJ293)+SUM(BJ309:BJ349)+SUM(BJ389)+SUM(BJ391:BJ393)+SUM(BJ396)+SUM(BJ477:BJ480)+SUM(BJ495:BJ496)+SUM(BJ501:BJ506)+SUM(BJ508)+SUM(BJ510)+SUM(BJ513)+SUM(BJ517:BJ519)+SUM(BJ521:BJ522)+SUM(BJ524:BJ527)+SUM(BJ529)+SUM(BJ532)+SUM(BJ546)+SUM(BJ558:BJ559)+SUM(BJ563:BJ564)</f>
        <v>3173</v>
      </c>
      <c r="BK652" s="43">
        <f t="shared" si="2352"/>
        <v>30629</v>
      </c>
      <c r="BL652" s="95">
        <f t="shared" si="2333"/>
        <v>37452</v>
      </c>
      <c r="BM652" s="109">
        <f t="shared" ref="BM652:BN652" si="2353">SUM(BM232:BM237)+SUM(BM245:BM253)+SUM(BM286:BM293)+SUM(BM309:BM349)+SUM(BM389)+SUM(BM391:BM393)+SUM(BM396)+SUM(BM477:BM480)+SUM(BM495:BM496)+SUM(BM501:BM506)+SUM(BM508)+SUM(BM510)+SUM(BM513)+SUM(BM517:BM519)+SUM(BM521:BM522)+SUM(BM524:BM527)+SUM(BM529)+SUM(BM532)+SUM(BM546)+SUM(BM558:BM559)+SUM(BM563:BM564)</f>
        <v>38714</v>
      </c>
      <c r="BN652" s="46">
        <f t="shared" si="2353"/>
        <v>30159</v>
      </c>
      <c r="BO652" s="47">
        <f t="shared" si="2333"/>
        <v>2356</v>
      </c>
      <c r="BP652" s="45">
        <f t="shared" ref="BP652" si="2354">SUM(BP232:BP237)+SUM(BP245:BP253)+SUM(BP286:BP293)+SUM(BP309:BP349)+SUM(BP389)+SUM(BP391:BP393)+SUM(BP396)+SUM(BP477:BP480)+SUM(BP495:BP496)+SUM(BP501:BP506)+SUM(BP508)+SUM(BP510)+SUM(BP513)+SUM(BP517:BP519)+SUM(BP521:BP522)+SUM(BP524:BP527)+SUM(BP529)+SUM(BP532)+SUM(BP546)+SUM(BP558:BP559)+SUM(BP563:BP564)</f>
        <v>33646</v>
      </c>
      <c r="BQ652" s="47">
        <f t="shared" ref="BQ652" si="2355">SUM(BQ232:BQ237)+SUM(BQ245:BQ253)+SUM(BQ286:BQ293)+SUM(BQ309:BQ349)+SUM(BQ389)+SUM(BQ391:BQ393)+SUM(BQ396)+SUM(BQ477:BQ480)+SUM(BQ495:BQ496)+SUM(BQ501:BQ506)+SUM(BQ508)+SUM(BQ510)+SUM(BQ513)+SUM(BQ517:BQ519)+SUM(BQ521:BQ522)+SUM(BQ524:BQ527)+SUM(BQ529)+SUM(BQ532)+SUM(BQ546)+SUM(BQ558:BQ559)+SUM(BQ563:BQ564)</f>
        <v>37347</v>
      </c>
      <c r="BR652" s="45">
        <f t="shared" ref="BR652" si="2356">SUM(BR232:BR237)+SUM(BR245:BR253)+SUM(BR286:BR293)+SUM(BR309:BR349)+SUM(BR389)+SUM(BR391:BR393)+SUM(BR396)+SUM(BR477:BR480)+SUM(BR495:BR496)+SUM(BR501:BR506)+SUM(BR508)+SUM(BR510)+SUM(BR513)+SUM(BR517:BR519)+SUM(BR521:BR522)+SUM(BR524:BR527)+SUM(BR529)+SUM(BR532)+SUM(BR546)+SUM(BR558:BR559)+SUM(BR563:BR564)</f>
        <v>34714</v>
      </c>
      <c r="BS652" s="47">
        <f t="shared" si="2333"/>
        <v>36955</v>
      </c>
      <c r="BT652" s="45">
        <f t="shared" ref="BT652:BU652" si="2357">SUM(BT232:BT237)+SUM(BT245:BT253)+SUM(BT286:BT293)+SUM(BT309:BT349)+SUM(BT389)+SUM(BT391:BT393)+SUM(BT396)+SUM(BT477:BT480)+SUM(BT495:BT496)+SUM(BT501:BT506)+SUM(BT508)+SUM(BT510)+SUM(BT513)+SUM(BT517:BT519)+SUM(BT521:BT522)+SUM(BT524:BT527)+SUM(BT529)+SUM(BT532)+SUM(BT546)+SUM(BT558:BT559)+SUM(BT563:BT564)</f>
        <v>31131</v>
      </c>
      <c r="BU652" s="43">
        <f t="shared" si="2357"/>
        <v>2888</v>
      </c>
      <c r="BV652" s="95">
        <f t="shared" si="2333"/>
        <v>36385</v>
      </c>
      <c r="BW652" s="109">
        <f t="shared" ref="BW652" si="2358">SUM(BW232:BW237)+SUM(BW245:BW253)+SUM(BW286:BW293)+SUM(BW309:BW349)+SUM(BW389)+SUM(BW391:BW393)+SUM(BW396)+SUM(BW477:BW480)+SUM(BW495:BW496)+SUM(BW501:BW506)+SUM(BW508)+SUM(BW510)+SUM(BW513)+SUM(BW517:BW519)+SUM(BW521:BW522)+SUM(BW524:BW527)+SUM(BW529)+SUM(BW532)+SUM(BW546)+SUM(BW558:BW559)+SUM(BW563:BW564)</f>
        <v>39211</v>
      </c>
      <c r="BX652" s="47">
        <f t="shared" si="2333"/>
        <v>32834</v>
      </c>
      <c r="BY652" s="45">
        <f t="shared" ref="BY652" si="2359">SUM(BY232:BY237)+SUM(BY245:BY253)+SUM(BY286:BY293)+SUM(BY309:BY349)+SUM(BY389)+SUM(BY391:BY393)+SUM(BY396)+SUM(BY477:BY480)+SUM(BY495:BY496)+SUM(BY501:BY506)+SUM(BY508)+SUM(BY510)+SUM(BY513)+SUM(BY517:BY519)+SUM(BY521:BY522)+SUM(BY524:BY527)+SUM(BY529)+SUM(BY532)+SUM(BY546)+SUM(BY558:BY559)+SUM(BY563:BY564)</f>
        <v>37957</v>
      </c>
      <c r="BZ652" s="95">
        <f t="shared" si="2333"/>
        <v>31705</v>
      </c>
      <c r="CA652" s="109">
        <f t="shared" ref="CA652" si="2360">SUM(CA232:CA237)+SUM(CA245:CA253)+SUM(CA286:CA293)+SUM(CA309:CA349)+SUM(CA389)+SUM(CA391:CA393)+SUM(CA396)+SUM(CA477:CA480)+SUM(CA495:CA496)+SUM(CA501:CA506)+SUM(CA508)+SUM(CA510)+SUM(CA513)+SUM(CA517:CA519)+SUM(CA521:CA522)+SUM(CA524:CA527)+SUM(CA529)+SUM(CA532)+SUM(CA546)+SUM(CA558:CA559)+SUM(CA563:CA564)</f>
        <v>32336</v>
      </c>
      <c r="CB652" s="47">
        <f t="shared" si="2333"/>
        <v>38147</v>
      </c>
      <c r="CC652" s="47">
        <f t="shared" si="2333"/>
        <v>45782</v>
      </c>
      <c r="CD652" s="44">
        <f t="shared" si="2333"/>
        <v>52917</v>
      </c>
      <c r="CE652" s="109">
        <f t="shared" ref="CE652" si="2361">SUM(CE232:CE237)+SUM(CE245:CE253)+SUM(CE286:CE293)+SUM(CE309:CE349)+SUM(CE389)+SUM(CE391:CE393)+SUM(CE396)+SUM(CE477:CE480)+SUM(CE495:CE496)+SUM(CE501:CE506)+SUM(CE508)+SUM(CE510)+SUM(CE513)+SUM(CE517:CE519)+SUM(CE521:CE522)+SUM(CE524:CE527)+SUM(CE529)+SUM(CE532)+SUM(CE546)+SUM(CE558:CE559)+SUM(CE563:CE564)</f>
        <v>31462</v>
      </c>
      <c r="CF652" s="43">
        <f>SUM(CF232:CF237)+SUM(CF245:CF253)+SUM(CF286:CF293)+SUM(CF309:CF349)+SUM(CF389)+SUM(CF391:CF393)+SUM(CF396)+SUM(CF477:CF480)+SUM(CF495:CF496)+SUM(CF501:CF506)+SUM(CF508)+SUM(CF510)+SUM(CF513)+SUM(CF517:CF519)+SUM(CF521:CF522)+SUM(CF524:CF527)+SUM(CF529)+SUM(CF532)+SUM(CF546)+SUM(CF558:CF559)+SUM(CF563:CF564)</f>
        <v>27929</v>
      </c>
      <c r="CG652" s="45">
        <f>SUM(CG232:CG237)+SUM(CG245:CG253)+SUM(CG286:CG293)+SUM(CG309:CG349)+SUM(CG389)+SUM(CG391:CG393)+SUM(CG396)+SUM(CG477:CG480)+SUM(CG495:CG496)+SUM(CG501:CG506)+SUM(CG508)+SUM(CG510)+SUM(CG513)+SUM(CG517:CG519)+SUM(CG521:CG522)+SUM(CG524:CG527)+SUM(CG529)+SUM(CG532)+SUM(CG546)+SUM(CG558:CG559)+SUM(CG563:CG564)</f>
        <v>18066</v>
      </c>
      <c r="CH652" s="46">
        <f t="shared" ref="CH652:CJ652" si="2362">SUM(CH232:CH237)+SUM(CH245:CH253)+SUM(CH286:CH293)+SUM(CH309:CH349)+SUM(CH389)+SUM(CH391:CH393)+SUM(CH396)+SUM(CH477:CH480)+SUM(CH495:CH496)+SUM(CH501:CH506)+SUM(CH508)+SUM(CH510)+SUM(CH513)+SUM(CH517:CH519)+SUM(CH521:CH522)+SUM(CH524:CH527)+SUM(CH529)+SUM(CH532)+SUM(CH546)+SUM(CH558:CH559)+SUM(CH563:CH564)</f>
        <v>17639</v>
      </c>
      <c r="CI652" s="46">
        <f t="shared" si="2362"/>
        <v>22024</v>
      </c>
      <c r="CJ652" s="46">
        <f t="shared" si="2362"/>
        <v>25261</v>
      </c>
      <c r="CK652" s="95">
        <f>SUM(CK232:CK237)+SUM(CK245:CK253)+SUM(CK286:CK293)+SUM(CK309:CK349)+SUM(CK389)+SUM(CK391:CK393)+SUM(CK396)+SUM(CK477:CK480)+SUM(CK495:CK496)+SUM(CK501:CK506)+SUM(CK508)+SUM(CK510)+SUM(CK513)+SUM(CK517:CK519)+SUM(CK521:CK522)+SUM(CK524:CK527)+SUM(CK529)+SUM(CK532)+SUM(CK546)+SUM(CK558:CK559)+SUM(CK563:CK564)</f>
        <v>30099</v>
      </c>
    </row>
    <row r="653" spans="1:89" ht="13" x14ac:dyDescent="0.25">
      <c r="A653" s="91"/>
      <c r="B653" s="96" t="s">
        <v>675</v>
      </c>
      <c r="C653" s="93">
        <f>SUM(C193:C203)+SUM(C208:C224)+SUM(C238:C244)+SUM(C254:C262)+SUM(C294:C308)+SUM(C420:C422)+SUM(C507)+SUM(C523)+SUM(C530)+SUM(C533:C545)+SUM(C547:C557)</f>
        <v>89015</v>
      </c>
      <c r="D653" s="93">
        <f>SUM(D193:D203)+SUM(D208:D224)+SUM(D238:D244)+SUM(D254:D262)+SUM(D294:D308)+SUM(D420:D422)+SUM(D507)+SUM(D523)+SUM(D530)+SUM(D533:D545)+SUM(D547:D557)</f>
        <v>67019</v>
      </c>
      <c r="E653" s="89">
        <v>0.5816518447999629</v>
      </c>
      <c r="F653" s="45">
        <f t="shared" ref="F653:CD653" si="2363">SUM(F193:F203)+SUM(F208:F224)+SUM(F238:F244)+SUM(F254:F262)+SUM(F294:F308)+SUM(F420:F422)+SUM(F507)+SUM(F523)+SUM(F530)+SUM(F533:F545)+SUM(F547:F557)</f>
        <v>1</v>
      </c>
      <c r="G653" s="109">
        <f t="shared" ref="G653" si="2364">SUM(G193:G203)+SUM(G208:G224)+SUM(G238:G244)+SUM(G254:G262)+SUM(G294:G308)+SUM(G420:G422)+SUM(G507)+SUM(G523)+SUM(G530)+SUM(G533:G545)+SUM(G547:G557)</f>
        <v>0</v>
      </c>
      <c r="H653" s="109">
        <f t="shared" ref="H653:Q653" si="2365">SUM(H193:H203)+SUM(H208:H224)+SUM(H238:H244)+SUM(H254:H262)+SUM(H294:H308)+SUM(H420:H422)+SUM(H507)+SUM(H523)+SUM(H530)+SUM(H533:H545)+SUM(H547:H557)</f>
        <v>5</v>
      </c>
      <c r="I653" s="109">
        <f t="shared" si="2365"/>
        <v>15</v>
      </c>
      <c r="J653" s="109">
        <f t="shared" ref="J653:K653" si="2366">SUM(J193:J203)+SUM(J208:J224)+SUM(J238:J244)+SUM(J254:J262)+SUM(J294:J308)+SUM(J420:J422)+SUM(J507)+SUM(J523)+SUM(J530)+SUM(J533:J545)+SUM(J547:J557)</f>
        <v>132</v>
      </c>
      <c r="K653" s="109">
        <f t="shared" si="2366"/>
        <v>0</v>
      </c>
      <c r="L653" s="109">
        <f t="shared" si="2365"/>
        <v>1</v>
      </c>
      <c r="M653" s="109">
        <f t="shared" si="2365"/>
        <v>37269</v>
      </c>
      <c r="N653" s="109">
        <f t="shared" si="2365"/>
        <v>0</v>
      </c>
      <c r="O653" s="109">
        <f t="shared" si="2365"/>
        <v>0</v>
      </c>
      <c r="P653" s="46">
        <f t="shared" si="2365"/>
        <v>426</v>
      </c>
      <c r="Q653" s="46">
        <f t="shared" si="2365"/>
        <v>140</v>
      </c>
      <c r="R653" s="46">
        <f t="shared" ref="R653" si="2367">SUM(R193:R203)+SUM(R208:R224)+SUM(R238:R244)+SUM(R254:R262)+SUM(R294:R308)+SUM(R420:R422)+SUM(R507)+SUM(R523)+SUM(R530)+SUM(R533:R545)+SUM(R547:R557)</f>
        <v>27894</v>
      </c>
      <c r="S653" s="47">
        <f t="shared" si="2363"/>
        <v>14</v>
      </c>
      <c r="T653" s="45">
        <f>SUM(T193:T203)+SUM(T208:T224)+SUM(T238:T244)+SUM(T254:T262)+SUM(T294:T308)+SUM(T420:T422)+SUM(T507)+SUM(T523)+SUM(T530)+SUM(T533:T545)+SUM(T547:T557)</f>
        <v>35514</v>
      </c>
      <c r="U653" s="47">
        <f t="shared" ref="U653:V653" si="2368">SUM(U193:U203)+SUM(U208:U224)+SUM(U238:U244)+SUM(U254:U262)+SUM(U294:U308)+SUM(U420:U422)+SUM(U507)+SUM(U523)+SUM(U530)+SUM(U533:U545)+SUM(U547:U557)</f>
        <v>29126</v>
      </c>
      <c r="V653" s="45">
        <f t="shared" si="2368"/>
        <v>30400</v>
      </c>
      <c r="W653" s="47">
        <f>SUM(W193:W203)+SUM(W208:W224)+SUM(W238:W244)+SUM(W254:W262)+SUM(W294:W308)+SUM(W420:W422)+SUM(W507)+SUM(W523)+SUM(W530)+SUM(W533:W545)+SUM(W547:W557)</f>
        <v>34439</v>
      </c>
      <c r="X653" s="45">
        <f>SUM(X193:X203)+SUM(X208:X224)+SUM(X238:X244)+SUM(X254:X262)+SUM(X294:X308)+SUM(X420:X422)+SUM(X507)+SUM(X523)+SUM(X530)+SUM(X533:X545)+SUM(X547:X557)</f>
        <v>35702</v>
      </c>
      <c r="Y653" s="47">
        <f>SUM(Y193:Y203)+SUM(Y208:Y224)+SUM(Y238:Y244)+SUM(Y254:Y262)+SUM(Y294:Y308)+SUM(Y420:Y422)+SUM(Y507)+SUM(Y523)+SUM(Y530)+SUM(Y533:Y545)+SUM(Y547:Y557)</f>
        <v>28055</v>
      </c>
      <c r="Z653" s="109">
        <f t="shared" ref="Z653:AE653" si="2369">SUM(Z193:Z203)+SUM(Z208:Z224)+SUM(Z238:Z244)+SUM(Z254:Z262)+SUM(Z294:Z308)+SUM(Z420:Z422)+SUM(Z507)+SUM(Z523)+SUM(Z530)+SUM(Z533:Z545)+SUM(Z547:Z557)</f>
        <v>37731</v>
      </c>
      <c r="AA653" s="46">
        <f t="shared" si="2369"/>
        <v>3</v>
      </c>
      <c r="AB653" s="46">
        <f t="shared" si="2369"/>
        <v>2007</v>
      </c>
      <c r="AC653" s="46">
        <f t="shared" si="2369"/>
        <v>25911</v>
      </c>
      <c r="AD653" s="46">
        <f t="shared" si="2369"/>
        <v>0</v>
      </c>
      <c r="AE653" s="43">
        <f t="shared" si="2369"/>
        <v>0</v>
      </c>
      <c r="AF653" s="95">
        <f t="shared" si="2363"/>
        <v>11</v>
      </c>
      <c r="AG653" s="109">
        <f t="shared" ref="AG653" si="2370">SUM(AG193:AG203)+SUM(AG208:AG224)+SUM(AG238:AG244)+SUM(AG254:AG262)+SUM(AG294:AG308)+SUM(AG420:AG422)+SUM(AG507)+SUM(AG523)+SUM(AG530)+SUM(AG533:AG545)+SUM(AG547:AG557)</f>
        <v>24291</v>
      </c>
      <c r="AH653" s="47">
        <f t="shared" si="2363"/>
        <v>21136</v>
      </c>
      <c r="AI653" s="45">
        <f t="shared" si="2363"/>
        <v>5919</v>
      </c>
      <c r="AJ653" s="43">
        <f t="shared" si="2363"/>
        <v>13051</v>
      </c>
      <c r="AK653" s="45">
        <f t="shared" ref="AK653" si="2371">SUM(AK193:AK203)+SUM(AK208:AK224)+SUM(AK238:AK244)+SUM(AK254:AK262)+SUM(AK294:AK308)+SUM(AK420:AK422)+SUM(AK507)+SUM(AK523)+SUM(AK530)+SUM(AK533:AK545)+SUM(AK547:AK557)</f>
        <v>0</v>
      </c>
      <c r="AL653" s="47">
        <f t="shared" si="2363"/>
        <v>0</v>
      </c>
      <c r="AM653" s="45">
        <f t="shared" si="2363"/>
        <v>0</v>
      </c>
      <c r="AN653" s="95">
        <f t="shared" si="2363"/>
        <v>0</v>
      </c>
      <c r="AO653" s="109">
        <f t="shared" ref="AO653" si="2372">SUM(AO193:AO203)+SUM(AO208:AO224)+SUM(AO238:AO244)+SUM(AO254:AO262)+SUM(AO294:AO308)+SUM(AO420:AO422)+SUM(AO507)+SUM(AO523)+SUM(AO530)+SUM(AO533:AO545)+SUM(AO547:AO557)</f>
        <v>0</v>
      </c>
      <c r="AP653" s="47">
        <f t="shared" si="2363"/>
        <v>0</v>
      </c>
      <c r="AQ653" s="45">
        <f t="shared" ref="AQ653" si="2373">SUM(AQ193:AQ203)+SUM(AQ208:AQ224)+SUM(AQ238:AQ244)+SUM(AQ254:AQ262)+SUM(AQ294:AQ308)+SUM(AQ420:AQ422)+SUM(AQ507)+SUM(AQ523)+SUM(AQ530)+SUM(AQ533:AQ545)+SUM(AQ547:AQ557)</f>
        <v>0</v>
      </c>
      <c r="AR653" s="95">
        <f t="shared" si="2363"/>
        <v>0</v>
      </c>
      <c r="AS653" s="109">
        <f t="shared" ref="AS653" si="2374">SUM(AS193:AS203)+SUM(AS208:AS224)+SUM(AS238:AS244)+SUM(AS254:AS262)+SUM(AS294:AS308)+SUM(AS420:AS422)+SUM(AS507)+SUM(AS523)+SUM(AS530)+SUM(AS533:AS545)+SUM(AS547:AS557)</f>
        <v>0</v>
      </c>
      <c r="AT653" s="47">
        <f t="shared" si="2363"/>
        <v>0</v>
      </c>
      <c r="AU653" s="45">
        <f t="shared" ref="AU653" si="2375">SUM(AU193:AU203)+SUM(AU208:AU224)+SUM(AU238:AU244)+SUM(AU254:AU262)+SUM(AU294:AU308)+SUM(AU420:AU422)+SUM(AU507)+SUM(AU523)+SUM(AU530)+SUM(AU533:AU545)+SUM(AU547:AU557)</f>
        <v>35671</v>
      </c>
      <c r="AV653" s="109">
        <f t="shared" ref="AV653" si="2376">SUM(AV193:AV203)+SUM(AV208:AV224)+SUM(AV238:AV244)+SUM(AV254:AV262)+SUM(AV294:AV308)+SUM(AV420:AV422)+SUM(AV507)+SUM(AV523)+SUM(AV530)+SUM(AV533:AV545)+SUM(AV547:AV557)</f>
        <v>5</v>
      </c>
      <c r="AW653" s="109">
        <f t="shared" si="2363"/>
        <v>28121</v>
      </c>
      <c r="AX653" s="45">
        <f t="shared" ref="AX653" si="2377">SUM(AX193:AX203)+SUM(AX208:AX224)+SUM(AX238:AX244)+SUM(AX254:AX262)+SUM(AX294:AX308)+SUM(AX420:AX422)+SUM(AX507)+SUM(AX523)+SUM(AX530)+SUM(AX533:AX545)+SUM(AX547:AX557)</f>
        <v>0</v>
      </c>
      <c r="AY653" s="47">
        <f t="shared" si="2363"/>
        <v>0</v>
      </c>
      <c r="AZ653" s="45">
        <f t="shared" si="2363"/>
        <v>0</v>
      </c>
      <c r="BA653" s="95">
        <f t="shared" si="2363"/>
        <v>0</v>
      </c>
      <c r="BB653" s="45">
        <f t="shared" ref="BB653" si="2378">SUM(BB193:BB203)+SUM(BB208:BB224)+SUM(BB238:BB244)+SUM(BB254:BB262)+SUM(BB294:BB308)+SUM(BB420:BB422)+SUM(BB507)+SUM(BB523)+SUM(BB530)+SUM(BB533:BB545)+SUM(BB547:BB557)</f>
        <v>28945</v>
      </c>
      <c r="BC653" s="47">
        <f>SUM(BC193:BC203)+SUM(BC208:BC224)+SUM(BC238:BC244)+SUM(BC254:BC262)+SUM(BC294:BC308)+SUM(BC420:BC422)+SUM(BC507)+SUM(BC523)+SUM(BC530)+SUM(BC533:BC545)+SUM(BC547:BC557)</f>
        <v>34033</v>
      </c>
      <c r="BD653" s="45">
        <f t="shared" ref="BD653" si="2379">SUM(BD193:BD203)+SUM(BD208:BD224)+SUM(BD238:BD244)+SUM(BD254:BD262)+SUM(BD294:BD308)+SUM(BD420:BD422)+SUM(BD507)+SUM(BD523)+SUM(BD530)+SUM(BD533:BD545)+SUM(BD547:BD557)</f>
        <v>28261</v>
      </c>
      <c r="BE653" s="95">
        <f>SUM(BE193:BE203)+SUM(BE208:BE224)+SUM(BE238:BE244)+SUM(BE254:BE262)+SUM(BE294:BE308)+SUM(BE420:BE422)+SUM(BE507)+SUM(BE523)+SUM(BE530)+SUM(BE533:BE545)+SUM(BE547:BE557)</f>
        <v>34459</v>
      </c>
      <c r="BF653" s="109">
        <f t="shared" ref="BF653" si="2380">SUM(BF193:BF203)+SUM(BF208:BF224)+SUM(BF238:BF244)+SUM(BF254:BF262)+SUM(BF294:BF308)+SUM(BF420:BF422)+SUM(BF507)+SUM(BF523)+SUM(BF530)+SUM(BF533:BF545)+SUM(BF547:BF557)</f>
        <v>34474</v>
      </c>
      <c r="BG653" s="47">
        <f>SUM(BG193:BG203)+SUM(BG208:BG224)+SUM(BG238:BG244)+SUM(BG254:BG262)+SUM(BG294:BG308)+SUM(BG420:BG422)+SUM(BG507)+SUM(BG523)+SUM(BG530)+SUM(BG533:BG545)+SUM(BG547:BG557)</f>
        <v>28007</v>
      </c>
      <c r="BH653" s="45">
        <f t="shared" ref="BH653" si="2381">SUM(BH193:BH203)+SUM(BH208:BH224)+SUM(BH238:BH244)+SUM(BH254:BH262)+SUM(BH294:BH308)+SUM(BH420:BH422)+SUM(BH507)+SUM(BH523)+SUM(BH530)+SUM(BH533:BH545)+SUM(BH547:BH557)</f>
        <v>29984</v>
      </c>
      <c r="BI653" s="47">
        <f>SUM(BI193:BI203)+SUM(BI208:BI224)+SUM(BI238:BI244)+SUM(BI254:BI262)+SUM(BI294:BI308)+SUM(BI420:BI422)+SUM(BI507)+SUM(BI523)+SUM(BI530)+SUM(BI533:BI545)+SUM(BI547:BI557)</f>
        <v>32606</v>
      </c>
      <c r="BJ653" s="109">
        <f t="shared" ref="BJ653:BK653" si="2382">SUM(BJ193:BJ203)+SUM(BJ208:BJ224)+SUM(BJ238:BJ244)+SUM(BJ254:BJ262)+SUM(BJ294:BJ308)+SUM(BJ420:BJ422)+SUM(BJ507)+SUM(BJ523)+SUM(BJ530)+SUM(BJ533:BJ545)+SUM(BJ547:BJ557)</f>
        <v>2640</v>
      </c>
      <c r="BK653" s="43">
        <f t="shared" si="2382"/>
        <v>26215</v>
      </c>
      <c r="BL653" s="95">
        <f t="shared" si="2363"/>
        <v>34480</v>
      </c>
      <c r="BM653" s="109">
        <f t="shared" ref="BM653:BN653" si="2383">SUM(BM193:BM203)+SUM(BM208:BM224)+SUM(BM238:BM244)+SUM(BM254:BM262)+SUM(BM294:BM308)+SUM(BM420:BM422)+SUM(BM507)+SUM(BM523)+SUM(BM530)+SUM(BM533:BM545)+SUM(BM547:BM557)</f>
        <v>34838</v>
      </c>
      <c r="BN653" s="46">
        <f t="shared" si="2383"/>
        <v>26157</v>
      </c>
      <c r="BO653" s="47">
        <f t="shared" si="2363"/>
        <v>2101</v>
      </c>
      <c r="BP653" s="45">
        <f t="shared" ref="BP653" si="2384">SUM(BP193:BP203)+SUM(BP208:BP224)+SUM(BP238:BP244)+SUM(BP254:BP262)+SUM(BP294:BP308)+SUM(BP420:BP422)+SUM(BP507)+SUM(BP523)+SUM(BP530)+SUM(BP533:BP545)+SUM(BP547:BP557)</f>
        <v>28275</v>
      </c>
      <c r="BQ653" s="47">
        <f t="shared" ref="BQ653" si="2385">SUM(BQ193:BQ203)+SUM(BQ208:BQ224)+SUM(BQ238:BQ244)+SUM(BQ254:BQ262)+SUM(BQ294:BQ308)+SUM(BQ420:BQ422)+SUM(BQ507)+SUM(BQ523)+SUM(BQ530)+SUM(BQ533:BQ545)+SUM(BQ547:BQ557)</f>
        <v>34773</v>
      </c>
      <c r="BR653" s="45">
        <f t="shared" ref="BR653" si="2386">SUM(BR193:BR203)+SUM(BR208:BR224)+SUM(BR238:BR244)+SUM(BR254:BR262)+SUM(BR294:BR308)+SUM(BR420:BR422)+SUM(BR507)+SUM(BR523)+SUM(BR530)+SUM(BR533:BR545)+SUM(BR547:BR557)</f>
        <v>32105</v>
      </c>
      <c r="BS653" s="47">
        <f t="shared" si="2363"/>
        <v>31440</v>
      </c>
      <c r="BT653" s="45">
        <f t="shared" ref="BT653:BU653" si="2387">SUM(BT193:BT203)+SUM(BT208:BT224)+SUM(BT238:BT244)+SUM(BT254:BT262)+SUM(BT294:BT308)+SUM(BT420:BT422)+SUM(BT507)+SUM(BT523)+SUM(BT530)+SUM(BT533:BT545)+SUM(BT547:BT557)</f>
        <v>26742</v>
      </c>
      <c r="BU653" s="43">
        <f t="shared" si="2387"/>
        <v>2606</v>
      </c>
      <c r="BV653" s="95">
        <f t="shared" si="2363"/>
        <v>33284</v>
      </c>
      <c r="BW653" s="109">
        <f t="shared" ref="BW653" si="2388">SUM(BW193:BW203)+SUM(BW208:BW224)+SUM(BW238:BW244)+SUM(BW254:BW262)+SUM(BW294:BW308)+SUM(BW420:BW422)+SUM(BW507)+SUM(BW523)+SUM(BW530)+SUM(BW533:BW545)+SUM(BW547:BW557)</f>
        <v>35650</v>
      </c>
      <c r="BX653" s="47">
        <f t="shared" si="2363"/>
        <v>28355</v>
      </c>
      <c r="BY653" s="45">
        <f t="shared" ref="BY653" si="2389">SUM(BY193:BY203)+SUM(BY208:BY224)+SUM(BY238:BY244)+SUM(BY254:BY262)+SUM(BY294:BY308)+SUM(BY420:BY422)+SUM(BY507)+SUM(BY523)+SUM(BY530)+SUM(BY533:BY545)+SUM(BY547:BY557)</f>
        <v>34609</v>
      </c>
      <c r="BZ653" s="95">
        <f t="shared" si="2363"/>
        <v>27292</v>
      </c>
      <c r="CA653" s="109">
        <f t="shared" ref="CA653" si="2390">SUM(CA193:CA203)+SUM(CA208:CA224)+SUM(CA238:CA244)+SUM(CA254:CA262)+SUM(CA294:CA308)+SUM(CA420:CA422)+SUM(CA507)+SUM(CA523)+SUM(CA530)+SUM(CA533:CA545)+SUM(CA547:CA557)</f>
        <v>27610</v>
      </c>
      <c r="CB653" s="47">
        <f t="shared" si="2363"/>
        <v>34974</v>
      </c>
      <c r="CC653" s="47">
        <f t="shared" si="2363"/>
        <v>40265</v>
      </c>
      <c r="CD653" s="44">
        <f t="shared" si="2363"/>
        <v>47882</v>
      </c>
      <c r="CE653" s="109">
        <f t="shared" ref="CE653" si="2391">SUM(CE193:CE203)+SUM(CE208:CE224)+SUM(CE238:CE244)+SUM(CE254:CE262)+SUM(CE294:CE308)+SUM(CE420:CE422)+SUM(CE507)+SUM(CE523)+SUM(CE530)+SUM(CE533:CE545)+SUM(CE547:CE557)</f>
        <v>27523</v>
      </c>
      <c r="CF653" s="43">
        <f>SUM(CF193:CF203)+SUM(CF208:CF224)+SUM(CF238:CF244)+SUM(CF254:CF262)+SUM(CF294:CF308)+SUM(CF420:CF422)+SUM(CF507)+SUM(CF523)+SUM(CF530)+SUM(CF533:CF545)+SUM(CF547:CF557)</f>
        <v>25946</v>
      </c>
      <c r="CG653" s="45">
        <f>SUM(CG193:CG203)+SUM(CG208:CG224)+SUM(CG238:CG244)+SUM(CG254:CG262)+SUM(CG294:CG308)+SUM(CG420:CG422)+SUM(CG507)+SUM(CG523)+SUM(CG530)+SUM(CG533:CG545)+SUM(CG547:CG557)</f>
        <v>14968</v>
      </c>
      <c r="CH653" s="46">
        <f t="shared" ref="CH653:CJ653" si="2392">SUM(CH193:CH203)+SUM(CH208:CH224)+SUM(CH238:CH244)+SUM(CH254:CH262)+SUM(CH294:CH308)+SUM(CH420:CH422)+SUM(CH507)+SUM(CH523)+SUM(CH530)+SUM(CH533:CH545)+SUM(CH547:CH557)</f>
        <v>14394</v>
      </c>
      <c r="CI653" s="46">
        <f t="shared" si="2392"/>
        <v>20547</v>
      </c>
      <c r="CJ653" s="46">
        <f t="shared" si="2392"/>
        <v>23492</v>
      </c>
      <c r="CK653" s="95">
        <f>SUM(CK193:CK203)+SUM(CK208:CK224)+SUM(CK238:CK244)+SUM(CK254:CK262)+SUM(CK294:CK308)+SUM(CK420:CK422)+SUM(CK507)+SUM(CK523)+SUM(CK530)+SUM(CK533:CK545)+SUM(CK547:CK557)</f>
        <v>25811</v>
      </c>
    </row>
    <row r="654" spans="1:89" ht="13" x14ac:dyDescent="0.25">
      <c r="A654" s="91"/>
      <c r="B654" s="96" t="s">
        <v>676</v>
      </c>
      <c r="C654" s="93">
        <f>SUM(C225:C231)+SUM(C263:C273)+SUM(C351:C388)+SUM(C398:C399)+SUM(C424:C425)+SUM(C471:C476)+SUM(C509)+SUM(C511)+SUM(C514)+SUM(C516)+SUM(C520)+SUM(C524:C525)+SUM(C527)+SUM(C528)+SUM(C531)+SUM(C560:C562)</f>
        <v>87127</v>
      </c>
      <c r="D654" s="93">
        <f>SUM(D225:D231)+SUM(D263:D273)+SUM(D351:D388)+SUM(D398:D399)+SUM(D424:D425)+SUM(D471:D476)+SUM(D509)+SUM(D511)+SUM(D514)+SUM(D516)+SUM(D520)+SUM(D524:D525)+SUM(D527)+SUM(D528)+SUM(D531)+SUM(D560:D562)</f>
        <v>62198</v>
      </c>
      <c r="E654" s="89">
        <v>0.51001309649446258</v>
      </c>
      <c r="F654" s="45">
        <f t="shared" ref="F654:CD654" si="2393">SUM(F225:F231)+SUM(F263:F273)+SUM(F351:F388)+SUM(F398:F399)+SUM(F424:F425)+SUM(F471:F476)+SUM(F509)+SUM(F511)+SUM(F514)+SUM(F516)+SUM(F520)+SUM(F524:F525)+SUM(F527)+SUM(F528)+SUM(F531)+SUM(F560:F562)</f>
        <v>0</v>
      </c>
      <c r="G654" s="109">
        <f t="shared" ref="G654" si="2394">SUM(G225:G231)+SUM(G263:G273)+SUM(G351:G388)+SUM(G398:G399)+SUM(G424:G425)+SUM(G471:G476)+SUM(G509)+SUM(G511)+SUM(G514)+SUM(G516)+SUM(G520)+SUM(G524:G525)+SUM(G527)+SUM(G528)+SUM(G531)+SUM(G560:G562)</f>
        <v>0</v>
      </c>
      <c r="H654" s="109">
        <f t="shared" ref="H654:Q654" si="2395">SUM(H225:H231)+SUM(H263:H273)+SUM(H351:H388)+SUM(H398:H399)+SUM(H424:H425)+SUM(H471:H476)+SUM(H509)+SUM(H511)+SUM(H514)+SUM(H516)+SUM(H520)+SUM(H524:H525)+SUM(H527)+SUM(H528)+SUM(H531)+SUM(H560:H562)</f>
        <v>0</v>
      </c>
      <c r="I654" s="109">
        <f t="shared" si="2395"/>
        <v>17</v>
      </c>
      <c r="J654" s="109">
        <f t="shared" ref="J654:K654" si="2396">SUM(J225:J231)+SUM(J263:J273)+SUM(J351:J388)+SUM(J398:J399)+SUM(J424:J425)+SUM(J471:J476)+SUM(J509)+SUM(J511)+SUM(J514)+SUM(J516)+SUM(J520)+SUM(J524:J525)+SUM(J527)+SUM(J528)+SUM(J531)+SUM(J560:J562)</f>
        <v>125</v>
      </c>
      <c r="K654" s="109">
        <f t="shared" si="2396"/>
        <v>0</v>
      </c>
      <c r="L654" s="109">
        <f t="shared" si="2395"/>
        <v>0</v>
      </c>
      <c r="M654" s="109">
        <f t="shared" si="2395"/>
        <v>27379</v>
      </c>
      <c r="N654" s="109">
        <f t="shared" si="2395"/>
        <v>0</v>
      </c>
      <c r="O654" s="109">
        <f t="shared" si="2395"/>
        <v>1</v>
      </c>
      <c r="P654" s="46">
        <f t="shared" si="2395"/>
        <v>344</v>
      </c>
      <c r="Q654" s="46">
        <f t="shared" si="2395"/>
        <v>116</v>
      </c>
      <c r="R654" s="46">
        <f t="shared" ref="R654" si="2397">SUM(R225:R231)+SUM(R263:R273)+SUM(R351:R388)+SUM(R398:R399)+SUM(R424:R425)+SUM(R471:R476)+SUM(R509)+SUM(R511)+SUM(R514)+SUM(R516)+SUM(R520)+SUM(R524:R525)+SUM(R527)+SUM(R528)+SUM(R531)+SUM(R560:R562)</f>
        <v>33458</v>
      </c>
      <c r="S654" s="47">
        <f t="shared" si="2393"/>
        <v>6</v>
      </c>
      <c r="T654" s="45">
        <f>SUM(T225:T231)+SUM(T263:T273)+SUM(T351:T388)+SUM(T398:T399)+SUM(T424:T425)+SUM(T471:T476)+SUM(T509)+SUM(T511)+SUM(T514)+SUM(T516)+SUM(T520)+SUM(T524:T525)+SUM(T527)+SUM(T528)+SUM(T531)+SUM(T560:T562)</f>
        <v>26262</v>
      </c>
      <c r="U654" s="47">
        <f t="shared" ref="U654:V654" si="2398">SUM(U225:U231)+SUM(U263:U273)+SUM(U351:U388)+SUM(U398:U399)+SUM(U424:U425)+SUM(U471:U476)+SUM(U509)+SUM(U511)+SUM(U514)+SUM(U516)+SUM(U520)+SUM(U524:U525)+SUM(U527)+SUM(U528)+SUM(U531)+SUM(U560:U562)</f>
        <v>33568</v>
      </c>
      <c r="V654" s="45">
        <f t="shared" si="2398"/>
        <v>34954</v>
      </c>
      <c r="W654" s="47">
        <f>SUM(W225:W231)+SUM(W263:W273)+SUM(W351:W388)+SUM(W398:W399)+SUM(W424:W425)+SUM(W471:W476)+SUM(W509)+SUM(W511)+SUM(W514)+SUM(W516)+SUM(W520)+SUM(W524:W525)+SUM(W527)+SUM(W528)+SUM(W531)+SUM(W560:W562)</f>
        <v>25236</v>
      </c>
      <c r="X654" s="45">
        <f>SUM(X225:X231)+SUM(X263:X273)+SUM(X351:X388)+SUM(X398:X399)+SUM(X424:X425)+SUM(X471:X476)+SUM(X509)+SUM(X511)+SUM(X514)+SUM(X516)+SUM(X520)+SUM(X524:X525)+SUM(X527)+SUM(X528)+SUM(X531)+SUM(X560:X562)</f>
        <v>26484</v>
      </c>
      <c r="Y654" s="47">
        <f>SUM(Y225:Y231)+SUM(Y263:Y273)+SUM(Y351:Y388)+SUM(Y398:Y399)+SUM(Y424:Y425)+SUM(Y471:Y476)+SUM(Y509)+SUM(Y511)+SUM(Y514)+SUM(Y516)+SUM(Y520)+SUM(Y524:Y525)+SUM(Y527)+SUM(Y528)+SUM(Y531)+SUM(Y560:Y562)</f>
        <v>32399</v>
      </c>
      <c r="Z654" s="109">
        <f t="shared" ref="Z654:AE654" si="2399">SUM(Z225:Z231)+SUM(Z263:Z273)+SUM(Z351:Z388)+SUM(Z398:Z399)+SUM(Z424:Z425)+SUM(Z471:Z476)+SUM(Z509)+SUM(Z511)+SUM(Z514)+SUM(Z516)+SUM(Z520)+SUM(Z524:Z525)+SUM(Z527)+SUM(Z528)+SUM(Z531)+SUM(Z560:Z562)</f>
        <v>28117</v>
      </c>
      <c r="AA654" s="46">
        <f t="shared" si="2399"/>
        <v>0</v>
      </c>
      <c r="AB654" s="46">
        <f t="shared" si="2399"/>
        <v>2275</v>
      </c>
      <c r="AC654" s="46">
        <f t="shared" si="2399"/>
        <v>30431</v>
      </c>
      <c r="AD654" s="46">
        <f t="shared" si="2399"/>
        <v>1</v>
      </c>
      <c r="AE654" s="43">
        <f t="shared" si="2399"/>
        <v>0</v>
      </c>
      <c r="AF654" s="95">
        <f t="shared" si="2393"/>
        <v>2</v>
      </c>
      <c r="AG654" s="109">
        <f t="shared" ref="AG654" si="2400">SUM(AG225:AG231)+SUM(AG263:AG273)+SUM(AG351:AG388)+SUM(AG398:AG399)+SUM(AG424:AG425)+SUM(AG471:AG476)+SUM(AG509)+SUM(AG511)+SUM(AG514)+SUM(AG516)+SUM(AG520)+SUM(AG524:AG525)+SUM(AG527)+SUM(AG528)+SUM(AG531)+SUM(AG560:AG562)</f>
        <v>409</v>
      </c>
      <c r="AH654" s="47">
        <f t="shared" si="2393"/>
        <v>94</v>
      </c>
      <c r="AI654" s="45">
        <f t="shared" si="2393"/>
        <v>32393</v>
      </c>
      <c r="AJ654" s="43">
        <f t="shared" si="2393"/>
        <v>25901</v>
      </c>
      <c r="AK654" s="45">
        <f t="shared" ref="AK654" si="2401">SUM(AK225:AK231)+SUM(AK263:AK273)+SUM(AK351:AK388)+SUM(AK398:AK399)+SUM(AK424:AK425)+SUM(AK471:AK476)+SUM(AK509)+SUM(AK511)+SUM(AK514)+SUM(AK516)+SUM(AK520)+SUM(AK524:AK525)+SUM(AK527)+SUM(AK528)+SUM(AK531)+SUM(AK560:AK562)</f>
        <v>33335</v>
      </c>
      <c r="AL654" s="47">
        <f t="shared" si="2393"/>
        <v>25846</v>
      </c>
      <c r="AM654" s="45">
        <f t="shared" si="2393"/>
        <v>0</v>
      </c>
      <c r="AN654" s="95">
        <f t="shared" si="2393"/>
        <v>0</v>
      </c>
      <c r="AO654" s="109">
        <f t="shared" ref="AO654" si="2402">SUM(AO225:AO231)+SUM(AO263:AO273)+SUM(AO351:AO388)+SUM(AO398:AO399)+SUM(AO424:AO425)+SUM(AO471:AO476)+SUM(AO509)+SUM(AO511)+SUM(AO514)+SUM(AO516)+SUM(AO520)+SUM(AO524:AO525)+SUM(AO527)+SUM(AO528)+SUM(AO531)+SUM(AO560:AO562)</f>
        <v>0</v>
      </c>
      <c r="AP654" s="47">
        <f t="shared" si="2393"/>
        <v>0</v>
      </c>
      <c r="AQ654" s="45">
        <f t="shared" ref="AQ654" si="2403">SUM(AQ225:AQ231)+SUM(AQ263:AQ273)+SUM(AQ351:AQ388)+SUM(AQ398:AQ399)+SUM(AQ424:AQ425)+SUM(AQ471:AQ476)+SUM(AQ509)+SUM(AQ511)+SUM(AQ514)+SUM(AQ516)+SUM(AQ520)+SUM(AQ524:AQ525)+SUM(AQ527)+SUM(AQ528)+SUM(AQ531)+SUM(AQ560:AQ562)</f>
        <v>0</v>
      </c>
      <c r="AR654" s="95">
        <f t="shared" si="2393"/>
        <v>0</v>
      </c>
      <c r="AS654" s="109">
        <f t="shared" ref="AS654" si="2404">SUM(AS225:AS231)+SUM(AS263:AS273)+SUM(AS351:AS388)+SUM(AS398:AS399)+SUM(AS424:AS425)+SUM(AS471:AS476)+SUM(AS509)+SUM(AS511)+SUM(AS514)+SUM(AS516)+SUM(AS520)+SUM(AS524:AS525)+SUM(AS527)+SUM(AS528)+SUM(AS531)+SUM(AS560:AS562)</f>
        <v>843</v>
      </c>
      <c r="AT654" s="47">
        <f t="shared" si="2393"/>
        <v>545</v>
      </c>
      <c r="AU654" s="45">
        <f t="shared" ref="AU654" si="2405">SUM(AU225:AU231)+SUM(AU263:AU273)+SUM(AU351:AU388)+SUM(AU398:AU399)+SUM(AU424:AU425)+SUM(AU471:AU476)+SUM(AU509)+SUM(AU511)+SUM(AU514)+SUM(AU516)+SUM(AU520)+SUM(AU524:AU525)+SUM(AU527)+SUM(AU528)+SUM(AU531)+SUM(AU560:AU562)</f>
        <v>0</v>
      </c>
      <c r="AV654" s="109">
        <f t="shared" ref="AV654" si="2406">SUM(AV225:AV231)+SUM(AV263:AV273)+SUM(AV351:AV388)+SUM(AV398:AV399)+SUM(AV424:AV425)+SUM(AV471:AV476)+SUM(AV509)+SUM(AV511)+SUM(AV514)+SUM(AV516)+SUM(AV520)+SUM(AV524:AV525)+SUM(AV527)+SUM(AV528)+SUM(AV531)+SUM(AV560:AV562)</f>
        <v>0</v>
      </c>
      <c r="AW654" s="109">
        <f t="shared" si="2393"/>
        <v>0</v>
      </c>
      <c r="AX654" s="45">
        <f t="shared" ref="AX654" si="2407">SUM(AX225:AX231)+SUM(AX263:AX273)+SUM(AX351:AX388)+SUM(AX398:AX399)+SUM(AX424:AX425)+SUM(AX471:AX476)+SUM(AX509)+SUM(AX511)+SUM(AX514)+SUM(AX516)+SUM(AX520)+SUM(AX524:AX525)+SUM(AX527)+SUM(AX528)+SUM(AX531)+SUM(AX560:AX562)</f>
        <v>32927</v>
      </c>
      <c r="AY654" s="47">
        <f t="shared" si="2393"/>
        <v>24639</v>
      </c>
      <c r="AZ654" s="45">
        <f t="shared" si="2393"/>
        <v>0</v>
      </c>
      <c r="BA654" s="95">
        <f t="shared" si="2393"/>
        <v>0</v>
      </c>
      <c r="BB654" s="45">
        <f t="shared" ref="BB654" si="2408">SUM(BB225:BB231)+SUM(BB263:BB273)+SUM(BB351:BB388)+SUM(BB398:BB399)+SUM(BB424:BB425)+SUM(BB471:BB476)+SUM(BB509)+SUM(BB511)+SUM(BB514)+SUM(BB516)+SUM(BB520)+SUM(BB524:BB525)+SUM(BB527)+SUM(BB528)+SUM(BB531)+SUM(BB560:BB562)</f>
        <v>32869</v>
      </c>
      <c r="BC654" s="47">
        <f>SUM(BC225:BC231)+SUM(BC263:BC273)+SUM(BC351:BC388)+SUM(BC398:BC399)+SUM(BC424:BC425)+SUM(BC471:BC476)+SUM(BC509)+SUM(BC511)+SUM(BC514)+SUM(BC516)+SUM(BC520)+SUM(BC524:BC525)+SUM(BC527)+SUM(BC528)+SUM(BC531)+SUM(BC560:BC562)</f>
        <v>25416</v>
      </c>
      <c r="BD654" s="45">
        <f t="shared" ref="BD654" si="2409">SUM(BD225:BD231)+SUM(BD263:BD273)+SUM(BD351:BD388)+SUM(BD398:BD399)+SUM(BD424:BD425)+SUM(BD471:BD476)+SUM(BD509)+SUM(BD511)+SUM(BD514)+SUM(BD516)+SUM(BD520)+SUM(BD524:BD525)+SUM(BD527)+SUM(BD528)+SUM(BD531)+SUM(BD560:BD562)</f>
        <v>32096</v>
      </c>
      <c r="BE654" s="95">
        <f>SUM(BE225:BE231)+SUM(BE263:BE273)+SUM(BE351:BE388)+SUM(BE398:BE399)+SUM(BE424:BE425)+SUM(BE471:BE476)+SUM(BE509)+SUM(BE511)+SUM(BE514)+SUM(BE516)+SUM(BE520)+SUM(BE524:BE525)+SUM(BE527)+SUM(BE528)+SUM(BE531)+SUM(BE560:BE562)</f>
        <v>25872</v>
      </c>
      <c r="BF654" s="109">
        <f t="shared" ref="BF654" si="2410">SUM(BF225:BF231)+SUM(BF263:BF273)+SUM(BF351:BF388)+SUM(BF398:BF399)+SUM(BF424:BF425)+SUM(BF471:BF476)+SUM(BF509)+SUM(BF511)+SUM(BF514)+SUM(BF516)+SUM(BF520)+SUM(BF524:BF525)+SUM(BF527)+SUM(BF528)+SUM(BF531)+SUM(BF560:BF562)</f>
        <v>25678</v>
      </c>
      <c r="BG654" s="47">
        <f>SUM(BG225:BG231)+SUM(BG263:BG273)+SUM(BG351:BG388)+SUM(BG398:BG399)+SUM(BG424:BG425)+SUM(BG471:BG476)+SUM(BG509)+SUM(BG511)+SUM(BG514)+SUM(BG516)+SUM(BG520)+SUM(BG524:BG525)+SUM(BG527)+SUM(BG528)+SUM(BG531)+SUM(BG560:BG562)</f>
        <v>31916</v>
      </c>
      <c r="BH654" s="45">
        <f t="shared" ref="BH654" si="2411">SUM(BH225:BH231)+SUM(BH263:BH273)+SUM(BH351:BH388)+SUM(BH398:BH399)+SUM(BH424:BH425)+SUM(BH471:BH476)+SUM(BH509)+SUM(BH511)+SUM(BH514)+SUM(BH516)+SUM(BH520)+SUM(BH524:BH525)+SUM(BH527)+SUM(BH528)+SUM(BH531)+SUM(BH560:BH562)</f>
        <v>33959</v>
      </c>
      <c r="BI654" s="47">
        <f>SUM(BI225:BI231)+SUM(BI263:BI273)+SUM(BI351:BI388)+SUM(BI398:BI399)+SUM(BI424:BI425)+SUM(BI471:BI476)+SUM(BI509)+SUM(BI511)+SUM(BI514)+SUM(BI516)+SUM(BI520)+SUM(BI524:BI525)+SUM(BI527)+SUM(BI528)+SUM(BI531)+SUM(BI560:BI562)</f>
        <v>24387</v>
      </c>
      <c r="BJ654" s="109">
        <f t="shared" ref="BJ654:BK654" si="2412">SUM(BJ225:BJ231)+SUM(BJ263:BJ273)+SUM(BJ351:BJ388)+SUM(BJ398:BJ399)+SUM(BJ424:BJ425)+SUM(BJ471:BJ476)+SUM(BJ509)+SUM(BJ511)+SUM(BJ514)+SUM(BJ516)+SUM(BJ520)+SUM(BJ524:BJ525)+SUM(BJ527)+SUM(BJ528)+SUM(BJ531)+SUM(BJ560:BJ562)</f>
        <v>2478</v>
      </c>
      <c r="BK654" s="43">
        <f t="shared" si="2412"/>
        <v>30046</v>
      </c>
      <c r="BL654" s="95">
        <f t="shared" si="2393"/>
        <v>26404</v>
      </c>
      <c r="BM654" s="109">
        <f t="shared" ref="BM654:BN654" si="2413">SUM(BM225:BM231)+SUM(BM263:BM273)+SUM(BM351:BM388)+SUM(BM398:BM399)+SUM(BM424:BM425)+SUM(BM471:BM476)+SUM(BM509)+SUM(BM511)+SUM(BM514)+SUM(BM516)+SUM(BM520)+SUM(BM524:BM525)+SUM(BM527)+SUM(BM528)+SUM(BM531)+SUM(BM560:BM562)</f>
        <v>26652</v>
      </c>
      <c r="BN654" s="46">
        <f t="shared" si="2413"/>
        <v>29967</v>
      </c>
      <c r="BO654" s="47">
        <f t="shared" si="2393"/>
        <v>1936</v>
      </c>
      <c r="BP654" s="45">
        <f t="shared" ref="BP654" si="2414">SUM(BP225:BP231)+SUM(BP263:BP273)+SUM(BP351:BP388)+SUM(BP398:BP399)+SUM(BP424:BP425)+SUM(BP471:BP476)+SUM(BP509)+SUM(BP511)+SUM(BP514)+SUM(BP516)+SUM(BP520)+SUM(BP524:BP525)+SUM(BP527)+SUM(BP528)+SUM(BP531)+SUM(BP560:BP562)</f>
        <v>32602</v>
      </c>
      <c r="BQ654" s="47">
        <f t="shared" ref="BQ654" si="2415">SUM(BQ225:BQ231)+SUM(BQ263:BQ273)+SUM(BQ351:BQ388)+SUM(BQ398:BQ399)+SUM(BQ424:BQ425)+SUM(BQ471:BQ476)+SUM(BQ509)+SUM(BQ511)+SUM(BQ514)+SUM(BQ516)+SUM(BQ520)+SUM(BQ524:BQ525)+SUM(BQ527)+SUM(BQ528)+SUM(BQ531)+SUM(BQ560:BQ562)</f>
        <v>25720</v>
      </c>
      <c r="BR654" s="45">
        <f t="shared" ref="BR654" si="2416">SUM(BR225:BR231)+SUM(BR263:BR273)+SUM(BR351:BR388)+SUM(BR398:BR399)+SUM(BR424:BR425)+SUM(BR471:BR476)+SUM(BR509)+SUM(BR511)+SUM(BR514)+SUM(BR516)+SUM(BR520)+SUM(BR524:BR525)+SUM(BR527)+SUM(BR528)+SUM(BR531)+SUM(BR560:BR562)</f>
        <v>23825</v>
      </c>
      <c r="BS654" s="47">
        <f t="shared" si="2393"/>
        <v>35309</v>
      </c>
      <c r="BT654" s="45">
        <f t="shared" ref="BT654:BU654" si="2417">SUM(BT225:BT231)+SUM(BT263:BT273)+SUM(BT351:BT388)+SUM(BT398:BT399)+SUM(BT424:BT425)+SUM(BT471:BT476)+SUM(BT509)+SUM(BT511)+SUM(BT514)+SUM(BT516)+SUM(BT520)+SUM(BT524:BT525)+SUM(BT527)+SUM(BT528)+SUM(BT531)+SUM(BT560:BT562)</f>
        <v>30998</v>
      </c>
      <c r="BU654" s="43">
        <f t="shared" si="2417"/>
        <v>2527</v>
      </c>
      <c r="BV654" s="95">
        <f t="shared" si="2393"/>
        <v>24518</v>
      </c>
      <c r="BW654" s="109">
        <f t="shared" ref="BW654" si="2418">SUM(BW225:BW231)+SUM(BW263:BW273)+SUM(BW351:BW388)+SUM(BW398:BW399)+SUM(BW424:BW425)+SUM(BW471:BW476)+SUM(BW509)+SUM(BW511)+SUM(BW514)+SUM(BW516)+SUM(BW520)+SUM(BW524:BW525)+SUM(BW527)+SUM(BW528)+SUM(BW531)+SUM(BW560:BW562)</f>
        <v>26646</v>
      </c>
      <c r="BX654" s="47">
        <f t="shared" si="2393"/>
        <v>32988</v>
      </c>
      <c r="BY654" s="45">
        <f t="shared" ref="BY654" si="2419">SUM(BY225:BY231)+SUM(BY263:BY273)+SUM(BY351:BY388)+SUM(BY398:BY399)+SUM(BY424:BY425)+SUM(BY471:BY476)+SUM(BY509)+SUM(BY511)+SUM(BY514)+SUM(BY516)+SUM(BY520)+SUM(BY524:BY525)+SUM(BY527)+SUM(BY528)+SUM(BY531)+SUM(BY560:BY562)</f>
        <v>26099</v>
      </c>
      <c r="BZ654" s="95">
        <f t="shared" si="2393"/>
        <v>31326</v>
      </c>
      <c r="CA654" s="109">
        <f t="shared" ref="CA654" si="2420">SUM(CA225:CA231)+SUM(CA263:CA273)+SUM(CA351:CA388)+SUM(CA398:CA399)+SUM(CA424:CA425)+SUM(CA471:CA476)+SUM(CA509)+SUM(CA511)+SUM(CA514)+SUM(CA516)+SUM(CA520)+SUM(CA524:CA525)+SUM(CA527)+SUM(CA528)+SUM(CA531)+SUM(CA560:CA562)</f>
        <v>31702</v>
      </c>
      <c r="CB654" s="47">
        <f t="shared" si="2393"/>
        <v>26375</v>
      </c>
      <c r="CC654" s="47">
        <f t="shared" si="2393"/>
        <v>40452</v>
      </c>
      <c r="CD654" s="44">
        <f t="shared" si="2393"/>
        <v>42127</v>
      </c>
      <c r="CE654" s="109">
        <f t="shared" ref="CE654" si="2421">SUM(CE225:CE231)+SUM(CE263:CE273)+SUM(CE351:CE388)+SUM(CE398:CE399)+SUM(CE424:CE425)+SUM(CE471:CE476)+SUM(CE509)+SUM(CE511)+SUM(CE514)+SUM(CE516)+SUM(CE520)+SUM(CE524:CE525)+SUM(CE527)+SUM(CE528)+SUM(CE531)+SUM(CE560:CE562)</f>
        <v>28034</v>
      </c>
      <c r="CF654" s="43">
        <f>SUM(CF225:CF231)+SUM(CF263:CF273)+SUM(CF351:CF388)+SUM(CF398:CF399)+SUM(CF424:CF425)+SUM(CF471:CF476)+SUM(CF509)+SUM(CF511)+SUM(CF514)+SUM(CF516)+SUM(CF520)+SUM(CF524:CF525)+SUM(CF527)+SUM(CF528)+SUM(CF531)+SUM(CF560:CF562)</f>
        <v>20746</v>
      </c>
      <c r="CG654" s="45">
        <f>SUM(CG225:CG231)+SUM(CG263:CG273)+SUM(CG351:CG388)+SUM(CG398:CG399)+SUM(CG424:CG425)+SUM(CG471:CG476)+SUM(CG509)+SUM(CG511)+SUM(CG514)+SUM(CG516)+SUM(CG520)+SUM(CG524:CG525)+SUM(CG527)+SUM(CG528)+SUM(CG531)+SUM(CG560:CG562)</f>
        <v>13549</v>
      </c>
      <c r="CH654" s="46">
        <f t="shared" ref="CH654:CJ654" si="2422">SUM(CH225:CH231)+SUM(CH263:CH273)+SUM(CH351:CH388)+SUM(CH398:CH399)+SUM(CH424:CH425)+SUM(CH471:CH476)+SUM(CH509)+SUM(CH511)+SUM(CH514)+SUM(CH516)+SUM(CH520)+SUM(CH524:CH525)+SUM(CH527)+SUM(CH528)+SUM(CH531)+SUM(CH560:CH562)</f>
        <v>15600</v>
      </c>
      <c r="CI654" s="46">
        <f t="shared" si="2422"/>
        <v>13841</v>
      </c>
      <c r="CJ654" s="46">
        <f t="shared" si="2422"/>
        <v>15857</v>
      </c>
      <c r="CK654" s="95">
        <f>SUM(CK225:CK231)+SUM(CK263:CK273)+SUM(CK351:CK388)+SUM(CK398:CK399)+SUM(CK424:CK425)+SUM(CK471:CK476)+SUM(CK509)+SUM(CK511)+SUM(CK514)+SUM(CK516)+SUM(CK520)+SUM(CK524:CK525)+SUM(CK527)+SUM(CK528)+SUM(CK531)+SUM(CK560:CK562)</f>
        <v>30259</v>
      </c>
    </row>
    <row r="655" spans="1:89" ht="13" x14ac:dyDescent="0.25">
      <c r="A655" s="91"/>
      <c r="B655" s="96" t="s">
        <v>677</v>
      </c>
      <c r="C655" s="93">
        <f>SUM(C204:C207)+SUM(C400:C418)+SUM(C428:C470)+SUM(C483:C494)</f>
        <v>85412</v>
      </c>
      <c r="D655" s="93">
        <f>SUM(D204:D207)+SUM(D400:D418)+SUM(D428:D470)+SUM(D483:D494)</f>
        <v>66325</v>
      </c>
      <c r="E655" s="89">
        <v>0.5914016078294303</v>
      </c>
      <c r="F655" s="45">
        <f t="shared" ref="F655:CD655" si="2423">SUM(F204:F207)+SUM(F400:F418)+SUM(F428:F470)+SUM(F483:F494)</f>
        <v>0</v>
      </c>
      <c r="G655" s="109">
        <f t="shared" ref="G655" si="2424">SUM(G204:G207)+SUM(G400:G418)+SUM(G428:G470)+SUM(G483:G494)</f>
        <v>0</v>
      </c>
      <c r="H655" s="109">
        <f t="shared" ref="H655:Q655" si="2425">SUM(H204:H207)+SUM(H400:H418)+SUM(H428:H470)+SUM(H483:H494)</f>
        <v>1</v>
      </c>
      <c r="I655" s="109">
        <f t="shared" si="2425"/>
        <v>19</v>
      </c>
      <c r="J655" s="109">
        <f t="shared" ref="J655:K655" si="2426">SUM(J204:J207)+SUM(J400:J418)+SUM(J428:J470)+SUM(J483:J494)</f>
        <v>131</v>
      </c>
      <c r="K655" s="109">
        <f t="shared" si="2426"/>
        <v>0</v>
      </c>
      <c r="L655" s="109">
        <f t="shared" si="2425"/>
        <v>1</v>
      </c>
      <c r="M655" s="109">
        <f t="shared" si="2425"/>
        <v>21284</v>
      </c>
      <c r="N655" s="109">
        <f t="shared" si="2425"/>
        <v>0</v>
      </c>
      <c r="O655" s="109">
        <f t="shared" si="2425"/>
        <v>0</v>
      </c>
      <c r="P655" s="46">
        <f t="shared" si="2425"/>
        <v>376</v>
      </c>
      <c r="Q655" s="46">
        <f t="shared" si="2425"/>
        <v>107</v>
      </c>
      <c r="R655" s="46">
        <f t="shared" ref="R655" si="2427">SUM(R204:R207)+SUM(R400:R418)+SUM(R428:R470)+SUM(R483:R494)</f>
        <v>43532</v>
      </c>
      <c r="S655" s="47">
        <f t="shared" si="2423"/>
        <v>1</v>
      </c>
      <c r="T655" s="45">
        <f>SUM(T204:T207)+SUM(T400:T418)+SUM(T428:T470)+SUM(T483:T494)</f>
        <v>19780</v>
      </c>
      <c r="U655" s="47">
        <f t="shared" ref="U655:V655" si="2428">SUM(U204:U207)+SUM(U400:U418)+SUM(U428:U470)+SUM(U483:U494)</f>
        <v>43926</v>
      </c>
      <c r="V655" s="45">
        <f t="shared" si="2428"/>
        <v>45947</v>
      </c>
      <c r="W655" s="47">
        <f>SUM(W204:W207)+SUM(W400:W418)+SUM(W428:W470)+SUM(W483:W494)</f>
        <v>18333</v>
      </c>
      <c r="X655" s="45">
        <f>SUM(X204:X207)+SUM(X400:X418)+SUM(X428:X470)+SUM(X483:X494)</f>
        <v>20131</v>
      </c>
      <c r="Y655" s="47">
        <f>SUM(Y204:Y207)+SUM(Y400:Y418)+SUM(Y428:Y470)+SUM(Y483:Y494)</f>
        <v>42507</v>
      </c>
      <c r="Z655" s="109">
        <f t="shared" ref="Z655:AE655" si="2429">SUM(Z204:Z207)+SUM(Z400:Z418)+SUM(Z428:Z470)+SUM(Z483:Z494)</f>
        <v>22450</v>
      </c>
      <c r="AA655" s="46">
        <f t="shared" si="2429"/>
        <v>1</v>
      </c>
      <c r="AB655" s="46">
        <f t="shared" si="2429"/>
        <v>2374</v>
      </c>
      <c r="AC655" s="46">
        <f t="shared" si="2429"/>
        <v>40012</v>
      </c>
      <c r="AD655" s="46">
        <f t="shared" si="2429"/>
        <v>0</v>
      </c>
      <c r="AE655" s="43">
        <f t="shared" si="2429"/>
        <v>0</v>
      </c>
      <c r="AF655" s="95">
        <f t="shared" si="2423"/>
        <v>7</v>
      </c>
      <c r="AG655" s="109">
        <f t="shared" ref="AG655" si="2430">SUM(AG204:AG207)+SUM(AG400:AG418)+SUM(AG428:AG470)+SUM(AG483:AG494)</f>
        <v>5789</v>
      </c>
      <c r="AH655" s="47">
        <f t="shared" si="2423"/>
        <v>9337</v>
      </c>
      <c r="AI655" s="45">
        <f t="shared" si="2423"/>
        <v>32783</v>
      </c>
      <c r="AJ655" s="43">
        <f t="shared" si="2423"/>
        <v>14824</v>
      </c>
      <c r="AK655" s="45">
        <f t="shared" ref="AK655" si="2431">SUM(AK204:AK207)+SUM(AK400:AK418)+SUM(AK428:AK470)+SUM(AK483:AK494)</f>
        <v>43058</v>
      </c>
      <c r="AL655" s="47">
        <f t="shared" si="2423"/>
        <v>19566</v>
      </c>
      <c r="AM655" s="45">
        <f t="shared" si="2423"/>
        <v>0</v>
      </c>
      <c r="AN655" s="95">
        <f t="shared" si="2423"/>
        <v>0</v>
      </c>
      <c r="AO655" s="109">
        <f t="shared" ref="AO655" si="2432">SUM(AO204:AO207)+SUM(AO400:AO418)+SUM(AO428:AO470)+SUM(AO483:AO494)</f>
        <v>0</v>
      </c>
      <c r="AP655" s="47">
        <f t="shared" si="2423"/>
        <v>0</v>
      </c>
      <c r="AQ655" s="45">
        <f t="shared" ref="AQ655" si="2433">SUM(AQ204:AQ207)+SUM(AQ400:AQ418)+SUM(AQ428:AQ470)+SUM(AQ483:AQ494)</f>
        <v>0</v>
      </c>
      <c r="AR655" s="95">
        <f t="shared" si="2423"/>
        <v>0</v>
      </c>
      <c r="AS655" s="109">
        <f t="shared" ref="AS655" si="2434">SUM(AS204:AS207)+SUM(AS400:AS418)+SUM(AS428:AS470)+SUM(AS483:AS494)</f>
        <v>0</v>
      </c>
      <c r="AT655" s="47">
        <f t="shared" si="2423"/>
        <v>0</v>
      </c>
      <c r="AU655" s="45">
        <f t="shared" ref="AU655" si="2435">SUM(AU204:AU207)+SUM(AU400:AU418)+SUM(AU428:AU470)+SUM(AU483:AU494)</f>
        <v>0</v>
      </c>
      <c r="AV655" s="109">
        <f t="shared" ref="AV655" si="2436">SUM(AV204:AV207)+SUM(AV400:AV418)+SUM(AV428:AV470)+SUM(AV483:AV494)</f>
        <v>0</v>
      </c>
      <c r="AW655" s="109">
        <f t="shared" si="2423"/>
        <v>0</v>
      </c>
      <c r="AX655" s="45">
        <f t="shared" ref="AX655" si="2437">SUM(AX204:AX207)+SUM(AX400:AX418)+SUM(AX428:AX470)+SUM(AX483:AX494)</f>
        <v>0</v>
      </c>
      <c r="AY655" s="47">
        <f t="shared" si="2423"/>
        <v>0</v>
      </c>
      <c r="AZ655" s="45">
        <f t="shared" si="2423"/>
        <v>19486</v>
      </c>
      <c r="BA655" s="95">
        <f t="shared" si="2423"/>
        <v>42863</v>
      </c>
      <c r="BB655" s="45">
        <f t="shared" ref="BB655" si="2438">SUM(BB204:BB207)+SUM(BB400:BB418)+SUM(BB428:BB470)+SUM(BB483:BB494)</f>
        <v>43365</v>
      </c>
      <c r="BC655" s="47">
        <f>SUM(BC204:BC207)+SUM(BC400:BC418)+SUM(BC428:BC470)+SUM(BC483:BC494)</f>
        <v>18426</v>
      </c>
      <c r="BD655" s="45">
        <f t="shared" ref="BD655" si="2439">SUM(BD204:BD207)+SUM(BD400:BD418)+SUM(BD428:BD470)+SUM(BD483:BD494)</f>
        <v>42279</v>
      </c>
      <c r="BE655" s="95">
        <f>SUM(BE204:BE207)+SUM(BE400:BE418)+SUM(BE428:BE470)+SUM(BE483:BE494)</f>
        <v>19122</v>
      </c>
      <c r="BF655" s="109">
        <f t="shared" ref="BF655" si="2440">SUM(BF204:BF207)+SUM(BF400:BF418)+SUM(BF428:BF470)+SUM(BF483:BF494)</f>
        <v>18869</v>
      </c>
      <c r="BG655" s="47">
        <f>SUM(BG204:BG207)+SUM(BG400:BG418)+SUM(BG428:BG470)+SUM(BG483:BG494)</f>
        <v>42180</v>
      </c>
      <c r="BH655" s="45">
        <f t="shared" ref="BH655" si="2441">SUM(BH204:BH207)+SUM(BH400:BH418)+SUM(BH428:BH470)+SUM(BH483:BH494)</f>
        <v>45008</v>
      </c>
      <c r="BI655" s="47">
        <f>SUM(BI204:BI207)+SUM(BI400:BI418)+SUM(BI428:BI470)+SUM(BI483:BI494)</f>
        <v>17068</v>
      </c>
      <c r="BJ655" s="109">
        <f t="shared" ref="BJ655:BK655" si="2442">SUM(BJ204:BJ207)+SUM(BJ400:BJ418)+SUM(BJ428:BJ470)+SUM(BJ483:BJ494)</f>
        <v>2904</v>
      </c>
      <c r="BK655" s="43">
        <f t="shared" si="2442"/>
        <v>39850</v>
      </c>
      <c r="BL655" s="95">
        <f t="shared" si="2423"/>
        <v>19526</v>
      </c>
      <c r="BM655" s="109">
        <f t="shared" ref="BM655:BN655" si="2443">SUM(BM204:BM207)+SUM(BM400:BM418)+SUM(BM428:BM470)+SUM(BM483:BM494)</f>
        <v>21736</v>
      </c>
      <c r="BN655" s="46">
        <f t="shared" si="2443"/>
        <v>38740</v>
      </c>
      <c r="BO655" s="47">
        <f t="shared" si="2423"/>
        <v>2026</v>
      </c>
      <c r="BP655" s="45">
        <f t="shared" ref="BP655" si="2444">SUM(BP204:BP207)+SUM(BP400:BP418)+SUM(BP428:BP470)+SUM(BP483:BP494)</f>
        <v>43197</v>
      </c>
      <c r="BQ655" s="47">
        <f t="shared" ref="BQ655" si="2445">SUM(BQ204:BQ207)+SUM(BQ400:BQ418)+SUM(BQ428:BQ470)+SUM(BQ483:BQ494)</f>
        <v>18687</v>
      </c>
      <c r="BR655" s="45">
        <f t="shared" ref="BR655" si="2446">SUM(BR204:BR207)+SUM(BR400:BR418)+SUM(BR428:BR470)+SUM(BR483:BR494)</f>
        <v>16627</v>
      </c>
      <c r="BS655" s="47">
        <f t="shared" si="2423"/>
        <v>46287</v>
      </c>
      <c r="BT655" s="45">
        <f t="shared" ref="BT655:BU655" si="2447">SUM(BT204:BT207)+SUM(BT400:BT418)+SUM(BT428:BT470)+SUM(BT483:BT494)</f>
        <v>40621</v>
      </c>
      <c r="BU655" s="43">
        <f t="shared" si="2447"/>
        <v>2920</v>
      </c>
      <c r="BV655" s="95">
        <f t="shared" si="2423"/>
        <v>17842</v>
      </c>
      <c r="BW655" s="109">
        <f t="shared" ref="BW655" si="2448">SUM(BW204:BW207)+SUM(BW400:BW418)+SUM(BW428:BW470)+SUM(BW483:BW494)</f>
        <v>19757</v>
      </c>
      <c r="BX655" s="47">
        <f t="shared" si="2423"/>
        <v>43822</v>
      </c>
      <c r="BY655" s="45">
        <f t="shared" ref="BY655" si="2449">SUM(BY204:BY207)+SUM(BY400:BY418)+SUM(BY428:BY470)+SUM(BY483:BY494)</f>
        <v>20038</v>
      </c>
      <c r="BZ655" s="95">
        <f t="shared" si="2423"/>
        <v>40858</v>
      </c>
      <c r="CA655" s="109">
        <f t="shared" ref="CA655" si="2450">SUM(CA204:CA207)+SUM(CA400:CA418)+SUM(CA428:CA470)+SUM(CA483:CA494)</f>
        <v>41222</v>
      </c>
      <c r="CB655" s="47">
        <f t="shared" si="2423"/>
        <v>20330</v>
      </c>
      <c r="CC655" s="47">
        <f t="shared" si="2423"/>
        <v>49180</v>
      </c>
      <c r="CD655" s="44">
        <f t="shared" si="2423"/>
        <v>40859</v>
      </c>
      <c r="CE655" s="109">
        <f t="shared" ref="CE655" si="2451">SUM(CE204:CE207)+SUM(CE400:CE418)+SUM(CE428:CE470)+SUM(CE483:CE494)</f>
        <v>35027</v>
      </c>
      <c r="CF655" s="43">
        <f>SUM(CF204:CF207)+SUM(CF400:CF418)+SUM(CF428:CF470)+SUM(CF483:CF494)</f>
        <v>17559</v>
      </c>
      <c r="CG655" s="45">
        <f>SUM(CG204:CG207)+SUM(CG400:CG418)+SUM(CG428:CG470)+SUM(CG483:CG494)</f>
        <v>15139</v>
      </c>
      <c r="CH655" s="46">
        <f t="shared" ref="CH655:CJ655" si="2452">SUM(CH204:CH207)+SUM(CH400:CH418)+SUM(CH428:CH470)+SUM(CH483:CH494)</f>
        <v>25377</v>
      </c>
      <c r="CI655" s="46">
        <f t="shared" si="2452"/>
        <v>9080</v>
      </c>
      <c r="CJ655" s="46">
        <f t="shared" si="2452"/>
        <v>11257</v>
      </c>
      <c r="CK655" s="95">
        <f>SUM(CK204:CK207)+SUM(CK400:CK418)+SUM(CK428:CK470)+SUM(CK483:CK494)</f>
        <v>38521</v>
      </c>
    </row>
    <row r="656" spans="1:89" ht="13" x14ac:dyDescent="0.25">
      <c r="A656" s="91"/>
      <c r="B656" s="96" t="s">
        <v>678</v>
      </c>
      <c r="C656" s="93">
        <f>SUM(C27:C31)+C42+C47+SUM(C51:C52)+SUM(C65:C66)+SUM(C68:C85)+SUM(C87:C88)+C91+SUM(C104:C105)+SUM(C111:C117)+C121+C128+C131+SUM(C133:C134)+C175+SUM(C177:C178)+C181+SUM(C186:C187)+SUM(C190:C191)</f>
        <v>63612</v>
      </c>
      <c r="D656" s="93">
        <f>SUM(D27:D31)+D42+D47+SUM(D51:D52)+SUM(D65:D66)+SUM(D68:D85)+SUM(D87:D88)+D91+SUM(D104:D105)+SUM(D111:D117)+D121+D128+D131+SUM(D133:D134)+D175+SUM(D177:D178)+D181+SUM(D186:D187)+SUM(D190:D191)</f>
        <v>29519</v>
      </c>
      <c r="E656" s="89">
        <v>0.30489049740163326</v>
      </c>
      <c r="F656" s="45">
        <f t="shared" ref="F656:CD656" si="2453">SUM(F27:F31)+F42+F47+SUM(F51:F52)+SUM(F65:F66)+SUM(F68:F85)+SUM(F87:F88)+F91+SUM(F104:F105)+SUM(F111:F117)+F121+F128+F131+SUM(F133:F134)+F175+SUM(F177:F178)+F181+SUM(F186:F187)+SUM(F190:F191)</f>
        <v>0</v>
      </c>
      <c r="G656" s="109">
        <f t="shared" ref="G656" si="2454">SUM(G27:G31)+G42+G47+SUM(G51:G52)+SUM(G65:G66)+SUM(G68:G85)+SUM(G87:G88)+G91+SUM(G104:G105)+SUM(G111:G117)+G121+G128+G131+SUM(G133:G134)+G175+SUM(G177:G178)+G181+SUM(G186:G187)+SUM(G190:G191)</f>
        <v>0</v>
      </c>
      <c r="H656" s="109">
        <f t="shared" ref="H656:Q656" si="2455">SUM(H27:H31)+H42+H47+SUM(H51:H52)+SUM(H65:H66)+SUM(H68:H85)+SUM(H87:H88)+H91+SUM(H104:H105)+SUM(H111:H117)+H121+H128+H131+SUM(H133:H134)+H175+SUM(H177:H178)+H181+SUM(H186:H187)+SUM(H190:H191)</f>
        <v>0</v>
      </c>
      <c r="I656" s="109">
        <f t="shared" si="2455"/>
        <v>45</v>
      </c>
      <c r="J656" s="109">
        <f t="shared" ref="J656:K656" si="2456">SUM(J27:J31)+J42+J47+SUM(J51:J52)+SUM(J65:J66)+SUM(J68:J85)+SUM(J87:J88)+J91+SUM(J104:J105)+SUM(J111:J117)+J121+J128+J131+SUM(J133:J134)+J175+SUM(J177:J178)+J181+SUM(J186:J187)+SUM(J190:J191)</f>
        <v>55</v>
      </c>
      <c r="K656" s="109">
        <f t="shared" si="2456"/>
        <v>0</v>
      </c>
      <c r="L656" s="109">
        <f t="shared" si="2455"/>
        <v>0</v>
      </c>
      <c r="M656" s="109">
        <f t="shared" si="2455"/>
        <v>24428</v>
      </c>
      <c r="N656" s="109">
        <f t="shared" si="2455"/>
        <v>0</v>
      </c>
      <c r="O656" s="109">
        <f t="shared" si="2455"/>
        <v>0</v>
      </c>
      <c r="P656" s="46">
        <f t="shared" si="2455"/>
        <v>159</v>
      </c>
      <c r="Q656" s="46">
        <f t="shared" si="2455"/>
        <v>43</v>
      </c>
      <c r="R656" s="46">
        <f t="shared" ref="R656" si="2457">SUM(R27:R31)+R42+R47+SUM(R51:R52)+SUM(R65:R66)+SUM(R68:R85)+SUM(R87:R88)+R91+SUM(R104:R105)+SUM(R111:R117)+R121+R128+R131+SUM(R133:R134)+R175+SUM(R177:R178)+R181+SUM(R186:R187)+SUM(R190:R191)</f>
        <v>4243</v>
      </c>
      <c r="S656" s="47">
        <f t="shared" si="2453"/>
        <v>21</v>
      </c>
      <c r="T656" s="45">
        <f>SUM(T27:T31)+T42+T47+SUM(T51:T52)+SUM(T65:T66)+SUM(T68:T85)+SUM(T87:T88)+T91+SUM(T104:T105)+SUM(T111:T117)+T121+T128+T131+SUM(T133:T134)+T175+SUM(T177:T178)+T181+SUM(T186:T187)+SUM(T190:T191)</f>
        <v>23868</v>
      </c>
      <c r="U656" s="47">
        <f t="shared" ref="U656:V656" si="2458">SUM(U27:U31)+U42+U47+SUM(U51:U52)+SUM(U65:U66)+SUM(U68:U85)+SUM(U87:U88)+U91+SUM(U104:U105)+SUM(U111:U117)+U121+U128+U131+SUM(U133:U134)+U175+SUM(U177:U178)+U181+SUM(U186:U187)+SUM(U190:U191)</f>
        <v>4504</v>
      </c>
      <c r="V656" s="45">
        <f t="shared" si="2458"/>
        <v>4838</v>
      </c>
      <c r="W656" s="47">
        <f>SUM(W27:W31)+W42+W47+SUM(W51:W52)+SUM(W65:W66)+SUM(W68:W85)+SUM(W87:W88)+W91+SUM(W104:W105)+SUM(W111:W117)+W121+W128+W131+SUM(W133:W134)+W175+SUM(W177:W178)+W181+SUM(W186:W187)+SUM(W190:W191)</f>
        <v>23557</v>
      </c>
      <c r="X656" s="45">
        <f>SUM(X27:X31)+X42+X47+SUM(X51:X52)+SUM(X65:X66)+SUM(X68:X85)+SUM(X87:X88)+X91+SUM(X104:X105)+SUM(X111:X117)+X121+X128+X131+SUM(X133:X134)+X175+SUM(X177:X178)+X181+SUM(X186:X187)+SUM(X190:X191)</f>
        <v>23869</v>
      </c>
      <c r="Y656" s="47">
        <f>SUM(Y27:Y31)+Y42+Y47+SUM(Y51:Y52)+SUM(Y65:Y66)+SUM(Y68:Y85)+SUM(Y87:Y88)+Y91+SUM(Y104:Y105)+SUM(Y111:Y117)+Y121+Y128+Y131+SUM(Y133:Y134)+Y175+SUM(Y177:Y178)+Y181+SUM(Y186:Y187)+SUM(Y190:Y191)</f>
        <v>4149</v>
      </c>
      <c r="Z656" s="109">
        <f t="shared" ref="Z656:AE656" si="2459">SUM(Z27:Z31)+Z42+Z47+SUM(Z51:Z52)+SUM(Z65:Z66)+SUM(Z68:Z85)+SUM(Z87:Z88)+Z91+SUM(Z104:Z105)+SUM(Z111:Z117)+Z121+Z128+Z131+SUM(Z133:Z134)+Z175+SUM(Z177:Z178)+Z181+SUM(Z186:Z187)+SUM(Z190:Z191)</f>
        <v>24080</v>
      </c>
      <c r="AA656" s="46">
        <f t="shared" si="2459"/>
        <v>0</v>
      </c>
      <c r="AB656" s="46">
        <f t="shared" si="2459"/>
        <v>950</v>
      </c>
      <c r="AC656" s="46">
        <f t="shared" si="2459"/>
        <v>3708</v>
      </c>
      <c r="AD656" s="46">
        <f t="shared" si="2459"/>
        <v>0</v>
      </c>
      <c r="AE656" s="43">
        <f t="shared" si="2459"/>
        <v>0</v>
      </c>
      <c r="AF656" s="95">
        <f t="shared" si="2453"/>
        <v>7</v>
      </c>
      <c r="AG656" s="109">
        <f t="shared" ref="AG656" si="2460">SUM(AG27:AG31)+AG42+AG47+SUM(AG51:AG52)+SUM(AG65:AG66)+SUM(AG68:AG85)+SUM(AG87:AG88)+AG91+SUM(AG104:AG105)+SUM(AG111:AG117)+AG121+AG128+AG131+SUM(AG133:AG134)+AG175+SUM(AG177:AG178)+AG181+SUM(AG186:AG187)+SUM(AG190:AG191)</f>
        <v>24013</v>
      </c>
      <c r="AH656" s="47">
        <f t="shared" si="2453"/>
        <v>4111</v>
      </c>
      <c r="AI656" s="45">
        <f t="shared" si="2453"/>
        <v>0</v>
      </c>
      <c r="AJ656" s="43">
        <f t="shared" si="2453"/>
        <v>0</v>
      </c>
      <c r="AK656" s="45">
        <f t="shared" ref="AK656" si="2461">SUM(AK27:AK31)+AK42+AK47+SUM(AK51:AK52)+SUM(AK65:AK66)+SUM(AK68:AK85)+SUM(AK87:AK88)+AK91+SUM(AK104:AK105)+SUM(AK111:AK117)+AK121+AK128+AK131+SUM(AK133:AK134)+AK175+SUM(AK177:AK178)+AK181+SUM(AK186:AK187)+SUM(AK190:AK191)</f>
        <v>0</v>
      </c>
      <c r="AL656" s="47">
        <f t="shared" si="2453"/>
        <v>0</v>
      </c>
      <c r="AM656" s="45">
        <f t="shared" si="2453"/>
        <v>12380</v>
      </c>
      <c r="AN656" s="95">
        <f t="shared" si="2453"/>
        <v>2311</v>
      </c>
      <c r="AO656" s="109">
        <f t="shared" ref="AO656" si="2462">SUM(AO27:AO31)+AO42+AO47+SUM(AO51:AO52)+SUM(AO65:AO66)+SUM(AO68:AO85)+SUM(AO87:AO88)+AO91+SUM(AO104:AO105)+SUM(AO111:AO117)+AO121+AO128+AO131+SUM(AO133:AO134)+AO175+SUM(AO177:AO178)+AO181+SUM(AO186:AO187)+SUM(AO190:AO191)</f>
        <v>952</v>
      </c>
      <c r="AP656" s="47">
        <f t="shared" si="2453"/>
        <v>7679</v>
      </c>
      <c r="AQ656" s="45">
        <f t="shared" ref="AQ656" si="2463">SUM(AQ27:AQ31)+AQ42+AQ47+SUM(AQ51:AQ52)+SUM(AQ65:AQ66)+SUM(AQ68:AQ85)+SUM(AQ87:AQ88)+AQ91+SUM(AQ104:AQ105)+SUM(AQ111:AQ117)+AQ121+AQ128+AQ131+SUM(AQ133:AQ134)+AQ175+SUM(AQ177:AQ178)+AQ181+SUM(AQ186:AQ187)+SUM(AQ190:AQ191)</f>
        <v>815</v>
      </c>
      <c r="AR656" s="95">
        <f t="shared" si="2453"/>
        <v>3925</v>
      </c>
      <c r="AS656" s="109">
        <f t="shared" ref="AS656" si="2464">SUM(AS27:AS31)+AS42+AS47+SUM(AS51:AS52)+SUM(AS65:AS66)+SUM(AS68:AS85)+SUM(AS87:AS88)+AS91+SUM(AS104:AS105)+SUM(AS111:AS117)+AS121+AS128+AS131+SUM(AS133:AS134)+AS175+SUM(AS177:AS178)+AS181+SUM(AS186:AS187)+SUM(AS190:AS191)</f>
        <v>0</v>
      </c>
      <c r="AT656" s="47">
        <f t="shared" si="2453"/>
        <v>0</v>
      </c>
      <c r="AU656" s="45">
        <f t="shared" ref="AU656" si="2465">SUM(AU27:AU31)+AU42+AU47+SUM(AU51:AU52)+SUM(AU65:AU66)+SUM(AU68:AU85)+SUM(AU87:AU88)+AU91+SUM(AU104:AU105)+SUM(AU111:AU117)+AU121+AU128+AU131+SUM(AU133:AU134)+AU175+SUM(AU177:AU178)+AU181+SUM(AU186:AU187)+SUM(AU190:AU191)</f>
        <v>0</v>
      </c>
      <c r="AV656" s="109">
        <f t="shared" ref="AV656" si="2466">SUM(AV27:AV31)+AV42+AV47+SUM(AV51:AV52)+SUM(AV65:AV66)+SUM(AV68:AV85)+SUM(AV87:AV88)+AV91+SUM(AV104:AV105)+SUM(AV111:AV117)+AV121+AV128+AV131+SUM(AV133:AV134)+AV175+SUM(AV177:AV178)+AV181+SUM(AV186:AV187)+SUM(AV190:AV191)</f>
        <v>0</v>
      </c>
      <c r="AW656" s="109">
        <f t="shared" si="2453"/>
        <v>0</v>
      </c>
      <c r="AX656" s="45">
        <f t="shared" ref="AX656" si="2467">SUM(AX27:AX31)+AX42+AX47+SUM(AX51:AX52)+SUM(AX65:AX66)+SUM(AX68:AX85)+SUM(AX87:AX88)+AX91+SUM(AX104:AX105)+SUM(AX111:AX117)+AX121+AX128+AX131+SUM(AX133:AX134)+AX175+SUM(AX177:AX178)+AX181+SUM(AX186:AX187)+SUM(AX190:AX191)</f>
        <v>0</v>
      </c>
      <c r="AY656" s="47">
        <f t="shared" si="2453"/>
        <v>0</v>
      </c>
      <c r="AZ656" s="45">
        <f t="shared" si="2453"/>
        <v>0</v>
      </c>
      <c r="BA656" s="95">
        <f t="shared" si="2453"/>
        <v>0</v>
      </c>
      <c r="BB656" s="45">
        <f t="shared" ref="BB656" si="2468">SUM(BB27:BB31)+BB42+BB47+SUM(BB51:BB52)+SUM(BB65:BB66)+SUM(BB68:BB85)+SUM(BB87:BB88)+BB91+SUM(BB104:BB105)+SUM(BB111:BB117)+BB121+BB128+BB131+SUM(BB133:BB134)+BB175+SUM(BB177:BB178)+BB181+SUM(BB186:BB187)+SUM(BB190:BB191)</f>
        <v>4449</v>
      </c>
      <c r="BC656" s="47">
        <f>SUM(BC27:BC31)+BC42+BC47+SUM(BC51:BC52)+SUM(BC65:BC66)+SUM(BC68:BC85)+SUM(BC87:BC88)+BC91+SUM(BC104:BC105)+SUM(BC111:BC117)+BC121+BC128+BC131+SUM(BC133:BC134)+BC175+SUM(BC177:BC178)+BC181+SUM(BC186:BC187)+SUM(BC190:BC191)</f>
        <v>23261</v>
      </c>
      <c r="BD656" s="45">
        <f t="shared" ref="BD656" si="2469">SUM(BD27:BD31)+BD42+BD47+SUM(BD51:BD52)+SUM(BD65:BD66)+SUM(BD68:BD85)+SUM(BD87:BD88)+BD91+SUM(BD104:BD105)+SUM(BD111:BD117)+BD121+BD128+BD131+SUM(BD133:BD134)+BD175+SUM(BD177:BD178)+BD181+SUM(BD186:BD187)+SUM(BD190:BD191)</f>
        <v>4144</v>
      </c>
      <c r="BE656" s="95">
        <f>SUM(BE27:BE31)+BE42+BE47+SUM(BE51:BE52)+SUM(BE65:BE66)+SUM(BE68:BE85)+SUM(BE87:BE88)+BE91+SUM(BE104:BE105)+SUM(BE111:BE117)+BE121+BE128+BE131+SUM(BE133:BE134)+BE175+SUM(BE177:BE178)+BE181+SUM(BE186:BE187)+SUM(BE190:BE191)</f>
        <v>23533</v>
      </c>
      <c r="BF656" s="109">
        <f t="shared" ref="BF656" si="2470">SUM(BF27:BF31)+BF42+BF47+SUM(BF51:BF52)+SUM(BF65:BF66)+SUM(BF68:BF85)+SUM(BF87:BF88)+BF91+SUM(BF104:BF105)+SUM(BF111:BF117)+BF121+BF128+BF131+SUM(BF133:BF134)+BF175+SUM(BF177:BF178)+BF181+SUM(BF186:BF187)+SUM(BF190:BF191)</f>
        <v>23337</v>
      </c>
      <c r="BG656" s="47">
        <f>SUM(BG27:BG31)+BG42+BG47+SUM(BG51:BG52)+SUM(BG65:BG66)+SUM(BG68:BG85)+SUM(BG87:BG88)+BG91+SUM(BG104:BG105)+SUM(BG111:BG117)+BG121+BG128+BG131+SUM(BG133:BG134)+BG175+SUM(BG177:BG178)+BG181+SUM(BG186:BG187)+SUM(BG190:BG191)</f>
        <v>4202</v>
      </c>
      <c r="BH656" s="45">
        <f t="shared" ref="BH656" si="2471">SUM(BH27:BH31)+BH42+BH47+SUM(BH51:BH52)+SUM(BH65:BH66)+SUM(BH68:BH85)+SUM(BH87:BH88)+BH91+SUM(BH104:BH105)+SUM(BH111:BH117)+BH121+BH128+BH131+SUM(BH133:BH134)+BH175+SUM(BH177:BH178)+BH181+SUM(BH186:BH187)+SUM(BH190:BH191)</f>
        <v>4572</v>
      </c>
      <c r="BI656" s="47">
        <f>SUM(BI27:BI31)+BI42+BI47+SUM(BI51:BI52)+SUM(BI65:BI66)+SUM(BI68:BI85)+SUM(BI87:BI88)+BI91+SUM(BI104:BI105)+SUM(BI111:BI117)+BI121+BI128+BI131+SUM(BI133:BI134)+BI175+SUM(BI177:BI178)+BI181+SUM(BI186:BI187)+SUM(BI190:BI191)</f>
        <v>22862</v>
      </c>
      <c r="BJ656" s="109">
        <f t="shared" ref="BJ656:BK656" si="2472">SUM(BJ27:BJ31)+BJ42+BJ47+SUM(BJ51:BJ52)+SUM(BJ65:BJ66)+SUM(BJ68:BJ85)+SUM(BJ87:BJ88)+BJ91+SUM(BJ104:BJ105)+SUM(BJ111:BJ117)+BJ121+BJ128+BJ131+SUM(BJ133:BJ134)+BJ175+SUM(BJ177:BJ178)+BJ181+SUM(BJ186:BJ187)+SUM(BJ190:BJ191)</f>
        <v>1111</v>
      </c>
      <c r="BK656" s="43">
        <f t="shared" si="2472"/>
        <v>3581</v>
      </c>
      <c r="BL656" s="95">
        <f t="shared" si="2453"/>
        <v>23404</v>
      </c>
      <c r="BM656" s="109">
        <f t="shared" ref="BM656:BN656" si="2473">SUM(BM27:BM31)+BM42+BM47+SUM(BM51:BM52)+SUM(BM65:BM66)+SUM(BM68:BM85)+SUM(BM87:BM88)+BM91+SUM(BM104:BM105)+SUM(BM111:BM117)+BM121+BM128+BM131+SUM(BM133:BM134)+BM175+SUM(BM177:BM178)+BM181+SUM(BM186:BM187)+SUM(BM190:BM191)</f>
        <v>23146</v>
      </c>
      <c r="BN656" s="46">
        <f t="shared" si="2473"/>
        <v>3641</v>
      </c>
      <c r="BO656" s="47">
        <f t="shared" si="2453"/>
        <v>988</v>
      </c>
      <c r="BP656" s="45">
        <f t="shared" ref="BP656" si="2474">SUM(BP27:BP31)+BP42+BP47+SUM(BP51:BP52)+SUM(BP65:BP66)+SUM(BP68:BP85)+SUM(BP87:BP88)+BP91+SUM(BP104:BP105)+SUM(BP111:BP117)+BP121+BP128+BP131+SUM(BP133:BP134)+BP175+SUM(BP177:BP178)+BP181+SUM(BP186:BP187)+SUM(BP190:BP191)</f>
        <v>4255</v>
      </c>
      <c r="BQ656" s="47">
        <f t="shared" ref="BQ656" si="2475">SUM(BQ27:BQ31)+BQ42+BQ47+SUM(BQ51:BQ52)+SUM(BQ65:BQ66)+SUM(BQ68:BQ85)+SUM(BQ87:BQ88)+BQ91+SUM(BQ104:BQ105)+SUM(BQ111:BQ117)+BQ121+BQ128+BQ131+SUM(BQ133:BQ134)+BQ175+SUM(BQ177:BQ178)+BQ181+SUM(BQ186:BQ187)+SUM(BQ190:BQ191)</f>
        <v>23321</v>
      </c>
      <c r="BR656" s="45">
        <f t="shared" ref="BR656" si="2476">SUM(BR27:BR31)+BR42+BR47+SUM(BR51:BR52)+SUM(BR65:BR66)+SUM(BR68:BR85)+SUM(BR87:BR88)+BR91+SUM(BR104:BR105)+SUM(BR111:BR117)+BR121+BR128+BR131+SUM(BR133:BR134)+BR175+SUM(BR177:BR178)+BR181+SUM(BR186:BR187)+SUM(BR190:BR191)</f>
        <v>22438</v>
      </c>
      <c r="BS656" s="47">
        <f t="shared" si="2453"/>
        <v>5332</v>
      </c>
      <c r="BT656" s="45">
        <f t="shared" ref="BT656:BU656" si="2477">SUM(BT27:BT31)+BT42+BT47+SUM(BT51:BT52)+SUM(BT65:BT66)+SUM(BT68:BT85)+SUM(BT87:BT88)+BT91+SUM(BT104:BT105)+SUM(BT111:BT117)+BT121+BT128+BT131+SUM(BT133:BT134)+BT175+SUM(BT177:BT178)+BT181+SUM(BT186:BT187)+SUM(BT190:BT191)</f>
        <v>3861</v>
      </c>
      <c r="BU656" s="43">
        <f t="shared" si="2477"/>
        <v>1171</v>
      </c>
      <c r="BV656" s="95">
        <f t="shared" si="2453"/>
        <v>22683</v>
      </c>
      <c r="BW656" s="109">
        <f t="shared" ref="BW656" si="2478">SUM(BW27:BW31)+BW42+BW47+SUM(BW51:BW52)+SUM(BW65:BW66)+SUM(BW68:BW85)+SUM(BW87:BW88)+BW91+SUM(BW104:BW105)+SUM(BW111:BW117)+BW121+BW128+BW131+SUM(BW133:BW134)+BW175+SUM(BW177:BW178)+BW181+SUM(BW186:BW187)+SUM(BW190:BW191)</f>
        <v>23706</v>
      </c>
      <c r="BX656" s="47">
        <f t="shared" si="2453"/>
        <v>4386</v>
      </c>
      <c r="BY656" s="45">
        <f t="shared" ref="BY656" si="2479">SUM(BY27:BY31)+BY42+BY47+SUM(BY51:BY52)+SUM(BY65:BY66)+SUM(BY68:BY85)+SUM(BY87:BY88)+BY91+SUM(BY104:BY105)+SUM(BY111:BY117)+BY121+BY128+BY131+SUM(BY133:BY134)+BY175+SUM(BY177:BY178)+BY181+SUM(BY186:BY187)+SUM(BY190:BY191)</f>
        <v>23383</v>
      </c>
      <c r="BZ656" s="95">
        <f t="shared" si="2453"/>
        <v>3962</v>
      </c>
      <c r="CA656" s="109">
        <f t="shared" ref="CA656" si="2480">SUM(CA27:CA31)+CA42+CA47+SUM(CA51:CA52)+SUM(CA65:CA66)+SUM(CA68:CA85)+SUM(CA87:CA88)+CA91+SUM(CA104:CA105)+SUM(CA111:CA117)+CA121+CA128+CA131+SUM(CA133:CA134)+CA175+SUM(CA177:CA178)+CA181+SUM(CA186:CA187)+SUM(CA190:CA191)</f>
        <v>4230</v>
      </c>
      <c r="CB656" s="47">
        <f t="shared" si="2453"/>
        <v>23352</v>
      </c>
      <c r="CC656" s="47">
        <f t="shared" si="2453"/>
        <v>11487</v>
      </c>
      <c r="CD656" s="44">
        <f t="shared" si="2453"/>
        <v>24808</v>
      </c>
      <c r="CE656" s="109">
        <f t="shared" ref="CE656" si="2481">SUM(CE27:CE31)+CE42+CE47+SUM(CE51:CE52)+SUM(CE65:CE66)+SUM(CE68:CE85)+SUM(CE87:CE88)+CE91+SUM(CE104:CE105)+SUM(CE111:CE117)+CE121+CE128+CE131+SUM(CE133:CE134)+CE175+SUM(CE177:CE178)+CE181+SUM(CE186:CE187)+SUM(CE190:CE191)</f>
        <v>9341</v>
      </c>
      <c r="CF656" s="43">
        <f>SUM(CF27:CF31)+CF42+CF47+SUM(CF51:CF52)+SUM(CF65:CF66)+SUM(CF68:CF85)+SUM(CF87:CF88)+CF91+SUM(CF104:CF105)+SUM(CF111:CF117)+CF121+CF128+CF131+SUM(CF133:CF134)+CF175+SUM(CF177:CF178)+CF181+SUM(CF186:CF187)+SUM(CF190:CF191)</f>
        <v>14130</v>
      </c>
      <c r="CG656" s="45">
        <f>SUM(CG27:CG31)+CG42+CG47+SUM(CG51:CG52)+SUM(CG65:CG66)+SUM(CG68:CG85)+SUM(CG87:CG88)+CG91+SUM(CG104:CG105)+SUM(CG111:CG117)+CG121+CG128+CG131+SUM(CG133:CG134)+CG175+SUM(CG177:CG178)+CG181+SUM(CG186:CG187)+SUM(CG190:CG191)</f>
        <v>5988</v>
      </c>
      <c r="CH656" s="46">
        <f t="shared" ref="CH656:CJ656" si="2482">SUM(CH27:CH31)+CH42+CH47+SUM(CH51:CH52)+SUM(CH65:CH66)+SUM(CH68:CH85)+SUM(CH87:CH88)+CH91+SUM(CH104:CH105)+SUM(CH111:CH117)+CH121+CH128+CH131+SUM(CH133:CH134)+CH175+SUM(CH177:CH178)+CH181+SUM(CH186:CH187)+SUM(CH190:CH191)</f>
        <v>2542</v>
      </c>
      <c r="CI656" s="46">
        <f t="shared" si="2482"/>
        <v>13389</v>
      </c>
      <c r="CJ656" s="46">
        <f t="shared" si="2482"/>
        <v>14588</v>
      </c>
      <c r="CK656" s="95">
        <f>SUM(CK27:CK31)+CK42+CK47+SUM(CK51:CK52)+SUM(CK65:CK66)+SUM(CK68:CK85)+SUM(CK87:CK88)+CK91+SUM(CK104:CK105)+SUM(CK111:CK117)+CK121+CK128+CK131+SUM(CK133:CK134)+CK175+SUM(CK177:CK178)+CK181+SUM(CK186:CK187)+SUM(CK190:CK191)</f>
        <v>5653</v>
      </c>
    </row>
    <row r="657" spans="1:89" ht="13" x14ac:dyDescent="0.25">
      <c r="A657" s="91"/>
      <c r="B657" s="96" t="s">
        <v>679</v>
      </c>
      <c r="C657" s="93">
        <f>SUM(C16:C17)+C19+C21+SUM(C23:C24)+SUM(C54:C60)+C63+C86+SUM(C89:C90)+C92+SUM(C93:C101)+SUM(C102:C103)+SUM(C106:C110)+C132+SUM(C135:C140)+SUM(C143:C148)+SUM(C150:C152)+SUM(C153:C154)+SUM(C157:C158)+SUM(C160:C161)+C174+C176+SUM(C179:C180)+SUM(C182:C184)+C188+SUM(C390:C394)+C419+SUM(C497:C500)</f>
        <v>78207</v>
      </c>
      <c r="D657" s="93">
        <f>SUM(D16:D17)+D19+D21+SUM(D23:D24)+SUM(D54:D60)+D63+D86+SUM(D89:D90)+D92+SUM(D93:D101)+SUM(D102:D103)+SUM(D106:D110)+D132+SUM(D135:D140)+SUM(D143:D148)+SUM(D150:D152)+SUM(D153:D154)+SUM(D157:D158)+SUM(D160:D161)+D174+D176+SUM(D179:D180)+SUM(D182:D184)+D188+SUM(D390:D394)+D419+SUM(D497:D500)</f>
        <v>49495</v>
      </c>
      <c r="E657" s="89">
        <v>0.46839036169338266</v>
      </c>
      <c r="F657" s="45">
        <f t="shared" ref="F657:CD657" si="2483">SUM(F16:F17)+F19+F21+SUM(F23:F24)+SUM(F54:F60)+F63+F86+SUM(F89:F90)+F92+SUM(F93:F101)+SUM(F102:F103)+SUM(F106:F110)+F132+SUM(F135:F140)+SUM(F143:F148)+SUM(F150:F152)+SUM(F153:F154)+SUM(F157:F158)+SUM(F160:F161)+F174+F176+SUM(F179:F180)+SUM(F182:F184)+F188+SUM(F390:F394)+F419+SUM(F497:F500)</f>
        <v>0</v>
      </c>
      <c r="G657" s="109">
        <f t="shared" ref="G657" si="2484">SUM(G16:G17)+G19+G21+SUM(G23:G24)+SUM(G54:G60)+G63+G86+SUM(G89:G90)+G92+SUM(G93:G101)+SUM(G102:G103)+SUM(G106:G110)+G132+SUM(G135:G140)+SUM(G143:G148)+SUM(G150:G152)+SUM(G153:G154)+SUM(G157:G158)+SUM(G160:G161)+G174+G176+SUM(G179:G180)+SUM(G182:G184)+G188+SUM(G390:G394)+G419+SUM(G497:G500)</f>
        <v>0</v>
      </c>
      <c r="H657" s="109">
        <f t="shared" ref="H657:Q657" si="2485">SUM(H16:H17)+H19+H21+SUM(H23:H24)+SUM(H54:H60)+H63+H86+SUM(H89:H90)+H92+SUM(H93:H101)+SUM(H102:H103)+SUM(H106:H110)+H132+SUM(H135:H140)+SUM(H143:H148)+SUM(H150:H152)+SUM(H153:H154)+SUM(H157:H158)+SUM(H160:H161)+H174+H176+SUM(H179:H180)+SUM(H182:H184)+H188+SUM(H390:H394)+H419+SUM(H497:H500)</f>
        <v>0</v>
      </c>
      <c r="I657" s="109">
        <f t="shared" si="2485"/>
        <v>66</v>
      </c>
      <c r="J657" s="109">
        <f t="shared" ref="J657:K657" si="2486">SUM(J16:J17)+J19+J21+SUM(J23:J24)+SUM(J54:J60)+J63+J86+SUM(J89:J90)+J92+SUM(J93:J101)+SUM(J102:J103)+SUM(J106:J110)+J132+SUM(J135:J140)+SUM(J143:J148)+SUM(J150:J152)+SUM(J153:J154)+SUM(J157:J158)+SUM(J160:J161)+J174+J176+SUM(J179:J180)+SUM(J182:J184)+J188+SUM(J390:J394)+J419+SUM(J497:J500)</f>
        <v>99</v>
      </c>
      <c r="K657" s="109">
        <f t="shared" si="2486"/>
        <v>0</v>
      </c>
      <c r="L657" s="109">
        <f t="shared" si="2485"/>
        <v>0</v>
      </c>
      <c r="M657" s="109">
        <f t="shared" si="2485"/>
        <v>39142</v>
      </c>
      <c r="N657" s="109">
        <f t="shared" si="2485"/>
        <v>0</v>
      </c>
      <c r="O657" s="109">
        <f t="shared" si="2485"/>
        <v>0</v>
      </c>
      <c r="P657" s="46">
        <f t="shared" si="2485"/>
        <v>225</v>
      </c>
      <c r="Q657" s="46">
        <f t="shared" si="2485"/>
        <v>110</v>
      </c>
      <c r="R657" s="46">
        <f t="shared" ref="R657" si="2487">SUM(R16:R17)+R19+R21+SUM(R23:R24)+SUM(R54:R60)+R63+R86+SUM(R89:R90)+R92+SUM(R93:R101)+SUM(R102:R103)+SUM(R106:R110)+R132+SUM(R135:R140)+SUM(R143:R148)+SUM(R150:R152)+SUM(R153:R154)+SUM(R157:R158)+SUM(R160:R161)+R174+R176+SUM(R179:R180)+SUM(R182:R184)+R188+SUM(R390:R394)+R419+SUM(R497:R500)</f>
        <v>9029</v>
      </c>
      <c r="S657" s="47">
        <f t="shared" si="2483"/>
        <v>23</v>
      </c>
      <c r="T657" s="45">
        <f>SUM(T16:T17)+T19+T21+SUM(T23:T24)+SUM(T54:T60)+T63+T86+SUM(T89:T90)+T92+SUM(T93:T101)+SUM(T102:T103)+SUM(T106:T110)+T132+SUM(T135:T140)+SUM(T143:T148)+SUM(T150:T152)+SUM(T153:T154)+SUM(T157:T158)+SUM(T160:T161)+T174+T176+SUM(T179:T180)+SUM(T182:T184)+T188+SUM(T390:T394)+T419+SUM(T497:T500)</f>
        <v>38288</v>
      </c>
      <c r="U657" s="47">
        <f t="shared" ref="U657:V657" si="2488">SUM(U16:U17)+U19+U21+SUM(U23:U24)+SUM(U54:U60)+U63+U86+SUM(U89:U90)+U92+SUM(U93:U101)+SUM(U102:U103)+SUM(U106:U110)+U132+SUM(U135:U140)+SUM(U143:U148)+SUM(U150:U152)+SUM(U153:U154)+SUM(U157:U158)+SUM(U160:U161)+U174+U176+SUM(U179:U180)+SUM(U182:U184)+U188+SUM(U390:U394)+U419+SUM(U497:U500)</f>
        <v>9529</v>
      </c>
      <c r="V657" s="45">
        <f t="shared" si="2488"/>
        <v>10365</v>
      </c>
      <c r="W657" s="47">
        <f>SUM(W16:W17)+W19+W21+SUM(W23:W24)+SUM(W54:W60)+W63+W86+SUM(W89:W90)+W92+SUM(W93:W101)+SUM(W102:W103)+SUM(W106:W110)+W132+SUM(W135:W140)+SUM(W143:W148)+SUM(W150:W152)+SUM(W153:W154)+SUM(W157:W158)+SUM(W160:W161)+W174+W176+SUM(W179:W180)+SUM(W182:W184)+W188+SUM(W390:W394)+W419+SUM(W497:W500)</f>
        <v>37617</v>
      </c>
      <c r="X657" s="45">
        <f>SUM(X16:X17)+X19+X21+SUM(X23:X24)+SUM(X54:X60)+X63+X86+SUM(X89:X90)+X92+SUM(X93:X101)+SUM(X102:X103)+SUM(X106:X110)+X132+SUM(X135:X140)+SUM(X143:X148)+SUM(X150:X152)+SUM(X153:X154)+SUM(X157:X158)+SUM(X160:X161)+X174+X176+SUM(X179:X180)+SUM(X182:X184)+X188+SUM(X390:X394)+X419+SUM(X497:X500)</f>
        <v>38331</v>
      </c>
      <c r="Y657" s="47">
        <f>SUM(Y16:Y17)+Y19+Y21+SUM(Y23:Y24)+SUM(Y54:Y60)+Y63+Y86+SUM(Y89:Y90)+Y92+SUM(Y93:Y101)+SUM(Y102:Y103)+SUM(Y106:Y110)+Y132+SUM(Y135:Y140)+SUM(Y143:Y148)+SUM(Y150:Y152)+SUM(Y153:Y154)+SUM(Y157:Y158)+SUM(Y160:Y161)+Y174+Y176+SUM(Y179:Y180)+SUM(Y182:Y184)+Y188+SUM(Y390:Y394)+Y419+SUM(Y497:Y500)</f>
        <v>8898</v>
      </c>
      <c r="Z657" s="109">
        <f t="shared" ref="Z657:AE657" si="2489">SUM(Z16:Z17)+Z19+Z21+SUM(Z23:Z24)+SUM(Z54:Z60)+Z63+Z86+SUM(Z89:Z90)+Z92+SUM(Z93:Z101)+SUM(Z102:Z103)+SUM(Z106:Z110)+Z132+SUM(Z135:Z140)+SUM(Z143:Z148)+SUM(Z150:Z152)+SUM(Z153:Z154)+SUM(Z157:Z158)+SUM(Z160:Z161)+Z174+Z176+SUM(Z179:Z180)+SUM(Z182:Z184)+Z188+SUM(Z390:Z394)+Z419+SUM(Z497:Z500)</f>
        <v>39063</v>
      </c>
      <c r="AA657" s="46">
        <f t="shared" si="2489"/>
        <v>2</v>
      </c>
      <c r="AB657" s="46">
        <f t="shared" si="2489"/>
        <v>1396</v>
      </c>
      <c r="AC657" s="46">
        <f t="shared" si="2489"/>
        <v>8045</v>
      </c>
      <c r="AD657" s="46">
        <f t="shared" si="2489"/>
        <v>0</v>
      </c>
      <c r="AE657" s="43">
        <f t="shared" si="2489"/>
        <v>0</v>
      </c>
      <c r="AF657" s="95">
        <f t="shared" si="2483"/>
        <v>15</v>
      </c>
      <c r="AG657" s="109">
        <f t="shared" ref="AG657" si="2490">SUM(AG16:AG17)+AG19+AG21+SUM(AG23:AG24)+SUM(AG54:AG60)+AG63+AG86+SUM(AG89:AG90)+AG92+SUM(AG93:AG101)+SUM(AG102:AG103)+SUM(AG106:AG110)+AG132+SUM(AG135:AG140)+SUM(AG143:AG148)+SUM(AG150:AG152)+SUM(AG153:AG154)+SUM(AG157:AG158)+SUM(AG160:AG161)+AG174+AG176+SUM(AG179:AG180)+SUM(AG182:AG184)+AG188+SUM(AG390:AG394)+AG419+SUM(AG497:AG500)</f>
        <v>39109</v>
      </c>
      <c r="AH657" s="47">
        <f t="shared" si="2483"/>
        <v>8484</v>
      </c>
      <c r="AI657" s="45">
        <f t="shared" si="2483"/>
        <v>0</v>
      </c>
      <c r="AJ657" s="43">
        <f t="shared" si="2483"/>
        <v>0</v>
      </c>
      <c r="AK657" s="45">
        <f t="shared" ref="AK657" si="2491">SUM(AK16:AK17)+AK19+AK21+SUM(AK23:AK24)+SUM(AK54:AK60)+AK63+AK86+SUM(AK89:AK90)+AK92+SUM(AK93:AK101)+SUM(AK102:AK103)+SUM(AK106:AK110)+AK132+SUM(AK135:AK140)+SUM(AK143:AK148)+SUM(AK150:AK152)+SUM(AK153:AK154)+SUM(AK157:AK158)+SUM(AK160:AK161)+AK174+AK176+SUM(AK179:AK180)+SUM(AK182:AK184)+AK188+SUM(AK390:AK394)+AK419+SUM(AK497:AK500)</f>
        <v>217</v>
      </c>
      <c r="AL657" s="47">
        <f t="shared" si="2483"/>
        <v>691</v>
      </c>
      <c r="AM657" s="45">
        <f t="shared" si="2483"/>
        <v>3545</v>
      </c>
      <c r="AN657" s="95">
        <f t="shared" si="2483"/>
        <v>1530</v>
      </c>
      <c r="AO657" s="109">
        <f t="shared" ref="AO657" si="2492">SUM(AO16:AO17)+AO19+AO21+SUM(AO23:AO24)+SUM(AO54:AO60)+AO63+AO86+SUM(AO89:AO90)+AO92+SUM(AO93:AO101)+SUM(AO102:AO103)+SUM(AO106:AO110)+AO132+SUM(AO135:AO140)+SUM(AO143:AO148)+SUM(AO150:AO152)+SUM(AO153:AO154)+SUM(AO157:AO158)+SUM(AO160:AO161)+AO174+AO176+SUM(AO179:AO180)+SUM(AO182:AO184)+AO188+SUM(AO390:AO394)+AO419+SUM(AO497:AO500)</f>
        <v>4148</v>
      </c>
      <c r="AP657" s="47">
        <f t="shared" si="2483"/>
        <v>21841</v>
      </c>
      <c r="AQ657" s="45">
        <f t="shared" ref="AQ657" si="2493">SUM(AQ16:AQ17)+AQ19+AQ21+SUM(AQ23:AQ24)+SUM(AQ54:AQ60)+AQ63+AQ86+SUM(AQ89:AQ90)+AQ92+SUM(AQ93:AQ101)+SUM(AQ102:AQ103)+SUM(AQ106:AQ110)+AQ132+SUM(AQ135:AQ140)+SUM(AQ143:AQ148)+SUM(AQ150:AQ152)+SUM(AQ153:AQ154)+SUM(AQ157:AQ158)+SUM(AQ160:AQ161)+AQ174+AQ176+SUM(AQ179:AQ180)+SUM(AQ182:AQ184)+AQ188+SUM(AQ390:AQ394)+AQ419+SUM(AQ497:AQ500)</f>
        <v>2848</v>
      </c>
      <c r="AR657" s="95">
        <f t="shared" si="2483"/>
        <v>12631</v>
      </c>
      <c r="AS657" s="109">
        <f t="shared" ref="AS657" si="2494">SUM(AS16:AS17)+AS19+AS21+SUM(AS23:AS24)+SUM(AS54:AS60)+AS63+AS86+SUM(AS89:AS90)+AS92+SUM(AS93:AS101)+SUM(AS102:AS103)+SUM(AS106:AS110)+AS132+SUM(AS135:AS140)+SUM(AS143:AS148)+SUM(AS150:AS152)+SUM(AS153:AS154)+SUM(AS157:AS158)+SUM(AS160:AS161)+AS174+AS176+SUM(AS179:AS180)+SUM(AS182:AS184)+AS188+SUM(AS390:AS394)+AS419+SUM(AS497:AS500)</f>
        <v>690</v>
      </c>
      <c r="AT657" s="47">
        <f t="shared" si="2483"/>
        <v>211</v>
      </c>
      <c r="AU657" s="45">
        <f t="shared" ref="AU657" si="2495">SUM(AU16:AU17)+AU19+AU21+SUM(AU23:AU24)+SUM(AU54:AU60)+AU63+AU86+SUM(AU89:AU90)+AU92+SUM(AU93:AU101)+SUM(AU102:AU103)+SUM(AU106:AU110)+AU132+SUM(AU135:AU140)+SUM(AU143:AU148)+SUM(AU150:AU152)+SUM(AU153:AU154)+SUM(AU157:AU158)+SUM(AU160:AU161)+AU174+AU176+SUM(AU179:AU180)+SUM(AU182:AU184)+AU188+SUM(AU390:AU394)+AU419+SUM(AU497:AU500)</f>
        <v>0</v>
      </c>
      <c r="AV657" s="109">
        <f t="shared" ref="AV657" si="2496">SUM(AV16:AV17)+AV19+AV21+SUM(AV23:AV24)+SUM(AV54:AV60)+AV63+AV86+SUM(AV89:AV90)+AV92+SUM(AV93:AV101)+SUM(AV102:AV103)+SUM(AV106:AV110)+AV132+SUM(AV135:AV140)+SUM(AV143:AV148)+SUM(AV150:AV152)+SUM(AV153:AV154)+SUM(AV157:AV158)+SUM(AV160:AV161)+AV174+AV176+SUM(AV179:AV180)+SUM(AV182:AV184)+AV188+SUM(AV390:AV394)+AV419+SUM(AV497:AV500)</f>
        <v>0</v>
      </c>
      <c r="AW657" s="109">
        <f t="shared" si="2483"/>
        <v>0</v>
      </c>
      <c r="AX657" s="45">
        <f t="shared" ref="AX657" si="2497">SUM(AX16:AX17)+AX19+AX21+SUM(AX23:AX24)+SUM(AX54:AX60)+AX63+AX86+SUM(AX89:AX90)+AX92+SUM(AX93:AX101)+SUM(AX102:AX103)+SUM(AX106:AX110)+AX132+SUM(AX135:AX140)+SUM(AX143:AX148)+SUM(AX150:AX152)+SUM(AX153:AX154)+SUM(AX157:AX158)+SUM(AX160:AX161)+AX174+AX176+SUM(AX179:AX180)+SUM(AX182:AX184)+AX188+SUM(AX390:AX394)+AX419+SUM(AX497:AX500)</f>
        <v>0</v>
      </c>
      <c r="AY657" s="47">
        <f t="shared" si="2483"/>
        <v>0</v>
      </c>
      <c r="AZ657" s="45">
        <f t="shared" si="2483"/>
        <v>0</v>
      </c>
      <c r="BA657" s="95">
        <f t="shared" si="2483"/>
        <v>0</v>
      </c>
      <c r="BB657" s="45">
        <f t="shared" ref="BB657" si="2498">SUM(BB16:BB17)+BB19+BB21+SUM(BB23:BB24)+SUM(BB54:BB60)+BB63+BB86+SUM(BB89:BB90)+BB92+SUM(BB93:BB101)+SUM(BB102:BB103)+SUM(BB106:BB110)+BB132+SUM(BB135:BB140)+SUM(BB143:BB148)+SUM(BB150:BB152)+SUM(BB153:BB154)+SUM(BB157:BB158)+SUM(BB160:BB161)+BB174+BB176+SUM(BB179:BB180)+SUM(BB182:BB184)+BB188+SUM(BB390:BB394)+BB419+SUM(BB497:BB500)</f>
        <v>9501</v>
      </c>
      <c r="BC657" s="47">
        <f>SUM(BC16:BC17)+BC19+BC21+SUM(BC23:BC24)+SUM(BC54:BC60)+BC63+BC86+SUM(BC89:BC90)+BC92+SUM(BC93:BC101)+SUM(BC102:BC103)+SUM(BC106:BC110)+BC132+SUM(BC135:BC140)+SUM(BC143:BC148)+SUM(BC150:BC152)+SUM(BC153:BC154)+SUM(BC157:BC158)+SUM(BC160:BC161)+BC174+BC176+SUM(BC179:BC180)+SUM(BC182:BC184)+BC188+SUM(BC390:BC394)+BC419+SUM(BC497:BC500)</f>
        <v>37355</v>
      </c>
      <c r="BD657" s="45">
        <f t="shared" ref="BD657" si="2499">SUM(BD16:BD17)+BD19+BD21+SUM(BD23:BD24)+SUM(BD54:BD60)+BD63+BD86+SUM(BD89:BD90)+BD92+SUM(BD93:BD101)+SUM(BD102:BD103)+SUM(BD106:BD110)+BD132+SUM(BD135:BD140)+SUM(BD143:BD148)+SUM(BD150:BD152)+SUM(BD153:BD154)+SUM(BD157:BD158)+SUM(BD160:BD161)+BD174+BD176+SUM(BD179:BD180)+SUM(BD182:BD184)+BD188+SUM(BD390:BD394)+BD419+SUM(BD497:BD500)</f>
        <v>8910</v>
      </c>
      <c r="BE657" s="95">
        <f>SUM(BE16:BE17)+BE19+BE21+SUM(BE23:BE24)+SUM(BE54:BE60)+BE63+BE86+SUM(BE89:BE90)+BE92+SUM(BE93:BE101)+SUM(BE102:BE103)+SUM(BE106:BE110)+BE132+SUM(BE135:BE140)+SUM(BE143:BE148)+SUM(BE150:BE152)+SUM(BE153:BE154)+SUM(BE157:BE158)+SUM(BE160:BE161)+BE174+BE176+SUM(BE179:BE180)+SUM(BE182:BE184)+BE188+SUM(BE390:BE394)+BE419+SUM(BE497:BE500)</f>
        <v>37887</v>
      </c>
      <c r="BF657" s="109">
        <f t="shared" ref="BF657" si="2500">SUM(BF16:BF17)+BF19+BF21+SUM(BF23:BF24)+SUM(BF54:BF60)+BF63+BF86+SUM(BF89:BF90)+BF92+SUM(BF93:BF101)+SUM(BF102:BF103)+SUM(BF106:BF110)+BF132+SUM(BF135:BF140)+SUM(BF143:BF148)+SUM(BF150:BF152)+SUM(BF153:BF154)+SUM(BF157:BF158)+SUM(BF160:BF161)+BF174+BF176+SUM(BF179:BF180)+SUM(BF182:BF184)+BF188+SUM(BF390:BF394)+BF419+SUM(BF497:BF500)</f>
        <v>37662</v>
      </c>
      <c r="BG657" s="47">
        <f>SUM(BG16:BG17)+BG19+BG21+SUM(BG23:BG24)+SUM(BG54:BG60)+BG63+BG86+SUM(BG89:BG90)+BG92+SUM(BG93:BG101)+SUM(BG102:BG103)+SUM(BG106:BG110)+BG132+SUM(BG135:BG140)+SUM(BG143:BG148)+SUM(BG150:BG152)+SUM(BG153:BG154)+SUM(BG157:BG158)+SUM(BG160:BG161)+BG174+BG176+SUM(BG179:BG180)+SUM(BG182:BG184)+BG188+SUM(BG390:BG394)+BG419+SUM(BG497:BG500)</f>
        <v>8969</v>
      </c>
      <c r="BH657" s="45">
        <f t="shared" ref="BH657" si="2501">SUM(BH16:BH17)+BH19+BH21+SUM(BH23:BH24)+SUM(BH54:BH60)+BH63+BH86+SUM(BH89:BH90)+BH92+SUM(BH93:BH101)+SUM(BH102:BH103)+SUM(BH106:BH110)+BH132+SUM(BH135:BH140)+SUM(BH143:BH148)+SUM(BH150:BH152)+SUM(BH153:BH154)+SUM(BH157:BH158)+SUM(BH160:BH161)+BH174+BH176+SUM(BH179:BH180)+SUM(BH182:BH184)+BH188+SUM(BH390:BH394)+BH419+SUM(BH497:BH500)</f>
        <v>10099</v>
      </c>
      <c r="BI657" s="47">
        <f>SUM(BI16:BI17)+BI19+BI21+SUM(BI23:BI24)+SUM(BI54:BI60)+BI63+BI86+SUM(BI89:BI90)+BI92+SUM(BI93:BI101)+SUM(BI102:BI103)+SUM(BI106:BI110)+BI132+SUM(BI135:BI140)+SUM(BI143:BI148)+SUM(BI150:BI152)+SUM(BI153:BI154)+SUM(BI157:BI158)+SUM(BI160:BI161)+BI174+BI176+SUM(BI179:BI180)+SUM(BI182:BI184)+BI188+SUM(BI390:BI394)+BI419+SUM(BI497:BI500)</f>
        <v>36479</v>
      </c>
      <c r="BJ657" s="109">
        <f t="shared" ref="BJ657:BK657" si="2502">SUM(BJ16:BJ17)+BJ19+BJ21+SUM(BJ23:BJ24)+SUM(BJ54:BJ60)+BJ63+BJ86+SUM(BJ89:BJ90)+BJ92+SUM(BJ93:BJ101)+SUM(BJ102:BJ103)+SUM(BJ106:BJ110)+BJ132+SUM(BJ135:BJ140)+SUM(BJ143:BJ148)+SUM(BJ150:BJ152)+SUM(BJ153:BJ154)+SUM(BJ157:BJ158)+SUM(BJ160:BJ161)+BJ174+BJ176+SUM(BJ179:BJ180)+SUM(BJ182:BJ184)+BJ188+SUM(BJ390:BJ394)+BJ419+SUM(BJ497:BJ500)</f>
        <v>1698</v>
      </c>
      <c r="BK657" s="43">
        <f t="shared" si="2502"/>
        <v>7910</v>
      </c>
      <c r="BL657" s="95">
        <f t="shared" si="2483"/>
        <v>37868</v>
      </c>
      <c r="BM657" s="109">
        <f t="shared" ref="BM657:BN657" si="2503">SUM(BM16:BM17)+BM19+BM21+SUM(BM23:BM24)+SUM(BM54:BM60)+BM63+BM86+SUM(BM89:BM90)+BM92+SUM(BM93:BM101)+SUM(BM102:BM103)+SUM(BM106:BM110)+BM132+SUM(BM135:BM140)+SUM(BM143:BM148)+SUM(BM150:BM152)+SUM(BM153:BM154)+SUM(BM157:BM158)+SUM(BM160:BM161)+BM174+BM176+SUM(BM179:BM180)+SUM(BM182:BM184)+BM188+SUM(BM390:BM394)+BM419+SUM(BM497:BM500)</f>
        <v>37818</v>
      </c>
      <c r="BN657" s="46">
        <f t="shared" si="2503"/>
        <v>7916</v>
      </c>
      <c r="BO657" s="47">
        <f t="shared" si="2483"/>
        <v>1408</v>
      </c>
      <c r="BP657" s="45">
        <f t="shared" ref="BP657" si="2504">SUM(BP16:BP17)+BP19+BP21+SUM(BP23:BP24)+SUM(BP54:BP60)+BP63+BP86+SUM(BP89:BP90)+BP92+SUM(BP93:BP101)+SUM(BP102:BP103)+SUM(BP106:BP110)+BP132+SUM(BP135:BP140)+SUM(BP143:BP148)+SUM(BP150:BP152)+SUM(BP153:BP154)+SUM(BP157:BP158)+SUM(BP160:BP161)+BP174+BP176+SUM(BP179:BP180)+SUM(BP182:BP184)+BP188+SUM(BP390:BP394)+BP419+SUM(BP497:BP500)</f>
        <v>9291</v>
      </c>
      <c r="BQ657" s="47">
        <f t="shared" ref="BQ657" si="2505">SUM(BQ16:BQ17)+BQ19+BQ21+SUM(BQ23:BQ24)+SUM(BQ54:BQ60)+BQ63+BQ86+SUM(BQ89:BQ90)+BQ92+SUM(BQ93:BQ101)+SUM(BQ102:BQ103)+SUM(BQ106:BQ110)+BQ132+SUM(BQ135:BQ140)+SUM(BQ143:BQ148)+SUM(BQ150:BQ152)+SUM(BQ153:BQ154)+SUM(BQ157:BQ158)+SUM(BQ160:BQ161)+BQ174+BQ176+SUM(BQ179:BQ180)+SUM(BQ182:BQ184)+BQ188+SUM(BQ390:BQ394)+BQ419+SUM(BQ497:BQ500)</f>
        <v>37507</v>
      </c>
      <c r="BR657" s="45">
        <f t="shared" ref="BR657" si="2506">SUM(BR16:BR17)+BR19+BR21+SUM(BR23:BR24)+SUM(BR54:BR60)+BR63+BR86+SUM(BR89:BR90)+BR92+SUM(BR93:BR101)+SUM(BR102:BR103)+SUM(BR106:BR110)+BR132+SUM(BR135:BR140)+SUM(BR143:BR148)+SUM(BR150:BR152)+SUM(BR153:BR154)+SUM(BR157:BR158)+SUM(BR160:BR161)+BR174+BR176+SUM(BR179:BR180)+SUM(BR182:BR184)+BR188+SUM(BR390:BR394)+BR419+SUM(BR497:BR500)</f>
        <v>35914</v>
      </c>
      <c r="BS657" s="47">
        <f t="shared" si="2483"/>
        <v>11184</v>
      </c>
      <c r="BT657" s="45">
        <f t="shared" ref="BT657:BU657" si="2507">SUM(BT16:BT17)+BT19+BT21+SUM(BT23:BT24)+SUM(BT54:BT60)+BT63+BT86+SUM(BT89:BT90)+BT92+SUM(BT93:BT101)+SUM(BT102:BT103)+SUM(BT106:BT110)+BT132+SUM(BT135:BT140)+SUM(BT143:BT148)+SUM(BT150:BT152)+SUM(BT153:BT154)+SUM(BT157:BT158)+SUM(BT160:BT161)+BT174+BT176+SUM(BT179:BT180)+SUM(BT182:BT184)+BT188+SUM(BT390:BT394)+BT419+SUM(BT497:BT500)</f>
        <v>8396</v>
      </c>
      <c r="BU657" s="43">
        <f t="shared" si="2507"/>
        <v>1810</v>
      </c>
      <c r="BV657" s="95">
        <f t="shared" si="2483"/>
        <v>36674</v>
      </c>
      <c r="BW657" s="109">
        <f t="shared" ref="BW657" si="2508">SUM(BW16:BW17)+BW19+BW21+SUM(BW23:BW24)+SUM(BW54:BW60)+BW63+BW86+SUM(BW89:BW90)+BW92+SUM(BW93:BW101)+SUM(BW102:BW103)+SUM(BW106:BW110)+BW132+SUM(BW135:BW140)+SUM(BW143:BW148)+SUM(BW150:BW152)+SUM(BW153:BW154)+SUM(BW157:BW158)+SUM(BW160:BW161)+BW174+BW176+SUM(BW179:BW180)+SUM(BW182:BW184)+BW188+SUM(BW390:BW394)+BW419+SUM(BW497:BW500)</f>
        <v>38385</v>
      </c>
      <c r="BX657" s="47">
        <f t="shared" si="2483"/>
        <v>9284</v>
      </c>
      <c r="BY657" s="45">
        <f t="shared" ref="BY657" si="2509">SUM(BY16:BY17)+BY19+BY21+SUM(BY23:BY24)+SUM(BY54:BY60)+BY63+BY86+SUM(BY89:BY90)+BY92+SUM(BY93:BY101)+SUM(BY102:BY103)+SUM(BY106:BY110)+BY132+SUM(BY135:BY140)+SUM(BY143:BY148)+SUM(BY150:BY152)+SUM(BY153:BY154)+SUM(BY157:BY158)+SUM(BY160:BY161)+BY174+BY176+SUM(BY179:BY180)+SUM(BY182:BY184)+BY188+SUM(BY390:BY394)+BY419+SUM(BY497:BY500)</f>
        <v>37829</v>
      </c>
      <c r="BZ657" s="95">
        <f t="shared" si="2483"/>
        <v>8542</v>
      </c>
      <c r="CA657" s="109">
        <f t="shared" ref="CA657" si="2510">SUM(CA16:CA17)+CA19+CA21+SUM(CA23:CA24)+SUM(CA54:CA60)+CA63+CA86+SUM(CA89:CA90)+CA92+SUM(CA93:CA101)+SUM(CA102:CA103)+SUM(CA106:CA110)+CA132+SUM(CA135:CA140)+SUM(CA143:CA148)+SUM(CA150:CA152)+SUM(CA153:CA154)+SUM(CA157:CA158)+SUM(CA160:CA161)+CA174+CA176+SUM(CA179:CA180)+SUM(CA182:CA184)+CA188+SUM(CA390:CA394)+CA419+SUM(CA497:CA500)</f>
        <v>8877</v>
      </c>
      <c r="CB657" s="47">
        <f t="shared" si="2483"/>
        <v>37880</v>
      </c>
      <c r="CC657" s="47">
        <f t="shared" si="2483"/>
        <v>20133</v>
      </c>
      <c r="CD657" s="44">
        <f t="shared" si="2483"/>
        <v>41145</v>
      </c>
      <c r="CE657" s="109">
        <f t="shared" ref="CE657" si="2511">SUM(CE16:CE17)+CE19+CE21+SUM(CE23:CE24)+SUM(CE54:CE60)+CE63+CE86+SUM(CE89:CE90)+CE92+SUM(CE93:CE101)+SUM(CE102:CE103)+SUM(CE106:CE110)+CE132+SUM(CE135:CE140)+SUM(CE143:CE148)+SUM(CE150:CE152)+SUM(CE153:CE154)+SUM(CE157:CE158)+SUM(CE160:CE161)+CE174+CE176+SUM(CE179:CE180)+SUM(CE182:CE184)+CE188+SUM(CE390:CE394)+CE419+SUM(CE497:CE500)</f>
        <v>14755</v>
      </c>
      <c r="CF657" s="43">
        <f>SUM(CF16:CF17)+CF19+CF21+SUM(CF23:CF24)+SUM(CF54:CF60)+CF63+CF86+SUM(CF89:CF90)+CF92+SUM(CF93:CF101)+SUM(CF102:CF103)+SUM(CF106:CF110)+CF132+SUM(CF135:CF140)+SUM(CF143:CF148)+SUM(CF150:CF152)+SUM(CF153:CF154)+SUM(CF157:CF158)+SUM(CF160:CF161)+CF174+CF176+SUM(CF179:CF180)+SUM(CF182:CF184)+CF188+SUM(CF390:CF394)+CF419+SUM(CF497:CF500)</f>
        <v>25601</v>
      </c>
      <c r="CG657" s="45">
        <f>SUM(CG16:CG17)+CG19+CG21+SUM(CG23:CG24)+SUM(CG54:CG60)+CG63+CG86+SUM(CG89:CG90)+CG92+SUM(CG93:CG101)+SUM(CG102:CG103)+SUM(CG106:CG110)+CG132+SUM(CG135:CG140)+SUM(CG143:CG148)+SUM(CG150:CG152)+SUM(CG153:CG154)+SUM(CG157:CG158)+SUM(CG160:CG161)+CG174+CG176+SUM(CG179:CG180)+SUM(CG182:CG184)+CG188+SUM(CG390:CG394)+CG419+SUM(CG497:CG500)</f>
        <v>10095</v>
      </c>
      <c r="CH657" s="46">
        <f t="shared" ref="CH657:CJ657" si="2512">SUM(CH16:CH17)+CH19+CH21+SUM(CH23:CH24)+SUM(CH54:CH60)+CH63+CH86+SUM(CH89:CH90)+CH92+SUM(CH93:CH101)+SUM(CH102:CH103)+SUM(CH106:CH110)+CH132+SUM(CH135:CH140)+SUM(CH143:CH148)+SUM(CH150:CH152)+SUM(CH153:CH154)+SUM(CH157:CH158)+SUM(CH160:CH161)+CH174+CH176+SUM(CH179:CH180)+SUM(CH182:CH184)+CH188+SUM(CH390:CH394)+CH419+SUM(CH497:CH500)</f>
        <v>5001</v>
      </c>
      <c r="CI657" s="46">
        <f t="shared" si="2512"/>
        <v>23629</v>
      </c>
      <c r="CJ657" s="46">
        <f t="shared" si="2512"/>
        <v>25262</v>
      </c>
      <c r="CK657" s="95">
        <f>SUM(CK16:CK17)+CK19+CK21+SUM(CK23:CK24)+SUM(CK54:CK60)+CK63+CK86+SUM(CK89:CK90)+CK92+SUM(CK93:CK101)+SUM(CK102:CK103)+SUM(CK106:CK110)+CK132+SUM(CK135:CK140)+SUM(CK143:CK148)+SUM(CK150:CK152)+SUM(CK153:CK154)+SUM(CK157:CK158)+SUM(CK160:CK161)+CK174+CK176+SUM(CK179:CK180)+SUM(CK182:CK184)+CK188+SUM(CK390:CK394)+CK419+SUM(CK497:CK500)</f>
        <v>10781</v>
      </c>
    </row>
    <row r="658" spans="1:89" ht="13" x14ac:dyDescent="0.25">
      <c r="A658" s="91"/>
      <c r="B658" s="96" t="s">
        <v>680</v>
      </c>
      <c r="C658" s="93">
        <f>SUM(C61:C62)+C64+SUM(C141:C142)+C149+SUM(C155:C156)+C159+SUM(C212:C224)+SUM(C263:C273)+SUM(C309:C313)+SUM(C314:C317)+C350+SUM(C426:C427)+SUM(C471:C473)+SUM(C477:C480)+SUM(C501:C503)+SUM(C504:C506)+SUM(C508:C522)+SUM(C524:C531)+SUM(C563:C564)</f>
        <v>85058</v>
      </c>
      <c r="D658" s="93">
        <f>SUM(D61:D62)+D64+SUM(D141:D142)+D149+SUM(D155:D156)+D159+SUM(D212:D224)+SUM(D263:D273)+SUM(D309:D313)+SUM(D314:D317)+D350+SUM(D426:D427)+SUM(D471:D473)+SUM(D477:D480)+SUM(D501:D503)+SUM(D504:D506)+SUM(D508:D522)+SUM(D524:D531)+SUM(D563:D564)</f>
        <v>58153</v>
      </c>
      <c r="E658" s="89">
        <v>0.49590994813767092</v>
      </c>
      <c r="F658" s="45">
        <f t="shared" ref="F658:CD658" si="2513">SUM(F61:F62)+F64+SUM(F141:F142)+F149+SUM(F155:F156)+F159+SUM(F212:F224)+SUM(F263:F273)+SUM(F309:F313)+SUM(F314:F317)+F350+SUM(F426:F427)+SUM(F471:F473)+SUM(F477:F480)+SUM(F501:F503)+SUM(F504:F506)+SUM(F508:F522)+SUM(F524:F531)+SUM(F563:F564)</f>
        <v>0</v>
      </c>
      <c r="G658" s="109">
        <f t="shared" ref="G658" si="2514">SUM(G61:G62)+G64+SUM(G141:G142)+G149+SUM(G155:G156)+G159+SUM(G212:G224)+SUM(G263:G273)+SUM(G309:G313)+SUM(G314:G317)+G350+SUM(G426:G427)+SUM(G471:G473)+SUM(G477:G480)+SUM(G501:G503)+SUM(G504:G506)+SUM(G508:G522)+SUM(G524:G531)+SUM(G563:G564)</f>
        <v>0</v>
      </c>
      <c r="H658" s="109">
        <f t="shared" ref="H658:Q658" si="2515">SUM(H61:H62)+H64+SUM(H141:H142)+H149+SUM(H155:H156)+H159+SUM(H212:H224)+SUM(H263:H273)+SUM(H309:H313)+SUM(H314:H317)+H350+SUM(H426:H427)+SUM(H471:H473)+SUM(H477:H480)+SUM(H501:H503)+SUM(H504:H506)+SUM(H508:H522)+SUM(H524:H531)+SUM(H563:H564)</f>
        <v>1</v>
      </c>
      <c r="I658" s="109">
        <f t="shared" si="2515"/>
        <v>22</v>
      </c>
      <c r="J658" s="109">
        <f t="shared" ref="J658:K658" si="2516">SUM(J61:J62)+J64+SUM(J141:J142)+J149+SUM(J155:J156)+J159+SUM(J212:J224)+SUM(J263:J273)+SUM(J309:J313)+SUM(J314:J317)+J350+SUM(J426:J427)+SUM(J471:J473)+SUM(J477:J480)+SUM(J501:J503)+SUM(J504:J506)+SUM(J508:J522)+SUM(J524:J531)+SUM(J563:J564)</f>
        <v>141</v>
      </c>
      <c r="K658" s="109">
        <f t="shared" si="2516"/>
        <v>0</v>
      </c>
      <c r="L658" s="109">
        <f t="shared" si="2515"/>
        <v>0</v>
      </c>
      <c r="M658" s="109">
        <f t="shared" si="2515"/>
        <v>40775</v>
      </c>
      <c r="N658" s="109">
        <f t="shared" si="2515"/>
        <v>1</v>
      </c>
      <c r="O658" s="109">
        <f t="shared" si="2515"/>
        <v>0</v>
      </c>
      <c r="P658" s="46">
        <f t="shared" si="2515"/>
        <v>312</v>
      </c>
      <c r="Q658" s="46">
        <f t="shared" si="2515"/>
        <v>111</v>
      </c>
      <c r="R658" s="46">
        <f t="shared" ref="R658" si="2517">SUM(R61:R62)+R64+SUM(R141:R142)+R149+SUM(R155:R156)+R159+SUM(R212:R224)+SUM(R263:R273)+SUM(R309:R313)+SUM(R314:R317)+R350+SUM(R426:R427)+SUM(R471:R473)+SUM(R477:R480)+SUM(R501:R503)+SUM(R504:R506)+SUM(R508:R522)+SUM(R524:R531)+SUM(R563:R564)</f>
        <v>15909</v>
      </c>
      <c r="S658" s="47">
        <f t="shared" si="2513"/>
        <v>14</v>
      </c>
      <c r="T658" s="45">
        <f>SUM(T61:T62)+T64+SUM(T141:T142)+T149+SUM(T155:T156)+T159+SUM(T212:T224)+SUM(T263:T273)+SUM(T309:T313)+SUM(T314:T317)+T350+SUM(T426:T427)+SUM(T471:T473)+SUM(T477:T480)+SUM(T501:T503)+SUM(T504:T506)+SUM(T508:T522)+SUM(T524:T531)+SUM(T563:T564)</f>
        <v>39587</v>
      </c>
      <c r="U658" s="47">
        <f t="shared" ref="U658:V658" si="2518">SUM(U61:U62)+U64+SUM(U141:U142)+U149+SUM(U155:U156)+U159+SUM(U212:U224)+SUM(U263:U273)+SUM(U309:U313)+SUM(U314:U317)+U350+SUM(U426:U427)+SUM(U471:U473)+SUM(U477:U480)+SUM(U501:U503)+SUM(U504:U506)+SUM(U508:U522)+SUM(U524:U531)+SUM(U563:U564)</f>
        <v>16614</v>
      </c>
      <c r="V658" s="45">
        <f t="shared" si="2518"/>
        <v>17775</v>
      </c>
      <c r="W658" s="47">
        <f>SUM(W61:W62)+W64+SUM(W141:W142)+W149+SUM(W155:W156)+W159+SUM(W212:W224)+SUM(W263:W273)+SUM(W309:W313)+SUM(W314:W317)+W350+SUM(W426:W427)+SUM(W471:W473)+SUM(W477:W480)+SUM(W501:W503)+SUM(W504:W506)+SUM(W508:W522)+SUM(W524:W531)+SUM(W563:W564)</f>
        <v>38644</v>
      </c>
      <c r="X658" s="45">
        <f>SUM(X61:X62)+X64+SUM(X141:X142)+X149+SUM(X155:X156)+X159+SUM(X212:X224)+SUM(X263:X273)+SUM(X309:X313)+SUM(X314:X317)+X350+SUM(X426:X427)+SUM(X471:X473)+SUM(X477:X480)+SUM(X501:X503)+SUM(X504:X506)+SUM(X508:X522)+SUM(X524:X531)+SUM(X563:X564)</f>
        <v>39639</v>
      </c>
      <c r="Y658" s="47">
        <f>SUM(Y61:Y62)+Y64+SUM(Y141:Y142)+Y149+SUM(Y155:Y156)+Y159+SUM(Y212:Y224)+SUM(Y263:Y273)+SUM(Y309:Y313)+SUM(Y314:Y317)+Y350+SUM(Y426:Y427)+SUM(Y471:Y473)+SUM(Y477:Y480)+SUM(Y501:Y503)+SUM(Y504:Y506)+SUM(Y508:Y522)+SUM(Y524:Y531)+SUM(Y563:Y564)</f>
        <v>15770</v>
      </c>
      <c r="Z658" s="109">
        <f t="shared" ref="Z658:AE658" si="2519">SUM(Z61:Z62)+Z64+SUM(Z141:Z142)+Z149+SUM(Z155:Z156)+Z159+SUM(Z212:Z224)+SUM(Z263:Z273)+SUM(Z309:Z313)+SUM(Z314:Z317)+Z350+SUM(Z426:Z427)+SUM(Z471:Z473)+SUM(Z477:Z480)+SUM(Z501:Z503)+SUM(Z504:Z506)+SUM(Z508:Z522)+SUM(Z524:Z531)+SUM(Z563:Z564)</f>
        <v>40713</v>
      </c>
      <c r="AA658" s="46">
        <f t="shared" si="2519"/>
        <v>0</v>
      </c>
      <c r="AB658" s="46">
        <f t="shared" si="2519"/>
        <v>1771</v>
      </c>
      <c r="AC658" s="46">
        <f t="shared" si="2519"/>
        <v>14433</v>
      </c>
      <c r="AD658" s="46">
        <f t="shared" si="2519"/>
        <v>0</v>
      </c>
      <c r="AE658" s="43">
        <f t="shared" si="2519"/>
        <v>0</v>
      </c>
      <c r="AF658" s="95">
        <f t="shared" si="2513"/>
        <v>5</v>
      </c>
      <c r="AG658" s="109">
        <f t="shared" ref="AG658" si="2520">SUM(AG61:AG62)+AG64+SUM(AG141:AG142)+AG149+SUM(AG155:AG156)+AG159+SUM(AG212:AG224)+SUM(AG263:AG273)+SUM(AG309:AG313)+SUM(AG314:AG317)+AG350+SUM(AG426:AG427)+SUM(AG471:AG473)+SUM(AG477:AG480)+SUM(AG501:AG503)+SUM(AG504:AG506)+SUM(AG508:AG522)+SUM(AG524:AG531)+SUM(AG563:AG564)</f>
        <v>11257</v>
      </c>
      <c r="AH658" s="47">
        <f t="shared" si="2513"/>
        <v>3340</v>
      </c>
      <c r="AI658" s="45">
        <f t="shared" si="2513"/>
        <v>12010</v>
      </c>
      <c r="AJ658" s="43">
        <f t="shared" si="2513"/>
        <v>28990</v>
      </c>
      <c r="AK658" s="45">
        <f t="shared" ref="AK658" si="2521">SUM(AK61:AK62)+AK64+SUM(AK141:AK142)+AK149+SUM(AK155:AK156)+AK159+SUM(AK212:AK224)+SUM(AK263:AK273)+SUM(AK309:AK313)+SUM(AK314:AK317)+AK350+SUM(AK426:AK427)+SUM(AK471:AK473)+SUM(AK477:AK480)+SUM(AK501:AK503)+SUM(AK504:AK506)+SUM(AK508:AK522)+SUM(AK524:AK531)+SUM(AK563:AK564)</f>
        <v>12626</v>
      </c>
      <c r="AL658" s="47">
        <f t="shared" si="2513"/>
        <v>25993</v>
      </c>
      <c r="AM658" s="45">
        <f t="shared" si="2513"/>
        <v>0</v>
      </c>
      <c r="AN658" s="95">
        <f t="shared" si="2513"/>
        <v>0</v>
      </c>
      <c r="AO658" s="109">
        <f t="shared" ref="AO658" si="2522">SUM(AO61:AO62)+AO64+SUM(AO141:AO142)+AO149+SUM(AO155:AO156)+AO159+SUM(AO212:AO224)+SUM(AO263:AO273)+SUM(AO309:AO313)+SUM(AO314:AO317)+AO350+SUM(AO426:AO427)+SUM(AO471:AO473)+SUM(AO477:AO480)+SUM(AO501:AO503)+SUM(AO504:AO506)+SUM(AO508:AO522)+SUM(AO524:AO531)+SUM(AO563:AO564)</f>
        <v>1417</v>
      </c>
      <c r="AP658" s="47">
        <f t="shared" si="2513"/>
        <v>4744</v>
      </c>
      <c r="AQ658" s="45">
        <f t="shared" ref="AQ658" si="2523">SUM(AQ61:AQ62)+AQ64+SUM(AQ141:AQ142)+AQ149+SUM(AQ155:AQ156)+AQ159+SUM(AQ212:AQ224)+SUM(AQ263:AQ273)+SUM(AQ309:AQ313)+SUM(AQ314:AQ317)+AQ350+SUM(AQ426:AQ427)+SUM(AQ471:AQ473)+SUM(AQ477:AQ480)+SUM(AQ501:AQ503)+SUM(AQ504:AQ506)+SUM(AQ508:AQ522)+SUM(AQ524:AQ531)+SUM(AQ563:AQ564)</f>
        <v>393</v>
      </c>
      <c r="AR658" s="95">
        <f t="shared" si="2513"/>
        <v>2010</v>
      </c>
      <c r="AS658" s="109">
        <f t="shared" ref="AS658" si="2524">SUM(AS61:AS62)+AS64+SUM(AS141:AS142)+AS149+SUM(AS155:AS156)+AS159+SUM(AS212:AS224)+SUM(AS263:AS273)+SUM(AS309:AS313)+SUM(AS314:AS317)+AS350+SUM(AS426:AS427)+SUM(AS471:AS473)+SUM(AS477:AS480)+SUM(AS501:AS503)+SUM(AS504:AS506)+SUM(AS508:AS522)+SUM(AS524:AS531)+SUM(AS563:AS564)</f>
        <v>17231</v>
      </c>
      <c r="AT658" s="47">
        <f t="shared" si="2513"/>
        <v>7419</v>
      </c>
      <c r="AU658" s="45">
        <f t="shared" ref="AU658" si="2525">SUM(AU61:AU62)+AU64+SUM(AU141:AU142)+AU149+SUM(AU155:AU156)+AU159+SUM(AU212:AU224)+SUM(AU263:AU273)+SUM(AU309:AU313)+SUM(AU314:AU317)+AU350+SUM(AU426:AU427)+SUM(AU471:AU473)+SUM(AU477:AU480)+SUM(AU501:AU503)+SUM(AU504:AU506)+SUM(AU508:AU522)+SUM(AU524:AU531)+SUM(AU563:AU564)</f>
        <v>6860</v>
      </c>
      <c r="AV658" s="109">
        <f t="shared" ref="AV658" si="2526">SUM(AV61:AV62)+AV64+SUM(AV141:AV142)+AV149+SUM(AV155:AV156)+AV159+SUM(AV212:AV224)+SUM(AV263:AV273)+SUM(AV309:AV313)+SUM(AV314:AV317)+AV350+SUM(AV426:AV427)+SUM(AV471:AV473)+SUM(AV477:AV480)+SUM(AV501:AV503)+SUM(AV504:AV506)+SUM(AV508:AV522)+SUM(AV524:AV531)+SUM(AV563:AV564)</f>
        <v>3</v>
      </c>
      <c r="AW658" s="109">
        <f t="shared" si="2513"/>
        <v>1611</v>
      </c>
      <c r="AX658" s="45">
        <f t="shared" ref="AX658" si="2527">SUM(AX61:AX62)+AX64+SUM(AX141:AX142)+AX149+SUM(AX155:AX156)+AX159+SUM(AX212:AX224)+SUM(AX263:AX273)+SUM(AX309:AX313)+SUM(AX314:AX317)+AX350+SUM(AX426:AX427)+SUM(AX471:AX473)+SUM(AX477:AX480)+SUM(AX501:AX503)+SUM(AX504:AX506)+SUM(AX508:AX522)+SUM(AX524:AX531)+SUM(AX563:AX564)</f>
        <v>4968</v>
      </c>
      <c r="AY658" s="47">
        <f t="shared" si="2513"/>
        <v>8814</v>
      </c>
      <c r="AZ658" s="45">
        <f t="shared" si="2513"/>
        <v>0</v>
      </c>
      <c r="BA658" s="95">
        <f t="shared" si="2513"/>
        <v>0</v>
      </c>
      <c r="BB658" s="45">
        <f t="shared" ref="BB658" si="2528">SUM(BB61:BB62)+BB64+SUM(BB141:BB142)+BB149+SUM(BB155:BB156)+BB159+SUM(BB212:BB224)+SUM(BB263:BB273)+SUM(BB309:BB313)+SUM(BB314:BB317)+BB350+SUM(BB426:BB427)+SUM(BB471:BB473)+SUM(BB477:BB480)+SUM(BB501:BB503)+SUM(BB504:BB506)+SUM(BB508:BB522)+SUM(BB524:BB531)+SUM(BB563:BB564)</f>
        <v>16331</v>
      </c>
      <c r="BC658" s="47">
        <f>SUM(BC61:BC62)+BC64+SUM(BC141:BC142)+BC149+SUM(BC155:BC156)+BC159+SUM(BC212:BC224)+SUM(BC263:BC273)+SUM(BC309:BC313)+SUM(BC314:BC317)+BC350+SUM(BC426:BC427)+SUM(BC471:BC473)+SUM(BC477:BC480)+SUM(BC501:BC503)+SUM(BC504:BC506)+SUM(BC508:BC522)+SUM(BC524:BC531)+SUM(BC563:BC564)</f>
        <v>38634</v>
      </c>
      <c r="BD658" s="45">
        <f t="shared" ref="BD658" si="2529">SUM(BD61:BD62)+BD64+SUM(BD141:BD142)+BD149+SUM(BD155:BD156)+BD159+SUM(BD212:BD224)+SUM(BD263:BD273)+SUM(BD309:BD313)+SUM(BD314:BD317)+BD350+SUM(BD426:BD427)+SUM(BD471:BD473)+SUM(BD477:BD480)+SUM(BD501:BD503)+SUM(BD504:BD506)+SUM(BD508:BD522)+SUM(BD524:BD531)+SUM(BD563:BD564)</f>
        <v>15772</v>
      </c>
      <c r="BE658" s="95">
        <f>SUM(BE61:BE62)+BE64+SUM(BE141:BE142)+BE149+SUM(BE155:BE156)+BE159+SUM(BE212:BE224)+SUM(BE263:BE273)+SUM(BE309:BE313)+SUM(BE314:BE317)+BE350+SUM(BE426:BE427)+SUM(BE471:BE473)+SUM(BE477:BE480)+SUM(BE501:BE503)+SUM(BE504:BE506)+SUM(BE508:BE522)+SUM(BE524:BE531)+SUM(BE563:BE564)</f>
        <v>39126</v>
      </c>
      <c r="BF658" s="109">
        <f t="shared" ref="BF658" si="2530">SUM(BF61:BF62)+BF64+SUM(BF141:BF142)+BF149+SUM(BF155:BF156)+BF159+SUM(BF212:BF224)+SUM(BF263:BF273)+SUM(BF309:BF313)+SUM(BF314:BF317)+BF350+SUM(BF426:BF427)+SUM(BF471:BF473)+SUM(BF477:BF480)+SUM(BF501:BF503)+SUM(BF504:BF506)+SUM(BF508:BF522)+SUM(BF524:BF531)+SUM(BF563:BF564)</f>
        <v>38853</v>
      </c>
      <c r="BG658" s="47">
        <f>SUM(BG61:BG62)+BG64+SUM(BG141:BG142)+BG149+SUM(BG155:BG156)+BG159+SUM(BG212:BG224)+SUM(BG263:BG273)+SUM(BG309:BG313)+SUM(BG314:BG317)+BG350+SUM(BG426:BG427)+SUM(BG471:BG473)+SUM(BG477:BG480)+SUM(BG501:BG503)+SUM(BG504:BG506)+SUM(BG508:BG522)+SUM(BG524:BG531)+SUM(BG563:BG564)</f>
        <v>15733</v>
      </c>
      <c r="BH658" s="45">
        <f t="shared" ref="BH658" si="2531">SUM(BH61:BH62)+BH64+SUM(BH141:BH142)+BH149+SUM(BH155:BH156)+BH159+SUM(BH212:BH224)+SUM(BH263:BH273)+SUM(BH309:BH313)+SUM(BH314:BH317)+BH350+SUM(BH426:BH427)+SUM(BH471:BH473)+SUM(BH477:BH480)+SUM(BH501:BH503)+SUM(BH504:BH506)+SUM(BH508:BH522)+SUM(BH524:BH531)+SUM(BH563:BH564)</f>
        <v>17260</v>
      </c>
      <c r="BI658" s="47">
        <f>SUM(BI61:BI62)+BI64+SUM(BI141:BI142)+BI149+SUM(BI155:BI156)+BI159+SUM(BI212:BI224)+SUM(BI263:BI273)+SUM(BI309:BI313)+SUM(BI314:BI317)+BI350+SUM(BI426:BI427)+SUM(BI471:BI473)+SUM(BI477:BI480)+SUM(BI501:BI503)+SUM(BI504:BI506)+SUM(BI508:BI522)+SUM(BI524:BI531)+SUM(BI563:BI564)</f>
        <v>37589</v>
      </c>
      <c r="BJ658" s="109">
        <f t="shared" ref="BJ658:BK658" si="2532">SUM(BJ61:BJ62)+BJ64+SUM(BJ141:BJ142)+BJ149+SUM(BJ155:BJ156)+BJ159+SUM(BJ212:BJ224)+SUM(BJ263:BJ273)+SUM(BJ309:BJ313)+SUM(BJ314:BJ317)+BJ350+SUM(BJ426:BJ427)+SUM(BJ471:BJ473)+SUM(BJ477:BJ480)+SUM(BJ501:BJ503)+SUM(BJ504:BJ506)+SUM(BJ508:BJ522)+SUM(BJ524:BJ531)+SUM(BJ563:BJ564)</f>
        <v>2021</v>
      </c>
      <c r="BK658" s="43">
        <f t="shared" si="2532"/>
        <v>14105</v>
      </c>
      <c r="BL658" s="95">
        <f t="shared" si="2513"/>
        <v>39516</v>
      </c>
      <c r="BM658" s="109">
        <f t="shared" ref="BM658:BN658" si="2533">SUM(BM61:BM62)+BM64+SUM(BM141:BM142)+BM149+SUM(BM155:BM156)+BM159+SUM(BM212:BM224)+SUM(BM263:BM273)+SUM(BM309:BM313)+SUM(BM314:BM317)+BM350+SUM(BM426:BM427)+SUM(BM471:BM473)+SUM(BM477:BM480)+SUM(BM501:BM503)+SUM(BM504:BM506)+SUM(BM508:BM522)+SUM(BM524:BM531)+SUM(BM563:BM564)</f>
        <v>39520</v>
      </c>
      <c r="BN658" s="46">
        <f t="shared" si="2533"/>
        <v>14032</v>
      </c>
      <c r="BO658" s="47">
        <f t="shared" si="2513"/>
        <v>1705</v>
      </c>
      <c r="BP658" s="45">
        <f t="shared" ref="BP658" si="2534">SUM(BP61:BP62)+BP64+SUM(BP141:BP142)+BP149+SUM(BP155:BP156)+BP159+SUM(BP212:BP224)+SUM(BP263:BP273)+SUM(BP309:BP313)+SUM(BP314:BP317)+BP350+SUM(BP426:BP427)+SUM(BP471:BP473)+SUM(BP477:BP480)+SUM(BP501:BP503)+SUM(BP504:BP506)+SUM(BP508:BP522)+SUM(BP524:BP531)+SUM(BP563:BP564)</f>
        <v>15954</v>
      </c>
      <c r="BQ658" s="47">
        <f t="shared" ref="BQ658" si="2535">SUM(BQ61:BQ62)+BQ64+SUM(BQ141:BQ142)+BQ149+SUM(BQ155:BQ156)+BQ159+SUM(BQ212:BQ224)+SUM(BQ263:BQ273)+SUM(BQ309:BQ313)+SUM(BQ314:BQ317)+BQ350+SUM(BQ426:BQ427)+SUM(BQ471:BQ473)+SUM(BQ477:BQ480)+SUM(BQ501:BQ503)+SUM(BQ504:BQ506)+SUM(BQ508:BQ522)+SUM(BQ524:BQ531)+SUM(BQ563:BQ564)</f>
        <v>39044</v>
      </c>
      <c r="BR658" s="45">
        <f t="shared" ref="BR658" si="2536">SUM(BR61:BR62)+BR64+SUM(BR141:BR142)+BR149+SUM(BR155:BR156)+BR159+SUM(BR212:BR224)+SUM(BR263:BR273)+SUM(BR309:BR313)+SUM(BR314:BR317)+BR350+SUM(BR426:BR427)+SUM(BR471:BR473)+SUM(BR477:BR480)+SUM(BR501:BR503)+SUM(BR504:BR506)+SUM(BR508:BR522)+SUM(BR524:BR531)+SUM(BR563:BR564)</f>
        <v>36915</v>
      </c>
      <c r="BS658" s="47">
        <f t="shared" si="2513"/>
        <v>18497</v>
      </c>
      <c r="BT658" s="45">
        <f t="shared" ref="BT658:BU658" si="2537">SUM(BT61:BT62)+BT64+SUM(BT141:BT142)+BT149+SUM(BT155:BT156)+BT159+SUM(BT212:BT224)+SUM(BT263:BT273)+SUM(BT309:BT313)+SUM(BT314:BT317)+BT350+SUM(BT426:BT427)+SUM(BT471:BT473)+SUM(BT477:BT480)+SUM(BT501:BT503)+SUM(BT504:BT506)+SUM(BT508:BT522)+SUM(BT524:BT531)+SUM(BT563:BT564)</f>
        <v>14992</v>
      </c>
      <c r="BU658" s="43">
        <f t="shared" si="2537"/>
        <v>2036</v>
      </c>
      <c r="BV658" s="95">
        <f t="shared" si="2513"/>
        <v>37933</v>
      </c>
      <c r="BW658" s="109">
        <f t="shared" ref="BW658" si="2538">SUM(BW61:BW62)+BW64+SUM(BW141:BW142)+BW149+SUM(BW155:BW156)+BW159+SUM(BW212:BW224)+SUM(BW263:BW273)+SUM(BW309:BW313)+SUM(BW314:BW317)+BW350+SUM(BW426:BW427)+SUM(BW471:BW473)+SUM(BW477:BW480)+SUM(BW501:BW503)+SUM(BW504:BW506)+SUM(BW508:BW522)+SUM(BW524:BW531)+SUM(BW563:BW564)</f>
        <v>39878</v>
      </c>
      <c r="BX658" s="47">
        <f t="shared" si="2513"/>
        <v>15941</v>
      </c>
      <c r="BY658" s="45">
        <f t="shared" ref="BY658" si="2539">SUM(BY61:BY62)+BY64+SUM(BY141:BY142)+BY149+SUM(BY155:BY156)+BY159+SUM(BY212:BY224)+SUM(BY263:BY273)+SUM(BY309:BY313)+SUM(BY314:BY317)+BY350+SUM(BY426:BY427)+SUM(BY471:BY473)+SUM(BY477:BY480)+SUM(BY501:BY503)+SUM(BY504:BY506)+SUM(BY508:BY522)+SUM(BY524:BY531)+SUM(BY563:BY564)</f>
        <v>39091</v>
      </c>
      <c r="BZ658" s="95">
        <f t="shared" si="2513"/>
        <v>15161</v>
      </c>
      <c r="CA658" s="109">
        <f t="shared" ref="CA658" si="2540">SUM(CA61:CA62)+CA64+SUM(CA141:CA142)+CA149+SUM(CA155:CA156)+CA159+SUM(CA212:CA224)+SUM(CA263:CA273)+SUM(CA309:CA313)+SUM(CA314:CA317)+CA350+SUM(CA426:CA427)+SUM(CA471:CA473)+SUM(CA477:CA480)+SUM(CA501:CA503)+SUM(CA504:CA506)+SUM(CA508:CA522)+SUM(CA524:CA531)+SUM(CA563:CA564)</f>
        <v>15452</v>
      </c>
      <c r="CB658" s="47">
        <f t="shared" si="2513"/>
        <v>39402</v>
      </c>
      <c r="CC658" s="47">
        <f t="shared" si="2513"/>
        <v>27613</v>
      </c>
      <c r="CD658" s="44">
        <f t="shared" si="2513"/>
        <v>46199</v>
      </c>
      <c r="CE658" s="109">
        <f t="shared" ref="CE658" si="2541">SUM(CE61:CE62)+CE64+SUM(CE141:CE142)+CE149+SUM(CE155:CE156)+CE159+SUM(CE212:CE224)+SUM(CE263:CE273)+SUM(CE309:CE313)+SUM(CE314:CE317)+CE350+SUM(CE426:CE427)+SUM(CE471:CE473)+SUM(CE477:CE480)+SUM(CE501:CE503)+SUM(CE504:CE506)+SUM(CE508:CE522)+SUM(CE524:CE531)+SUM(CE563:CE564)</f>
        <v>20030</v>
      </c>
      <c r="CF658" s="43">
        <f>SUM(CF61:CF62)+CF64+SUM(CF141:CF142)+CF149+SUM(CF155:CF156)+CF159+SUM(CF212:CF224)+SUM(CF263:CF273)+SUM(CF309:CF313)+SUM(CF314:CF317)+CF350+SUM(CF426:CF427)+SUM(CF471:CF473)+SUM(CF477:CF480)+SUM(CF501:CF503)+SUM(CF504:CF506)+SUM(CF508:CF522)+SUM(CF524:CF531)+SUM(CF563:CF564)</f>
        <v>26742</v>
      </c>
      <c r="CG658" s="45">
        <f>SUM(CG61:CG62)+CG64+SUM(CG141:CG142)+CG149+SUM(CG155:CG156)+CG159+SUM(CG212:CG224)+SUM(CG263:CG273)+SUM(CG309:CG313)+SUM(CG314:CG317)+CG350+SUM(CG426:CG427)+SUM(CG471:CG473)+SUM(CG477:CG480)+SUM(CG501:CG503)+SUM(CG504:CG506)+SUM(CG508:CG522)+SUM(CG524:CG531)+SUM(CG563:CG564)</f>
        <v>11885</v>
      </c>
      <c r="CH658" s="46">
        <f t="shared" ref="CH658:CJ658" si="2542">SUM(CH61:CH62)+CH64+SUM(CH141:CH142)+CH149+SUM(CH155:CH156)+CH159+SUM(CH212:CH224)+SUM(CH263:CH273)+SUM(CH309:CH313)+SUM(CH314:CH317)+CH350+SUM(CH426:CH427)+SUM(CH471:CH473)+SUM(CH477:CH480)+SUM(CH501:CH503)+SUM(CH504:CH506)+SUM(CH508:CH522)+SUM(CH524:CH531)+SUM(CH563:CH564)</f>
        <v>8114</v>
      </c>
      <c r="CI658" s="46">
        <f t="shared" si="2542"/>
        <v>23569</v>
      </c>
      <c r="CJ658" s="46">
        <f t="shared" si="2542"/>
        <v>24907</v>
      </c>
      <c r="CK658" s="95">
        <f>SUM(CK61:CK62)+CK64+SUM(CK141:CK142)+CK149+SUM(CK155:CK156)+CK159+SUM(CK212:CK224)+SUM(CK263:CK273)+SUM(CK309:CK313)+SUM(CK314:CK317)+CK350+SUM(CK426:CK427)+SUM(CK471:CK473)+SUM(CK477:CK480)+SUM(CK501:CK503)+SUM(CK504:CK506)+SUM(CK508:CK522)+SUM(CK524:CK531)+SUM(CK563:CK564)</f>
        <v>17518</v>
      </c>
    </row>
    <row r="659" spans="1:89" ht="13" x14ac:dyDescent="0.25">
      <c r="A659" s="91"/>
      <c r="B659" s="96" t="s">
        <v>681</v>
      </c>
      <c r="C659" s="93">
        <f>SUM(C3:C15)+C18+C20+C22+C25+C26+SUM(C32:C41)+SUM(C43:C46)+SUM(C48:C50)+C53+C67+SUM(C274:C285)+SUM(C318:C349)+C395+C423+SUM(C481:C482)+SUM(C495:C496)</f>
        <v>100772</v>
      </c>
      <c r="D659" s="93">
        <f>SUM(D3:D15)+D18+D20+D22+D25+D26+SUM(D32:D41)+SUM(D43:D46)+SUM(D48:D50)+D53+D67+SUM(D274:D285)+SUM(D318:D349)+D395+D423+SUM(D481:D482)+SUM(D495:D496)</f>
        <v>75367</v>
      </c>
      <c r="E659" s="89">
        <v>0.58696051610795807</v>
      </c>
      <c r="F659" s="45">
        <f t="shared" ref="F659:CD659" si="2543">SUM(F3:F15)+F18+F20+F22+F25+F26+SUM(F32:F41)+SUM(F43:F46)+SUM(F48:F50)+F53+F67+SUM(F274:F285)+SUM(F318:F349)+F395+F423+SUM(F481:F482)+SUM(F495:F496)</f>
        <v>0</v>
      </c>
      <c r="G659" s="109">
        <f t="shared" ref="G659" si="2544">SUM(G3:G15)+G18+G20+G22+G25+G26+SUM(G32:G41)+SUM(G43:G46)+SUM(G48:G50)+G53+G67+SUM(G274:G285)+SUM(G318:G349)+G395+G423+SUM(G481:G482)+SUM(G495:G496)</f>
        <v>0</v>
      </c>
      <c r="H659" s="109">
        <f t="shared" ref="H659:Q659" si="2545">SUM(H3:H15)+H18+H20+H22+H25+H26+SUM(H32:H41)+SUM(H43:H46)+SUM(H48:H50)+H53+H67+SUM(H274:H285)+SUM(H318:H349)+H395+H423+SUM(H481:H482)+SUM(H495:H496)</f>
        <v>1</v>
      </c>
      <c r="I659" s="109">
        <f t="shared" si="2545"/>
        <v>42</v>
      </c>
      <c r="J659" s="109">
        <f t="shared" ref="J659:K659" si="2546">SUM(J3:J15)+J18+J20+J22+J25+J26+SUM(J32:J41)+SUM(J43:J46)+SUM(J48:J50)+J53+J67+SUM(J274:J285)+SUM(J318:J349)+J395+J423+SUM(J481:J482)+SUM(J495:J496)</f>
        <v>119</v>
      </c>
      <c r="K659" s="109">
        <f t="shared" si="2546"/>
        <v>0</v>
      </c>
      <c r="L659" s="109">
        <f t="shared" si="2545"/>
        <v>0</v>
      </c>
      <c r="M659" s="109">
        <f t="shared" si="2545"/>
        <v>42652</v>
      </c>
      <c r="N659" s="109">
        <f t="shared" si="2545"/>
        <v>0</v>
      </c>
      <c r="O659" s="109">
        <f t="shared" si="2545"/>
        <v>0</v>
      </c>
      <c r="P659" s="46">
        <f t="shared" si="2545"/>
        <v>501</v>
      </c>
      <c r="Q659" s="46">
        <f t="shared" si="2545"/>
        <v>158</v>
      </c>
      <c r="R659" s="46">
        <f t="shared" ref="R659" si="2547">SUM(R3:R15)+R18+R20+R22+R25+R26+SUM(R32:R41)+SUM(R43:R46)+SUM(R48:R50)+R53+R67+SUM(R274:R285)+SUM(R318:R349)+R395+R423+SUM(R481:R482)+SUM(R495:R496)</f>
        <v>30568</v>
      </c>
      <c r="S659" s="47">
        <f t="shared" si="2543"/>
        <v>7</v>
      </c>
      <c r="T659" s="45">
        <f>SUM(T3:T15)+T18+T20+T22+T25+T26+SUM(T32:T41)+SUM(T43:T46)+SUM(T48:T50)+T53+T67+SUM(T274:T285)+SUM(T318:T349)+T395+T423+SUM(T481:T482)+SUM(T495:T496)</f>
        <v>39613</v>
      </c>
      <c r="U659" s="47">
        <f t="shared" ref="U659:V659" si="2548">SUM(U3:U15)+U18+U20+U22+U25+U26+SUM(U32:U41)+SUM(U43:U46)+SUM(U48:U50)+U53+U67+SUM(U274:U285)+SUM(U318:U349)+U395+U423+SUM(U481:U482)+SUM(U495:U496)</f>
        <v>32934</v>
      </c>
      <c r="V659" s="45">
        <f t="shared" si="2548"/>
        <v>34065</v>
      </c>
      <c r="W659" s="47">
        <f>SUM(W3:W15)+W18+W20+W22+W25+W26+SUM(W32:W41)+SUM(W43:W46)+SUM(W48:W50)+W53+W67+SUM(W274:W285)+SUM(W318:W349)+W395+W423+SUM(W481:W482)+SUM(W495:W496)</f>
        <v>38752</v>
      </c>
      <c r="X659" s="45">
        <f>SUM(X3:X15)+X18+X20+X22+X25+X26+SUM(X32:X41)+SUM(X43:X46)+SUM(X48:X50)+X53+X67+SUM(X274:X285)+SUM(X318:X349)+X395+X423+SUM(X481:X482)+SUM(X495:X496)</f>
        <v>40219</v>
      </c>
      <c r="Y659" s="47">
        <f>SUM(Y3:Y15)+Y18+Y20+Y22+Y25+Y26+SUM(Y32:Y41)+SUM(Y43:Y46)+SUM(Y48:Y50)+Y53+Y67+SUM(Y274:Y285)+SUM(Y318:Y349)+Y395+Y423+SUM(Y481:Y482)+SUM(Y495:Y496)</f>
        <v>31209</v>
      </c>
      <c r="Z659" s="109">
        <f t="shared" ref="Z659:AE659" si="2549">SUM(Z3:Z15)+Z18+Z20+Z22+Z25+Z26+SUM(Z32:Z41)+SUM(Z43:Z46)+SUM(Z48:Z50)+Z53+Z67+SUM(Z274:Z285)+SUM(Z318:Z349)+Z395+Z423+SUM(Z481:Z482)+SUM(Z495:Z496)</f>
        <v>43101</v>
      </c>
      <c r="AA659" s="46">
        <f t="shared" si="2549"/>
        <v>0</v>
      </c>
      <c r="AB659" s="46">
        <f t="shared" si="2549"/>
        <v>2173</v>
      </c>
      <c r="AC659" s="46">
        <f t="shared" si="2549"/>
        <v>28673</v>
      </c>
      <c r="AD659" s="46">
        <f t="shared" si="2549"/>
        <v>0</v>
      </c>
      <c r="AE659" s="43">
        <f t="shared" si="2549"/>
        <v>0</v>
      </c>
      <c r="AF659" s="95">
        <f t="shared" si="2543"/>
        <v>4</v>
      </c>
      <c r="AG659" s="109">
        <f t="shared" ref="AG659" si="2550">SUM(AG3:AG15)+AG18+AG20+AG22+AG25+AG26+SUM(AG32:AG41)+SUM(AG43:AG46)+SUM(AG48:AG50)+AG53+AG67+SUM(AG274:AG285)+SUM(AG318:AG349)+AG395+AG423+SUM(AG481:AG482)+SUM(AG495:AG496)</f>
        <v>42759</v>
      </c>
      <c r="AH659" s="47">
        <f t="shared" si="2543"/>
        <v>29768</v>
      </c>
      <c r="AI659" s="45">
        <f t="shared" si="2543"/>
        <v>0</v>
      </c>
      <c r="AJ659" s="43">
        <f t="shared" si="2543"/>
        <v>0</v>
      </c>
      <c r="AK659" s="45">
        <f t="shared" ref="AK659" si="2551">SUM(AK3:AK15)+AK18+AK20+AK22+AK25+AK26+SUM(AK32:AK41)+SUM(AK43:AK46)+SUM(AK48:AK50)+AK53+AK67+SUM(AK274:AK285)+SUM(AK318:AK349)+AK395+AK423+SUM(AK481:AK482)+SUM(AK495:AK496)</f>
        <v>15376</v>
      </c>
      <c r="AL659" s="47">
        <f t="shared" si="2543"/>
        <v>13054</v>
      </c>
      <c r="AM659" s="45">
        <f t="shared" si="2543"/>
        <v>2634</v>
      </c>
      <c r="AN659" s="95">
        <f t="shared" si="2543"/>
        <v>1103</v>
      </c>
      <c r="AO659" s="109">
        <f t="shared" ref="AO659" si="2552">SUM(AO3:AO15)+AO18+AO20+AO22+AO25+AO26+SUM(AO32:AO41)+SUM(AO43:AO46)+SUM(AO48:AO50)+AO53+AO67+SUM(AO274:AO285)+SUM(AO318:AO349)+AO395+AO423+SUM(AO481:AO482)+SUM(AO495:AO496)</f>
        <v>0</v>
      </c>
      <c r="AP659" s="47">
        <f t="shared" si="2543"/>
        <v>0</v>
      </c>
      <c r="AQ659" s="45">
        <f t="shared" ref="AQ659" si="2553">SUM(AQ3:AQ15)+AQ18+AQ20+AQ22+AQ25+AQ26+SUM(AQ32:AQ41)+SUM(AQ43:AQ46)+SUM(AQ48:AQ50)+AQ53+AQ67+SUM(AQ274:AQ285)+SUM(AQ318:AQ349)+AQ395+AQ423+SUM(AQ481:AQ482)+SUM(AQ495:AQ496)</f>
        <v>14848</v>
      </c>
      <c r="AR659" s="95">
        <f t="shared" si="2543"/>
        <v>23691</v>
      </c>
      <c r="AS659" s="109">
        <f t="shared" ref="AS659" si="2554">SUM(AS3:AS15)+AS18+AS20+AS22+AS25+AS26+SUM(AS32:AS41)+SUM(AS43:AS46)+SUM(AS48:AS50)+AS53+AS67+SUM(AS274:AS285)+SUM(AS318:AS349)+AS395+AS423+SUM(AS481:AS482)+SUM(AS495:AS496)</f>
        <v>13887</v>
      </c>
      <c r="AT659" s="47">
        <f t="shared" si="2543"/>
        <v>14785</v>
      </c>
      <c r="AU659" s="45">
        <f t="shared" ref="AU659" si="2555">SUM(AU3:AU15)+AU18+AU20+AU22+AU25+AU26+SUM(AU32:AU41)+SUM(AU43:AU46)+SUM(AU48:AU50)+AU53+AU67+SUM(AU274:AU285)+SUM(AU318:AU349)+AU395+AU423+SUM(AU481:AU482)+SUM(AU495:AU496)</f>
        <v>0</v>
      </c>
      <c r="AV659" s="109">
        <f t="shared" ref="AV659" si="2556">SUM(AV3:AV15)+AV18+AV20+AV22+AV25+AV26+SUM(AV32:AV41)+SUM(AV43:AV46)+SUM(AV48:AV50)+AV53+AV67+SUM(AV274:AV285)+SUM(AV318:AV349)+AV395+AV423+SUM(AV481:AV482)+SUM(AV495:AV496)</f>
        <v>0</v>
      </c>
      <c r="AW659" s="109">
        <f t="shared" si="2543"/>
        <v>0</v>
      </c>
      <c r="AX659" s="45">
        <f t="shared" ref="AX659" si="2557">SUM(AX3:AX15)+AX18+AX20+AX22+AX25+AX26+SUM(AX32:AX41)+SUM(AX43:AX46)+SUM(AX48:AX50)+AX53+AX67+SUM(AX274:AX285)+SUM(AX318:AX349)+AX395+AX423+SUM(AX481:AX482)+SUM(AX495:AX496)</f>
        <v>0</v>
      </c>
      <c r="AY659" s="47">
        <f t="shared" si="2543"/>
        <v>0</v>
      </c>
      <c r="AZ659" s="45">
        <f t="shared" si="2543"/>
        <v>0</v>
      </c>
      <c r="BA659" s="95">
        <f t="shared" si="2543"/>
        <v>0</v>
      </c>
      <c r="BB659" s="45">
        <f t="shared" ref="BB659" si="2558">SUM(BB3:BB15)+BB18+BB20+BB22+BB25+BB26+SUM(BB32:BB41)+SUM(BB43:BB46)+SUM(BB48:BB50)+BB53+BB67+SUM(BB274:BB285)+SUM(BB318:BB349)+BB395+BB423+SUM(BB481:BB482)+SUM(BB495:BB496)</f>
        <v>32229</v>
      </c>
      <c r="BC659" s="47">
        <f>SUM(BC3:BC15)+BC18+BC20+BC22+BC25+BC26+SUM(BC32:BC41)+SUM(BC43:BC46)+SUM(BC48:BC50)+BC53+BC67+SUM(BC274:BC285)+SUM(BC318:BC349)+BC395+BC423+SUM(BC481:BC482)+SUM(BC495:BC496)</f>
        <v>37941</v>
      </c>
      <c r="BD659" s="45">
        <f t="shared" ref="BD659" si="2559">SUM(BD3:BD15)+BD18+BD20+BD22+BD25+BD26+SUM(BD32:BD41)+SUM(BD43:BD46)+SUM(BD48:BD50)+BD53+BD67+SUM(BD274:BD285)+SUM(BD318:BD349)+BD395+BD423+SUM(BD481:BD482)+SUM(BD495:BD496)</f>
        <v>31072</v>
      </c>
      <c r="BE659" s="95">
        <f>SUM(BE3:BE15)+BE18+BE20+BE22+BE25+BE26+SUM(BE32:BE41)+SUM(BE43:BE46)+SUM(BE48:BE50)+BE53+BE67+SUM(BE274:BE285)+SUM(BE318:BE349)+BE395+BE423+SUM(BE481:BE482)+SUM(BE495:BE496)</f>
        <v>38869</v>
      </c>
      <c r="BF659" s="109">
        <f t="shared" ref="BF659" si="2560">SUM(BF3:BF15)+BF18+BF20+BF22+BF25+BF26+SUM(BF32:BF41)+SUM(BF43:BF46)+SUM(BF48:BF50)+BF53+BF67+SUM(BF274:BF285)+SUM(BF318:BF349)+BF395+BF423+SUM(BF481:BF482)+SUM(BF495:BF496)</f>
        <v>38255</v>
      </c>
      <c r="BG659" s="47">
        <f>SUM(BG3:BG15)+BG18+BG20+BG22+BG25+BG26+SUM(BG32:BG41)+SUM(BG43:BG46)+SUM(BG48:BG50)+BG53+BG67+SUM(BG274:BG285)+SUM(BG318:BG349)+BG395+BG423+SUM(BG481:BG482)+SUM(BG495:BG496)</f>
        <v>31358</v>
      </c>
      <c r="BH659" s="45">
        <f t="shared" ref="BH659" si="2561">SUM(BH3:BH15)+BH18+BH20+BH22+BH25+BH26+SUM(BH32:BH41)+SUM(BH43:BH46)+SUM(BH48:BH50)+BH53+BH67+SUM(BH274:BH285)+SUM(BH318:BH349)+BH395+BH423+SUM(BH481:BH482)+SUM(BH495:BH496)</f>
        <v>33846</v>
      </c>
      <c r="BI659" s="47">
        <f>SUM(BI3:BI15)+BI18+BI20+BI22+BI25+BI26+SUM(BI32:BI41)+SUM(BI43:BI46)+SUM(BI48:BI50)+BI53+BI67+SUM(BI274:BI285)+SUM(BI318:BI349)+BI395+BI423+SUM(BI481:BI482)+SUM(BI495:BI496)</f>
        <v>36323</v>
      </c>
      <c r="BJ659" s="109">
        <f t="shared" ref="BJ659:BK659" si="2562">SUM(BJ3:BJ15)+BJ18+BJ20+BJ22+BJ25+BJ26+SUM(BJ32:BJ41)+SUM(BJ43:BJ46)+SUM(BJ48:BJ50)+BJ53+BJ67+SUM(BJ274:BJ285)+SUM(BJ318:BJ349)+BJ395+BJ423+SUM(BJ481:BJ482)+SUM(BJ495:BJ496)</f>
        <v>3357</v>
      </c>
      <c r="BK659" s="43">
        <f t="shared" si="2562"/>
        <v>29443</v>
      </c>
      <c r="BL659" s="95">
        <f t="shared" si="2543"/>
        <v>37713</v>
      </c>
      <c r="BM659" s="109">
        <f t="shared" ref="BM659:BN659" si="2563">SUM(BM3:BM15)+BM18+BM20+BM22+BM25+BM26+SUM(BM32:BM41)+SUM(BM43:BM46)+SUM(BM48:BM50)+BM53+BM67+SUM(BM274:BM285)+SUM(BM318:BM349)+BM395+BM423+SUM(BM481:BM482)+SUM(BM495:BM496)</f>
        <v>39159</v>
      </c>
      <c r="BN659" s="46">
        <f t="shared" si="2563"/>
        <v>28916</v>
      </c>
      <c r="BO659" s="47">
        <f t="shared" si="2543"/>
        <v>2551</v>
      </c>
      <c r="BP659" s="45">
        <f t="shared" ref="BP659" si="2564">SUM(BP3:BP15)+BP18+BP20+BP22+BP25+BP26+SUM(BP32:BP41)+SUM(BP43:BP46)+SUM(BP48:BP50)+BP53+BP67+SUM(BP274:BP285)+SUM(BP318:BP349)+BP395+BP423+SUM(BP481:BP482)+SUM(BP495:BP496)</f>
        <v>32606</v>
      </c>
      <c r="BQ659" s="47">
        <f t="shared" ref="BQ659" si="2565">SUM(BQ3:BQ15)+BQ18+BQ20+BQ22+BQ25+BQ26+SUM(BQ32:BQ41)+SUM(BQ43:BQ46)+SUM(BQ48:BQ50)+BQ53+BQ67+SUM(BQ274:BQ285)+SUM(BQ318:BQ349)+BQ395+BQ423+SUM(BQ481:BQ482)+SUM(BQ495:BQ496)</f>
        <v>37652</v>
      </c>
      <c r="BR659" s="45">
        <f t="shared" ref="BR659" si="2566">SUM(BR3:BR15)+BR18+BR20+BR22+BR25+BR26+SUM(BR32:BR41)+SUM(BR43:BR46)+SUM(BR48:BR50)+BR53+BR67+SUM(BR274:BR285)+SUM(BR318:BR349)+BR395+BR423+SUM(BR481:BR482)+SUM(BR495:BR496)</f>
        <v>35452</v>
      </c>
      <c r="BS659" s="47">
        <f t="shared" si="2543"/>
        <v>35621</v>
      </c>
      <c r="BT659" s="45">
        <f t="shared" ref="BT659:BU659" si="2567">SUM(BT3:BT15)+BT18+BT20+BT22+BT25+BT26+SUM(BT32:BT41)+SUM(BT43:BT46)+SUM(BT48:BT50)+BT53+BT67+SUM(BT274:BT285)+SUM(BT318:BT349)+BT395+BT423+SUM(BT481:BT482)+SUM(BT495:BT496)</f>
        <v>29527</v>
      </c>
      <c r="BU659" s="43">
        <f t="shared" si="2567"/>
        <v>3094</v>
      </c>
      <c r="BV659" s="95">
        <f t="shared" si="2543"/>
        <v>37104</v>
      </c>
      <c r="BW659" s="109">
        <f t="shared" ref="BW659" si="2568">SUM(BW3:BW15)+BW18+BW20+BW22+BW25+BW26+SUM(BW32:BW41)+SUM(BW43:BW46)+SUM(BW48:BW50)+BW53+BW67+SUM(BW274:BW285)+SUM(BW318:BW349)+BW395+BW423+SUM(BW481:BW482)+SUM(BW495:BW496)</f>
        <v>39870</v>
      </c>
      <c r="BX659" s="47">
        <f t="shared" si="2543"/>
        <v>31712</v>
      </c>
      <c r="BY659" s="45">
        <f t="shared" ref="BY659" si="2569">SUM(BY3:BY15)+BY18+BY20+BY22+BY25+BY26+SUM(BY32:BY41)+SUM(BY43:BY46)+SUM(BY48:BY50)+BY53+BY67+SUM(BY274:BY285)+SUM(BY318:BY349)+BY395+BY423+SUM(BY481:BY482)+SUM(BY495:BY496)</f>
        <v>38802</v>
      </c>
      <c r="BZ659" s="95">
        <f t="shared" si="2543"/>
        <v>30119</v>
      </c>
      <c r="CA659" s="109">
        <f t="shared" ref="CA659" si="2570">SUM(CA3:CA15)+CA18+CA20+CA22+CA25+CA26+SUM(CA32:CA41)+SUM(CA43:CA46)+SUM(CA48:CA50)+CA53+CA67+SUM(CA274:CA285)+SUM(CA318:CA349)+CA395+CA423+SUM(CA481:CA482)+SUM(CA495:CA496)</f>
        <v>30974</v>
      </c>
      <c r="CB659" s="47">
        <f t="shared" si="2543"/>
        <v>38850</v>
      </c>
      <c r="CC659" s="47">
        <f t="shared" si="2543"/>
        <v>46038</v>
      </c>
      <c r="CD659" s="44">
        <f t="shared" si="2543"/>
        <v>52652</v>
      </c>
      <c r="CE659" s="109">
        <f t="shared" ref="CE659" si="2571">SUM(CE3:CE15)+CE18+CE20+CE22+CE25+CE26+SUM(CE32:CE41)+SUM(CE43:CE46)+SUM(CE48:CE50)+CE53+CE67+SUM(CE274:CE285)+SUM(CE318:CE349)+CE395+CE423+SUM(CE481:CE482)+SUM(CE495:CE496)</f>
        <v>30712</v>
      </c>
      <c r="CF659" s="43">
        <f>SUM(CF3:CF15)+CF18+CF20+CF22+CF25+CF26+SUM(CF32:CF41)+SUM(CF43:CF46)+SUM(CF48:CF50)+CF53+CF67+SUM(CF274:CF285)+SUM(CF318:CF349)+CF395+CF423+SUM(CF481:CF482)+SUM(CF495:CF496)</f>
        <v>28332</v>
      </c>
      <c r="CG659" s="45">
        <f>SUM(CG3:CG15)+CG18+CG20+CG22+CG25+CG26+SUM(CG32:CG41)+SUM(CG43:CG46)+SUM(CG48:CG50)+CG53+CG67+SUM(CG274:CG285)+SUM(CG318:CG349)+CG395+CG423+SUM(CG481:CG482)+SUM(CG495:CG496)</f>
        <v>17821</v>
      </c>
      <c r="CH659" s="46">
        <f t="shared" ref="CH659:CJ659" si="2572">SUM(CH3:CH15)+CH18+CH20+CH22+CH25+CH26+SUM(CH32:CH41)+SUM(CH43:CH46)+SUM(CH48:CH50)+CH53+CH67+SUM(CH274:CH285)+SUM(CH318:CH349)+CH395+CH423+SUM(CH481:CH482)+SUM(CH495:CH496)</f>
        <v>16584</v>
      </c>
      <c r="CI659" s="46">
        <f t="shared" si="2572"/>
        <v>22846</v>
      </c>
      <c r="CJ659" s="46">
        <f t="shared" si="2572"/>
        <v>27270</v>
      </c>
      <c r="CK659" s="95">
        <f>SUM(CK3:CK15)+CK18+CK20+CK22+CK25+CK26+SUM(CK32:CK41)+SUM(CK43:CK46)+SUM(CK48:CK50)+CK53+CK67+SUM(CK274:CK285)+SUM(CK318:CK349)+CK395+CK423+SUM(CK481:CK482)+SUM(CK495:CK496)</f>
        <v>27346</v>
      </c>
    </row>
    <row r="660" spans="1:89" ht="13" x14ac:dyDescent="0.25">
      <c r="A660" s="91"/>
      <c r="B660" s="92" t="s">
        <v>682</v>
      </c>
      <c r="C660" s="93">
        <f>SUM(C193:C203)+SUM(C208:C211)+SUM(C232:C237)+SUM(C238:C262)+SUM(C286:C308)+C389+SUM(C396:C397)+SUM(C420:C422)+SUM(C424:C425)+SUM(C532:C559)</f>
        <v>98109</v>
      </c>
      <c r="D660" s="93">
        <f>SUM(D193:D203)+SUM(D208:D211)+SUM(D232:D237)+SUM(D238:D262)+SUM(D286:D308)+D389+SUM(D396:D397)+SUM(D420:D422)+SUM(D424:D425)+SUM(D532:D559)</f>
        <v>75867</v>
      </c>
      <c r="E660" s="89">
        <v>0.61559749992226132</v>
      </c>
      <c r="F660" s="45">
        <f t="shared" ref="F660:CD660" si="2573">SUM(F193:F203)+SUM(F208:F211)+SUM(F232:F237)+SUM(F238:F262)+SUM(F286:F308)+F389+SUM(F396:F397)+SUM(F420:F422)+SUM(F424:F425)+SUM(F532:F559)</f>
        <v>1</v>
      </c>
      <c r="G660" s="109">
        <f t="shared" ref="G660" si="2574">SUM(G193:G203)+SUM(G208:G211)+SUM(G232:G237)+SUM(G238:G262)+SUM(G286:G308)+G389+SUM(G396:G397)+SUM(G420:G422)+SUM(G424:G425)+SUM(G532:G559)</f>
        <v>0</v>
      </c>
      <c r="H660" s="109">
        <f t="shared" ref="H660:Q660" si="2575">SUM(H193:H203)+SUM(H208:H211)+SUM(H232:H237)+SUM(H238:H262)+SUM(H286:H308)+H389+SUM(H396:H397)+SUM(H420:H422)+SUM(H424:H425)+SUM(H532:H559)</f>
        <v>5</v>
      </c>
      <c r="I660" s="109">
        <f t="shared" si="2575"/>
        <v>18</v>
      </c>
      <c r="J660" s="109">
        <f t="shared" ref="J660:K660" si="2576">SUM(J193:J203)+SUM(J208:J211)+SUM(J232:J237)+SUM(J238:J262)+SUM(J286:J308)+J389+SUM(J396:J397)+SUM(J420:J422)+SUM(J424:J425)+SUM(J532:J559)</f>
        <v>135</v>
      </c>
      <c r="K660" s="109">
        <f t="shared" si="2576"/>
        <v>0</v>
      </c>
      <c r="L660" s="109">
        <f t="shared" si="2575"/>
        <v>1</v>
      </c>
      <c r="M660" s="109">
        <f t="shared" si="2575"/>
        <v>38395</v>
      </c>
      <c r="N660" s="109">
        <f t="shared" si="2575"/>
        <v>0</v>
      </c>
      <c r="O660" s="109">
        <f t="shared" si="2575"/>
        <v>0</v>
      </c>
      <c r="P660" s="46">
        <f t="shared" si="2575"/>
        <v>507</v>
      </c>
      <c r="Q660" s="46">
        <f t="shared" si="2575"/>
        <v>157</v>
      </c>
      <c r="R660" s="46">
        <f t="shared" ref="R660" si="2577">SUM(R193:R203)+SUM(R208:R211)+SUM(R232:R237)+SUM(R238:R262)+SUM(R286:R308)+R389+SUM(R396:R397)+SUM(R420:R422)+SUM(R424:R425)+SUM(R532:R559)</f>
        <v>35327</v>
      </c>
      <c r="S660" s="47">
        <f t="shared" si="2573"/>
        <v>14</v>
      </c>
      <c r="T660" s="45">
        <f>SUM(T193:T203)+SUM(T208:T211)+SUM(T232:T237)+SUM(T238:T262)+SUM(T286:T308)+T389+SUM(T396:T397)+SUM(T420:T422)+SUM(T424:T425)+SUM(T532:T559)</f>
        <v>35943</v>
      </c>
      <c r="U660" s="47">
        <f t="shared" ref="U660:V660" si="2578">SUM(U193:U203)+SUM(U208:U211)+SUM(U232:U237)+SUM(U238:U262)+SUM(U286:U308)+U389+SUM(U396:U397)+SUM(U420:U422)+SUM(U424:U425)+SUM(U532:U559)</f>
        <v>37180</v>
      </c>
      <c r="V660" s="45">
        <f t="shared" si="2578"/>
        <v>38722</v>
      </c>
      <c r="W660" s="47">
        <f>SUM(W193:W203)+SUM(W208:W211)+SUM(W232:W237)+SUM(W238:W262)+SUM(W286:W308)+W389+SUM(W396:W397)+SUM(W420:W422)+SUM(W424:W425)+SUM(W532:W559)</f>
        <v>34690</v>
      </c>
      <c r="X660" s="45">
        <f>SUM(X193:X203)+SUM(X208:X211)+SUM(X232:X237)+SUM(X238:X262)+SUM(X286:X308)+X389+SUM(X396:X397)+SUM(X420:X422)+SUM(X424:X425)+SUM(X532:X559)</f>
        <v>36262</v>
      </c>
      <c r="Y660" s="47">
        <f>SUM(Y193:Y203)+SUM(Y208:Y211)+SUM(Y232:Y237)+SUM(Y238:Y262)+SUM(Y286:Y308)+Y389+SUM(Y396:Y397)+SUM(Y420:Y422)+SUM(Y424:Y425)+SUM(Y532:Y559)</f>
        <v>35824</v>
      </c>
      <c r="Z660" s="109">
        <f t="shared" ref="Z660:AE660" si="2579">SUM(Z193:Z203)+SUM(Z208:Z211)+SUM(Z232:Z237)+SUM(Z238:Z262)+SUM(Z286:Z308)+Z389+SUM(Z396:Z397)+SUM(Z420:Z422)+SUM(Z424:Z425)+SUM(Z532:Z559)</f>
        <v>38896</v>
      </c>
      <c r="AA660" s="46">
        <f t="shared" si="2579"/>
        <v>3</v>
      </c>
      <c r="AB660" s="46">
        <f t="shared" si="2579"/>
        <v>2270</v>
      </c>
      <c r="AC660" s="46">
        <f t="shared" si="2579"/>
        <v>33166</v>
      </c>
      <c r="AD660" s="46">
        <f t="shared" si="2579"/>
        <v>0</v>
      </c>
      <c r="AE660" s="43">
        <f t="shared" si="2579"/>
        <v>0</v>
      </c>
      <c r="AF660" s="95">
        <f t="shared" si="2573"/>
        <v>10</v>
      </c>
      <c r="AG660" s="109">
        <f t="shared" ref="AG660" si="2580">SUM(AG193:AG203)+SUM(AG208:AG211)+SUM(AG232:AG237)+SUM(AG238:AG262)+SUM(AG286:AG308)+AG389+SUM(AG396:AG397)+SUM(AG420:AG422)+SUM(AG424:AG425)+SUM(AG532:AG559)</f>
        <v>32631</v>
      </c>
      <c r="AH660" s="47">
        <f t="shared" si="2573"/>
        <v>29798</v>
      </c>
      <c r="AI660" s="45">
        <f t="shared" si="2573"/>
        <v>4562</v>
      </c>
      <c r="AJ660" s="43">
        <f t="shared" si="2573"/>
        <v>5973</v>
      </c>
      <c r="AK660" s="45">
        <f t="shared" ref="AK660" si="2581">SUM(AK193:AK203)+SUM(AK208:AK211)+SUM(AK232:AK237)+SUM(AK238:AK262)+SUM(AK286:AK308)+AK389+SUM(AK396:AK397)+SUM(AK420:AK422)+SUM(AK424:AK425)+SUM(AK532:AK559)</f>
        <v>9985</v>
      </c>
      <c r="AL660" s="47">
        <f t="shared" si="2573"/>
        <v>8288</v>
      </c>
      <c r="AM660" s="45">
        <f t="shared" si="2573"/>
        <v>0</v>
      </c>
      <c r="AN660" s="95">
        <f t="shared" si="2573"/>
        <v>0</v>
      </c>
      <c r="AO660" s="109">
        <f t="shared" ref="AO660" si="2582">SUM(AO193:AO203)+SUM(AO208:AO211)+SUM(AO232:AO237)+SUM(AO238:AO262)+SUM(AO286:AO308)+AO389+SUM(AO396:AO397)+SUM(AO420:AO422)+SUM(AO424:AO425)+SUM(AO532:AO559)</f>
        <v>0</v>
      </c>
      <c r="AP660" s="47">
        <f t="shared" si="2573"/>
        <v>0</v>
      </c>
      <c r="AQ660" s="45">
        <f t="shared" ref="AQ660" si="2583">SUM(AQ193:AQ203)+SUM(AQ208:AQ211)+SUM(AQ232:AQ237)+SUM(AQ238:AQ262)+SUM(AQ286:AQ308)+AQ389+SUM(AQ396:AQ397)+SUM(AQ420:AQ422)+SUM(AQ424:AQ425)+SUM(AQ532:AQ559)</f>
        <v>22</v>
      </c>
      <c r="AR660" s="95">
        <f t="shared" si="2573"/>
        <v>39</v>
      </c>
      <c r="AS660" s="109">
        <f t="shared" ref="AS660" si="2584">SUM(AS193:AS203)+SUM(AS208:AS211)+SUM(AS232:AS237)+SUM(AS238:AS262)+SUM(AS286:AS308)+AS389+SUM(AS396:AS397)+SUM(AS420:AS422)+SUM(AS424:AS425)+SUM(AS532:AS559)</f>
        <v>7675</v>
      </c>
      <c r="AT660" s="47">
        <f t="shared" si="2573"/>
        <v>8916</v>
      </c>
      <c r="AU660" s="45">
        <f t="shared" ref="AU660" si="2585">SUM(AU193:AU203)+SUM(AU208:AU211)+SUM(AU232:AU237)+SUM(AU238:AU262)+SUM(AU286:AU308)+AU389+SUM(AU396:AU397)+SUM(AU420:AU422)+SUM(AU424:AU425)+SUM(AU532:AU559)</f>
        <v>27754</v>
      </c>
      <c r="AV660" s="109">
        <f t="shared" ref="AV660" si="2586">SUM(AV193:AV203)+SUM(AV208:AV211)+SUM(AV232:AV237)+SUM(AV238:AV262)+SUM(AV286:AV308)+AV389+SUM(AV396:AV397)+SUM(AV420:AV422)+SUM(AV424:AV425)+SUM(AV532:AV559)</f>
        <v>2</v>
      </c>
      <c r="AW660" s="109">
        <f t="shared" si="2573"/>
        <v>25961</v>
      </c>
      <c r="AX660" s="45">
        <f t="shared" ref="AX660" si="2587">SUM(AX193:AX203)+SUM(AX208:AX211)+SUM(AX232:AX237)+SUM(AX238:AX262)+SUM(AX286:AX308)+AX389+SUM(AX396:AX397)+SUM(AX420:AX422)+SUM(AX424:AX425)+SUM(AX532:AX559)</f>
        <v>799</v>
      </c>
      <c r="AY660" s="47">
        <f t="shared" si="2573"/>
        <v>837</v>
      </c>
      <c r="AZ660" s="45">
        <f t="shared" si="2573"/>
        <v>0</v>
      </c>
      <c r="BA660" s="95">
        <f t="shared" si="2573"/>
        <v>0</v>
      </c>
      <c r="BB660" s="45">
        <f t="shared" ref="BB660" si="2588">SUM(BB193:BB203)+SUM(BB208:BB211)+SUM(BB232:BB237)+SUM(BB238:BB262)+SUM(BB286:BB308)+BB389+SUM(BB396:BB397)+SUM(BB420:BB422)+SUM(BB424:BB425)+SUM(BB532:BB559)</f>
        <v>36954</v>
      </c>
      <c r="BC660" s="47">
        <f>SUM(BC193:BC203)+SUM(BC208:BC211)+SUM(BC232:BC237)+SUM(BC238:BC262)+SUM(BC286:BC308)+BC389+SUM(BC396:BC397)+SUM(BC420:BC422)+SUM(BC424:BC425)+SUM(BC532:BC559)</f>
        <v>34136</v>
      </c>
      <c r="BD660" s="45">
        <f t="shared" ref="BD660" si="2589">SUM(BD193:BD203)+SUM(BD208:BD211)+SUM(BD232:BD237)+SUM(BD238:BD262)+SUM(BD286:BD308)+BD389+SUM(BD396:BD397)+SUM(BD420:BD422)+SUM(BD424:BD425)+SUM(BD532:BD559)</f>
        <v>36013</v>
      </c>
      <c r="BE660" s="95">
        <f>SUM(BE193:BE203)+SUM(BE208:BE211)+SUM(BE232:BE237)+SUM(BE238:BE262)+SUM(BE286:BE308)+BE389+SUM(BE396:BE397)+SUM(BE420:BE422)+SUM(BE424:BE425)+SUM(BE532:BE559)</f>
        <v>34786</v>
      </c>
      <c r="BF660" s="109">
        <f t="shared" ref="BF660" si="2590">SUM(BF193:BF203)+SUM(BF208:BF211)+SUM(BF232:BF237)+SUM(BF238:BF262)+SUM(BF286:BF308)+BF389+SUM(BF396:BF397)+SUM(BF420:BF422)+SUM(BF424:BF425)+SUM(BF532:BF559)</f>
        <v>34678</v>
      </c>
      <c r="BG660" s="47">
        <f>SUM(BG193:BG203)+SUM(BG208:BG211)+SUM(BG232:BG237)+SUM(BG238:BG262)+SUM(BG286:BG308)+BG389+SUM(BG396:BG397)+SUM(BG420:BG422)+SUM(BG424:BG425)+SUM(BG532:BG559)</f>
        <v>35791</v>
      </c>
      <c r="BH660" s="45">
        <f t="shared" ref="BH660" si="2591">SUM(BH193:BH203)+SUM(BH208:BH211)+SUM(BH232:BH237)+SUM(BH238:BH262)+SUM(BH286:BH308)+BH389+SUM(BH396:BH397)+SUM(BH420:BH422)+SUM(BH424:BH425)+SUM(BH532:BH559)</f>
        <v>38365</v>
      </c>
      <c r="BI660" s="47">
        <f>SUM(BI193:BI203)+SUM(BI208:BI211)+SUM(BI232:BI237)+SUM(BI238:BI262)+SUM(BI286:BI308)+BI389+SUM(BI396:BI397)+SUM(BI420:BI422)+SUM(BI424:BI425)+SUM(BI532:BI559)</f>
        <v>32444</v>
      </c>
      <c r="BJ660" s="109">
        <f t="shared" ref="BJ660:BK660" si="2592">SUM(BJ193:BJ203)+SUM(BJ208:BJ211)+SUM(BJ232:BJ237)+SUM(BJ238:BJ262)+SUM(BJ286:BJ308)+BJ389+SUM(BJ396:BJ397)+SUM(BJ420:BJ422)+SUM(BJ424:BJ425)+SUM(BJ532:BJ559)</f>
        <v>3205</v>
      </c>
      <c r="BK660" s="43">
        <f t="shared" si="2592"/>
        <v>33741</v>
      </c>
      <c r="BL660" s="95">
        <f t="shared" si="2573"/>
        <v>34452</v>
      </c>
      <c r="BM660" s="109">
        <f t="shared" ref="BM660:BN660" si="2593">SUM(BM193:BM203)+SUM(BM208:BM211)+SUM(BM232:BM237)+SUM(BM238:BM262)+SUM(BM286:BM308)+BM389+SUM(BM396:BM397)+SUM(BM420:BM422)+SUM(BM424:BM425)+SUM(BM532:BM559)</f>
        <v>35360</v>
      </c>
      <c r="BN660" s="46">
        <f t="shared" si="2593"/>
        <v>33501</v>
      </c>
      <c r="BO660" s="47">
        <f t="shared" si="2573"/>
        <v>2426</v>
      </c>
      <c r="BP660" s="45">
        <f t="shared" ref="BP660" si="2594">SUM(BP193:BP203)+SUM(BP208:BP211)+SUM(BP232:BP237)+SUM(BP238:BP262)+SUM(BP286:BP308)+BP389+SUM(BP396:BP397)+SUM(BP420:BP422)+SUM(BP424:BP425)+SUM(BP532:BP559)</f>
        <v>36231</v>
      </c>
      <c r="BQ660" s="47">
        <f t="shared" ref="BQ660" si="2595">SUM(BQ193:BQ203)+SUM(BQ208:BQ211)+SUM(BQ232:BQ237)+SUM(BQ238:BQ262)+SUM(BQ286:BQ308)+BQ389+SUM(BQ396:BQ397)+SUM(BQ420:BQ422)+SUM(BQ424:BQ425)+SUM(BQ532:BQ559)</f>
        <v>35014</v>
      </c>
      <c r="BR660" s="45">
        <f t="shared" ref="BR660" si="2596">SUM(BR193:BR203)+SUM(BR208:BR211)+SUM(BR232:BR237)+SUM(BR238:BR262)+SUM(BR286:BR308)+BR389+SUM(BR396:BR397)+SUM(BR420:BR422)+SUM(BR424:BR425)+SUM(BR532:BR559)</f>
        <v>31880</v>
      </c>
      <c r="BS660" s="47">
        <f t="shared" si="2573"/>
        <v>40006</v>
      </c>
      <c r="BT660" s="45">
        <f t="shared" ref="BT660:BU660" si="2597">SUM(BT193:BT203)+SUM(BT208:BT211)+SUM(BT232:BT237)+SUM(BT238:BT262)+SUM(BT286:BT308)+BT389+SUM(BT396:BT397)+SUM(BT420:BT422)+SUM(BT424:BT425)+SUM(BT532:BT559)</f>
        <v>34136</v>
      </c>
      <c r="BU660" s="43">
        <f t="shared" si="2597"/>
        <v>3016</v>
      </c>
      <c r="BV660" s="95">
        <f t="shared" si="2573"/>
        <v>33436</v>
      </c>
      <c r="BW660" s="109">
        <f t="shared" ref="BW660" si="2598">SUM(BW193:BW203)+SUM(BW208:BW211)+SUM(BW232:BW237)+SUM(BW238:BW262)+SUM(BW286:BW308)+BW389+SUM(BW396:BW397)+SUM(BW420:BW422)+SUM(BW424:BW425)+SUM(BW532:BW559)</f>
        <v>36163</v>
      </c>
      <c r="BX660" s="47">
        <f t="shared" si="2573"/>
        <v>36089</v>
      </c>
      <c r="BY660" s="45">
        <f t="shared" ref="BY660" si="2599">SUM(BY193:BY203)+SUM(BY208:BY211)+SUM(BY232:BY237)+SUM(BY238:BY262)+SUM(BY286:BY308)+BY389+SUM(BY396:BY397)+SUM(BY420:BY422)+SUM(BY424:BY425)+SUM(BY532:BY559)</f>
        <v>34975</v>
      </c>
      <c r="BZ660" s="95">
        <f t="shared" si="2573"/>
        <v>34856</v>
      </c>
      <c r="CA660" s="109">
        <f t="shared" ref="CA660" si="2600">SUM(CA193:CA203)+SUM(CA208:CA211)+SUM(CA232:CA237)+SUM(CA238:CA262)+SUM(CA286:CA308)+CA389+SUM(CA396:CA397)+SUM(CA420:CA422)+SUM(CA424:CA425)+SUM(CA532:CA559)</f>
        <v>35324</v>
      </c>
      <c r="CB660" s="47">
        <f t="shared" si="2573"/>
        <v>35245</v>
      </c>
      <c r="CC660" s="47">
        <f t="shared" si="2573"/>
        <v>48665</v>
      </c>
      <c r="CD660" s="44">
        <f t="shared" si="2573"/>
        <v>51949</v>
      </c>
      <c r="CE660" s="109">
        <f t="shared" ref="CE660" si="2601">SUM(CE193:CE203)+SUM(CE208:CE211)+SUM(CE232:CE237)+SUM(CE238:CE262)+SUM(CE286:CE308)+CE389+SUM(CE396:CE397)+SUM(CE420:CE422)+SUM(CE424:CE425)+SUM(CE532:CE559)</f>
        <v>32880</v>
      </c>
      <c r="CF660" s="43">
        <f>SUM(CF193:CF203)+SUM(CF208:CF211)+SUM(CF232:CF237)+SUM(CF238:CF262)+SUM(CF286:CF308)+CF389+SUM(CF396:CF397)+SUM(CF420:CF422)+SUM(CF424:CF425)+SUM(CF532:CF559)</f>
        <v>26914</v>
      </c>
      <c r="CG660" s="45">
        <f>SUM(CG193:CG203)+SUM(CG208:CG211)+SUM(CG232:CG237)+SUM(CG238:CG262)+SUM(CG286:CG308)+CG389+SUM(CG396:CG397)+SUM(CG420:CG422)+SUM(CG424:CG425)+SUM(CG532:CG559)</f>
        <v>18731</v>
      </c>
      <c r="CH660" s="46">
        <f t="shared" ref="CH660:CJ660" si="2602">SUM(CH193:CH203)+SUM(CH208:CH211)+SUM(CH232:CH237)+SUM(CH238:CH262)+SUM(CH286:CH308)+CH389+SUM(CH396:CH397)+SUM(CH420:CH422)+SUM(CH424:CH425)+SUM(CH532:CH559)</f>
        <v>18480</v>
      </c>
      <c r="CI660" s="46">
        <f t="shared" si="2602"/>
        <v>19932</v>
      </c>
      <c r="CJ660" s="46">
        <f t="shared" si="2602"/>
        <v>23688</v>
      </c>
      <c r="CK660" s="95">
        <f>SUM(CK193:CK203)+SUM(CK208:CK211)+SUM(CK232:CK237)+SUM(CK238:CK262)+SUM(CK286:CK308)+CK389+SUM(CK396:CK397)+SUM(CK420:CK422)+SUM(CK424:CK425)+SUM(CK532:CK559)</f>
        <v>31734</v>
      </c>
    </row>
    <row r="661" spans="1:89" ht="13" x14ac:dyDescent="0.25">
      <c r="A661" s="91"/>
      <c r="B661" s="92" t="s">
        <v>683</v>
      </c>
      <c r="C661" s="93">
        <f>SUM(C204:C207)+SUM(C351:C388)+SUM(C428:C470)+SUM(C507)+SUM(C523)</f>
        <v>96092</v>
      </c>
      <c r="D661" s="93">
        <f>SUM(D204:D207)+SUM(D351:D388)+SUM(D428:D470)+SUM(D507)+SUM(D523)</f>
        <v>72064</v>
      </c>
      <c r="E661" s="89">
        <v>0.56453091684434964</v>
      </c>
      <c r="F661" s="45">
        <f t="shared" ref="F661:CD661" si="2603">SUM(F204:F207)+SUM(F351:F388)+SUM(F428:F470)+SUM(F507)+SUM(F523)</f>
        <v>0</v>
      </c>
      <c r="G661" s="109">
        <f t="shared" ref="G661" si="2604">SUM(G204:G207)+SUM(G351:G388)+SUM(G428:G470)+SUM(G507)+SUM(G523)</f>
        <v>0</v>
      </c>
      <c r="H661" s="109">
        <f t="shared" ref="H661:Q661" si="2605">SUM(H204:H207)+SUM(H351:H388)+SUM(H428:H470)+SUM(H507)+SUM(H523)</f>
        <v>1</v>
      </c>
      <c r="I661" s="109">
        <f t="shared" si="2605"/>
        <v>21</v>
      </c>
      <c r="J661" s="109">
        <f t="shared" ref="J661:K661" si="2606">SUM(J204:J207)+SUM(J351:J388)+SUM(J428:J470)+SUM(J507)+SUM(J523)</f>
        <v>131</v>
      </c>
      <c r="K661" s="109">
        <f t="shared" si="2606"/>
        <v>0</v>
      </c>
      <c r="L661" s="109">
        <f t="shared" si="2605"/>
        <v>1</v>
      </c>
      <c r="M661" s="109">
        <f t="shared" si="2605"/>
        <v>28116</v>
      </c>
      <c r="N661" s="109">
        <f t="shared" si="2605"/>
        <v>0</v>
      </c>
      <c r="O661" s="109">
        <f t="shared" si="2605"/>
        <v>1</v>
      </c>
      <c r="P661" s="46">
        <f t="shared" si="2605"/>
        <v>412</v>
      </c>
      <c r="Q661" s="46">
        <f t="shared" si="2605"/>
        <v>144</v>
      </c>
      <c r="R661" s="46">
        <f t="shared" ref="R661" si="2607">SUM(R204:R207)+SUM(R351:R388)+SUM(R428:R470)+SUM(R507)+SUM(R523)</f>
        <v>42285</v>
      </c>
      <c r="S661" s="47">
        <f t="shared" si="2603"/>
        <v>5</v>
      </c>
      <c r="T661" s="45">
        <f>SUM(T204:T207)+SUM(T351:T388)+SUM(T428:T470)+SUM(T507)+SUM(T523)</f>
        <v>26517</v>
      </c>
      <c r="U661" s="47">
        <f t="shared" ref="U661:V661" si="2608">SUM(U204:U207)+SUM(U351:U388)+SUM(U428:U470)+SUM(U507)+SUM(U523)</f>
        <v>42729</v>
      </c>
      <c r="V661" s="45">
        <f t="shared" si="2608"/>
        <v>44641</v>
      </c>
      <c r="W661" s="47">
        <f>SUM(W204:W207)+SUM(W351:W388)+SUM(W428:W470)+SUM(W507)+SUM(W523)</f>
        <v>25109</v>
      </c>
      <c r="X661" s="45">
        <f>SUM(X204:X207)+SUM(X351:X388)+SUM(X428:X470)+SUM(X507)+SUM(X523)</f>
        <v>26855</v>
      </c>
      <c r="Y661" s="47">
        <f>SUM(Y204:Y207)+SUM(Y351:Y388)+SUM(Y428:Y470)+SUM(Y507)+SUM(Y523)</f>
        <v>41343</v>
      </c>
      <c r="Z661" s="109">
        <f t="shared" ref="Z661:AE661" si="2609">SUM(Z204:Z207)+SUM(Z351:Z388)+SUM(Z428:Z470)+SUM(Z507)+SUM(Z523)</f>
        <v>29117</v>
      </c>
      <c r="AA661" s="46">
        <f t="shared" si="2609"/>
        <v>0</v>
      </c>
      <c r="AB661" s="46">
        <f t="shared" si="2609"/>
        <v>2568</v>
      </c>
      <c r="AC661" s="46">
        <f t="shared" si="2609"/>
        <v>38809</v>
      </c>
      <c r="AD661" s="46">
        <f t="shared" si="2609"/>
        <v>1</v>
      </c>
      <c r="AE661" s="43">
        <f t="shared" si="2609"/>
        <v>0</v>
      </c>
      <c r="AF661" s="95">
        <f t="shared" si="2603"/>
        <v>4</v>
      </c>
      <c r="AG661" s="109">
        <f t="shared" ref="AG661" si="2610">SUM(AG204:AG207)+SUM(AG351:AG388)+SUM(AG428:AG470)+SUM(AG507)+SUM(AG523)</f>
        <v>0</v>
      </c>
      <c r="AH661" s="47">
        <f t="shared" si="2603"/>
        <v>0</v>
      </c>
      <c r="AI661" s="45">
        <f t="shared" si="2603"/>
        <v>41500</v>
      </c>
      <c r="AJ661" s="43">
        <f t="shared" si="2603"/>
        <v>26450</v>
      </c>
      <c r="AK661" s="45">
        <f t="shared" ref="AK661" si="2611">SUM(AK204:AK207)+SUM(AK351:AK388)+SUM(AK428:AK470)+SUM(AK507)+SUM(AK523)</f>
        <v>41740</v>
      </c>
      <c r="AL661" s="47">
        <f t="shared" si="2603"/>
        <v>25021</v>
      </c>
      <c r="AM661" s="45">
        <f t="shared" si="2603"/>
        <v>0</v>
      </c>
      <c r="AN661" s="95">
        <f t="shared" si="2603"/>
        <v>0</v>
      </c>
      <c r="AO661" s="109">
        <f t="shared" ref="AO661" si="2612">SUM(AO204:AO207)+SUM(AO351:AO388)+SUM(AO428:AO470)+SUM(AO507)+SUM(AO523)</f>
        <v>0</v>
      </c>
      <c r="AP661" s="47">
        <f t="shared" si="2603"/>
        <v>0</v>
      </c>
      <c r="AQ661" s="45">
        <f t="shared" ref="AQ661" si="2613">SUM(AQ204:AQ207)+SUM(AQ351:AQ388)+SUM(AQ428:AQ470)+SUM(AQ507)+SUM(AQ523)</f>
        <v>0</v>
      </c>
      <c r="AR661" s="95">
        <f t="shared" si="2603"/>
        <v>0</v>
      </c>
      <c r="AS661" s="109">
        <f t="shared" ref="AS661" si="2614">SUM(AS204:AS207)+SUM(AS351:AS388)+SUM(AS428:AS470)+SUM(AS507)+SUM(AS523)</f>
        <v>0</v>
      </c>
      <c r="AT661" s="47">
        <f t="shared" si="2603"/>
        <v>0</v>
      </c>
      <c r="AU661" s="45">
        <f t="shared" ref="AU661" si="2615">SUM(AU204:AU207)+SUM(AU351:AU388)+SUM(AU428:AU470)+SUM(AU507)+SUM(AU523)</f>
        <v>1057</v>
      </c>
      <c r="AV661" s="109">
        <f t="shared" ref="AV661" si="2616">SUM(AV204:AV207)+SUM(AV351:AV388)+SUM(AV428:AV470)+SUM(AV507)+SUM(AV523)</f>
        <v>0</v>
      </c>
      <c r="AW661" s="109">
        <f t="shared" si="2603"/>
        <v>549</v>
      </c>
      <c r="AX661" s="45">
        <f t="shared" ref="AX661" si="2617">SUM(AX204:AX207)+SUM(AX351:AX388)+SUM(AX428:AX470)+SUM(AX507)+SUM(AX523)</f>
        <v>16201</v>
      </c>
      <c r="AY661" s="47">
        <f t="shared" si="2603"/>
        <v>12186</v>
      </c>
      <c r="AZ661" s="45">
        <f t="shared" si="2603"/>
        <v>12706</v>
      </c>
      <c r="BA661" s="95">
        <f t="shared" si="2603"/>
        <v>25334</v>
      </c>
      <c r="BB661" s="45">
        <f t="shared" ref="BB661" si="2618">SUM(BB204:BB207)+SUM(BB351:BB388)+SUM(BB428:BB470)+SUM(BB507)+SUM(BB523)</f>
        <v>42044</v>
      </c>
      <c r="BC661" s="47">
        <f>SUM(BC204:BC207)+SUM(BC351:BC388)+SUM(BC428:BC470)+SUM(BC507)+SUM(BC523)</f>
        <v>25300</v>
      </c>
      <c r="BD661" s="45">
        <f t="shared" ref="BD661" si="2619">SUM(BD204:BD207)+SUM(BD351:BD388)+SUM(BD428:BD470)+SUM(BD507)+SUM(BD523)</f>
        <v>41069</v>
      </c>
      <c r="BE661" s="95">
        <f>SUM(BE204:BE207)+SUM(BE351:BE388)+SUM(BE428:BE470)+SUM(BE507)+SUM(BE523)</f>
        <v>25913</v>
      </c>
      <c r="BF661" s="109">
        <f t="shared" ref="BF661" si="2620">SUM(BF204:BF207)+SUM(BF351:BF388)+SUM(BF428:BF470)+SUM(BF507)+SUM(BF523)</f>
        <v>25707</v>
      </c>
      <c r="BG661" s="47">
        <f>SUM(BG204:BG207)+SUM(BG351:BG388)+SUM(BG428:BG470)+SUM(BG507)+SUM(BG523)</f>
        <v>40851</v>
      </c>
      <c r="BH661" s="45">
        <f t="shared" ref="BH661" si="2621">SUM(BH204:BH207)+SUM(BH351:BH388)+SUM(BH428:BH470)+SUM(BH507)+SUM(BH523)</f>
        <v>43653</v>
      </c>
      <c r="BI661" s="47">
        <f>SUM(BI204:BI207)+SUM(BI351:BI388)+SUM(BI428:BI470)+SUM(BI507)+SUM(BI523)</f>
        <v>23921</v>
      </c>
      <c r="BJ661" s="109">
        <f t="shared" ref="BJ661:BK661" si="2622">SUM(BJ204:BJ207)+SUM(BJ351:BJ388)+SUM(BJ428:BJ470)+SUM(BJ507)+SUM(BJ523)</f>
        <v>2916</v>
      </c>
      <c r="BK661" s="43">
        <f t="shared" si="2622"/>
        <v>38597</v>
      </c>
      <c r="BL661" s="95">
        <f t="shared" si="2603"/>
        <v>26502</v>
      </c>
      <c r="BM661" s="109">
        <f t="shared" ref="BM661:BN661" si="2623">SUM(BM204:BM207)+SUM(BM351:BM388)+SUM(BM428:BM470)+SUM(BM507)+SUM(BM523)</f>
        <v>27841</v>
      </c>
      <c r="BN661" s="46">
        <f t="shared" si="2623"/>
        <v>37933</v>
      </c>
      <c r="BO661" s="47">
        <f t="shared" si="2603"/>
        <v>2169</v>
      </c>
      <c r="BP661" s="45">
        <f t="shared" ref="BP661" si="2624">SUM(BP204:BP207)+SUM(BP351:BP388)+SUM(BP428:BP470)+SUM(BP507)+SUM(BP523)</f>
        <v>41870</v>
      </c>
      <c r="BQ661" s="47">
        <f t="shared" ref="BQ661" si="2625">SUM(BQ204:BQ207)+SUM(BQ351:BQ388)+SUM(BQ428:BQ470)+SUM(BQ507)+SUM(BQ523)</f>
        <v>25552</v>
      </c>
      <c r="BR661" s="45">
        <f t="shared" ref="BR661" si="2626">SUM(BR204:BR207)+SUM(BR351:BR388)+SUM(BR428:BR470)+SUM(BR507)+SUM(BR523)</f>
        <v>23300</v>
      </c>
      <c r="BS661" s="47">
        <f t="shared" si="2603"/>
        <v>45158</v>
      </c>
      <c r="BT661" s="45">
        <f t="shared" ref="BT661:BU661" si="2627">SUM(BT204:BT207)+SUM(BT351:BT388)+SUM(BT428:BT470)+SUM(BT507)+SUM(BT523)</f>
        <v>39528</v>
      </c>
      <c r="BU661" s="43">
        <f t="shared" si="2627"/>
        <v>3023</v>
      </c>
      <c r="BV661" s="95">
        <f t="shared" si="2603"/>
        <v>24492</v>
      </c>
      <c r="BW661" s="109">
        <f t="shared" ref="BW661" si="2628">SUM(BW204:BW207)+SUM(BW351:BW388)+SUM(BW428:BW470)+SUM(BW507)+SUM(BW523)</f>
        <v>26720</v>
      </c>
      <c r="BX661" s="47">
        <f t="shared" si="2603"/>
        <v>42334</v>
      </c>
      <c r="BY661" s="45">
        <f t="shared" ref="BY661" si="2629">SUM(BY204:BY207)+SUM(BY351:BY388)+SUM(BY428:BY470)+SUM(BY507)+SUM(BY523)</f>
        <v>26620</v>
      </c>
      <c r="BZ661" s="95">
        <f t="shared" si="2603"/>
        <v>39796</v>
      </c>
      <c r="CA661" s="109">
        <f t="shared" ref="CA661" si="2630">SUM(CA204:CA207)+SUM(CA351:CA388)+SUM(CA428:CA470)+SUM(CA507)+SUM(CA523)</f>
        <v>40265</v>
      </c>
      <c r="CB661" s="47">
        <f t="shared" si="2603"/>
        <v>26918</v>
      </c>
      <c r="CC661" s="47">
        <f t="shared" si="2603"/>
        <v>50073</v>
      </c>
      <c r="CD661" s="44">
        <f t="shared" si="2603"/>
        <v>47042</v>
      </c>
      <c r="CE661" s="109">
        <f t="shared" ref="CE661" si="2631">SUM(CE204:CE207)+SUM(CE351:CE388)+SUM(CE428:CE470)+SUM(CE507)+SUM(CE523)</f>
        <v>35756</v>
      </c>
      <c r="CF661" s="43">
        <f>SUM(CF204:CF207)+SUM(CF351:CF388)+SUM(CF428:CF470)+SUM(CF507)+SUM(CF523)</f>
        <v>21462</v>
      </c>
      <c r="CG661" s="45">
        <f>SUM(CG204:CG207)+SUM(CG351:CG388)+SUM(CG428:CG470)+SUM(CG507)+SUM(CG523)</f>
        <v>16171</v>
      </c>
      <c r="CH661" s="46">
        <f t="shared" ref="CH661:CJ661" si="2632">SUM(CH204:CH207)+SUM(CH351:CH388)+SUM(CH428:CH470)+SUM(CH507)+SUM(CH523)</f>
        <v>22774</v>
      </c>
      <c r="CI661" s="46">
        <f t="shared" si="2632"/>
        <v>13031</v>
      </c>
      <c r="CJ661" s="46">
        <f t="shared" si="2632"/>
        <v>15497</v>
      </c>
      <c r="CK661" s="95">
        <f>SUM(CK204:CK207)+SUM(CK351:CK388)+SUM(CK428:CK470)+SUM(CK507)+SUM(CK523)</f>
        <v>38759</v>
      </c>
    </row>
    <row r="662" spans="1:89" customFormat="1" ht="13.5" thickBot="1" x14ac:dyDescent="0.3">
      <c r="A662" s="100"/>
      <c r="B662" s="101" t="s">
        <v>684</v>
      </c>
      <c r="C662" s="102">
        <f>SUM(C118:C120)+SUM(C122:C127)+C129+C130+SUM(C162:C173)+C185+C189+C192+SUM(C225:C231)+SUM(C398:C418)+SUM(C474:C476)+SUM(C483:C494)+SUM(C560:C562)</f>
        <v>82349</v>
      </c>
      <c r="D662" s="102">
        <f>SUM(D118:D120)+SUM(D122:D127)+D129+D130+SUM(D162:D173)+D185+D189+D192+SUM(D225:D231)+SUM(D398:D418)+SUM(D474:D476)+SUM(D483:D494)+SUM(D560:D562)</f>
        <v>56083</v>
      </c>
      <c r="E662" s="103">
        <v>0.48314927056607049</v>
      </c>
      <c r="F662" s="55">
        <f t="shared" ref="F662:CD662" si="2633">SUM(F118:F120)+SUM(F122:F127)+F129+F130+SUM(F162:F173)+F185+F189+F192+SUM(F225:F231)+SUM(F398:F418)+SUM(F474:F476)+SUM(F483:F494)+SUM(F560:F562)</f>
        <v>1</v>
      </c>
      <c r="G662" s="108">
        <f t="shared" ref="G662" si="2634">SUM(G118:G120)+SUM(G122:G127)+G129+G130+SUM(G162:G173)+G185+G189+G192+SUM(G225:G231)+SUM(G398:G418)+SUM(G474:G476)+SUM(G483:G494)+SUM(G560:G562)</f>
        <v>0</v>
      </c>
      <c r="H662" s="108">
        <f t="shared" ref="H662:Q662" si="2635">SUM(H118:H120)+SUM(H122:H127)+H129+H130+SUM(H162:H173)+H185+H189+H192+SUM(H225:H231)+SUM(H398:H418)+SUM(H474:H476)+SUM(H483:H494)+SUM(H560:H562)</f>
        <v>0</v>
      </c>
      <c r="I662" s="108">
        <f t="shared" si="2635"/>
        <v>15</v>
      </c>
      <c r="J662" s="108">
        <f t="shared" ref="J662:K662" si="2636">SUM(J118:J120)+SUM(J122:J127)+J129+J130+SUM(J162:J173)+J185+J189+J192+SUM(J225:J231)+SUM(J398:J418)+SUM(J474:J476)+SUM(J483:J494)+SUM(J560:J562)</f>
        <v>139</v>
      </c>
      <c r="K662" s="108">
        <f t="shared" si="2636"/>
        <v>0</v>
      </c>
      <c r="L662" s="108">
        <f t="shared" si="2635"/>
        <v>0</v>
      </c>
      <c r="M662" s="108">
        <f t="shared" si="2635"/>
        <v>19852</v>
      </c>
      <c r="N662" s="108">
        <f t="shared" si="2635"/>
        <v>0</v>
      </c>
      <c r="O662" s="108">
        <f t="shared" si="2635"/>
        <v>0</v>
      </c>
      <c r="P662" s="56">
        <f t="shared" si="2635"/>
        <v>304</v>
      </c>
      <c r="Q662" s="56">
        <f t="shared" si="2635"/>
        <v>66</v>
      </c>
      <c r="R662" s="56">
        <f t="shared" ref="R662" si="2637">SUM(R118:R120)+SUM(R122:R127)+R129+R130+SUM(R162:R173)+R185+R189+R192+SUM(R225:R231)+SUM(R398:R418)+SUM(R474:R476)+SUM(R483:R494)+SUM(R560:R562)</f>
        <v>35004</v>
      </c>
      <c r="S662" s="59">
        <f t="shared" si="2633"/>
        <v>5</v>
      </c>
      <c r="T662" s="55">
        <f>SUM(T118:T120)+SUM(T122:T127)+T129+T130+SUM(T162:T173)+T185+T189+T192+SUM(T225:T231)+SUM(T398:T418)+SUM(T474:T476)+SUM(T483:T494)+SUM(T560:T562)</f>
        <v>19045</v>
      </c>
      <c r="U662" s="59">
        <f t="shared" ref="U662:V662" si="2638">SUM(U118:U120)+SUM(U122:U127)+U129+U130+SUM(U162:U173)+U185+U189+U192+SUM(U225:U231)+SUM(U398:U418)+SUM(U474:U476)+SUM(U483:U494)+SUM(U560:U562)</f>
        <v>34810</v>
      </c>
      <c r="V662" s="55">
        <f t="shared" si="2638"/>
        <v>36256</v>
      </c>
      <c r="W662" s="59">
        <f>SUM(W118:W120)+SUM(W122:W127)+W129+W130+SUM(W162:W173)+W185+W189+W192+SUM(W225:W231)+SUM(W398:W418)+SUM(W474:W476)+SUM(W483:W494)+SUM(W560:W562)</f>
        <v>18000</v>
      </c>
      <c r="X662" s="55">
        <f>SUM(X118:X120)+SUM(X122:X127)+X129+X130+SUM(X162:X173)+X185+X189+X192+SUM(X225:X231)+SUM(X398:X418)+SUM(X474:X476)+SUM(X483:X494)+SUM(X560:X562)</f>
        <v>19353</v>
      </c>
      <c r="Y662" s="59">
        <f>SUM(Y118:Y120)+SUM(Y122:Y127)+Y129+Y130+SUM(Y162:Y173)+Y185+Y189+Y192+SUM(Y225:Y231)+SUM(Y398:Y418)+SUM(Y474:Y476)+SUM(Y483:Y494)+SUM(Y560:Y562)</f>
        <v>33537</v>
      </c>
      <c r="Z662" s="108">
        <f t="shared" ref="Z662:AE662" si="2639">SUM(Z118:Z120)+SUM(Z122:Z127)+Z129+Z130+SUM(Z162:Z173)+Z185+Z189+Z192+SUM(Z225:Z231)+SUM(Z398:Z418)+SUM(Z474:Z476)+SUM(Z483:Z494)+SUM(Z560:Z562)</f>
        <v>20855</v>
      </c>
      <c r="AA662" s="56">
        <f t="shared" si="2639"/>
        <v>1</v>
      </c>
      <c r="AB662" s="56">
        <f t="shared" si="2639"/>
        <v>2202</v>
      </c>
      <c r="AC662" s="56">
        <f t="shared" si="2639"/>
        <v>31689</v>
      </c>
      <c r="AD662" s="56">
        <f t="shared" si="2639"/>
        <v>0</v>
      </c>
      <c r="AE662" s="57">
        <f t="shared" si="2639"/>
        <v>0</v>
      </c>
      <c r="AF662" s="60">
        <f t="shared" si="2633"/>
        <v>12</v>
      </c>
      <c r="AG662" s="108">
        <f t="shared" ref="AG662" si="2640">SUM(AG118:AG120)+SUM(AG122:AG127)+AG129+AG130+SUM(AG162:AG173)+AG185+AG189+AG192+SUM(AG225:AG231)+SUM(AG398:AG418)+SUM(AG474:AG476)+SUM(AG483:AG494)+SUM(AG560:AG562)</f>
        <v>15531</v>
      </c>
      <c r="AH662" s="59">
        <f t="shared" si="2633"/>
        <v>14502</v>
      </c>
      <c r="AI662" s="55">
        <f t="shared" si="2633"/>
        <v>18270</v>
      </c>
      <c r="AJ662" s="57">
        <f t="shared" si="2633"/>
        <v>4929</v>
      </c>
      <c r="AK662" s="55">
        <f t="shared" ref="AK662" si="2641">SUM(AK118:AK120)+SUM(AK122:AK127)+AK129+AK130+SUM(AK162:AK173)+AK185+AK189+AK192+SUM(AK225:AK231)+SUM(AK398:AK418)+SUM(AK474:AK476)+SUM(AK483:AK494)+SUM(AK560:AK562)</f>
        <v>28402</v>
      </c>
      <c r="AL662" s="59">
        <f t="shared" si="2633"/>
        <v>9728</v>
      </c>
      <c r="AM662" s="55">
        <f t="shared" si="2633"/>
        <v>9185</v>
      </c>
      <c r="AN662" s="60">
        <f t="shared" si="2633"/>
        <v>5582</v>
      </c>
      <c r="AO662" s="108">
        <f t="shared" ref="AO662" si="2642">SUM(AO118:AO120)+SUM(AO122:AO127)+AO129+AO130+SUM(AO162:AO173)+AO185+AO189+AO192+SUM(AO225:AO231)+SUM(AO398:AO418)+SUM(AO474:AO476)+SUM(AO483:AO494)+SUM(AO560:AO562)</f>
        <v>0</v>
      </c>
      <c r="AP662" s="59">
        <f t="shared" si="2633"/>
        <v>0</v>
      </c>
      <c r="AQ662" s="55">
        <f t="shared" ref="AQ662" si="2643">SUM(AQ118:AQ120)+SUM(AQ122:AQ127)+AQ129+AQ130+SUM(AQ162:AQ173)+AQ185+AQ189+AQ192+SUM(AQ225:AQ231)+SUM(AQ398:AQ418)+SUM(AQ474:AQ476)+SUM(AQ483:AQ494)+SUM(AQ560:AQ562)</f>
        <v>0</v>
      </c>
      <c r="AR662" s="60">
        <f t="shared" si="2633"/>
        <v>0</v>
      </c>
      <c r="AS662" s="108">
        <f t="shared" ref="AS662" si="2644">SUM(AS118:AS120)+SUM(AS122:AS127)+AS129+AS130+SUM(AS162:AS173)+AS185+AS189+AS192+SUM(AS225:AS231)+SUM(AS398:AS418)+SUM(AS474:AS476)+SUM(AS483:AS494)+SUM(AS560:AS562)</f>
        <v>0</v>
      </c>
      <c r="AT662" s="59">
        <f t="shared" si="2633"/>
        <v>0</v>
      </c>
      <c r="AU662" s="55">
        <f t="shared" ref="AU662" si="2645">SUM(AU118:AU120)+SUM(AU122:AU127)+AU129+AU130+SUM(AU162:AU173)+AU185+AU189+AU192+SUM(AU225:AU231)+SUM(AU398:AU418)+SUM(AU474:AU476)+SUM(AU483:AU494)+SUM(AU560:AU562)</f>
        <v>0</v>
      </c>
      <c r="AV662" s="108">
        <f t="shared" ref="AV662" si="2646">SUM(AV118:AV120)+SUM(AV122:AV127)+AV129+AV130+SUM(AV162:AV173)+AV185+AV189+AV192+SUM(AV225:AV231)+SUM(AV398:AV418)+SUM(AV474:AV476)+SUM(AV483:AV494)+SUM(AV560:AV562)</f>
        <v>0</v>
      </c>
      <c r="AW662" s="108">
        <f t="shared" si="2633"/>
        <v>0</v>
      </c>
      <c r="AX662" s="55">
        <f t="shared" ref="AX662" si="2647">SUM(AX118:AX120)+SUM(AX122:AX127)+AX129+AX130+SUM(AX162:AX173)+AX185+AX189+AX192+SUM(AX225:AX231)+SUM(AX398:AX418)+SUM(AX474:AX476)+SUM(AX483:AX494)+SUM(AX560:AX562)</f>
        <v>10959</v>
      </c>
      <c r="AY662" s="59">
        <f t="shared" si="2633"/>
        <v>2802</v>
      </c>
      <c r="AZ662" s="55">
        <f t="shared" si="2633"/>
        <v>6780</v>
      </c>
      <c r="BA662" s="60">
        <f t="shared" si="2633"/>
        <v>17529</v>
      </c>
      <c r="BB662" s="55">
        <f t="shared" ref="BB662" si="2648">SUM(BB118:BB120)+SUM(BB122:BB127)+BB129+BB130+SUM(BB162:BB173)+BB185+BB189+BB192+SUM(BB225:BB231)+SUM(BB398:BB418)+SUM(BB474:BB476)+SUM(BB483:BB494)+SUM(BB560:BB562)</f>
        <v>34278</v>
      </c>
      <c r="BC662" s="59">
        <f>SUM(BC118:BC120)+SUM(BC122:BC127)+BC129+BC130+SUM(BC162:BC173)+BC185+BC189+BC192+SUM(BC225:BC231)+SUM(BC398:BC418)+SUM(BC474:BC476)+SUM(BC483:BC494)+SUM(BC560:BC562)</f>
        <v>18092</v>
      </c>
      <c r="BD662" s="55">
        <f t="shared" ref="BD662" si="2649">SUM(BD118:BD120)+SUM(BD122:BD127)+BD129+BD130+SUM(BD162:BD173)+BD185+BD189+BD192+SUM(BD225:BD231)+SUM(BD398:BD418)+SUM(BD474:BD476)+SUM(BD483:BD494)+SUM(BD560:BD562)</f>
        <v>33329</v>
      </c>
      <c r="BE662" s="60">
        <f>SUM(BE118:BE120)+SUM(BE122:BE127)+BE129+BE130+SUM(BE162:BE173)+BE185+BE189+BE192+SUM(BE225:BE231)+SUM(BE398:BE418)+SUM(BE474:BE476)+SUM(BE483:BE494)+SUM(BE560:BE562)</f>
        <v>18642</v>
      </c>
      <c r="BF662" s="108">
        <f t="shared" ref="BF662" si="2650">SUM(BF118:BF120)+SUM(BF122:BF127)+BF129+BF130+SUM(BF162:BF173)+BF185+BF189+BF192+SUM(BF225:BF231)+SUM(BF398:BF418)+SUM(BF474:BF476)+SUM(BF483:BF494)+SUM(BF560:BF562)</f>
        <v>18432</v>
      </c>
      <c r="BG662" s="59">
        <f>SUM(BG118:BG120)+SUM(BG122:BG127)+BG129+BG130+SUM(BG162:BG173)+BG185+BG189+BG192+SUM(BG225:BG231)+SUM(BG398:BG418)+SUM(BG474:BG476)+SUM(BG483:BG494)+SUM(BG560:BG562)</f>
        <v>33273</v>
      </c>
      <c r="BH662" s="55">
        <f t="shared" ref="BH662" si="2651">SUM(BH118:BH120)+SUM(BH122:BH127)+BH129+BH130+SUM(BH162:BH173)+BH185+BH189+BH192+SUM(BH225:BH231)+SUM(BH398:BH418)+SUM(BH474:BH476)+SUM(BH483:BH494)+SUM(BH560:BH562)</f>
        <v>35322</v>
      </c>
      <c r="BI662" s="59">
        <f>SUM(BI118:BI120)+SUM(BI122:BI127)+BI129+BI130+SUM(BI162:BI173)+BI185+BI189+BI192+SUM(BI225:BI231)+SUM(BI398:BI418)+SUM(BI474:BI476)+SUM(BI483:BI494)+SUM(BI560:BI562)</f>
        <v>17063</v>
      </c>
      <c r="BJ662" s="108">
        <f t="shared" ref="BJ662:BK662" si="2652">SUM(BJ118:BJ120)+SUM(BJ122:BJ127)+BJ129+BJ130+SUM(BJ162:BJ173)+BJ185+BJ189+BJ192+SUM(BJ225:BJ231)+SUM(BJ398:BJ418)+SUM(BJ474:BJ476)+SUM(BJ483:BJ494)+SUM(BJ560:BJ562)</f>
        <v>2584</v>
      </c>
      <c r="BK662" s="57">
        <f t="shared" si="2652"/>
        <v>31309</v>
      </c>
      <c r="BL662" s="60">
        <f t="shared" si="2633"/>
        <v>18883</v>
      </c>
      <c r="BM662" s="108">
        <f t="shared" ref="BM662:BN662" si="2653">SUM(BM118:BM120)+SUM(BM122:BM127)+BM129+BM130+SUM(BM162:BM173)+BM185+BM189+BM192+SUM(BM225:BM231)+SUM(BM398:BM418)+SUM(BM474:BM476)+SUM(BM483:BM494)+SUM(BM560:BM562)</f>
        <v>20131</v>
      </c>
      <c r="BN662" s="56">
        <f t="shared" si="2653"/>
        <v>30744</v>
      </c>
      <c r="BO662" s="59">
        <f t="shared" si="2633"/>
        <v>1880</v>
      </c>
      <c r="BP662" s="55">
        <f t="shared" ref="BP662" si="2654">SUM(BP118:BP120)+SUM(BP122:BP127)+BP129+BP130+SUM(BP162:BP173)+BP185+BP189+BP192+SUM(BP225:BP231)+SUM(BP398:BP418)+SUM(BP474:BP476)+SUM(BP483:BP494)+SUM(BP560:BP562)</f>
        <v>33961</v>
      </c>
      <c r="BQ662" s="59">
        <f t="shared" ref="BQ662" si="2655">SUM(BQ118:BQ120)+SUM(BQ122:BQ127)+BQ129+BQ130+SUM(BQ162:BQ173)+BQ185+BQ189+BQ192+SUM(BQ225:BQ231)+SUM(BQ398:BQ418)+SUM(BQ474:BQ476)+SUM(BQ483:BQ494)+SUM(BQ560:BQ562)</f>
        <v>18328</v>
      </c>
      <c r="BR662" s="55">
        <f t="shared" ref="BR662" si="2656">SUM(BR118:BR120)+SUM(BR122:BR127)+BR129+BR130+SUM(BR162:BR173)+BR185+BR189+BR192+SUM(BR225:BR231)+SUM(BR398:BR418)+SUM(BR474:BR476)+SUM(BR483:BR494)+SUM(BR560:BR562)</f>
        <v>16657</v>
      </c>
      <c r="BS662" s="59">
        <f t="shared" si="2633"/>
        <v>36458</v>
      </c>
      <c r="BT662" s="55">
        <f t="shared" ref="BT662:BU662" si="2657">SUM(BT118:BT120)+SUM(BT122:BT127)+BT129+BT130+SUM(BT162:BT173)+BT185+BT189+BT192+SUM(BT225:BT231)+SUM(BT398:BT418)+SUM(BT474:BT476)+SUM(BT483:BT494)+SUM(BT560:BT562)</f>
        <v>32091</v>
      </c>
      <c r="BU662" s="57">
        <f t="shared" si="2657"/>
        <v>2612</v>
      </c>
      <c r="BV662" s="60">
        <f t="shared" si="2633"/>
        <v>17344</v>
      </c>
      <c r="BW662" s="108">
        <f t="shared" ref="BW662" si="2658">SUM(BW118:BW120)+SUM(BW122:BW127)+BW129+BW130+SUM(BW162:BW173)+BW185+BW189+BW192+SUM(BW225:BW231)+SUM(BW398:BW418)+SUM(BW474:BW476)+SUM(BW483:BW494)+SUM(BW560:BW562)</f>
        <v>19087</v>
      </c>
      <c r="BX662" s="59">
        <f t="shared" si="2633"/>
        <v>34770</v>
      </c>
      <c r="BY662" s="55">
        <f t="shared" ref="BY662" si="2659">SUM(BY118:BY120)+SUM(BY122:BY127)+BY129+BY130+SUM(BY162:BY173)+BY185+BY189+BY192+SUM(BY225:BY231)+SUM(BY398:BY418)+SUM(BY474:BY476)+SUM(BY483:BY494)+SUM(BY560:BY562)</f>
        <v>19192</v>
      </c>
      <c r="BZ662" s="60">
        <f t="shared" si="2633"/>
        <v>32372</v>
      </c>
      <c r="CA662" s="108">
        <f t="shared" ref="CA662" si="2660">SUM(CA118:CA120)+SUM(CA122:CA127)+CA129+CA130+SUM(CA162:CA173)+CA185+CA189+CA192+SUM(CA225:CA231)+SUM(CA398:CA418)+SUM(CA474:CA476)+SUM(CA483:CA494)+SUM(CA560:CA562)</f>
        <v>32699</v>
      </c>
      <c r="CB662" s="59">
        <f t="shared" si="2633"/>
        <v>19370</v>
      </c>
      <c r="CC662" s="59">
        <f t="shared" si="2633"/>
        <v>39609</v>
      </c>
      <c r="CD662" s="54">
        <f t="shared" si="2633"/>
        <v>35520</v>
      </c>
      <c r="CE662" s="108">
        <f t="shared" ref="CE662" si="2661">SUM(CE118:CE120)+SUM(CE122:CE127)+CE129+CE130+SUM(CE162:CE173)+CE185+CE189+CE192+SUM(CE225:CE231)+SUM(CE398:CE418)+SUM(CE474:CE476)+SUM(CE483:CE494)+SUM(CE560:CE562)</f>
        <v>27369</v>
      </c>
      <c r="CF662" s="57">
        <f>SUM(CF118:CF120)+SUM(CF122:CF127)+CF129+CF130+SUM(CF162:CF173)+CF185+CF189+CF192+SUM(CF225:CF231)+SUM(CF398:CF418)+SUM(CF474:CF476)+SUM(CF483:CF494)+SUM(CF560:CF562)</f>
        <v>16669</v>
      </c>
      <c r="CG662" s="55">
        <f>SUM(CG118:CG120)+SUM(CG122:CG127)+CG129+CG130+SUM(CG162:CG173)+CG185+CG189+CG192+SUM(CG225:CG231)+SUM(CG398:CG418)+SUM(CG474:CG476)+SUM(CG483:CG494)+SUM(CG560:CG562)</f>
        <v>12721</v>
      </c>
      <c r="CH662" s="56">
        <f t="shared" ref="CH662:CJ662" si="2662">SUM(CH118:CH120)+SUM(CH122:CH127)+CH129+CH130+SUM(CH162:CH173)+CH185+CH189+CH192+SUM(CH225:CH231)+SUM(CH398:CH418)+SUM(CH474:CH476)+SUM(CH483:CH494)+SUM(CH560:CH562)</f>
        <v>18314</v>
      </c>
      <c r="CI662" s="56">
        <f t="shared" si="2662"/>
        <v>9271</v>
      </c>
      <c r="CJ662" s="56">
        <f t="shared" si="2662"/>
        <v>11177</v>
      </c>
      <c r="CK662" s="60">
        <f>SUM(CK118:CK120)+SUM(CK122:CK127)+CK129+CK130+SUM(CK162:CK173)+CK185+CK189+CK192+SUM(CK225:CK231)+SUM(CK398:CK418)+SUM(CK474:CK476)+SUM(CK483:CK494)+SUM(CK560:CK562)</f>
        <v>29841</v>
      </c>
    </row>
    <row r="663" spans="1:89" ht="13" thickTop="1" x14ac:dyDescent="0.25">
      <c r="AG663" s="123"/>
    </row>
  </sheetData>
  <mergeCells count="30">
    <mergeCell ref="A1:E1"/>
    <mergeCell ref="F1:S1"/>
    <mergeCell ref="AI1:AJ1"/>
    <mergeCell ref="X1:Y1"/>
    <mergeCell ref="Z1:AF1"/>
    <mergeCell ref="AG1:AH1"/>
    <mergeCell ref="V1:W1"/>
    <mergeCell ref="T1:U1"/>
    <mergeCell ref="CG1:CK1"/>
    <mergeCell ref="BD1:BE1"/>
    <mergeCell ref="BF1:BG1"/>
    <mergeCell ref="BH1:BI1"/>
    <mergeCell ref="AK1:AL1"/>
    <mergeCell ref="BB1:BC1"/>
    <mergeCell ref="AM1:AN1"/>
    <mergeCell ref="AZ1:BA1"/>
    <mergeCell ref="AO1:AP1"/>
    <mergeCell ref="AQ1:AR1"/>
    <mergeCell ref="AS1:AT1"/>
    <mergeCell ref="AU1:AW1"/>
    <mergeCell ref="CE1:CF1"/>
    <mergeCell ref="BJ1:BL1"/>
    <mergeCell ref="BM1:BO1"/>
    <mergeCell ref="BR1:BS1"/>
    <mergeCell ref="AX1:AY1"/>
    <mergeCell ref="BT1:BV1"/>
    <mergeCell ref="BW1:BX1"/>
    <mergeCell ref="BY1:BZ1"/>
    <mergeCell ref="CA1:CB1"/>
    <mergeCell ref="BP1:BQ1"/>
  </mergeCells>
  <pageMargins left="0.7" right="0.7" top="0.75" bottom="0.75" header="0.3" footer="0.3"/>
  <pageSetup paperSize="5" orientation="landscape" r:id="rId1"/>
  <ignoredErrors>
    <ignoredError sqref="C633:D633 C569:C630 D569:D632 D648:D662 C632 F569:S615 T614:AR614 AW569:CK615 AT614:AU614 T615:AU615 F616:AU643 T569:AU613 AZ644:BA662 AW620:CK643 AW616:BA619 BC616:BR619 BY616:CK619" formulaRange="1"/>
    <ignoredError sqref="C634:C647 D634:D647" formulaRange="1" unlockedFormula="1"/>
    <ignoredError sqref="E566 BB644:BB662 BS644:BV662 BX644:BX662" formula="1"/>
    <ignoredError sqref="BB616:BB619 BS616:BX619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9EBF-FE75-4B99-B820-3122512A6020}">
  <sheetPr>
    <tabColor theme="0" tint="-0.34998626667073579"/>
  </sheetPr>
  <dimension ref="A1:BW664"/>
  <sheetViews>
    <sheetView zoomScaleNormal="100" workbookViewId="0">
      <pane xSplit="7620" ySplit="3940" topLeftCell="F4"/>
      <selection sqref="A1:E2"/>
      <selection pane="topRight" activeCell="H1" sqref="H1"/>
      <selection pane="bottomLeft" activeCell="C631" sqref="C631:D644"/>
      <selection pane="bottomRight" activeCell="BB568" sqref="BB568"/>
    </sheetView>
  </sheetViews>
  <sheetFormatPr defaultColWidth="9.1796875" defaultRowHeight="12.5" x14ac:dyDescent="0.25"/>
  <cols>
    <col min="1" max="1" width="6.54296875" style="182" customWidth="1"/>
    <col min="2" max="2" width="31" style="182" customWidth="1"/>
    <col min="3" max="3" width="9.7265625" style="181" customWidth="1"/>
    <col min="4" max="5" width="9.1796875" style="181"/>
    <col min="6" max="75" width="11.54296875" style="182" customWidth="1"/>
    <col min="76" max="16384" width="9.1796875" style="182"/>
  </cols>
  <sheetData>
    <row r="1" spans="1:75" ht="130.5" customHeight="1" thickTop="1" x14ac:dyDescent="0.25">
      <c r="A1" s="225" t="s">
        <v>757</v>
      </c>
      <c r="B1" s="226"/>
      <c r="C1" s="226"/>
      <c r="D1" s="226"/>
      <c r="E1" s="227"/>
      <c r="F1" s="223" t="s">
        <v>771</v>
      </c>
      <c r="G1" s="220"/>
      <c r="H1" s="223" t="s">
        <v>773</v>
      </c>
      <c r="I1" s="220"/>
      <c r="J1" s="223" t="s">
        <v>772</v>
      </c>
      <c r="K1" s="220"/>
      <c r="L1" s="223" t="s">
        <v>774</v>
      </c>
      <c r="M1" s="220"/>
      <c r="N1" s="223" t="s">
        <v>775</v>
      </c>
      <c r="O1" s="220"/>
      <c r="P1" s="223" t="s">
        <v>776</v>
      </c>
      <c r="Q1" s="220"/>
      <c r="R1" s="223" t="s">
        <v>777</v>
      </c>
      <c r="S1" s="220"/>
      <c r="T1" s="223" t="s">
        <v>778</v>
      </c>
      <c r="U1" s="220"/>
      <c r="V1" s="223" t="s">
        <v>779</v>
      </c>
      <c r="W1" s="220"/>
      <c r="X1" s="223" t="s">
        <v>780</v>
      </c>
      <c r="Y1" s="220"/>
      <c r="Z1" s="223" t="s">
        <v>781</v>
      </c>
      <c r="AA1" s="220"/>
      <c r="AB1" s="223" t="s">
        <v>782</v>
      </c>
      <c r="AC1" s="220"/>
      <c r="AD1" s="223" t="s">
        <v>783</v>
      </c>
      <c r="AE1" s="220"/>
      <c r="AF1" s="223" t="s">
        <v>784</v>
      </c>
      <c r="AG1" s="220"/>
      <c r="AH1" s="223" t="s">
        <v>785</v>
      </c>
      <c r="AI1" s="220"/>
      <c r="AJ1" s="223" t="s">
        <v>798</v>
      </c>
      <c r="AK1" s="220"/>
      <c r="AL1" s="223" t="s">
        <v>797</v>
      </c>
      <c r="AM1" s="220"/>
      <c r="AN1" s="223" t="s">
        <v>796</v>
      </c>
      <c r="AO1" s="220"/>
      <c r="AP1" s="223" t="s">
        <v>795</v>
      </c>
      <c r="AQ1" s="220"/>
      <c r="AR1" s="223" t="s">
        <v>799</v>
      </c>
      <c r="AS1" s="220"/>
      <c r="AT1" s="223" t="s">
        <v>800</v>
      </c>
      <c r="AU1" s="220"/>
      <c r="AV1" s="223" t="s">
        <v>801</v>
      </c>
      <c r="AW1" s="220"/>
      <c r="AX1" s="223" t="s">
        <v>802</v>
      </c>
      <c r="AY1" s="220"/>
      <c r="AZ1" s="223" t="s">
        <v>803</v>
      </c>
      <c r="BA1" s="220"/>
      <c r="BB1" s="223" t="s">
        <v>804</v>
      </c>
      <c r="BC1" s="220"/>
      <c r="BD1" s="223" t="s">
        <v>805</v>
      </c>
      <c r="BE1" s="220"/>
      <c r="BF1" s="219" t="s">
        <v>806</v>
      </c>
      <c r="BG1" s="220"/>
      <c r="BH1" s="219" t="s">
        <v>807</v>
      </c>
      <c r="BI1" s="220"/>
      <c r="BJ1" s="223" t="s">
        <v>808</v>
      </c>
      <c r="BK1" s="220"/>
      <c r="BL1" s="219" t="s">
        <v>810</v>
      </c>
      <c r="BM1" s="220"/>
      <c r="BN1" s="219" t="s">
        <v>809</v>
      </c>
      <c r="BO1" s="220"/>
      <c r="BP1" s="223" t="s">
        <v>811</v>
      </c>
      <c r="BQ1" s="220"/>
      <c r="BR1" s="219" t="s">
        <v>812</v>
      </c>
      <c r="BS1" s="220"/>
      <c r="BT1" s="219" t="s">
        <v>813</v>
      </c>
      <c r="BU1" s="220"/>
      <c r="BV1" s="219" t="s">
        <v>814</v>
      </c>
      <c r="BW1" s="220"/>
    </row>
    <row r="2" spans="1:75" ht="14" customHeight="1" thickBot="1" x14ac:dyDescent="0.3">
      <c r="A2" s="228"/>
      <c r="B2" s="229"/>
      <c r="C2" s="229"/>
      <c r="D2" s="229"/>
      <c r="E2" s="230"/>
      <c r="F2" s="224"/>
      <c r="G2" s="222"/>
      <c r="H2" s="224"/>
      <c r="I2" s="222"/>
      <c r="J2" s="224"/>
      <c r="K2" s="222"/>
      <c r="L2" s="224"/>
      <c r="M2" s="222"/>
      <c r="N2" s="224"/>
      <c r="O2" s="222"/>
      <c r="P2" s="224"/>
      <c r="Q2" s="222"/>
      <c r="R2" s="224"/>
      <c r="S2" s="222"/>
      <c r="T2" s="224"/>
      <c r="U2" s="222"/>
      <c r="V2" s="224"/>
      <c r="W2" s="222"/>
      <c r="X2" s="224"/>
      <c r="Y2" s="222"/>
      <c r="Z2" s="224"/>
      <c r="AA2" s="222"/>
      <c r="AB2" s="224"/>
      <c r="AC2" s="222"/>
      <c r="AD2" s="224"/>
      <c r="AE2" s="222"/>
      <c r="AF2" s="224"/>
      <c r="AG2" s="222"/>
      <c r="AH2" s="224"/>
      <c r="AI2" s="222"/>
      <c r="AJ2" s="224"/>
      <c r="AK2" s="222"/>
      <c r="AL2" s="224"/>
      <c r="AM2" s="222"/>
      <c r="AN2" s="224"/>
      <c r="AO2" s="222"/>
      <c r="AP2" s="224"/>
      <c r="AQ2" s="222"/>
      <c r="AR2" s="224"/>
      <c r="AS2" s="222"/>
      <c r="AT2" s="224"/>
      <c r="AU2" s="222"/>
      <c r="AV2" s="224"/>
      <c r="AW2" s="222"/>
      <c r="AX2" s="224"/>
      <c r="AY2" s="222"/>
      <c r="AZ2" s="224"/>
      <c r="BA2" s="222"/>
      <c r="BB2" s="224"/>
      <c r="BC2" s="222"/>
      <c r="BD2" s="224"/>
      <c r="BE2" s="222"/>
      <c r="BF2" s="221"/>
      <c r="BG2" s="222"/>
      <c r="BH2" s="221"/>
      <c r="BI2" s="222"/>
      <c r="BJ2" s="224"/>
      <c r="BK2" s="222"/>
      <c r="BL2" s="221"/>
      <c r="BM2" s="222"/>
      <c r="BN2" s="221"/>
      <c r="BO2" s="222"/>
      <c r="BP2" s="224"/>
      <c r="BQ2" s="222"/>
      <c r="BR2" s="221"/>
      <c r="BS2" s="222"/>
      <c r="BT2" s="221"/>
      <c r="BU2" s="222"/>
      <c r="BV2" s="221"/>
      <c r="BW2" s="222"/>
    </row>
    <row r="3" spans="1:75" s="183" customFormat="1" ht="40" customHeight="1" thickTop="1" thickBot="1" x14ac:dyDescent="0.3">
      <c r="A3" s="137" t="s">
        <v>18</v>
      </c>
      <c r="B3" s="138" t="s">
        <v>19</v>
      </c>
      <c r="C3" s="137" t="s">
        <v>20</v>
      </c>
      <c r="D3" s="137" t="s">
        <v>21</v>
      </c>
      <c r="E3" s="139" t="s">
        <v>22</v>
      </c>
      <c r="F3" s="140" t="s">
        <v>748</v>
      </c>
      <c r="G3" s="141" t="s">
        <v>749</v>
      </c>
      <c r="H3" s="140" t="s">
        <v>750</v>
      </c>
      <c r="I3" s="141" t="s">
        <v>751</v>
      </c>
      <c r="J3" s="140" t="s">
        <v>748</v>
      </c>
      <c r="K3" s="141" t="s">
        <v>749</v>
      </c>
      <c r="L3" s="140" t="s">
        <v>748</v>
      </c>
      <c r="M3" s="141" t="s">
        <v>749</v>
      </c>
      <c r="N3" s="140" t="s">
        <v>748</v>
      </c>
      <c r="O3" s="141" t="s">
        <v>749</v>
      </c>
      <c r="P3" s="140" t="s">
        <v>748</v>
      </c>
      <c r="Q3" s="141" t="s">
        <v>749</v>
      </c>
      <c r="R3" s="140" t="s">
        <v>748</v>
      </c>
      <c r="S3" s="141" t="s">
        <v>749</v>
      </c>
      <c r="T3" s="140" t="s">
        <v>748</v>
      </c>
      <c r="U3" s="141" t="s">
        <v>749</v>
      </c>
      <c r="V3" s="140" t="s">
        <v>750</v>
      </c>
      <c r="W3" s="141" t="s">
        <v>751</v>
      </c>
      <c r="X3" s="140" t="s">
        <v>748</v>
      </c>
      <c r="Y3" s="141" t="s">
        <v>749</v>
      </c>
      <c r="Z3" s="140" t="s">
        <v>748</v>
      </c>
      <c r="AA3" s="141" t="s">
        <v>749</v>
      </c>
      <c r="AB3" s="140" t="s">
        <v>750</v>
      </c>
      <c r="AC3" s="141" t="s">
        <v>751</v>
      </c>
      <c r="AD3" s="140" t="s">
        <v>750</v>
      </c>
      <c r="AE3" s="141" t="s">
        <v>751</v>
      </c>
      <c r="AF3" s="140" t="s">
        <v>750</v>
      </c>
      <c r="AG3" s="141" t="s">
        <v>751</v>
      </c>
      <c r="AH3" s="140" t="s">
        <v>750</v>
      </c>
      <c r="AI3" s="141" t="s">
        <v>751</v>
      </c>
      <c r="AJ3" s="140" t="s">
        <v>750</v>
      </c>
      <c r="AK3" s="141" t="s">
        <v>751</v>
      </c>
      <c r="AL3" s="140" t="s">
        <v>750</v>
      </c>
      <c r="AM3" s="141" t="s">
        <v>751</v>
      </c>
      <c r="AN3" s="140" t="s">
        <v>750</v>
      </c>
      <c r="AO3" s="141" t="s">
        <v>751</v>
      </c>
      <c r="AP3" s="140" t="s">
        <v>750</v>
      </c>
      <c r="AQ3" s="141" t="s">
        <v>751</v>
      </c>
      <c r="AR3" s="140" t="s">
        <v>748</v>
      </c>
      <c r="AS3" s="141" t="s">
        <v>749</v>
      </c>
      <c r="AT3" s="140" t="s">
        <v>750</v>
      </c>
      <c r="AU3" s="141" t="s">
        <v>751</v>
      </c>
      <c r="AV3" s="140" t="s">
        <v>750</v>
      </c>
      <c r="AW3" s="141" t="s">
        <v>751</v>
      </c>
      <c r="AX3" s="140" t="s">
        <v>750</v>
      </c>
      <c r="AY3" s="141" t="s">
        <v>751</v>
      </c>
      <c r="AZ3" s="140" t="s">
        <v>750</v>
      </c>
      <c r="BA3" s="141" t="s">
        <v>751</v>
      </c>
      <c r="BB3" s="140" t="s">
        <v>750</v>
      </c>
      <c r="BC3" s="141" t="s">
        <v>751</v>
      </c>
      <c r="BD3" s="140" t="s">
        <v>750</v>
      </c>
      <c r="BE3" s="141" t="s">
        <v>751</v>
      </c>
      <c r="BF3" s="140" t="s">
        <v>750</v>
      </c>
      <c r="BG3" s="141" t="s">
        <v>751</v>
      </c>
      <c r="BH3" s="140" t="s">
        <v>750</v>
      </c>
      <c r="BI3" s="141" t="s">
        <v>751</v>
      </c>
      <c r="BJ3" s="140" t="s">
        <v>750</v>
      </c>
      <c r="BK3" s="141" t="s">
        <v>751</v>
      </c>
      <c r="BL3" s="140" t="s">
        <v>750</v>
      </c>
      <c r="BM3" s="141" t="s">
        <v>751</v>
      </c>
      <c r="BN3" s="140" t="s">
        <v>750</v>
      </c>
      <c r="BO3" s="141" t="s">
        <v>751</v>
      </c>
      <c r="BP3" s="140" t="s">
        <v>750</v>
      </c>
      <c r="BQ3" s="141" t="s">
        <v>751</v>
      </c>
      <c r="BR3" s="140" t="s">
        <v>750</v>
      </c>
      <c r="BS3" s="141" t="s">
        <v>751</v>
      </c>
      <c r="BT3" s="140" t="s">
        <v>750</v>
      </c>
      <c r="BU3" s="141" t="s">
        <v>751</v>
      </c>
      <c r="BV3" s="140" t="s">
        <v>750</v>
      </c>
      <c r="BW3" s="141" t="s">
        <v>751</v>
      </c>
    </row>
    <row r="4" spans="1:75" ht="13.5" thickTop="1" x14ac:dyDescent="0.25">
      <c r="A4" s="184">
        <v>101</v>
      </c>
      <c r="B4" s="185" t="s">
        <v>26</v>
      </c>
      <c r="C4" s="80">
        <v>344</v>
      </c>
      <c r="D4" s="142">
        <v>266</v>
      </c>
      <c r="E4" s="143">
        <f>SUM(D4/C4)</f>
        <v>0.77325581395348841</v>
      </c>
      <c r="F4" s="144">
        <v>96</v>
      </c>
      <c r="G4" s="22">
        <v>162</v>
      </c>
      <c r="H4" s="144"/>
      <c r="I4" s="22"/>
      <c r="J4" s="144"/>
      <c r="K4" s="22"/>
      <c r="L4" s="144"/>
      <c r="M4" s="22"/>
      <c r="N4" s="144"/>
      <c r="O4" s="22"/>
      <c r="P4" s="144"/>
      <c r="Q4" s="22"/>
      <c r="R4" s="144"/>
      <c r="S4" s="22"/>
      <c r="T4" s="144"/>
      <c r="U4" s="22"/>
      <c r="V4" s="144"/>
      <c r="W4" s="22"/>
      <c r="X4" s="144"/>
      <c r="Y4" s="22"/>
      <c r="Z4" s="144"/>
      <c r="AA4" s="22"/>
      <c r="AB4" s="144"/>
      <c r="AC4" s="22"/>
      <c r="AD4" s="144"/>
      <c r="AE4" s="22"/>
      <c r="AF4" s="144"/>
      <c r="AG4" s="22"/>
      <c r="AH4" s="144"/>
      <c r="AI4" s="22"/>
      <c r="AJ4" s="144"/>
      <c r="AK4" s="22"/>
      <c r="AL4" s="144"/>
      <c r="AM4" s="22"/>
      <c r="AN4" s="144"/>
      <c r="AO4" s="22"/>
      <c r="AP4" s="144"/>
      <c r="AQ4" s="22"/>
      <c r="AR4" s="144"/>
      <c r="AS4" s="22"/>
      <c r="AT4" s="144"/>
      <c r="AU4" s="22"/>
      <c r="AV4" s="144"/>
      <c r="AW4" s="22"/>
      <c r="AX4" s="144"/>
      <c r="AY4" s="22"/>
      <c r="AZ4" s="144"/>
      <c r="BA4" s="22"/>
      <c r="BB4" s="144"/>
      <c r="BC4" s="22"/>
      <c r="BD4" s="144"/>
      <c r="BE4" s="22"/>
      <c r="BF4" s="144"/>
      <c r="BG4" s="22"/>
      <c r="BH4" s="144"/>
      <c r="BI4" s="22"/>
      <c r="BJ4" s="144"/>
      <c r="BK4" s="22"/>
      <c r="BL4" s="144"/>
      <c r="BM4" s="22"/>
      <c r="BN4" s="144"/>
      <c r="BO4" s="22"/>
      <c r="BP4" s="144"/>
      <c r="BQ4" s="22"/>
      <c r="BR4" s="144"/>
      <c r="BS4" s="22"/>
      <c r="BT4" s="144">
        <v>116</v>
      </c>
      <c r="BU4" s="22">
        <v>136</v>
      </c>
      <c r="BV4" s="144">
        <v>125</v>
      </c>
      <c r="BW4" s="22">
        <v>127</v>
      </c>
    </row>
    <row r="5" spans="1:75" ht="13" x14ac:dyDescent="0.25">
      <c r="A5" s="186">
        <v>102</v>
      </c>
      <c r="B5" s="187" t="s">
        <v>27</v>
      </c>
      <c r="C5" s="46">
        <v>1358</v>
      </c>
      <c r="D5" s="142">
        <v>1065</v>
      </c>
      <c r="E5" s="145">
        <f t="shared" ref="E5:E70" si="0">SUM(D5/C5)</f>
        <v>0.78424153166421207</v>
      </c>
      <c r="F5" s="146">
        <v>664</v>
      </c>
      <c r="G5" s="32">
        <v>370</v>
      </c>
      <c r="H5" s="146"/>
      <c r="I5" s="32"/>
      <c r="J5" s="146"/>
      <c r="K5" s="32"/>
      <c r="L5" s="146"/>
      <c r="M5" s="32"/>
      <c r="N5" s="146"/>
      <c r="O5" s="32"/>
      <c r="P5" s="146"/>
      <c r="Q5" s="32"/>
      <c r="R5" s="146"/>
      <c r="S5" s="32"/>
      <c r="T5" s="146"/>
      <c r="U5" s="32"/>
      <c r="V5" s="146"/>
      <c r="W5" s="32"/>
      <c r="X5" s="146"/>
      <c r="Y5" s="32"/>
      <c r="Z5" s="146"/>
      <c r="AA5" s="32"/>
      <c r="AB5" s="146"/>
      <c r="AC5" s="32"/>
      <c r="AD5" s="146"/>
      <c r="AE5" s="32"/>
      <c r="AF5" s="146"/>
      <c r="AG5" s="32"/>
      <c r="AH5" s="146"/>
      <c r="AI5" s="32"/>
      <c r="AJ5" s="146"/>
      <c r="AK5" s="32"/>
      <c r="AL5" s="146"/>
      <c r="AM5" s="32"/>
      <c r="AN5" s="146"/>
      <c r="AO5" s="32"/>
      <c r="AP5" s="146"/>
      <c r="AQ5" s="32"/>
      <c r="AR5" s="146"/>
      <c r="AS5" s="32"/>
      <c r="AT5" s="146"/>
      <c r="AU5" s="32"/>
      <c r="AV5" s="146"/>
      <c r="AW5" s="32"/>
      <c r="AX5" s="146"/>
      <c r="AY5" s="32"/>
      <c r="AZ5" s="146"/>
      <c r="BA5" s="32"/>
      <c r="BB5" s="146"/>
      <c r="BC5" s="32"/>
      <c r="BD5" s="146"/>
      <c r="BE5" s="32"/>
      <c r="BF5" s="146"/>
      <c r="BG5" s="32"/>
      <c r="BH5" s="146"/>
      <c r="BI5" s="32"/>
      <c r="BJ5" s="146"/>
      <c r="BK5" s="32"/>
      <c r="BL5" s="146"/>
      <c r="BM5" s="32"/>
      <c r="BN5" s="146"/>
      <c r="BO5" s="32"/>
      <c r="BP5" s="146"/>
      <c r="BQ5" s="32"/>
      <c r="BR5" s="146"/>
      <c r="BS5" s="32"/>
      <c r="BT5" s="146">
        <v>732</v>
      </c>
      <c r="BU5" s="32">
        <v>281</v>
      </c>
      <c r="BV5" s="146">
        <v>757</v>
      </c>
      <c r="BW5" s="32">
        <v>257</v>
      </c>
    </row>
    <row r="6" spans="1:75" ht="13" x14ac:dyDescent="0.25">
      <c r="A6" s="186">
        <v>103</v>
      </c>
      <c r="B6" s="187" t="s">
        <v>28</v>
      </c>
      <c r="C6" s="46">
        <v>1209</v>
      </c>
      <c r="D6" s="142">
        <v>807</v>
      </c>
      <c r="E6" s="145">
        <f t="shared" si="0"/>
        <v>0.66749379652605456</v>
      </c>
      <c r="F6" s="146">
        <v>488</v>
      </c>
      <c r="G6" s="32">
        <v>280</v>
      </c>
      <c r="H6" s="146"/>
      <c r="I6" s="32"/>
      <c r="J6" s="146"/>
      <c r="K6" s="32"/>
      <c r="L6" s="146"/>
      <c r="M6" s="32"/>
      <c r="N6" s="146"/>
      <c r="O6" s="32"/>
      <c r="P6" s="146"/>
      <c r="Q6" s="32"/>
      <c r="R6" s="146"/>
      <c r="S6" s="32"/>
      <c r="T6" s="146"/>
      <c r="U6" s="32"/>
      <c r="V6" s="146"/>
      <c r="W6" s="32"/>
      <c r="X6" s="146"/>
      <c r="Y6" s="32"/>
      <c r="Z6" s="146"/>
      <c r="AA6" s="32"/>
      <c r="AB6" s="146"/>
      <c r="AC6" s="32"/>
      <c r="AD6" s="146"/>
      <c r="AE6" s="32"/>
      <c r="AF6" s="146"/>
      <c r="AG6" s="32"/>
      <c r="AH6" s="146"/>
      <c r="AI6" s="32"/>
      <c r="AJ6" s="146"/>
      <c r="AK6" s="32"/>
      <c r="AL6" s="146"/>
      <c r="AM6" s="32"/>
      <c r="AN6" s="146"/>
      <c r="AO6" s="32"/>
      <c r="AP6" s="146"/>
      <c r="AQ6" s="32"/>
      <c r="AR6" s="146"/>
      <c r="AS6" s="32"/>
      <c r="AT6" s="146"/>
      <c r="AU6" s="32"/>
      <c r="AV6" s="146"/>
      <c r="AW6" s="32"/>
      <c r="AX6" s="146"/>
      <c r="AY6" s="32"/>
      <c r="AZ6" s="146"/>
      <c r="BA6" s="32"/>
      <c r="BB6" s="146"/>
      <c r="BC6" s="32"/>
      <c r="BD6" s="146"/>
      <c r="BE6" s="32"/>
      <c r="BF6" s="146"/>
      <c r="BG6" s="32"/>
      <c r="BH6" s="146"/>
      <c r="BI6" s="32"/>
      <c r="BJ6" s="146"/>
      <c r="BK6" s="32"/>
      <c r="BL6" s="146"/>
      <c r="BM6" s="32"/>
      <c r="BN6" s="146"/>
      <c r="BO6" s="32"/>
      <c r="BP6" s="146"/>
      <c r="BQ6" s="32"/>
      <c r="BR6" s="146"/>
      <c r="BS6" s="32"/>
      <c r="BT6" s="146">
        <v>524</v>
      </c>
      <c r="BU6" s="32">
        <v>240</v>
      </c>
      <c r="BV6" s="146">
        <v>560</v>
      </c>
      <c r="BW6" s="32">
        <v>203</v>
      </c>
    </row>
    <row r="7" spans="1:75" ht="13" x14ac:dyDescent="0.25">
      <c r="A7" s="186">
        <v>104</v>
      </c>
      <c r="B7" s="187" t="s">
        <v>29</v>
      </c>
      <c r="C7" s="46">
        <v>871</v>
      </c>
      <c r="D7" s="142">
        <v>628</v>
      </c>
      <c r="E7" s="145">
        <f t="shared" si="0"/>
        <v>0.72101033295063144</v>
      </c>
      <c r="F7" s="146">
        <v>371</v>
      </c>
      <c r="G7" s="32">
        <v>230</v>
      </c>
      <c r="H7" s="146"/>
      <c r="I7" s="32"/>
      <c r="J7" s="146"/>
      <c r="K7" s="32"/>
      <c r="L7" s="146"/>
      <c r="M7" s="32"/>
      <c r="N7" s="146"/>
      <c r="O7" s="32"/>
      <c r="P7" s="146"/>
      <c r="Q7" s="32"/>
      <c r="R7" s="146"/>
      <c r="S7" s="32"/>
      <c r="T7" s="146"/>
      <c r="U7" s="32"/>
      <c r="V7" s="146"/>
      <c r="W7" s="32"/>
      <c r="X7" s="146"/>
      <c r="Y7" s="32"/>
      <c r="Z7" s="146"/>
      <c r="AA7" s="32"/>
      <c r="AB7" s="146"/>
      <c r="AC7" s="32"/>
      <c r="AD7" s="146"/>
      <c r="AE7" s="32"/>
      <c r="AF7" s="146"/>
      <c r="AG7" s="32"/>
      <c r="AH7" s="146"/>
      <c r="AI7" s="32"/>
      <c r="AJ7" s="146"/>
      <c r="AK7" s="32"/>
      <c r="AL7" s="146"/>
      <c r="AM7" s="32"/>
      <c r="AN7" s="146"/>
      <c r="AO7" s="32"/>
      <c r="AP7" s="146"/>
      <c r="AQ7" s="32"/>
      <c r="AR7" s="146"/>
      <c r="AS7" s="32"/>
      <c r="AT7" s="146"/>
      <c r="AU7" s="32"/>
      <c r="AV7" s="146"/>
      <c r="AW7" s="32"/>
      <c r="AX7" s="146"/>
      <c r="AY7" s="32"/>
      <c r="AZ7" s="146"/>
      <c r="BA7" s="32"/>
      <c r="BB7" s="146"/>
      <c r="BC7" s="32"/>
      <c r="BD7" s="146"/>
      <c r="BE7" s="32"/>
      <c r="BF7" s="146"/>
      <c r="BG7" s="32"/>
      <c r="BH7" s="146"/>
      <c r="BI7" s="32"/>
      <c r="BJ7" s="146"/>
      <c r="BK7" s="32"/>
      <c r="BL7" s="146"/>
      <c r="BM7" s="32"/>
      <c r="BN7" s="146"/>
      <c r="BO7" s="32"/>
      <c r="BP7" s="146"/>
      <c r="BQ7" s="32"/>
      <c r="BR7" s="146"/>
      <c r="BS7" s="32"/>
      <c r="BT7" s="146">
        <v>379</v>
      </c>
      <c r="BU7" s="32">
        <v>217</v>
      </c>
      <c r="BV7" s="146">
        <v>403</v>
      </c>
      <c r="BW7" s="32">
        <v>194</v>
      </c>
    </row>
    <row r="8" spans="1:75" ht="13" x14ac:dyDescent="0.25">
      <c r="A8" s="186">
        <v>105</v>
      </c>
      <c r="B8" s="187" t="s">
        <v>30</v>
      </c>
      <c r="C8" s="46">
        <v>1309</v>
      </c>
      <c r="D8" s="142">
        <v>889</v>
      </c>
      <c r="E8" s="145">
        <f t="shared" si="0"/>
        <v>0.67914438502673802</v>
      </c>
      <c r="F8" s="146">
        <v>544</v>
      </c>
      <c r="G8" s="32">
        <v>300</v>
      </c>
      <c r="H8" s="146"/>
      <c r="I8" s="32"/>
      <c r="J8" s="146"/>
      <c r="K8" s="32"/>
      <c r="L8" s="146"/>
      <c r="M8" s="32"/>
      <c r="N8" s="146"/>
      <c r="O8" s="32"/>
      <c r="P8" s="146"/>
      <c r="Q8" s="32"/>
      <c r="R8" s="146"/>
      <c r="S8" s="32"/>
      <c r="T8" s="146"/>
      <c r="U8" s="32"/>
      <c r="V8" s="146"/>
      <c r="W8" s="32"/>
      <c r="X8" s="146"/>
      <c r="Y8" s="32"/>
      <c r="Z8" s="146"/>
      <c r="AA8" s="32"/>
      <c r="AB8" s="146"/>
      <c r="AC8" s="32"/>
      <c r="AD8" s="146"/>
      <c r="AE8" s="32"/>
      <c r="AF8" s="146"/>
      <c r="AG8" s="32"/>
      <c r="AH8" s="146"/>
      <c r="AI8" s="32"/>
      <c r="AJ8" s="146"/>
      <c r="AK8" s="32"/>
      <c r="AL8" s="146"/>
      <c r="AM8" s="32"/>
      <c r="AN8" s="146"/>
      <c r="AO8" s="32"/>
      <c r="AP8" s="146"/>
      <c r="AQ8" s="32"/>
      <c r="AR8" s="146"/>
      <c r="AS8" s="32"/>
      <c r="AT8" s="146"/>
      <c r="AU8" s="32"/>
      <c r="AV8" s="146"/>
      <c r="AW8" s="32"/>
      <c r="AX8" s="146"/>
      <c r="AY8" s="32"/>
      <c r="AZ8" s="146"/>
      <c r="BA8" s="32"/>
      <c r="BB8" s="146"/>
      <c r="BC8" s="32"/>
      <c r="BD8" s="146"/>
      <c r="BE8" s="32"/>
      <c r="BF8" s="146"/>
      <c r="BG8" s="32"/>
      <c r="BH8" s="146"/>
      <c r="BI8" s="32"/>
      <c r="BJ8" s="146"/>
      <c r="BK8" s="32"/>
      <c r="BL8" s="146"/>
      <c r="BM8" s="32"/>
      <c r="BN8" s="146"/>
      <c r="BO8" s="32"/>
      <c r="BP8" s="146"/>
      <c r="BQ8" s="32"/>
      <c r="BR8" s="146"/>
      <c r="BS8" s="32"/>
      <c r="BT8" s="146">
        <v>600</v>
      </c>
      <c r="BU8" s="32">
        <v>234</v>
      </c>
      <c r="BV8" s="146">
        <v>626</v>
      </c>
      <c r="BW8" s="32">
        <v>214</v>
      </c>
    </row>
    <row r="9" spans="1:75" ht="13" x14ac:dyDescent="0.25">
      <c r="A9" s="186">
        <v>106</v>
      </c>
      <c r="B9" s="187" t="s">
        <v>31</v>
      </c>
      <c r="C9" s="46">
        <v>1209</v>
      </c>
      <c r="D9" s="142">
        <v>932</v>
      </c>
      <c r="E9" s="145">
        <f t="shared" si="0"/>
        <v>0.77088502894954503</v>
      </c>
      <c r="F9" s="146">
        <v>556</v>
      </c>
      <c r="G9" s="32">
        <v>338</v>
      </c>
      <c r="H9" s="146"/>
      <c r="I9" s="32"/>
      <c r="J9" s="146"/>
      <c r="K9" s="32"/>
      <c r="L9" s="146"/>
      <c r="M9" s="32"/>
      <c r="N9" s="146"/>
      <c r="O9" s="32"/>
      <c r="P9" s="146"/>
      <c r="Q9" s="32"/>
      <c r="R9" s="146"/>
      <c r="S9" s="32"/>
      <c r="T9" s="146"/>
      <c r="U9" s="32"/>
      <c r="V9" s="146"/>
      <c r="W9" s="32"/>
      <c r="X9" s="146"/>
      <c r="Y9" s="32"/>
      <c r="Z9" s="146"/>
      <c r="AA9" s="32"/>
      <c r="AB9" s="146"/>
      <c r="AC9" s="32"/>
      <c r="AD9" s="146"/>
      <c r="AE9" s="32"/>
      <c r="AF9" s="146"/>
      <c r="AG9" s="32"/>
      <c r="AH9" s="146"/>
      <c r="AI9" s="32"/>
      <c r="AJ9" s="146"/>
      <c r="AK9" s="32"/>
      <c r="AL9" s="146"/>
      <c r="AM9" s="32"/>
      <c r="AN9" s="146"/>
      <c r="AO9" s="32"/>
      <c r="AP9" s="146"/>
      <c r="AQ9" s="32"/>
      <c r="AR9" s="146"/>
      <c r="AS9" s="32"/>
      <c r="AT9" s="146"/>
      <c r="AU9" s="32"/>
      <c r="AV9" s="146"/>
      <c r="AW9" s="32"/>
      <c r="AX9" s="146"/>
      <c r="AY9" s="32"/>
      <c r="AZ9" s="146"/>
      <c r="BA9" s="32"/>
      <c r="BB9" s="146"/>
      <c r="BC9" s="32"/>
      <c r="BD9" s="146"/>
      <c r="BE9" s="32"/>
      <c r="BF9" s="146"/>
      <c r="BG9" s="32"/>
      <c r="BH9" s="146"/>
      <c r="BI9" s="32"/>
      <c r="BJ9" s="146"/>
      <c r="BK9" s="32"/>
      <c r="BL9" s="146"/>
      <c r="BM9" s="32"/>
      <c r="BN9" s="146"/>
      <c r="BO9" s="32"/>
      <c r="BP9" s="146"/>
      <c r="BQ9" s="32"/>
      <c r="BR9" s="146"/>
      <c r="BS9" s="32"/>
      <c r="BT9" s="146">
        <v>597</v>
      </c>
      <c r="BU9" s="32">
        <v>291</v>
      </c>
      <c r="BV9" s="146">
        <v>601</v>
      </c>
      <c r="BW9" s="32">
        <v>286</v>
      </c>
    </row>
    <row r="10" spans="1:75" ht="13" x14ac:dyDescent="0.25">
      <c r="A10" s="186">
        <v>107</v>
      </c>
      <c r="B10" s="187" t="s">
        <v>32</v>
      </c>
      <c r="C10" s="46">
        <v>1008</v>
      </c>
      <c r="D10" s="142">
        <v>752</v>
      </c>
      <c r="E10" s="145">
        <f t="shared" si="0"/>
        <v>0.74603174603174605</v>
      </c>
      <c r="F10" s="146">
        <v>420</v>
      </c>
      <c r="G10" s="32">
        <v>289</v>
      </c>
      <c r="H10" s="146"/>
      <c r="I10" s="32"/>
      <c r="J10" s="146"/>
      <c r="K10" s="32"/>
      <c r="L10" s="146"/>
      <c r="M10" s="32"/>
      <c r="N10" s="146"/>
      <c r="O10" s="32"/>
      <c r="P10" s="146"/>
      <c r="Q10" s="32"/>
      <c r="R10" s="146"/>
      <c r="S10" s="32"/>
      <c r="T10" s="146"/>
      <c r="U10" s="32"/>
      <c r="V10" s="146"/>
      <c r="W10" s="32"/>
      <c r="X10" s="146"/>
      <c r="Y10" s="32"/>
      <c r="Z10" s="146"/>
      <c r="AA10" s="32"/>
      <c r="AB10" s="146"/>
      <c r="AC10" s="32"/>
      <c r="AD10" s="146"/>
      <c r="AE10" s="32"/>
      <c r="AF10" s="146"/>
      <c r="AG10" s="32"/>
      <c r="AH10" s="146"/>
      <c r="AI10" s="32"/>
      <c r="AJ10" s="146"/>
      <c r="AK10" s="32"/>
      <c r="AL10" s="146"/>
      <c r="AM10" s="32"/>
      <c r="AN10" s="146"/>
      <c r="AO10" s="32"/>
      <c r="AP10" s="146"/>
      <c r="AQ10" s="32"/>
      <c r="AR10" s="146"/>
      <c r="AS10" s="32"/>
      <c r="AT10" s="146"/>
      <c r="AU10" s="32"/>
      <c r="AV10" s="146"/>
      <c r="AW10" s="32"/>
      <c r="AX10" s="146"/>
      <c r="AY10" s="32"/>
      <c r="AZ10" s="146"/>
      <c r="BA10" s="32"/>
      <c r="BB10" s="146"/>
      <c r="BC10" s="32"/>
      <c r="BD10" s="146"/>
      <c r="BE10" s="32"/>
      <c r="BF10" s="146"/>
      <c r="BG10" s="32"/>
      <c r="BH10" s="146"/>
      <c r="BI10" s="32"/>
      <c r="BJ10" s="146"/>
      <c r="BK10" s="32"/>
      <c r="BL10" s="146"/>
      <c r="BM10" s="32"/>
      <c r="BN10" s="146"/>
      <c r="BO10" s="32"/>
      <c r="BP10" s="146"/>
      <c r="BQ10" s="32"/>
      <c r="BR10" s="146"/>
      <c r="BS10" s="32"/>
      <c r="BT10" s="146">
        <v>475</v>
      </c>
      <c r="BU10" s="32">
        <v>225</v>
      </c>
      <c r="BV10" s="146">
        <v>484</v>
      </c>
      <c r="BW10" s="32">
        <v>219</v>
      </c>
    </row>
    <row r="11" spans="1:75" ht="13" x14ac:dyDescent="0.25">
      <c r="A11" s="186">
        <v>108</v>
      </c>
      <c r="B11" s="187" t="s">
        <v>33</v>
      </c>
      <c r="C11" s="46">
        <v>712</v>
      </c>
      <c r="D11" s="142">
        <v>556</v>
      </c>
      <c r="E11" s="145">
        <f t="shared" si="0"/>
        <v>0.7808988764044944</v>
      </c>
      <c r="F11" s="146">
        <v>311</v>
      </c>
      <c r="G11" s="32">
        <v>221</v>
      </c>
      <c r="H11" s="146"/>
      <c r="I11" s="32"/>
      <c r="J11" s="146"/>
      <c r="K11" s="32"/>
      <c r="L11" s="146"/>
      <c r="M11" s="32"/>
      <c r="N11" s="146"/>
      <c r="O11" s="32"/>
      <c r="P11" s="146"/>
      <c r="Q11" s="32"/>
      <c r="R11" s="146"/>
      <c r="S11" s="32"/>
      <c r="T11" s="146"/>
      <c r="U11" s="32"/>
      <c r="V11" s="146"/>
      <c r="W11" s="32"/>
      <c r="X11" s="146"/>
      <c r="Y11" s="32"/>
      <c r="Z11" s="146"/>
      <c r="AA11" s="32"/>
      <c r="AB11" s="146"/>
      <c r="AC11" s="32"/>
      <c r="AD11" s="146"/>
      <c r="AE11" s="32"/>
      <c r="AF11" s="146"/>
      <c r="AG11" s="32"/>
      <c r="AH11" s="146"/>
      <c r="AI11" s="32"/>
      <c r="AJ11" s="146"/>
      <c r="AK11" s="32"/>
      <c r="AL11" s="146"/>
      <c r="AM11" s="32"/>
      <c r="AN11" s="146"/>
      <c r="AO11" s="32"/>
      <c r="AP11" s="146"/>
      <c r="AQ11" s="32"/>
      <c r="AR11" s="146"/>
      <c r="AS11" s="32"/>
      <c r="AT11" s="146"/>
      <c r="AU11" s="32"/>
      <c r="AV11" s="146"/>
      <c r="AW11" s="32"/>
      <c r="AX11" s="146"/>
      <c r="AY11" s="32"/>
      <c r="AZ11" s="146"/>
      <c r="BA11" s="32"/>
      <c r="BB11" s="146"/>
      <c r="BC11" s="32"/>
      <c r="BD11" s="146"/>
      <c r="BE11" s="32"/>
      <c r="BF11" s="146"/>
      <c r="BG11" s="32"/>
      <c r="BH11" s="146"/>
      <c r="BI11" s="32"/>
      <c r="BJ11" s="146"/>
      <c r="BK11" s="32"/>
      <c r="BL11" s="146"/>
      <c r="BM11" s="32"/>
      <c r="BN11" s="146"/>
      <c r="BO11" s="32"/>
      <c r="BP11" s="146"/>
      <c r="BQ11" s="32"/>
      <c r="BR11" s="146"/>
      <c r="BS11" s="32"/>
      <c r="BT11" s="146">
        <v>347</v>
      </c>
      <c r="BU11" s="32">
        <v>177</v>
      </c>
      <c r="BV11" s="146">
        <v>362</v>
      </c>
      <c r="BW11" s="32">
        <v>163</v>
      </c>
    </row>
    <row r="12" spans="1:75" ht="13" x14ac:dyDescent="0.25">
      <c r="A12" s="186">
        <v>109</v>
      </c>
      <c r="B12" s="187" t="s">
        <v>34</v>
      </c>
      <c r="C12" s="46">
        <v>1188</v>
      </c>
      <c r="D12" s="142">
        <v>906</v>
      </c>
      <c r="E12" s="145">
        <f t="shared" si="0"/>
        <v>0.76262626262626265</v>
      </c>
      <c r="F12" s="146">
        <v>514</v>
      </c>
      <c r="G12" s="32">
        <v>349</v>
      </c>
      <c r="H12" s="146"/>
      <c r="I12" s="32"/>
      <c r="J12" s="146">
        <v>723</v>
      </c>
      <c r="K12" s="32">
        <v>146</v>
      </c>
      <c r="L12" s="146"/>
      <c r="M12" s="32"/>
      <c r="N12" s="146"/>
      <c r="O12" s="32"/>
      <c r="P12" s="146"/>
      <c r="Q12" s="32"/>
      <c r="R12" s="146"/>
      <c r="S12" s="32"/>
      <c r="T12" s="146"/>
      <c r="U12" s="32"/>
      <c r="V12" s="146"/>
      <c r="W12" s="32"/>
      <c r="X12" s="146"/>
      <c r="Y12" s="32"/>
      <c r="Z12" s="146"/>
      <c r="AA12" s="32"/>
      <c r="AB12" s="146"/>
      <c r="AC12" s="32"/>
      <c r="AD12" s="146"/>
      <c r="AE12" s="32"/>
      <c r="AF12" s="146"/>
      <c r="AG12" s="32"/>
      <c r="AH12" s="146"/>
      <c r="AI12" s="32"/>
      <c r="AJ12" s="146"/>
      <c r="AK12" s="32"/>
      <c r="AL12" s="146"/>
      <c r="AM12" s="32"/>
      <c r="AN12" s="146"/>
      <c r="AO12" s="32"/>
      <c r="AP12" s="146"/>
      <c r="AQ12" s="32"/>
      <c r="AR12" s="146"/>
      <c r="AS12" s="32"/>
      <c r="AT12" s="146"/>
      <c r="AU12" s="32"/>
      <c r="AV12" s="146"/>
      <c r="AW12" s="32"/>
      <c r="AX12" s="146"/>
      <c r="AY12" s="32"/>
      <c r="AZ12" s="146"/>
      <c r="BA12" s="32"/>
      <c r="BB12" s="146"/>
      <c r="BC12" s="32"/>
      <c r="BD12" s="146"/>
      <c r="BE12" s="32"/>
      <c r="BF12" s="146"/>
      <c r="BG12" s="32"/>
      <c r="BH12" s="146"/>
      <c r="BI12" s="32"/>
      <c r="BJ12" s="146"/>
      <c r="BK12" s="32"/>
      <c r="BL12" s="146"/>
      <c r="BM12" s="32"/>
      <c r="BN12" s="146"/>
      <c r="BO12" s="32"/>
      <c r="BP12" s="146"/>
      <c r="BQ12" s="32"/>
      <c r="BR12" s="146"/>
      <c r="BS12" s="32"/>
      <c r="BT12" s="146">
        <v>572</v>
      </c>
      <c r="BU12" s="32">
        <v>285</v>
      </c>
      <c r="BV12" s="146">
        <v>608</v>
      </c>
      <c r="BW12" s="32">
        <v>253</v>
      </c>
    </row>
    <row r="13" spans="1:75" ht="13" x14ac:dyDescent="0.25">
      <c r="A13" s="186">
        <v>110</v>
      </c>
      <c r="B13" s="187" t="s">
        <v>35</v>
      </c>
      <c r="C13" s="46">
        <v>1270</v>
      </c>
      <c r="D13" s="142">
        <v>887</v>
      </c>
      <c r="E13" s="145">
        <f t="shared" si="0"/>
        <v>0.69842519685039373</v>
      </c>
      <c r="F13" s="146">
        <v>519</v>
      </c>
      <c r="G13" s="32">
        <v>316</v>
      </c>
      <c r="H13" s="146"/>
      <c r="I13" s="32"/>
      <c r="J13" s="146"/>
      <c r="K13" s="32"/>
      <c r="L13" s="146"/>
      <c r="M13" s="32"/>
      <c r="N13" s="146"/>
      <c r="O13" s="32"/>
      <c r="P13" s="146"/>
      <c r="Q13" s="32"/>
      <c r="R13" s="146"/>
      <c r="S13" s="32"/>
      <c r="T13" s="146"/>
      <c r="U13" s="32"/>
      <c r="V13" s="146"/>
      <c r="W13" s="32"/>
      <c r="X13" s="146"/>
      <c r="Y13" s="32"/>
      <c r="Z13" s="146"/>
      <c r="AA13" s="32"/>
      <c r="AB13" s="146"/>
      <c r="AC13" s="32"/>
      <c r="AD13" s="146"/>
      <c r="AE13" s="32"/>
      <c r="AF13" s="146"/>
      <c r="AG13" s="32"/>
      <c r="AH13" s="146"/>
      <c r="AI13" s="32"/>
      <c r="AJ13" s="146"/>
      <c r="AK13" s="32"/>
      <c r="AL13" s="146"/>
      <c r="AM13" s="32"/>
      <c r="AN13" s="146"/>
      <c r="AO13" s="32"/>
      <c r="AP13" s="146"/>
      <c r="AQ13" s="32"/>
      <c r="AR13" s="146"/>
      <c r="AS13" s="32"/>
      <c r="AT13" s="146"/>
      <c r="AU13" s="32"/>
      <c r="AV13" s="146"/>
      <c r="AW13" s="32"/>
      <c r="AX13" s="146"/>
      <c r="AY13" s="32"/>
      <c r="AZ13" s="146"/>
      <c r="BA13" s="32"/>
      <c r="BB13" s="146"/>
      <c r="BC13" s="32"/>
      <c r="BD13" s="146"/>
      <c r="BE13" s="32"/>
      <c r="BF13" s="146"/>
      <c r="BG13" s="32"/>
      <c r="BH13" s="146"/>
      <c r="BI13" s="32"/>
      <c r="BJ13" s="146"/>
      <c r="BK13" s="32"/>
      <c r="BL13" s="146"/>
      <c r="BM13" s="32"/>
      <c r="BN13" s="146"/>
      <c r="BO13" s="32"/>
      <c r="BP13" s="146"/>
      <c r="BQ13" s="32"/>
      <c r="BR13" s="146"/>
      <c r="BS13" s="32"/>
      <c r="BT13" s="146">
        <v>551</v>
      </c>
      <c r="BU13" s="32">
        <v>278</v>
      </c>
      <c r="BV13" s="146">
        <v>572</v>
      </c>
      <c r="BW13" s="32">
        <v>253</v>
      </c>
    </row>
    <row r="14" spans="1:75" ht="13" x14ac:dyDescent="0.25">
      <c r="A14" s="186">
        <v>111</v>
      </c>
      <c r="B14" s="187" t="s">
        <v>36</v>
      </c>
      <c r="C14" s="46">
        <v>1246</v>
      </c>
      <c r="D14" s="142">
        <v>796</v>
      </c>
      <c r="E14" s="145">
        <f t="shared" si="0"/>
        <v>0.6388443017656501</v>
      </c>
      <c r="F14" s="146">
        <v>506</v>
      </c>
      <c r="G14" s="32">
        <v>261</v>
      </c>
      <c r="H14" s="146"/>
      <c r="I14" s="32"/>
      <c r="J14" s="146"/>
      <c r="K14" s="32"/>
      <c r="L14" s="146"/>
      <c r="M14" s="32"/>
      <c r="N14" s="146"/>
      <c r="O14" s="32"/>
      <c r="P14" s="146"/>
      <c r="Q14" s="32"/>
      <c r="R14" s="146"/>
      <c r="S14" s="32"/>
      <c r="T14" s="146"/>
      <c r="U14" s="32"/>
      <c r="V14" s="146"/>
      <c r="W14" s="32"/>
      <c r="X14" s="146"/>
      <c r="Y14" s="32"/>
      <c r="Z14" s="146"/>
      <c r="AA14" s="32"/>
      <c r="AB14" s="146"/>
      <c r="AC14" s="32"/>
      <c r="AD14" s="146"/>
      <c r="AE14" s="32"/>
      <c r="AF14" s="146"/>
      <c r="AG14" s="32"/>
      <c r="AH14" s="146"/>
      <c r="AI14" s="32"/>
      <c r="AJ14" s="146"/>
      <c r="AK14" s="32"/>
      <c r="AL14" s="146"/>
      <c r="AM14" s="32"/>
      <c r="AN14" s="146"/>
      <c r="AO14" s="32"/>
      <c r="AP14" s="146"/>
      <c r="AQ14" s="32"/>
      <c r="AR14" s="146"/>
      <c r="AS14" s="32"/>
      <c r="AT14" s="146"/>
      <c r="AU14" s="32"/>
      <c r="AV14" s="146"/>
      <c r="AW14" s="32"/>
      <c r="AX14" s="146"/>
      <c r="AY14" s="32"/>
      <c r="AZ14" s="146"/>
      <c r="BA14" s="32"/>
      <c r="BB14" s="146"/>
      <c r="BC14" s="32"/>
      <c r="BD14" s="146"/>
      <c r="BE14" s="32"/>
      <c r="BF14" s="146"/>
      <c r="BG14" s="32"/>
      <c r="BH14" s="146"/>
      <c r="BI14" s="32"/>
      <c r="BJ14" s="146"/>
      <c r="BK14" s="32"/>
      <c r="BL14" s="146"/>
      <c r="BM14" s="32"/>
      <c r="BN14" s="146"/>
      <c r="BO14" s="32"/>
      <c r="BP14" s="146"/>
      <c r="BQ14" s="32"/>
      <c r="BR14" s="146"/>
      <c r="BS14" s="32"/>
      <c r="BT14" s="146">
        <v>532</v>
      </c>
      <c r="BU14" s="32">
        <v>229</v>
      </c>
      <c r="BV14" s="146">
        <v>553</v>
      </c>
      <c r="BW14" s="32">
        <v>208</v>
      </c>
    </row>
    <row r="15" spans="1:75" ht="13" x14ac:dyDescent="0.25">
      <c r="A15" s="186">
        <v>112</v>
      </c>
      <c r="B15" s="187" t="s">
        <v>37</v>
      </c>
      <c r="C15" s="46">
        <v>716</v>
      </c>
      <c r="D15" s="142">
        <v>574</v>
      </c>
      <c r="E15" s="145">
        <f t="shared" si="0"/>
        <v>0.8016759776536313</v>
      </c>
      <c r="F15" s="146">
        <v>305</v>
      </c>
      <c r="G15" s="32">
        <v>248</v>
      </c>
      <c r="H15" s="146"/>
      <c r="I15" s="32"/>
      <c r="J15" s="146"/>
      <c r="K15" s="32"/>
      <c r="L15" s="146"/>
      <c r="M15" s="32"/>
      <c r="N15" s="146"/>
      <c r="O15" s="32"/>
      <c r="P15" s="146"/>
      <c r="Q15" s="32"/>
      <c r="R15" s="146"/>
      <c r="S15" s="32"/>
      <c r="T15" s="146"/>
      <c r="U15" s="32"/>
      <c r="V15" s="146"/>
      <c r="W15" s="32"/>
      <c r="X15" s="146"/>
      <c r="Y15" s="32"/>
      <c r="Z15" s="146"/>
      <c r="AA15" s="32"/>
      <c r="AB15" s="146"/>
      <c r="AC15" s="32"/>
      <c r="AD15" s="146"/>
      <c r="AE15" s="32"/>
      <c r="AF15" s="146"/>
      <c r="AG15" s="32"/>
      <c r="AH15" s="146"/>
      <c r="AI15" s="32"/>
      <c r="AJ15" s="146"/>
      <c r="AK15" s="32"/>
      <c r="AL15" s="146"/>
      <c r="AM15" s="32"/>
      <c r="AN15" s="146"/>
      <c r="AO15" s="32"/>
      <c r="AP15" s="146"/>
      <c r="AQ15" s="32"/>
      <c r="AR15" s="146"/>
      <c r="AS15" s="32"/>
      <c r="AT15" s="146"/>
      <c r="AU15" s="32"/>
      <c r="AV15" s="146"/>
      <c r="AW15" s="32"/>
      <c r="AX15" s="146"/>
      <c r="AY15" s="32"/>
      <c r="AZ15" s="146"/>
      <c r="BA15" s="32"/>
      <c r="BB15" s="146"/>
      <c r="BC15" s="32"/>
      <c r="BD15" s="146"/>
      <c r="BE15" s="32"/>
      <c r="BF15" s="146"/>
      <c r="BG15" s="32"/>
      <c r="BH15" s="146"/>
      <c r="BI15" s="32"/>
      <c r="BJ15" s="146"/>
      <c r="BK15" s="32"/>
      <c r="BL15" s="146"/>
      <c r="BM15" s="32"/>
      <c r="BN15" s="146"/>
      <c r="BO15" s="32"/>
      <c r="BP15" s="146"/>
      <c r="BQ15" s="32"/>
      <c r="BR15" s="146"/>
      <c r="BS15" s="32"/>
      <c r="BT15" s="146">
        <v>340</v>
      </c>
      <c r="BU15" s="32">
        <v>200</v>
      </c>
      <c r="BV15" s="146">
        <v>361</v>
      </c>
      <c r="BW15" s="32">
        <v>178</v>
      </c>
    </row>
    <row r="16" spans="1:75" ht="13" x14ac:dyDescent="0.25">
      <c r="A16" s="186">
        <v>113</v>
      </c>
      <c r="B16" s="187" t="s">
        <v>38</v>
      </c>
      <c r="C16" s="46">
        <v>1017</v>
      </c>
      <c r="D16" s="142">
        <v>778</v>
      </c>
      <c r="E16" s="145">
        <f t="shared" si="0"/>
        <v>0.76499508357915436</v>
      </c>
      <c r="F16" s="146">
        <v>432</v>
      </c>
      <c r="G16" s="32">
        <v>303</v>
      </c>
      <c r="H16" s="146"/>
      <c r="I16" s="32"/>
      <c r="J16" s="146"/>
      <c r="K16" s="32"/>
      <c r="L16" s="146"/>
      <c r="M16" s="32"/>
      <c r="N16" s="146"/>
      <c r="O16" s="32"/>
      <c r="P16" s="146"/>
      <c r="Q16" s="32"/>
      <c r="R16" s="146"/>
      <c r="S16" s="32"/>
      <c r="T16" s="146"/>
      <c r="U16" s="32"/>
      <c r="V16" s="146"/>
      <c r="W16" s="32"/>
      <c r="X16" s="146"/>
      <c r="Y16" s="32"/>
      <c r="Z16" s="146"/>
      <c r="AA16" s="32"/>
      <c r="AB16" s="146"/>
      <c r="AC16" s="32"/>
      <c r="AD16" s="146"/>
      <c r="AE16" s="32"/>
      <c r="AF16" s="146"/>
      <c r="AG16" s="32"/>
      <c r="AH16" s="146"/>
      <c r="AI16" s="32"/>
      <c r="AJ16" s="146"/>
      <c r="AK16" s="32"/>
      <c r="AL16" s="146"/>
      <c r="AM16" s="32"/>
      <c r="AN16" s="146"/>
      <c r="AO16" s="32"/>
      <c r="AP16" s="146"/>
      <c r="AQ16" s="32"/>
      <c r="AR16" s="146"/>
      <c r="AS16" s="32"/>
      <c r="AT16" s="146"/>
      <c r="AU16" s="32"/>
      <c r="AV16" s="146"/>
      <c r="AW16" s="32"/>
      <c r="AX16" s="146"/>
      <c r="AY16" s="32"/>
      <c r="AZ16" s="146"/>
      <c r="BA16" s="32"/>
      <c r="BB16" s="146"/>
      <c r="BC16" s="32"/>
      <c r="BD16" s="146"/>
      <c r="BE16" s="32"/>
      <c r="BF16" s="146"/>
      <c r="BG16" s="32"/>
      <c r="BH16" s="146"/>
      <c r="BI16" s="32"/>
      <c r="BJ16" s="146"/>
      <c r="BK16" s="32"/>
      <c r="BL16" s="146"/>
      <c r="BM16" s="32"/>
      <c r="BN16" s="146"/>
      <c r="BO16" s="32"/>
      <c r="BP16" s="146"/>
      <c r="BQ16" s="32"/>
      <c r="BR16" s="146"/>
      <c r="BS16" s="32"/>
      <c r="BT16" s="146">
        <v>499</v>
      </c>
      <c r="BU16" s="32">
        <v>234</v>
      </c>
      <c r="BV16" s="146">
        <v>514</v>
      </c>
      <c r="BW16" s="32">
        <v>218</v>
      </c>
    </row>
    <row r="17" spans="1:75" ht="13" x14ac:dyDescent="0.25">
      <c r="A17" s="186">
        <v>201</v>
      </c>
      <c r="B17" s="187" t="s">
        <v>39</v>
      </c>
      <c r="C17" s="46">
        <v>1487</v>
      </c>
      <c r="D17" s="142">
        <v>964</v>
      </c>
      <c r="E17" s="145">
        <f t="shared" si="0"/>
        <v>0.64828513786146602</v>
      </c>
      <c r="F17" s="146">
        <v>641</v>
      </c>
      <c r="G17" s="32">
        <v>264</v>
      </c>
      <c r="H17" s="146"/>
      <c r="I17" s="32"/>
      <c r="J17" s="146"/>
      <c r="K17" s="32"/>
      <c r="L17" s="146"/>
      <c r="M17" s="32"/>
      <c r="N17" s="146"/>
      <c r="O17" s="32"/>
      <c r="P17" s="146"/>
      <c r="Q17" s="32"/>
      <c r="R17" s="146"/>
      <c r="S17" s="32"/>
      <c r="T17" s="146"/>
      <c r="U17" s="32"/>
      <c r="V17" s="146"/>
      <c r="W17" s="32"/>
      <c r="X17" s="146"/>
      <c r="Y17" s="32"/>
      <c r="Z17" s="146"/>
      <c r="AA17" s="32"/>
      <c r="AB17" s="146"/>
      <c r="AC17" s="32"/>
      <c r="AD17" s="146"/>
      <c r="AE17" s="32"/>
      <c r="AF17" s="146"/>
      <c r="AG17" s="32"/>
      <c r="AH17" s="146"/>
      <c r="AI17" s="32"/>
      <c r="AJ17" s="146"/>
      <c r="AK17" s="32"/>
      <c r="AL17" s="146"/>
      <c r="AM17" s="32"/>
      <c r="AN17" s="146"/>
      <c r="AO17" s="32"/>
      <c r="AP17" s="146"/>
      <c r="AQ17" s="32"/>
      <c r="AR17" s="146"/>
      <c r="AS17" s="32"/>
      <c r="AT17" s="146"/>
      <c r="AU17" s="32"/>
      <c r="AV17" s="146"/>
      <c r="AW17" s="32"/>
      <c r="AX17" s="146"/>
      <c r="AY17" s="32"/>
      <c r="AZ17" s="146"/>
      <c r="BA17" s="32"/>
      <c r="BB17" s="146"/>
      <c r="BC17" s="32"/>
      <c r="BD17" s="146"/>
      <c r="BE17" s="32"/>
      <c r="BF17" s="146"/>
      <c r="BG17" s="32"/>
      <c r="BH17" s="146"/>
      <c r="BI17" s="32"/>
      <c r="BJ17" s="146"/>
      <c r="BK17" s="32"/>
      <c r="BL17" s="146"/>
      <c r="BM17" s="32"/>
      <c r="BN17" s="146"/>
      <c r="BO17" s="32"/>
      <c r="BP17" s="146"/>
      <c r="BQ17" s="32"/>
      <c r="BR17" s="146"/>
      <c r="BS17" s="32"/>
      <c r="BT17" s="146">
        <v>696</v>
      </c>
      <c r="BU17" s="32">
        <v>209</v>
      </c>
      <c r="BV17" s="146">
        <v>720</v>
      </c>
      <c r="BW17" s="32">
        <v>182</v>
      </c>
    </row>
    <row r="18" spans="1:75" ht="13" x14ac:dyDescent="0.25">
      <c r="A18" s="186">
        <v>202</v>
      </c>
      <c r="B18" s="187" t="s">
        <v>40</v>
      </c>
      <c r="C18" s="46">
        <v>1732</v>
      </c>
      <c r="D18" s="142">
        <v>1118</v>
      </c>
      <c r="E18" s="145">
        <f t="shared" si="0"/>
        <v>0.64549653579676669</v>
      </c>
      <c r="F18" s="146">
        <v>797</v>
      </c>
      <c r="G18" s="32">
        <v>272</v>
      </c>
      <c r="H18" s="146"/>
      <c r="I18" s="32"/>
      <c r="J18" s="146"/>
      <c r="K18" s="32"/>
      <c r="L18" s="146"/>
      <c r="M18" s="32"/>
      <c r="N18" s="146"/>
      <c r="O18" s="32"/>
      <c r="P18" s="146"/>
      <c r="Q18" s="32"/>
      <c r="R18" s="146"/>
      <c r="S18" s="32"/>
      <c r="T18" s="146"/>
      <c r="U18" s="32"/>
      <c r="V18" s="146"/>
      <c r="W18" s="32"/>
      <c r="X18" s="146"/>
      <c r="Y18" s="32"/>
      <c r="Z18" s="146"/>
      <c r="AA18" s="32"/>
      <c r="AB18" s="146"/>
      <c r="AC18" s="32"/>
      <c r="AD18" s="146"/>
      <c r="AE18" s="32"/>
      <c r="AF18" s="146"/>
      <c r="AG18" s="32"/>
      <c r="AH18" s="146"/>
      <c r="AI18" s="32"/>
      <c r="AJ18" s="146"/>
      <c r="AK18" s="32"/>
      <c r="AL18" s="146"/>
      <c r="AM18" s="32"/>
      <c r="AN18" s="146"/>
      <c r="AO18" s="32"/>
      <c r="AP18" s="146"/>
      <c r="AQ18" s="32"/>
      <c r="AR18" s="146"/>
      <c r="AS18" s="32"/>
      <c r="AT18" s="146"/>
      <c r="AU18" s="32"/>
      <c r="AV18" s="146"/>
      <c r="AW18" s="32"/>
      <c r="AX18" s="146"/>
      <c r="AY18" s="32"/>
      <c r="AZ18" s="146"/>
      <c r="BA18" s="32"/>
      <c r="BB18" s="146"/>
      <c r="BC18" s="32"/>
      <c r="BD18" s="146"/>
      <c r="BE18" s="32"/>
      <c r="BF18" s="146"/>
      <c r="BG18" s="32"/>
      <c r="BH18" s="146"/>
      <c r="BI18" s="32"/>
      <c r="BJ18" s="146"/>
      <c r="BK18" s="32"/>
      <c r="BL18" s="146"/>
      <c r="BM18" s="32"/>
      <c r="BN18" s="146"/>
      <c r="BO18" s="32"/>
      <c r="BP18" s="146"/>
      <c r="BQ18" s="32"/>
      <c r="BR18" s="146"/>
      <c r="BS18" s="32"/>
      <c r="BT18" s="146">
        <v>800</v>
      </c>
      <c r="BU18" s="32">
        <v>255</v>
      </c>
      <c r="BV18" s="146">
        <v>847</v>
      </c>
      <c r="BW18" s="32">
        <v>211</v>
      </c>
    </row>
    <row r="19" spans="1:75" ht="13" x14ac:dyDescent="0.25">
      <c r="A19" s="186">
        <v>203</v>
      </c>
      <c r="B19" s="187" t="s">
        <v>41</v>
      </c>
      <c r="C19" s="46">
        <v>1369</v>
      </c>
      <c r="D19" s="142">
        <v>891</v>
      </c>
      <c r="E19" s="145">
        <f t="shared" si="0"/>
        <v>0.65084002921840756</v>
      </c>
      <c r="F19" s="146">
        <v>546</v>
      </c>
      <c r="G19" s="32">
        <v>283</v>
      </c>
      <c r="H19" s="146"/>
      <c r="I19" s="32"/>
      <c r="J19" s="146"/>
      <c r="K19" s="32"/>
      <c r="L19" s="146"/>
      <c r="M19" s="32"/>
      <c r="N19" s="146"/>
      <c r="O19" s="32"/>
      <c r="P19" s="146"/>
      <c r="Q19" s="32"/>
      <c r="R19" s="146"/>
      <c r="S19" s="32"/>
      <c r="T19" s="146"/>
      <c r="U19" s="32"/>
      <c r="V19" s="146"/>
      <c r="W19" s="32"/>
      <c r="X19" s="146"/>
      <c r="Y19" s="32"/>
      <c r="Z19" s="146"/>
      <c r="AA19" s="32"/>
      <c r="AB19" s="146"/>
      <c r="AC19" s="32"/>
      <c r="AD19" s="146"/>
      <c r="AE19" s="32"/>
      <c r="AF19" s="146"/>
      <c r="AG19" s="32"/>
      <c r="AH19" s="146"/>
      <c r="AI19" s="32"/>
      <c r="AJ19" s="146"/>
      <c r="AK19" s="32"/>
      <c r="AL19" s="146"/>
      <c r="AM19" s="32"/>
      <c r="AN19" s="146"/>
      <c r="AO19" s="32"/>
      <c r="AP19" s="146"/>
      <c r="AQ19" s="32"/>
      <c r="AR19" s="146"/>
      <c r="AS19" s="32"/>
      <c r="AT19" s="146"/>
      <c r="AU19" s="32"/>
      <c r="AV19" s="146"/>
      <c r="AW19" s="32"/>
      <c r="AX19" s="146"/>
      <c r="AY19" s="32"/>
      <c r="AZ19" s="146"/>
      <c r="BA19" s="32"/>
      <c r="BB19" s="146"/>
      <c r="BC19" s="32"/>
      <c r="BD19" s="146"/>
      <c r="BE19" s="32"/>
      <c r="BF19" s="146"/>
      <c r="BG19" s="32"/>
      <c r="BH19" s="146"/>
      <c r="BI19" s="32"/>
      <c r="BJ19" s="146"/>
      <c r="BK19" s="32"/>
      <c r="BL19" s="146"/>
      <c r="BM19" s="32"/>
      <c r="BN19" s="146"/>
      <c r="BO19" s="32"/>
      <c r="BP19" s="146"/>
      <c r="BQ19" s="32"/>
      <c r="BR19" s="146"/>
      <c r="BS19" s="32"/>
      <c r="BT19" s="146">
        <v>623</v>
      </c>
      <c r="BU19" s="32">
        <v>202</v>
      </c>
      <c r="BV19" s="146">
        <v>662</v>
      </c>
      <c r="BW19" s="32">
        <v>167</v>
      </c>
    </row>
    <row r="20" spans="1:75" ht="13" x14ac:dyDescent="0.25">
      <c r="A20" s="186">
        <v>204</v>
      </c>
      <c r="B20" s="187" t="s">
        <v>42</v>
      </c>
      <c r="C20" s="46">
        <v>1399</v>
      </c>
      <c r="D20" s="142">
        <v>1000</v>
      </c>
      <c r="E20" s="145">
        <f t="shared" si="0"/>
        <v>0.71479628305932807</v>
      </c>
      <c r="F20" s="146">
        <v>677</v>
      </c>
      <c r="G20" s="32">
        <v>287</v>
      </c>
      <c r="H20" s="146"/>
      <c r="I20" s="32"/>
      <c r="J20" s="146"/>
      <c r="K20" s="32"/>
      <c r="L20" s="146"/>
      <c r="M20" s="32"/>
      <c r="N20" s="146"/>
      <c r="O20" s="32"/>
      <c r="P20" s="146"/>
      <c r="Q20" s="32"/>
      <c r="R20" s="146"/>
      <c r="S20" s="32"/>
      <c r="T20" s="146"/>
      <c r="U20" s="32"/>
      <c r="V20" s="146"/>
      <c r="W20" s="32"/>
      <c r="X20" s="146"/>
      <c r="Y20" s="32"/>
      <c r="Z20" s="146"/>
      <c r="AA20" s="32"/>
      <c r="AB20" s="146"/>
      <c r="AC20" s="32"/>
      <c r="AD20" s="146"/>
      <c r="AE20" s="32"/>
      <c r="AF20" s="146"/>
      <c r="AG20" s="32"/>
      <c r="AH20" s="146"/>
      <c r="AI20" s="32"/>
      <c r="AJ20" s="146"/>
      <c r="AK20" s="32"/>
      <c r="AL20" s="146"/>
      <c r="AM20" s="32"/>
      <c r="AN20" s="146"/>
      <c r="AO20" s="32"/>
      <c r="AP20" s="146"/>
      <c r="AQ20" s="32"/>
      <c r="AR20" s="146"/>
      <c r="AS20" s="32"/>
      <c r="AT20" s="146"/>
      <c r="AU20" s="32"/>
      <c r="AV20" s="146"/>
      <c r="AW20" s="32"/>
      <c r="AX20" s="146"/>
      <c r="AY20" s="32"/>
      <c r="AZ20" s="146"/>
      <c r="BA20" s="32"/>
      <c r="BB20" s="146"/>
      <c r="BC20" s="32"/>
      <c r="BD20" s="146"/>
      <c r="BE20" s="32"/>
      <c r="BF20" s="146"/>
      <c r="BG20" s="32"/>
      <c r="BH20" s="146"/>
      <c r="BI20" s="32"/>
      <c r="BJ20" s="146"/>
      <c r="BK20" s="32"/>
      <c r="BL20" s="146"/>
      <c r="BM20" s="32"/>
      <c r="BN20" s="146"/>
      <c r="BO20" s="32"/>
      <c r="BP20" s="146"/>
      <c r="BQ20" s="32"/>
      <c r="BR20" s="146"/>
      <c r="BS20" s="32"/>
      <c r="BT20" s="146">
        <v>687</v>
      </c>
      <c r="BU20" s="32">
        <v>280</v>
      </c>
      <c r="BV20" s="146">
        <v>727</v>
      </c>
      <c r="BW20" s="32">
        <v>231</v>
      </c>
    </row>
    <row r="21" spans="1:75" ht="13" x14ac:dyDescent="0.25">
      <c r="A21" s="186">
        <v>205</v>
      </c>
      <c r="B21" s="187" t="s">
        <v>43</v>
      </c>
      <c r="C21" s="46">
        <v>1314</v>
      </c>
      <c r="D21" s="142">
        <v>989</v>
      </c>
      <c r="E21" s="145">
        <f t="shared" si="0"/>
        <v>0.75266362252663621</v>
      </c>
      <c r="F21" s="146">
        <v>578</v>
      </c>
      <c r="G21" s="32">
        <v>375</v>
      </c>
      <c r="H21" s="146"/>
      <c r="I21" s="32"/>
      <c r="J21" s="146"/>
      <c r="K21" s="32"/>
      <c r="L21" s="146"/>
      <c r="M21" s="32"/>
      <c r="N21" s="146"/>
      <c r="O21" s="32"/>
      <c r="P21" s="146"/>
      <c r="Q21" s="32"/>
      <c r="R21" s="146"/>
      <c r="S21" s="32"/>
      <c r="T21" s="146"/>
      <c r="U21" s="32"/>
      <c r="V21" s="146"/>
      <c r="W21" s="32"/>
      <c r="X21" s="146"/>
      <c r="Y21" s="32"/>
      <c r="Z21" s="146"/>
      <c r="AA21" s="32"/>
      <c r="AB21" s="146"/>
      <c r="AC21" s="32"/>
      <c r="AD21" s="146"/>
      <c r="AE21" s="32"/>
      <c r="AF21" s="146"/>
      <c r="AG21" s="32"/>
      <c r="AH21" s="146"/>
      <c r="AI21" s="32"/>
      <c r="AJ21" s="146"/>
      <c r="AK21" s="32"/>
      <c r="AL21" s="146"/>
      <c r="AM21" s="32"/>
      <c r="AN21" s="146"/>
      <c r="AO21" s="32"/>
      <c r="AP21" s="146"/>
      <c r="AQ21" s="32"/>
      <c r="AR21" s="146"/>
      <c r="AS21" s="32"/>
      <c r="AT21" s="146"/>
      <c r="AU21" s="32"/>
      <c r="AV21" s="146"/>
      <c r="AW21" s="32"/>
      <c r="AX21" s="146"/>
      <c r="AY21" s="32"/>
      <c r="AZ21" s="146"/>
      <c r="BA21" s="32"/>
      <c r="BB21" s="146"/>
      <c r="BC21" s="32"/>
      <c r="BD21" s="146"/>
      <c r="BE21" s="32"/>
      <c r="BF21" s="146"/>
      <c r="BG21" s="32"/>
      <c r="BH21" s="146"/>
      <c r="BI21" s="32"/>
      <c r="BJ21" s="146"/>
      <c r="BK21" s="32"/>
      <c r="BL21" s="146"/>
      <c r="BM21" s="32"/>
      <c r="BN21" s="146"/>
      <c r="BO21" s="32"/>
      <c r="BP21" s="146"/>
      <c r="BQ21" s="32"/>
      <c r="BR21" s="146"/>
      <c r="BS21" s="32"/>
      <c r="BT21" s="146">
        <v>633</v>
      </c>
      <c r="BU21" s="32">
        <v>307</v>
      </c>
      <c r="BV21" s="146">
        <v>651</v>
      </c>
      <c r="BW21" s="32">
        <v>287</v>
      </c>
    </row>
    <row r="22" spans="1:75" ht="13" x14ac:dyDescent="0.25">
      <c r="A22" s="186">
        <v>206</v>
      </c>
      <c r="B22" s="187" t="s">
        <v>44</v>
      </c>
      <c r="C22" s="46">
        <v>1487</v>
      </c>
      <c r="D22" s="142">
        <v>1024</v>
      </c>
      <c r="E22" s="145">
        <f t="shared" si="0"/>
        <v>0.6886348352387357</v>
      </c>
      <c r="F22" s="146">
        <v>743</v>
      </c>
      <c r="G22" s="32">
        <v>229</v>
      </c>
      <c r="H22" s="146"/>
      <c r="I22" s="32"/>
      <c r="J22" s="146"/>
      <c r="K22" s="32"/>
      <c r="L22" s="146"/>
      <c r="M22" s="32"/>
      <c r="N22" s="146"/>
      <c r="O22" s="32"/>
      <c r="P22" s="146"/>
      <c r="Q22" s="32"/>
      <c r="R22" s="146"/>
      <c r="S22" s="32"/>
      <c r="T22" s="146"/>
      <c r="U22" s="32"/>
      <c r="V22" s="146"/>
      <c r="W22" s="32"/>
      <c r="X22" s="146"/>
      <c r="Y22" s="32"/>
      <c r="Z22" s="146"/>
      <c r="AA22" s="32"/>
      <c r="AB22" s="146"/>
      <c r="AC22" s="32"/>
      <c r="AD22" s="146"/>
      <c r="AE22" s="32"/>
      <c r="AF22" s="146"/>
      <c r="AG22" s="32"/>
      <c r="AH22" s="146"/>
      <c r="AI22" s="32"/>
      <c r="AJ22" s="146"/>
      <c r="AK22" s="32"/>
      <c r="AL22" s="146"/>
      <c r="AM22" s="32"/>
      <c r="AN22" s="146"/>
      <c r="AO22" s="32"/>
      <c r="AP22" s="146"/>
      <c r="AQ22" s="32"/>
      <c r="AR22" s="146"/>
      <c r="AS22" s="32"/>
      <c r="AT22" s="146"/>
      <c r="AU22" s="32"/>
      <c r="AV22" s="146"/>
      <c r="AW22" s="32"/>
      <c r="AX22" s="146"/>
      <c r="AY22" s="32"/>
      <c r="AZ22" s="146"/>
      <c r="BA22" s="32"/>
      <c r="BB22" s="146"/>
      <c r="BC22" s="32"/>
      <c r="BD22" s="146"/>
      <c r="BE22" s="32"/>
      <c r="BF22" s="146"/>
      <c r="BG22" s="32"/>
      <c r="BH22" s="146"/>
      <c r="BI22" s="32"/>
      <c r="BJ22" s="146"/>
      <c r="BK22" s="32"/>
      <c r="BL22" s="146"/>
      <c r="BM22" s="32"/>
      <c r="BN22" s="146"/>
      <c r="BO22" s="32"/>
      <c r="BP22" s="146"/>
      <c r="BQ22" s="32"/>
      <c r="BR22" s="146"/>
      <c r="BS22" s="32"/>
      <c r="BT22" s="146">
        <v>741</v>
      </c>
      <c r="BU22" s="32">
        <v>227</v>
      </c>
      <c r="BV22" s="146">
        <v>775</v>
      </c>
      <c r="BW22" s="32">
        <v>199</v>
      </c>
    </row>
    <row r="23" spans="1:75" ht="13" x14ac:dyDescent="0.25">
      <c r="A23" s="186">
        <v>207</v>
      </c>
      <c r="B23" s="187" t="s">
        <v>45</v>
      </c>
      <c r="C23" s="46">
        <v>1303</v>
      </c>
      <c r="D23" s="142">
        <v>928</v>
      </c>
      <c r="E23" s="145">
        <f t="shared" si="0"/>
        <v>0.71220260936300839</v>
      </c>
      <c r="F23" s="146">
        <v>567</v>
      </c>
      <c r="G23" s="32">
        <v>326</v>
      </c>
      <c r="H23" s="146"/>
      <c r="I23" s="32"/>
      <c r="J23" s="146"/>
      <c r="K23" s="32"/>
      <c r="L23" s="146"/>
      <c r="M23" s="32"/>
      <c r="N23" s="146"/>
      <c r="O23" s="32"/>
      <c r="P23" s="146"/>
      <c r="Q23" s="32"/>
      <c r="R23" s="146"/>
      <c r="S23" s="32"/>
      <c r="T23" s="146"/>
      <c r="U23" s="32"/>
      <c r="V23" s="146"/>
      <c r="W23" s="32"/>
      <c r="X23" s="146"/>
      <c r="Y23" s="32"/>
      <c r="Z23" s="146"/>
      <c r="AA23" s="32"/>
      <c r="AB23" s="146"/>
      <c r="AC23" s="32"/>
      <c r="AD23" s="146"/>
      <c r="AE23" s="32"/>
      <c r="AF23" s="146"/>
      <c r="AG23" s="32"/>
      <c r="AH23" s="146"/>
      <c r="AI23" s="32"/>
      <c r="AJ23" s="146"/>
      <c r="AK23" s="32"/>
      <c r="AL23" s="146"/>
      <c r="AM23" s="32"/>
      <c r="AN23" s="146"/>
      <c r="AO23" s="32"/>
      <c r="AP23" s="146"/>
      <c r="AQ23" s="32"/>
      <c r="AR23" s="146"/>
      <c r="AS23" s="32"/>
      <c r="AT23" s="146"/>
      <c r="AU23" s="32"/>
      <c r="AV23" s="146"/>
      <c r="AW23" s="32"/>
      <c r="AX23" s="146"/>
      <c r="AY23" s="32"/>
      <c r="AZ23" s="146"/>
      <c r="BA23" s="32"/>
      <c r="BB23" s="146"/>
      <c r="BC23" s="32"/>
      <c r="BD23" s="146"/>
      <c r="BE23" s="32"/>
      <c r="BF23" s="146"/>
      <c r="BG23" s="32"/>
      <c r="BH23" s="146"/>
      <c r="BI23" s="32"/>
      <c r="BJ23" s="146"/>
      <c r="BK23" s="32"/>
      <c r="BL23" s="146"/>
      <c r="BM23" s="32"/>
      <c r="BN23" s="146"/>
      <c r="BO23" s="32"/>
      <c r="BP23" s="146"/>
      <c r="BQ23" s="32"/>
      <c r="BR23" s="146"/>
      <c r="BS23" s="32"/>
      <c r="BT23" s="146">
        <v>671</v>
      </c>
      <c r="BU23" s="32">
        <v>216</v>
      </c>
      <c r="BV23" s="146">
        <v>683</v>
      </c>
      <c r="BW23" s="32">
        <v>210</v>
      </c>
    </row>
    <row r="24" spans="1:75" ht="13" x14ac:dyDescent="0.25">
      <c r="A24" s="186">
        <v>208</v>
      </c>
      <c r="B24" s="187" t="s">
        <v>46</v>
      </c>
      <c r="C24" s="46">
        <v>983</v>
      </c>
      <c r="D24" s="142">
        <v>626</v>
      </c>
      <c r="E24" s="145">
        <f t="shared" si="0"/>
        <v>0.63682604272634791</v>
      </c>
      <c r="F24" s="146">
        <v>423</v>
      </c>
      <c r="G24" s="32">
        <v>176</v>
      </c>
      <c r="H24" s="146"/>
      <c r="I24" s="32"/>
      <c r="J24" s="146"/>
      <c r="K24" s="32"/>
      <c r="L24" s="146"/>
      <c r="M24" s="32"/>
      <c r="N24" s="146"/>
      <c r="O24" s="32"/>
      <c r="P24" s="146"/>
      <c r="Q24" s="32"/>
      <c r="R24" s="146"/>
      <c r="S24" s="32"/>
      <c r="T24" s="146"/>
      <c r="U24" s="32"/>
      <c r="V24" s="146"/>
      <c r="W24" s="32"/>
      <c r="X24" s="146"/>
      <c r="Y24" s="32"/>
      <c r="Z24" s="146"/>
      <c r="AA24" s="32"/>
      <c r="AB24" s="146"/>
      <c r="AC24" s="32"/>
      <c r="AD24" s="146"/>
      <c r="AE24" s="32"/>
      <c r="AF24" s="146"/>
      <c r="AG24" s="32"/>
      <c r="AH24" s="146"/>
      <c r="AI24" s="32"/>
      <c r="AJ24" s="146"/>
      <c r="AK24" s="32"/>
      <c r="AL24" s="146"/>
      <c r="AM24" s="32"/>
      <c r="AN24" s="146"/>
      <c r="AO24" s="32"/>
      <c r="AP24" s="146"/>
      <c r="AQ24" s="32"/>
      <c r="AR24" s="146"/>
      <c r="AS24" s="32"/>
      <c r="AT24" s="146"/>
      <c r="AU24" s="32"/>
      <c r="AV24" s="146"/>
      <c r="AW24" s="32"/>
      <c r="AX24" s="146"/>
      <c r="AY24" s="32"/>
      <c r="AZ24" s="146"/>
      <c r="BA24" s="32"/>
      <c r="BB24" s="146"/>
      <c r="BC24" s="32"/>
      <c r="BD24" s="146"/>
      <c r="BE24" s="32"/>
      <c r="BF24" s="146"/>
      <c r="BG24" s="32"/>
      <c r="BH24" s="146"/>
      <c r="BI24" s="32"/>
      <c r="BJ24" s="146"/>
      <c r="BK24" s="32"/>
      <c r="BL24" s="146"/>
      <c r="BM24" s="32"/>
      <c r="BN24" s="146"/>
      <c r="BO24" s="32"/>
      <c r="BP24" s="146"/>
      <c r="BQ24" s="32"/>
      <c r="BR24" s="146"/>
      <c r="BS24" s="32"/>
      <c r="BT24" s="146">
        <v>427</v>
      </c>
      <c r="BU24" s="32">
        <v>164</v>
      </c>
      <c r="BV24" s="146">
        <v>474</v>
      </c>
      <c r="BW24" s="32">
        <v>120</v>
      </c>
    </row>
    <row r="25" spans="1:75" ht="13" x14ac:dyDescent="0.25">
      <c r="A25" s="186">
        <v>209</v>
      </c>
      <c r="B25" s="187" t="s">
        <v>47</v>
      </c>
      <c r="C25" s="46">
        <v>1222</v>
      </c>
      <c r="D25" s="142">
        <v>873</v>
      </c>
      <c r="E25" s="145">
        <f t="shared" si="0"/>
        <v>0.71440261865793786</v>
      </c>
      <c r="F25" s="146">
        <v>595</v>
      </c>
      <c r="G25" s="32">
        <v>237</v>
      </c>
      <c r="H25" s="146"/>
      <c r="I25" s="32"/>
      <c r="J25" s="146"/>
      <c r="K25" s="32"/>
      <c r="L25" s="146">
        <v>680</v>
      </c>
      <c r="M25" s="32">
        <v>143</v>
      </c>
      <c r="N25" s="146"/>
      <c r="O25" s="32"/>
      <c r="P25" s="146"/>
      <c r="Q25" s="32"/>
      <c r="R25" s="146"/>
      <c r="S25" s="32"/>
      <c r="T25" s="146"/>
      <c r="U25" s="32"/>
      <c r="V25" s="146"/>
      <c r="W25" s="32"/>
      <c r="X25" s="146"/>
      <c r="Y25" s="32"/>
      <c r="Z25" s="146"/>
      <c r="AA25" s="32"/>
      <c r="AB25" s="146"/>
      <c r="AC25" s="32"/>
      <c r="AD25" s="146"/>
      <c r="AE25" s="32"/>
      <c r="AF25" s="146"/>
      <c r="AG25" s="32"/>
      <c r="AH25" s="146"/>
      <c r="AI25" s="32"/>
      <c r="AJ25" s="146"/>
      <c r="AK25" s="32"/>
      <c r="AL25" s="146"/>
      <c r="AM25" s="32"/>
      <c r="AN25" s="146"/>
      <c r="AO25" s="32"/>
      <c r="AP25" s="146"/>
      <c r="AQ25" s="32"/>
      <c r="AR25" s="146"/>
      <c r="AS25" s="32"/>
      <c r="AT25" s="146"/>
      <c r="AU25" s="32"/>
      <c r="AV25" s="146"/>
      <c r="AW25" s="32"/>
      <c r="AX25" s="146"/>
      <c r="AY25" s="32"/>
      <c r="AZ25" s="146"/>
      <c r="BA25" s="32"/>
      <c r="BB25" s="146"/>
      <c r="BC25" s="32"/>
      <c r="BD25" s="146"/>
      <c r="BE25" s="32"/>
      <c r="BF25" s="146"/>
      <c r="BG25" s="32"/>
      <c r="BH25" s="146"/>
      <c r="BI25" s="32"/>
      <c r="BJ25" s="146"/>
      <c r="BK25" s="32"/>
      <c r="BL25" s="146"/>
      <c r="BM25" s="32"/>
      <c r="BN25" s="146"/>
      <c r="BO25" s="32"/>
      <c r="BP25" s="146"/>
      <c r="BQ25" s="32"/>
      <c r="BR25" s="146"/>
      <c r="BS25" s="32"/>
      <c r="BT25" s="146">
        <v>607</v>
      </c>
      <c r="BU25" s="32">
        <v>219</v>
      </c>
      <c r="BV25" s="146">
        <v>631</v>
      </c>
      <c r="BW25" s="32">
        <v>198</v>
      </c>
    </row>
    <row r="26" spans="1:75" ht="13" x14ac:dyDescent="0.25">
      <c r="A26" s="186">
        <v>210</v>
      </c>
      <c r="B26" s="187" t="s">
        <v>48</v>
      </c>
      <c r="C26" s="46">
        <v>1391</v>
      </c>
      <c r="D26" s="142">
        <v>994</v>
      </c>
      <c r="E26" s="145">
        <f t="shared" si="0"/>
        <v>0.71459381739755568</v>
      </c>
      <c r="F26" s="146">
        <v>632</v>
      </c>
      <c r="G26" s="32">
        <v>315</v>
      </c>
      <c r="H26" s="146"/>
      <c r="I26" s="32"/>
      <c r="J26" s="146"/>
      <c r="K26" s="32"/>
      <c r="L26" s="146"/>
      <c r="M26" s="32"/>
      <c r="N26" s="146"/>
      <c r="O26" s="32"/>
      <c r="P26" s="146"/>
      <c r="Q26" s="32"/>
      <c r="R26" s="146"/>
      <c r="S26" s="32"/>
      <c r="T26" s="146"/>
      <c r="U26" s="32"/>
      <c r="V26" s="146"/>
      <c r="W26" s="32"/>
      <c r="X26" s="146"/>
      <c r="Y26" s="32"/>
      <c r="Z26" s="146"/>
      <c r="AA26" s="32"/>
      <c r="AB26" s="146"/>
      <c r="AC26" s="32"/>
      <c r="AD26" s="146"/>
      <c r="AE26" s="32"/>
      <c r="AF26" s="146"/>
      <c r="AG26" s="32"/>
      <c r="AH26" s="146"/>
      <c r="AI26" s="32"/>
      <c r="AJ26" s="146"/>
      <c r="AK26" s="32"/>
      <c r="AL26" s="146"/>
      <c r="AM26" s="32"/>
      <c r="AN26" s="146"/>
      <c r="AO26" s="32"/>
      <c r="AP26" s="146"/>
      <c r="AQ26" s="32"/>
      <c r="AR26" s="146"/>
      <c r="AS26" s="32"/>
      <c r="AT26" s="146"/>
      <c r="AU26" s="32"/>
      <c r="AV26" s="146"/>
      <c r="AW26" s="32"/>
      <c r="AX26" s="146"/>
      <c r="AY26" s="32"/>
      <c r="AZ26" s="146"/>
      <c r="BA26" s="32"/>
      <c r="BB26" s="146"/>
      <c r="BC26" s="32"/>
      <c r="BD26" s="146"/>
      <c r="BE26" s="32"/>
      <c r="BF26" s="146"/>
      <c r="BG26" s="32"/>
      <c r="BH26" s="146"/>
      <c r="BI26" s="32"/>
      <c r="BJ26" s="146"/>
      <c r="BK26" s="32"/>
      <c r="BL26" s="146"/>
      <c r="BM26" s="32"/>
      <c r="BN26" s="146"/>
      <c r="BO26" s="32"/>
      <c r="BP26" s="146"/>
      <c r="BQ26" s="32"/>
      <c r="BR26" s="146"/>
      <c r="BS26" s="32"/>
      <c r="BT26" s="146">
        <v>673</v>
      </c>
      <c r="BU26" s="32">
        <v>256</v>
      </c>
      <c r="BV26" s="146">
        <v>707</v>
      </c>
      <c r="BW26" s="32">
        <v>221</v>
      </c>
    </row>
    <row r="27" spans="1:75" ht="13" x14ac:dyDescent="0.25">
      <c r="A27" s="186">
        <v>211</v>
      </c>
      <c r="B27" s="187" t="s">
        <v>49</v>
      </c>
      <c r="C27" s="46">
        <v>1456</v>
      </c>
      <c r="D27" s="142">
        <v>1043</v>
      </c>
      <c r="E27" s="145">
        <f t="shared" si="0"/>
        <v>0.71634615384615385</v>
      </c>
      <c r="F27" s="146">
        <v>694</v>
      </c>
      <c r="G27" s="32">
        <v>296</v>
      </c>
      <c r="H27" s="146"/>
      <c r="I27" s="32"/>
      <c r="J27" s="146"/>
      <c r="K27" s="32"/>
      <c r="L27" s="146"/>
      <c r="M27" s="32"/>
      <c r="N27" s="146"/>
      <c r="O27" s="32"/>
      <c r="P27" s="146"/>
      <c r="Q27" s="32"/>
      <c r="R27" s="146"/>
      <c r="S27" s="32"/>
      <c r="T27" s="146"/>
      <c r="U27" s="32"/>
      <c r="V27" s="146"/>
      <c r="W27" s="32"/>
      <c r="X27" s="146"/>
      <c r="Y27" s="32"/>
      <c r="Z27" s="146"/>
      <c r="AA27" s="32"/>
      <c r="AB27" s="146"/>
      <c r="AC27" s="32"/>
      <c r="AD27" s="146"/>
      <c r="AE27" s="32"/>
      <c r="AF27" s="146"/>
      <c r="AG27" s="32"/>
      <c r="AH27" s="146"/>
      <c r="AI27" s="32"/>
      <c r="AJ27" s="146"/>
      <c r="AK27" s="32"/>
      <c r="AL27" s="146"/>
      <c r="AM27" s="32"/>
      <c r="AN27" s="146"/>
      <c r="AO27" s="32"/>
      <c r="AP27" s="146"/>
      <c r="AQ27" s="32"/>
      <c r="AR27" s="146"/>
      <c r="AS27" s="32"/>
      <c r="AT27" s="146"/>
      <c r="AU27" s="32"/>
      <c r="AV27" s="146"/>
      <c r="AW27" s="32"/>
      <c r="AX27" s="146"/>
      <c r="AY27" s="32"/>
      <c r="AZ27" s="146"/>
      <c r="BA27" s="32"/>
      <c r="BB27" s="146"/>
      <c r="BC27" s="32"/>
      <c r="BD27" s="146"/>
      <c r="BE27" s="32"/>
      <c r="BF27" s="146"/>
      <c r="BG27" s="32"/>
      <c r="BH27" s="146"/>
      <c r="BI27" s="32"/>
      <c r="BJ27" s="146"/>
      <c r="BK27" s="32"/>
      <c r="BL27" s="146"/>
      <c r="BM27" s="32"/>
      <c r="BN27" s="146"/>
      <c r="BO27" s="32"/>
      <c r="BP27" s="146"/>
      <c r="BQ27" s="32"/>
      <c r="BR27" s="146"/>
      <c r="BS27" s="32"/>
      <c r="BT27" s="146">
        <v>748</v>
      </c>
      <c r="BU27" s="32">
        <v>249</v>
      </c>
      <c r="BV27" s="146">
        <v>797</v>
      </c>
      <c r="BW27" s="32">
        <v>198</v>
      </c>
    </row>
    <row r="28" spans="1:75" ht="13" x14ac:dyDescent="0.25">
      <c r="A28" s="186">
        <v>301</v>
      </c>
      <c r="B28" s="187" t="s">
        <v>50</v>
      </c>
      <c r="C28" s="46">
        <v>1398</v>
      </c>
      <c r="D28" s="142">
        <v>717</v>
      </c>
      <c r="E28" s="145">
        <f t="shared" si="0"/>
        <v>0.51287553648068673</v>
      </c>
      <c r="F28" s="146">
        <v>552</v>
      </c>
      <c r="G28" s="32">
        <v>125</v>
      </c>
      <c r="H28" s="146"/>
      <c r="I28" s="32"/>
      <c r="J28" s="146"/>
      <c r="K28" s="32"/>
      <c r="L28" s="146"/>
      <c r="M28" s="32"/>
      <c r="N28" s="146"/>
      <c r="O28" s="32"/>
      <c r="P28" s="146"/>
      <c r="Q28" s="32"/>
      <c r="R28" s="146"/>
      <c r="S28" s="32"/>
      <c r="T28" s="146"/>
      <c r="U28" s="32"/>
      <c r="V28" s="146"/>
      <c r="W28" s="32"/>
      <c r="X28" s="146"/>
      <c r="Y28" s="32"/>
      <c r="Z28" s="146"/>
      <c r="AA28" s="32"/>
      <c r="AB28" s="146"/>
      <c r="AC28" s="32"/>
      <c r="AD28" s="146"/>
      <c r="AE28" s="32"/>
      <c r="AF28" s="146"/>
      <c r="AG28" s="32"/>
      <c r="AH28" s="146"/>
      <c r="AI28" s="32"/>
      <c r="AJ28" s="146"/>
      <c r="AK28" s="32"/>
      <c r="AL28" s="146"/>
      <c r="AM28" s="32"/>
      <c r="AN28" s="146"/>
      <c r="AO28" s="32"/>
      <c r="AP28" s="146"/>
      <c r="AQ28" s="32"/>
      <c r="AR28" s="146"/>
      <c r="AS28" s="32"/>
      <c r="AT28" s="146"/>
      <c r="AU28" s="32"/>
      <c r="AV28" s="146"/>
      <c r="AW28" s="32"/>
      <c r="AX28" s="146"/>
      <c r="AY28" s="32"/>
      <c r="AZ28" s="146"/>
      <c r="BA28" s="32"/>
      <c r="BB28" s="146"/>
      <c r="BC28" s="32"/>
      <c r="BD28" s="146"/>
      <c r="BE28" s="32"/>
      <c r="BF28" s="146"/>
      <c r="BG28" s="32"/>
      <c r="BH28" s="146"/>
      <c r="BI28" s="32"/>
      <c r="BJ28" s="146"/>
      <c r="BK28" s="32"/>
      <c r="BL28" s="146"/>
      <c r="BM28" s="32"/>
      <c r="BN28" s="146"/>
      <c r="BO28" s="32"/>
      <c r="BP28" s="146"/>
      <c r="BQ28" s="32"/>
      <c r="BR28" s="146"/>
      <c r="BS28" s="32"/>
      <c r="BT28" s="146">
        <v>537</v>
      </c>
      <c r="BU28" s="32">
        <v>148</v>
      </c>
      <c r="BV28" s="146">
        <v>549</v>
      </c>
      <c r="BW28" s="32">
        <v>132</v>
      </c>
    </row>
    <row r="29" spans="1:75" ht="13" x14ac:dyDescent="0.25">
      <c r="A29" s="186">
        <v>302</v>
      </c>
      <c r="B29" s="187" t="s">
        <v>51</v>
      </c>
      <c r="C29" s="46">
        <v>862</v>
      </c>
      <c r="D29" s="142">
        <v>607</v>
      </c>
      <c r="E29" s="145">
        <f t="shared" si="0"/>
        <v>0.70417633410672853</v>
      </c>
      <c r="F29" s="146">
        <v>457</v>
      </c>
      <c r="G29" s="32">
        <v>132</v>
      </c>
      <c r="H29" s="146"/>
      <c r="I29" s="32"/>
      <c r="J29" s="146"/>
      <c r="K29" s="32"/>
      <c r="L29" s="146"/>
      <c r="M29" s="32"/>
      <c r="N29" s="146"/>
      <c r="O29" s="32"/>
      <c r="P29" s="146"/>
      <c r="Q29" s="32"/>
      <c r="R29" s="146"/>
      <c r="S29" s="32"/>
      <c r="T29" s="146"/>
      <c r="U29" s="32"/>
      <c r="V29" s="146"/>
      <c r="W29" s="32"/>
      <c r="X29" s="146"/>
      <c r="Y29" s="32"/>
      <c r="Z29" s="146"/>
      <c r="AA29" s="32"/>
      <c r="AB29" s="146"/>
      <c r="AC29" s="32"/>
      <c r="AD29" s="146"/>
      <c r="AE29" s="32"/>
      <c r="AF29" s="146"/>
      <c r="AG29" s="32"/>
      <c r="AH29" s="146"/>
      <c r="AI29" s="32"/>
      <c r="AJ29" s="146"/>
      <c r="AK29" s="32"/>
      <c r="AL29" s="146"/>
      <c r="AM29" s="32"/>
      <c r="AN29" s="146"/>
      <c r="AO29" s="32"/>
      <c r="AP29" s="146"/>
      <c r="AQ29" s="32"/>
      <c r="AR29" s="146"/>
      <c r="AS29" s="32"/>
      <c r="AT29" s="146"/>
      <c r="AU29" s="32"/>
      <c r="AV29" s="146"/>
      <c r="AW29" s="32"/>
      <c r="AX29" s="146"/>
      <c r="AY29" s="32"/>
      <c r="AZ29" s="146"/>
      <c r="BA29" s="32"/>
      <c r="BB29" s="146"/>
      <c r="BC29" s="32"/>
      <c r="BD29" s="146"/>
      <c r="BE29" s="32"/>
      <c r="BF29" s="146"/>
      <c r="BG29" s="32"/>
      <c r="BH29" s="146"/>
      <c r="BI29" s="32"/>
      <c r="BJ29" s="146"/>
      <c r="BK29" s="32"/>
      <c r="BL29" s="146"/>
      <c r="BM29" s="32"/>
      <c r="BN29" s="146"/>
      <c r="BO29" s="32"/>
      <c r="BP29" s="146"/>
      <c r="BQ29" s="32"/>
      <c r="BR29" s="146"/>
      <c r="BS29" s="32"/>
      <c r="BT29" s="146">
        <v>457</v>
      </c>
      <c r="BU29" s="32">
        <v>136</v>
      </c>
      <c r="BV29" s="146">
        <v>473</v>
      </c>
      <c r="BW29" s="32">
        <v>120</v>
      </c>
    </row>
    <row r="30" spans="1:75" ht="13" x14ac:dyDescent="0.25">
      <c r="A30" s="186">
        <v>303</v>
      </c>
      <c r="B30" s="187" t="s">
        <v>52</v>
      </c>
      <c r="C30" s="46">
        <v>1138</v>
      </c>
      <c r="D30" s="142">
        <v>822</v>
      </c>
      <c r="E30" s="145">
        <f t="shared" si="0"/>
        <v>0.72231985940246046</v>
      </c>
      <c r="F30" s="146">
        <v>530</v>
      </c>
      <c r="G30" s="32">
        <v>249</v>
      </c>
      <c r="H30" s="146"/>
      <c r="I30" s="32"/>
      <c r="J30" s="146"/>
      <c r="K30" s="32"/>
      <c r="L30" s="146"/>
      <c r="M30" s="32"/>
      <c r="N30" s="146"/>
      <c r="O30" s="32"/>
      <c r="P30" s="146"/>
      <c r="Q30" s="32"/>
      <c r="R30" s="146"/>
      <c r="S30" s="32"/>
      <c r="T30" s="146"/>
      <c r="U30" s="32"/>
      <c r="V30" s="146"/>
      <c r="W30" s="32"/>
      <c r="X30" s="146"/>
      <c r="Y30" s="32"/>
      <c r="Z30" s="146"/>
      <c r="AA30" s="32"/>
      <c r="AB30" s="146"/>
      <c r="AC30" s="32"/>
      <c r="AD30" s="146"/>
      <c r="AE30" s="32"/>
      <c r="AF30" s="146"/>
      <c r="AG30" s="32"/>
      <c r="AH30" s="146"/>
      <c r="AI30" s="32"/>
      <c r="AJ30" s="146"/>
      <c r="AK30" s="32"/>
      <c r="AL30" s="146"/>
      <c r="AM30" s="32"/>
      <c r="AN30" s="146"/>
      <c r="AO30" s="32"/>
      <c r="AP30" s="146"/>
      <c r="AQ30" s="32"/>
      <c r="AR30" s="146"/>
      <c r="AS30" s="32"/>
      <c r="AT30" s="146"/>
      <c r="AU30" s="32"/>
      <c r="AV30" s="146"/>
      <c r="AW30" s="32"/>
      <c r="AX30" s="146"/>
      <c r="AY30" s="32"/>
      <c r="AZ30" s="146"/>
      <c r="BA30" s="32"/>
      <c r="BB30" s="146"/>
      <c r="BC30" s="32"/>
      <c r="BD30" s="146"/>
      <c r="BE30" s="32"/>
      <c r="BF30" s="146"/>
      <c r="BG30" s="32"/>
      <c r="BH30" s="146"/>
      <c r="BI30" s="32"/>
      <c r="BJ30" s="146"/>
      <c r="BK30" s="32"/>
      <c r="BL30" s="146"/>
      <c r="BM30" s="32"/>
      <c r="BN30" s="146"/>
      <c r="BO30" s="32"/>
      <c r="BP30" s="146"/>
      <c r="BQ30" s="32"/>
      <c r="BR30" s="146"/>
      <c r="BS30" s="32"/>
      <c r="BT30" s="146">
        <v>578</v>
      </c>
      <c r="BU30" s="32">
        <v>203</v>
      </c>
      <c r="BV30" s="146">
        <v>584</v>
      </c>
      <c r="BW30" s="32">
        <v>199</v>
      </c>
    </row>
    <row r="31" spans="1:75" ht="13" x14ac:dyDescent="0.25">
      <c r="A31" s="186">
        <v>304</v>
      </c>
      <c r="B31" s="187" t="s">
        <v>53</v>
      </c>
      <c r="C31" s="46">
        <v>1517</v>
      </c>
      <c r="D31" s="142">
        <v>814</v>
      </c>
      <c r="E31" s="145">
        <f t="shared" si="0"/>
        <v>0.53658536585365857</v>
      </c>
      <c r="F31" s="146">
        <v>620</v>
      </c>
      <c r="G31" s="32">
        <v>165</v>
      </c>
      <c r="H31" s="146"/>
      <c r="I31" s="32"/>
      <c r="J31" s="146"/>
      <c r="K31" s="32"/>
      <c r="L31" s="146"/>
      <c r="M31" s="32"/>
      <c r="N31" s="146"/>
      <c r="O31" s="32"/>
      <c r="P31" s="146"/>
      <c r="Q31" s="32"/>
      <c r="R31" s="146"/>
      <c r="S31" s="32"/>
      <c r="T31" s="146"/>
      <c r="U31" s="32"/>
      <c r="V31" s="146"/>
      <c r="W31" s="32"/>
      <c r="X31" s="146"/>
      <c r="Y31" s="32"/>
      <c r="Z31" s="146"/>
      <c r="AA31" s="32"/>
      <c r="AB31" s="146"/>
      <c r="AC31" s="32"/>
      <c r="AD31" s="146"/>
      <c r="AE31" s="32"/>
      <c r="AF31" s="146"/>
      <c r="AG31" s="32"/>
      <c r="AH31" s="146"/>
      <c r="AI31" s="32"/>
      <c r="AJ31" s="146"/>
      <c r="AK31" s="32"/>
      <c r="AL31" s="146"/>
      <c r="AM31" s="32"/>
      <c r="AN31" s="146"/>
      <c r="AO31" s="32"/>
      <c r="AP31" s="146"/>
      <c r="AQ31" s="32"/>
      <c r="AR31" s="146"/>
      <c r="AS31" s="32"/>
      <c r="AT31" s="146"/>
      <c r="AU31" s="32"/>
      <c r="AV31" s="146"/>
      <c r="AW31" s="32"/>
      <c r="AX31" s="146"/>
      <c r="AY31" s="32"/>
      <c r="AZ31" s="146"/>
      <c r="BA31" s="32"/>
      <c r="BB31" s="146"/>
      <c r="BC31" s="32"/>
      <c r="BD31" s="146"/>
      <c r="BE31" s="32"/>
      <c r="BF31" s="146"/>
      <c r="BG31" s="32"/>
      <c r="BH31" s="146"/>
      <c r="BI31" s="32"/>
      <c r="BJ31" s="146"/>
      <c r="BK31" s="32"/>
      <c r="BL31" s="146"/>
      <c r="BM31" s="32"/>
      <c r="BN31" s="146"/>
      <c r="BO31" s="32"/>
      <c r="BP31" s="146"/>
      <c r="BQ31" s="32"/>
      <c r="BR31" s="146"/>
      <c r="BS31" s="32"/>
      <c r="BT31" s="146">
        <v>619</v>
      </c>
      <c r="BU31" s="32">
        <v>149</v>
      </c>
      <c r="BV31" s="146">
        <v>646</v>
      </c>
      <c r="BW31" s="32">
        <v>123</v>
      </c>
    </row>
    <row r="32" spans="1:75" ht="13" x14ac:dyDescent="0.25">
      <c r="A32" s="186">
        <v>305</v>
      </c>
      <c r="B32" s="187" t="s">
        <v>54</v>
      </c>
      <c r="C32" s="46">
        <v>1373</v>
      </c>
      <c r="D32" s="142">
        <v>797</v>
      </c>
      <c r="E32" s="145">
        <f t="shared" si="0"/>
        <v>0.58048069919883472</v>
      </c>
      <c r="F32" s="146">
        <v>576</v>
      </c>
      <c r="G32" s="32">
        <v>176</v>
      </c>
      <c r="H32" s="146"/>
      <c r="I32" s="32"/>
      <c r="J32" s="146"/>
      <c r="K32" s="32"/>
      <c r="L32" s="146"/>
      <c r="M32" s="32"/>
      <c r="N32" s="146"/>
      <c r="O32" s="32"/>
      <c r="P32" s="146"/>
      <c r="Q32" s="32"/>
      <c r="R32" s="146"/>
      <c r="S32" s="32"/>
      <c r="T32" s="146"/>
      <c r="U32" s="32"/>
      <c r="V32" s="146"/>
      <c r="W32" s="32"/>
      <c r="X32" s="146"/>
      <c r="Y32" s="32"/>
      <c r="Z32" s="146"/>
      <c r="AA32" s="32"/>
      <c r="AB32" s="146"/>
      <c r="AC32" s="32"/>
      <c r="AD32" s="146"/>
      <c r="AE32" s="32"/>
      <c r="AF32" s="146"/>
      <c r="AG32" s="32"/>
      <c r="AH32" s="146"/>
      <c r="AI32" s="32"/>
      <c r="AJ32" s="146"/>
      <c r="AK32" s="32"/>
      <c r="AL32" s="146"/>
      <c r="AM32" s="32"/>
      <c r="AN32" s="146"/>
      <c r="AO32" s="32"/>
      <c r="AP32" s="146"/>
      <c r="AQ32" s="32"/>
      <c r="AR32" s="146"/>
      <c r="AS32" s="32"/>
      <c r="AT32" s="146"/>
      <c r="AU32" s="32"/>
      <c r="AV32" s="146"/>
      <c r="AW32" s="32"/>
      <c r="AX32" s="146"/>
      <c r="AY32" s="32"/>
      <c r="AZ32" s="146"/>
      <c r="BA32" s="32"/>
      <c r="BB32" s="146"/>
      <c r="BC32" s="32"/>
      <c r="BD32" s="146"/>
      <c r="BE32" s="32"/>
      <c r="BF32" s="146"/>
      <c r="BG32" s="32"/>
      <c r="BH32" s="146"/>
      <c r="BI32" s="32"/>
      <c r="BJ32" s="146"/>
      <c r="BK32" s="32"/>
      <c r="BL32" s="146"/>
      <c r="BM32" s="32"/>
      <c r="BN32" s="146"/>
      <c r="BO32" s="32"/>
      <c r="BP32" s="146"/>
      <c r="BQ32" s="32"/>
      <c r="BR32" s="146"/>
      <c r="BS32" s="32"/>
      <c r="BT32" s="146">
        <v>587</v>
      </c>
      <c r="BU32" s="32">
        <v>179</v>
      </c>
      <c r="BV32" s="146">
        <v>603</v>
      </c>
      <c r="BW32" s="32">
        <v>163</v>
      </c>
    </row>
    <row r="33" spans="1:75" ht="13" x14ac:dyDescent="0.25">
      <c r="A33" s="186">
        <v>401</v>
      </c>
      <c r="B33" s="187" t="s">
        <v>55</v>
      </c>
      <c r="C33" s="46">
        <v>961</v>
      </c>
      <c r="D33" s="142">
        <v>766</v>
      </c>
      <c r="E33" s="145">
        <f t="shared" si="0"/>
        <v>0.7970863683662851</v>
      </c>
      <c r="F33" s="146">
        <v>521</v>
      </c>
      <c r="G33" s="32">
        <v>206</v>
      </c>
      <c r="H33" s="146"/>
      <c r="I33" s="32"/>
      <c r="J33" s="146"/>
      <c r="K33" s="32"/>
      <c r="L33" s="146"/>
      <c r="M33" s="32"/>
      <c r="N33" s="146"/>
      <c r="O33" s="32"/>
      <c r="P33" s="146"/>
      <c r="Q33" s="32"/>
      <c r="R33" s="146"/>
      <c r="S33" s="32"/>
      <c r="T33" s="146"/>
      <c r="U33" s="32"/>
      <c r="V33" s="146"/>
      <c r="W33" s="32"/>
      <c r="X33" s="146"/>
      <c r="Y33" s="32"/>
      <c r="Z33" s="146"/>
      <c r="AA33" s="32"/>
      <c r="AB33" s="146"/>
      <c r="AC33" s="32"/>
      <c r="AD33" s="146"/>
      <c r="AE33" s="32"/>
      <c r="AF33" s="146"/>
      <c r="AG33" s="32"/>
      <c r="AH33" s="146"/>
      <c r="AI33" s="32"/>
      <c r="AJ33" s="146"/>
      <c r="AK33" s="32"/>
      <c r="AL33" s="146"/>
      <c r="AM33" s="32"/>
      <c r="AN33" s="146"/>
      <c r="AO33" s="32"/>
      <c r="AP33" s="146"/>
      <c r="AQ33" s="32"/>
      <c r="AR33" s="146"/>
      <c r="AS33" s="32"/>
      <c r="AT33" s="146"/>
      <c r="AU33" s="32"/>
      <c r="AV33" s="146"/>
      <c r="AW33" s="32"/>
      <c r="AX33" s="146"/>
      <c r="AY33" s="32"/>
      <c r="AZ33" s="146"/>
      <c r="BA33" s="32"/>
      <c r="BB33" s="146"/>
      <c r="BC33" s="32"/>
      <c r="BD33" s="146"/>
      <c r="BE33" s="32"/>
      <c r="BF33" s="146"/>
      <c r="BG33" s="32"/>
      <c r="BH33" s="146"/>
      <c r="BI33" s="32"/>
      <c r="BJ33" s="146"/>
      <c r="BK33" s="32"/>
      <c r="BL33" s="146"/>
      <c r="BM33" s="32"/>
      <c r="BN33" s="146"/>
      <c r="BO33" s="32"/>
      <c r="BP33" s="146"/>
      <c r="BQ33" s="32"/>
      <c r="BR33" s="146"/>
      <c r="BS33" s="32"/>
      <c r="BT33" s="146">
        <v>556</v>
      </c>
      <c r="BU33" s="32">
        <v>160</v>
      </c>
      <c r="BV33" s="146">
        <v>576</v>
      </c>
      <c r="BW33" s="32">
        <v>143</v>
      </c>
    </row>
    <row r="34" spans="1:75" ht="13" x14ac:dyDescent="0.25">
      <c r="A34" s="186">
        <v>402</v>
      </c>
      <c r="B34" s="187" t="s">
        <v>56</v>
      </c>
      <c r="C34" s="46">
        <v>1059</v>
      </c>
      <c r="D34" s="142">
        <v>845</v>
      </c>
      <c r="E34" s="145">
        <f t="shared" si="0"/>
        <v>0.79792256846081211</v>
      </c>
      <c r="F34" s="146">
        <v>585</v>
      </c>
      <c r="G34" s="32">
        <v>238</v>
      </c>
      <c r="H34" s="146"/>
      <c r="I34" s="32"/>
      <c r="J34" s="146"/>
      <c r="K34" s="32"/>
      <c r="L34" s="146"/>
      <c r="M34" s="32"/>
      <c r="N34" s="146"/>
      <c r="O34" s="32"/>
      <c r="P34" s="146"/>
      <c r="Q34" s="32"/>
      <c r="R34" s="146"/>
      <c r="S34" s="32"/>
      <c r="T34" s="146"/>
      <c r="U34" s="32"/>
      <c r="V34" s="146"/>
      <c r="W34" s="32"/>
      <c r="X34" s="146"/>
      <c r="Y34" s="32"/>
      <c r="Z34" s="146"/>
      <c r="AA34" s="32"/>
      <c r="AB34" s="146"/>
      <c r="AC34" s="32"/>
      <c r="AD34" s="146"/>
      <c r="AE34" s="32"/>
      <c r="AF34" s="146"/>
      <c r="AG34" s="32"/>
      <c r="AH34" s="146"/>
      <c r="AI34" s="32"/>
      <c r="AJ34" s="146"/>
      <c r="AK34" s="32"/>
      <c r="AL34" s="146"/>
      <c r="AM34" s="32"/>
      <c r="AN34" s="146"/>
      <c r="AO34" s="32"/>
      <c r="AP34" s="146"/>
      <c r="AQ34" s="32"/>
      <c r="AR34" s="146"/>
      <c r="AS34" s="32"/>
      <c r="AT34" s="146"/>
      <c r="AU34" s="32"/>
      <c r="AV34" s="146"/>
      <c r="AW34" s="32"/>
      <c r="AX34" s="146"/>
      <c r="AY34" s="32"/>
      <c r="AZ34" s="146"/>
      <c r="BA34" s="32"/>
      <c r="BB34" s="146"/>
      <c r="BC34" s="32"/>
      <c r="BD34" s="146"/>
      <c r="BE34" s="32"/>
      <c r="BF34" s="146"/>
      <c r="BG34" s="32"/>
      <c r="BH34" s="146"/>
      <c r="BI34" s="32"/>
      <c r="BJ34" s="146"/>
      <c r="BK34" s="32"/>
      <c r="BL34" s="146"/>
      <c r="BM34" s="32"/>
      <c r="BN34" s="146"/>
      <c r="BO34" s="32"/>
      <c r="BP34" s="146"/>
      <c r="BQ34" s="32"/>
      <c r="BR34" s="146"/>
      <c r="BS34" s="32"/>
      <c r="BT34" s="146">
        <v>607</v>
      </c>
      <c r="BU34" s="32">
        <v>193</v>
      </c>
      <c r="BV34" s="146">
        <v>624</v>
      </c>
      <c r="BW34" s="32">
        <v>177</v>
      </c>
    </row>
    <row r="35" spans="1:75" ht="13" x14ac:dyDescent="0.25">
      <c r="A35" s="186">
        <v>403</v>
      </c>
      <c r="B35" s="187" t="s">
        <v>57</v>
      </c>
      <c r="C35" s="46">
        <v>928</v>
      </c>
      <c r="D35" s="142">
        <v>648</v>
      </c>
      <c r="E35" s="145">
        <f t="shared" si="0"/>
        <v>0.69827586206896552</v>
      </c>
      <c r="F35" s="146">
        <v>468</v>
      </c>
      <c r="G35" s="32">
        <v>161</v>
      </c>
      <c r="H35" s="146"/>
      <c r="I35" s="32"/>
      <c r="J35" s="146"/>
      <c r="K35" s="32"/>
      <c r="L35" s="146"/>
      <c r="M35" s="32"/>
      <c r="N35" s="146"/>
      <c r="O35" s="32"/>
      <c r="P35" s="146"/>
      <c r="Q35" s="32"/>
      <c r="R35" s="146"/>
      <c r="S35" s="32"/>
      <c r="T35" s="146"/>
      <c r="U35" s="32"/>
      <c r="V35" s="146"/>
      <c r="W35" s="32"/>
      <c r="X35" s="146"/>
      <c r="Y35" s="32"/>
      <c r="Z35" s="146"/>
      <c r="AA35" s="32"/>
      <c r="AB35" s="146"/>
      <c r="AC35" s="32"/>
      <c r="AD35" s="146"/>
      <c r="AE35" s="32"/>
      <c r="AF35" s="146"/>
      <c r="AG35" s="32"/>
      <c r="AH35" s="146"/>
      <c r="AI35" s="32"/>
      <c r="AJ35" s="146"/>
      <c r="AK35" s="32"/>
      <c r="AL35" s="146"/>
      <c r="AM35" s="32"/>
      <c r="AN35" s="146"/>
      <c r="AO35" s="32"/>
      <c r="AP35" s="146"/>
      <c r="AQ35" s="32"/>
      <c r="AR35" s="146"/>
      <c r="AS35" s="32"/>
      <c r="AT35" s="146"/>
      <c r="AU35" s="32"/>
      <c r="AV35" s="146"/>
      <c r="AW35" s="32"/>
      <c r="AX35" s="146"/>
      <c r="AY35" s="32"/>
      <c r="AZ35" s="146"/>
      <c r="BA35" s="32"/>
      <c r="BB35" s="146"/>
      <c r="BC35" s="32"/>
      <c r="BD35" s="146"/>
      <c r="BE35" s="32"/>
      <c r="BF35" s="146"/>
      <c r="BG35" s="32"/>
      <c r="BH35" s="146"/>
      <c r="BI35" s="32"/>
      <c r="BJ35" s="146"/>
      <c r="BK35" s="32"/>
      <c r="BL35" s="146"/>
      <c r="BM35" s="32"/>
      <c r="BN35" s="146"/>
      <c r="BO35" s="32"/>
      <c r="BP35" s="146"/>
      <c r="BQ35" s="32"/>
      <c r="BR35" s="146"/>
      <c r="BS35" s="32"/>
      <c r="BT35" s="146">
        <v>476</v>
      </c>
      <c r="BU35" s="32">
        <v>139</v>
      </c>
      <c r="BV35" s="146">
        <v>478</v>
      </c>
      <c r="BW35" s="32">
        <v>133</v>
      </c>
    </row>
    <row r="36" spans="1:75" ht="13" x14ac:dyDescent="0.25">
      <c r="A36" s="186">
        <v>404</v>
      </c>
      <c r="B36" s="187" t="s">
        <v>58</v>
      </c>
      <c r="C36" s="46">
        <v>1252</v>
      </c>
      <c r="D36" s="142">
        <v>961</v>
      </c>
      <c r="E36" s="145">
        <f t="shared" si="0"/>
        <v>0.76757188498402551</v>
      </c>
      <c r="F36" s="146">
        <v>640</v>
      </c>
      <c r="G36" s="32">
        <v>287</v>
      </c>
      <c r="H36" s="146"/>
      <c r="I36" s="32"/>
      <c r="J36" s="146"/>
      <c r="K36" s="32"/>
      <c r="L36" s="146"/>
      <c r="M36" s="32"/>
      <c r="N36" s="146"/>
      <c r="O36" s="32"/>
      <c r="P36" s="146"/>
      <c r="Q36" s="32"/>
      <c r="R36" s="146"/>
      <c r="S36" s="32"/>
      <c r="T36" s="146"/>
      <c r="U36" s="32"/>
      <c r="V36" s="146"/>
      <c r="W36" s="32"/>
      <c r="X36" s="146"/>
      <c r="Y36" s="32"/>
      <c r="Z36" s="146"/>
      <c r="AA36" s="32"/>
      <c r="AB36" s="146"/>
      <c r="AC36" s="32"/>
      <c r="AD36" s="146"/>
      <c r="AE36" s="32"/>
      <c r="AF36" s="146"/>
      <c r="AG36" s="32"/>
      <c r="AH36" s="146"/>
      <c r="AI36" s="32"/>
      <c r="AJ36" s="146"/>
      <c r="AK36" s="32"/>
      <c r="AL36" s="146"/>
      <c r="AM36" s="32"/>
      <c r="AN36" s="146"/>
      <c r="AO36" s="32"/>
      <c r="AP36" s="146"/>
      <c r="AQ36" s="32"/>
      <c r="AR36" s="146"/>
      <c r="AS36" s="32"/>
      <c r="AT36" s="146"/>
      <c r="AU36" s="32"/>
      <c r="AV36" s="146"/>
      <c r="AW36" s="32"/>
      <c r="AX36" s="146"/>
      <c r="AY36" s="32"/>
      <c r="AZ36" s="146"/>
      <c r="BA36" s="32"/>
      <c r="BB36" s="146"/>
      <c r="BC36" s="32"/>
      <c r="BD36" s="146"/>
      <c r="BE36" s="32"/>
      <c r="BF36" s="146"/>
      <c r="BG36" s="32"/>
      <c r="BH36" s="146"/>
      <c r="BI36" s="32"/>
      <c r="BJ36" s="146"/>
      <c r="BK36" s="32"/>
      <c r="BL36" s="146"/>
      <c r="BM36" s="32"/>
      <c r="BN36" s="146"/>
      <c r="BO36" s="32"/>
      <c r="BP36" s="146"/>
      <c r="BQ36" s="32"/>
      <c r="BR36" s="146"/>
      <c r="BS36" s="32"/>
      <c r="BT36" s="146">
        <v>692</v>
      </c>
      <c r="BU36" s="32">
        <v>231</v>
      </c>
      <c r="BV36" s="146">
        <v>718</v>
      </c>
      <c r="BW36" s="32">
        <v>206</v>
      </c>
    </row>
    <row r="37" spans="1:75" ht="13" x14ac:dyDescent="0.25">
      <c r="A37" s="186">
        <v>405</v>
      </c>
      <c r="B37" s="187" t="s">
        <v>59</v>
      </c>
      <c r="C37" s="46">
        <v>1223</v>
      </c>
      <c r="D37" s="142">
        <v>886</v>
      </c>
      <c r="E37" s="145">
        <f t="shared" si="0"/>
        <v>0.72444807849550286</v>
      </c>
      <c r="F37" s="146">
        <v>570</v>
      </c>
      <c r="G37" s="32">
        <v>279</v>
      </c>
      <c r="H37" s="146"/>
      <c r="I37" s="32"/>
      <c r="J37" s="146"/>
      <c r="K37" s="32"/>
      <c r="L37" s="146"/>
      <c r="M37" s="32"/>
      <c r="N37" s="146"/>
      <c r="O37" s="32"/>
      <c r="P37" s="146"/>
      <c r="Q37" s="32"/>
      <c r="R37" s="146"/>
      <c r="S37" s="32"/>
      <c r="T37" s="146"/>
      <c r="U37" s="32"/>
      <c r="V37" s="146"/>
      <c r="W37" s="32"/>
      <c r="X37" s="146"/>
      <c r="Y37" s="32"/>
      <c r="Z37" s="146"/>
      <c r="AA37" s="32"/>
      <c r="AB37" s="146"/>
      <c r="AC37" s="32"/>
      <c r="AD37" s="146"/>
      <c r="AE37" s="32"/>
      <c r="AF37" s="146"/>
      <c r="AG37" s="32"/>
      <c r="AH37" s="146"/>
      <c r="AI37" s="32"/>
      <c r="AJ37" s="146"/>
      <c r="AK37" s="32"/>
      <c r="AL37" s="146"/>
      <c r="AM37" s="32"/>
      <c r="AN37" s="146"/>
      <c r="AO37" s="32"/>
      <c r="AP37" s="146"/>
      <c r="AQ37" s="32"/>
      <c r="AR37" s="146"/>
      <c r="AS37" s="32"/>
      <c r="AT37" s="146"/>
      <c r="AU37" s="32"/>
      <c r="AV37" s="146"/>
      <c r="AW37" s="32"/>
      <c r="AX37" s="146"/>
      <c r="AY37" s="32"/>
      <c r="AZ37" s="146"/>
      <c r="BA37" s="32"/>
      <c r="BB37" s="146"/>
      <c r="BC37" s="32"/>
      <c r="BD37" s="146"/>
      <c r="BE37" s="32"/>
      <c r="BF37" s="146"/>
      <c r="BG37" s="32"/>
      <c r="BH37" s="146"/>
      <c r="BI37" s="32"/>
      <c r="BJ37" s="146"/>
      <c r="BK37" s="32"/>
      <c r="BL37" s="146"/>
      <c r="BM37" s="32"/>
      <c r="BN37" s="146"/>
      <c r="BO37" s="32"/>
      <c r="BP37" s="146"/>
      <c r="BQ37" s="32"/>
      <c r="BR37" s="146"/>
      <c r="BS37" s="32"/>
      <c r="BT37" s="146">
        <v>603</v>
      </c>
      <c r="BU37" s="32">
        <v>233</v>
      </c>
      <c r="BV37" s="146">
        <v>649</v>
      </c>
      <c r="BW37" s="32">
        <v>184</v>
      </c>
    </row>
    <row r="38" spans="1:75" ht="13" x14ac:dyDescent="0.25">
      <c r="A38" s="186">
        <v>406</v>
      </c>
      <c r="B38" s="187" t="s">
        <v>60</v>
      </c>
      <c r="C38" s="46">
        <v>1104</v>
      </c>
      <c r="D38" s="142">
        <v>818</v>
      </c>
      <c r="E38" s="145">
        <f t="shared" si="0"/>
        <v>0.74094202898550721</v>
      </c>
      <c r="F38" s="146">
        <v>523</v>
      </c>
      <c r="G38" s="32">
        <v>251</v>
      </c>
      <c r="H38" s="146"/>
      <c r="I38" s="32"/>
      <c r="J38" s="146"/>
      <c r="K38" s="32"/>
      <c r="L38" s="146"/>
      <c r="M38" s="32"/>
      <c r="N38" s="146"/>
      <c r="O38" s="32"/>
      <c r="P38" s="146"/>
      <c r="Q38" s="32"/>
      <c r="R38" s="146"/>
      <c r="S38" s="32"/>
      <c r="T38" s="146"/>
      <c r="U38" s="32"/>
      <c r="V38" s="146"/>
      <c r="W38" s="32"/>
      <c r="X38" s="146"/>
      <c r="Y38" s="32"/>
      <c r="Z38" s="146"/>
      <c r="AA38" s="32"/>
      <c r="AB38" s="146"/>
      <c r="AC38" s="32"/>
      <c r="AD38" s="146"/>
      <c r="AE38" s="32"/>
      <c r="AF38" s="146"/>
      <c r="AG38" s="32"/>
      <c r="AH38" s="146"/>
      <c r="AI38" s="32"/>
      <c r="AJ38" s="146"/>
      <c r="AK38" s="32"/>
      <c r="AL38" s="146"/>
      <c r="AM38" s="32"/>
      <c r="AN38" s="146"/>
      <c r="AO38" s="32"/>
      <c r="AP38" s="146"/>
      <c r="AQ38" s="32"/>
      <c r="AR38" s="146"/>
      <c r="AS38" s="32"/>
      <c r="AT38" s="146"/>
      <c r="AU38" s="32"/>
      <c r="AV38" s="146"/>
      <c r="AW38" s="32"/>
      <c r="AX38" s="146"/>
      <c r="AY38" s="32"/>
      <c r="AZ38" s="146"/>
      <c r="BA38" s="32"/>
      <c r="BB38" s="146"/>
      <c r="BC38" s="32"/>
      <c r="BD38" s="146"/>
      <c r="BE38" s="32"/>
      <c r="BF38" s="146"/>
      <c r="BG38" s="32"/>
      <c r="BH38" s="146"/>
      <c r="BI38" s="32"/>
      <c r="BJ38" s="146"/>
      <c r="BK38" s="32"/>
      <c r="BL38" s="146"/>
      <c r="BM38" s="32"/>
      <c r="BN38" s="146"/>
      <c r="BO38" s="32"/>
      <c r="BP38" s="146"/>
      <c r="BQ38" s="32"/>
      <c r="BR38" s="146"/>
      <c r="BS38" s="32"/>
      <c r="BT38" s="146">
        <v>566</v>
      </c>
      <c r="BU38" s="32">
        <v>197</v>
      </c>
      <c r="BV38" s="146">
        <v>588</v>
      </c>
      <c r="BW38" s="32">
        <v>174</v>
      </c>
    </row>
    <row r="39" spans="1:75" ht="13" x14ac:dyDescent="0.25">
      <c r="A39" s="186">
        <v>407</v>
      </c>
      <c r="B39" s="187" t="s">
        <v>61</v>
      </c>
      <c r="C39" s="46">
        <v>1288</v>
      </c>
      <c r="D39" s="142">
        <v>1023</v>
      </c>
      <c r="E39" s="145">
        <f t="shared" si="0"/>
        <v>0.79425465838509313</v>
      </c>
      <c r="F39" s="146">
        <v>614</v>
      </c>
      <c r="G39" s="32">
        <v>378</v>
      </c>
      <c r="H39" s="146"/>
      <c r="I39" s="32"/>
      <c r="J39" s="146"/>
      <c r="K39" s="32"/>
      <c r="L39" s="146"/>
      <c r="M39" s="32"/>
      <c r="N39" s="146"/>
      <c r="O39" s="32"/>
      <c r="P39" s="146"/>
      <c r="Q39" s="32"/>
      <c r="R39" s="146"/>
      <c r="S39" s="32"/>
      <c r="T39" s="146"/>
      <c r="U39" s="32"/>
      <c r="V39" s="146"/>
      <c r="W39" s="32"/>
      <c r="X39" s="146"/>
      <c r="Y39" s="32"/>
      <c r="Z39" s="146"/>
      <c r="AA39" s="32"/>
      <c r="AB39" s="146"/>
      <c r="AC39" s="32"/>
      <c r="AD39" s="146"/>
      <c r="AE39" s="32"/>
      <c r="AF39" s="146"/>
      <c r="AG39" s="32"/>
      <c r="AH39" s="146"/>
      <c r="AI39" s="32"/>
      <c r="AJ39" s="146"/>
      <c r="AK39" s="32"/>
      <c r="AL39" s="146"/>
      <c r="AM39" s="32"/>
      <c r="AN39" s="146"/>
      <c r="AO39" s="32"/>
      <c r="AP39" s="146"/>
      <c r="AQ39" s="32"/>
      <c r="AR39" s="146"/>
      <c r="AS39" s="32"/>
      <c r="AT39" s="146"/>
      <c r="AU39" s="32"/>
      <c r="AV39" s="146"/>
      <c r="AW39" s="32"/>
      <c r="AX39" s="146"/>
      <c r="AY39" s="32"/>
      <c r="AZ39" s="146"/>
      <c r="BA39" s="32"/>
      <c r="BB39" s="146"/>
      <c r="BC39" s="32"/>
      <c r="BD39" s="146"/>
      <c r="BE39" s="32"/>
      <c r="BF39" s="146"/>
      <c r="BG39" s="32"/>
      <c r="BH39" s="146"/>
      <c r="BI39" s="32"/>
      <c r="BJ39" s="146"/>
      <c r="BK39" s="32"/>
      <c r="BL39" s="146"/>
      <c r="BM39" s="32"/>
      <c r="BN39" s="146"/>
      <c r="BO39" s="32"/>
      <c r="BP39" s="146"/>
      <c r="BQ39" s="32"/>
      <c r="BR39" s="146"/>
      <c r="BS39" s="32"/>
      <c r="BT39" s="146">
        <v>668</v>
      </c>
      <c r="BU39" s="32">
        <v>310</v>
      </c>
      <c r="BV39" s="146">
        <v>680</v>
      </c>
      <c r="BW39" s="32">
        <v>299</v>
      </c>
    </row>
    <row r="40" spans="1:75" ht="13" x14ac:dyDescent="0.25">
      <c r="A40" s="186">
        <v>408</v>
      </c>
      <c r="B40" s="187" t="s">
        <v>62</v>
      </c>
      <c r="C40" s="46">
        <v>1501</v>
      </c>
      <c r="D40" s="142">
        <v>1113</v>
      </c>
      <c r="E40" s="145">
        <f t="shared" si="0"/>
        <v>0.74150566289140574</v>
      </c>
      <c r="F40" s="146">
        <v>720</v>
      </c>
      <c r="G40" s="32">
        <v>351</v>
      </c>
      <c r="H40" s="146"/>
      <c r="I40" s="32"/>
      <c r="J40" s="146"/>
      <c r="K40" s="32"/>
      <c r="L40" s="146"/>
      <c r="M40" s="32"/>
      <c r="N40" s="146"/>
      <c r="O40" s="32"/>
      <c r="P40" s="146"/>
      <c r="Q40" s="32"/>
      <c r="R40" s="146"/>
      <c r="S40" s="32"/>
      <c r="T40" s="146"/>
      <c r="U40" s="32"/>
      <c r="V40" s="146"/>
      <c r="W40" s="32"/>
      <c r="X40" s="146"/>
      <c r="Y40" s="32"/>
      <c r="Z40" s="146"/>
      <c r="AA40" s="32"/>
      <c r="AB40" s="146"/>
      <c r="AC40" s="32"/>
      <c r="AD40" s="146"/>
      <c r="AE40" s="32"/>
      <c r="AF40" s="146"/>
      <c r="AG40" s="32"/>
      <c r="AH40" s="146"/>
      <c r="AI40" s="32"/>
      <c r="AJ40" s="146"/>
      <c r="AK40" s="32"/>
      <c r="AL40" s="146"/>
      <c r="AM40" s="32"/>
      <c r="AN40" s="146"/>
      <c r="AO40" s="32"/>
      <c r="AP40" s="146"/>
      <c r="AQ40" s="32"/>
      <c r="AR40" s="146"/>
      <c r="AS40" s="32"/>
      <c r="AT40" s="146"/>
      <c r="AU40" s="32"/>
      <c r="AV40" s="146"/>
      <c r="AW40" s="32"/>
      <c r="AX40" s="146"/>
      <c r="AY40" s="32"/>
      <c r="AZ40" s="146"/>
      <c r="BA40" s="32"/>
      <c r="BB40" s="146"/>
      <c r="BC40" s="32"/>
      <c r="BD40" s="146"/>
      <c r="BE40" s="32"/>
      <c r="BF40" s="146"/>
      <c r="BG40" s="32"/>
      <c r="BH40" s="146"/>
      <c r="BI40" s="32"/>
      <c r="BJ40" s="146"/>
      <c r="BK40" s="32"/>
      <c r="BL40" s="146"/>
      <c r="BM40" s="32"/>
      <c r="BN40" s="146"/>
      <c r="BO40" s="32"/>
      <c r="BP40" s="146"/>
      <c r="BQ40" s="32"/>
      <c r="BR40" s="146"/>
      <c r="BS40" s="32"/>
      <c r="BT40" s="146">
        <v>775</v>
      </c>
      <c r="BU40" s="32">
        <v>272</v>
      </c>
      <c r="BV40" s="146">
        <v>810</v>
      </c>
      <c r="BW40" s="32">
        <v>238</v>
      </c>
    </row>
    <row r="41" spans="1:75" ht="13" x14ac:dyDescent="0.25">
      <c r="A41" s="186">
        <v>501</v>
      </c>
      <c r="B41" s="187" t="s">
        <v>63</v>
      </c>
      <c r="C41" s="46">
        <v>1255</v>
      </c>
      <c r="D41" s="142">
        <v>952</v>
      </c>
      <c r="E41" s="145">
        <f t="shared" si="0"/>
        <v>0.75856573705179287</v>
      </c>
      <c r="F41" s="146">
        <v>540</v>
      </c>
      <c r="G41" s="32">
        <v>366</v>
      </c>
      <c r="H41" s="146"/>
      <c r="I41" s="32"/>
      <c r="J41" s="146"/>
      <c r="K41" s="32"/>
      <c r="L41" s="146"/>
      <c r="M41" s="32"/>
      <c r="N41" s="146"/>
      <c r="O41" s="32"/>
      <c r="P41" s="146"/>
      <c r="Q41" s="32"/>
      <c r="R41" s="146"/>
      <c r="S41" s="32"/>
      <c r="T41" s="146"/>
      <c r="U41" s="32"/>
      <c r="V41" s="146"/>
      <c r="W41" s="32"/>
      <c r="X41" s="146"/>
      <c r="Y41" s="32"/>
      <c r="Z41" s="146"/>
      <c r="AA41" s="32"/>
      <c r="AB41" s="146"/>
      <c r="AC41" s="32"/>
      <c r="AD41" s="146"/>
      <c r="AE41" s="32"/>
      <c r="AF41" s="146"/>
      <c r="AG41" s="32"/>
      <c r="AH41" s="146"/>
      <c r="AI41" s="32"/>
      <c r="AJ41" s="146"/>
      <c r="AK41" s="32"/>
      <c r="AL41" s="146"/>
      <c r="AM41" s="32"/>
      <c r="AN41" s="146"/>
      <c r="AO41" s="32"/>
      <c r="AP41" s="146"/>
      <c r="AQ41" s="32"/>
      <c r="AR41" s="146"/>
      <c r="AS41" s="32"/>
      <c r="AT41" s="146"/>
      <c r="AU41" s="32"/>
      <c r="AV41" s="146"/>
      <c r="AW41" s="32"/>
      <c r="AX41" s="146"/>
      <c r="AY41" s="32"/>
      <c r="AZ41" s="146"/>
      <c r="BA41" s="32"/>
      <c r="BB41" s="146"/>
      <c r="BC41" s="32"/>
      <c r="BD41" s="146"/>
      <c r="BE41" s="32"/>
      <c r="BF41" s="146"/>
      <c r="BG41" s="32"/>
      <c r="BH41" s="146"/>
      <c r="BI41" s="32"/>
      <c r="BJ41" s="146"/>
      <c r="BK41" s="32"/>
      <c r="BL41" s="146"/>
      <c r="BM41" s="32"/>
      <c r="BN41" s="146"/>
      <c r="BO41" s="32"/>
      <c r="BP41" s="146"/>
      <c r="BQ41" s="32"/>
      <c r="BR41" s="146"/>
      <c r="BS41" s="32"/>
      <c r="BT41" s="146">
        <v>629</v>
      </c>
      <c r="BU41" s="32">
        <v>272</v>
      </c>
      <c r="BV41" s="146">
        <v>625</v>
      </c>
      <c r="BW41" s="32">
        <v>276</v>
      </c>
    </row>
    <row r="42" spans="1:75" ht="13" x14ac:dyDescent="0.25">
      <c r="A42" s="186">
        <v>502</v>
      </c>
      <c r="B42" s="187" t="s">
        <v>64</v>
      </c>
      <c r="C42" s="46">
        <v>1169</v>
      </c>
      <c r="D42" s="142">
        <v>922</v>
      </c>
      <c r="E42" s="145">
        <f t="shared" si="0"/>
        <v>0.78870829769033357</v>
      </c>
      <c r="F42" s="146">
        <v>597</v>
      </c>
      <c r="G42" s="32">
        <v>300</v>
      </c>
      <c r="H42" s="146"/>
      <c r="I42" s="32"/>
      <c r="J42" s="146"/>
      <c r="K42" s="32"/>
      <c r="L42" s="146"/>
      <c r="M42" s="32"/>
      <c r="N42" s="146"/>
      <c r="O42" s="32"/>
      <c r="P42" s="146"/>
      <c r="Q42" s="32"/>
      <c r="R42" s="146"/>
      <c r="S42" s="32"/>
      <c r="T42" s="146"/>
      <c r="U42" s="32"/>
      <c r="V42" s="146"/>
      <c r="W42" s="32"/>
      <c r="X42" s="146"/>
      <c r="Y42" s="32"/>
      <c r="Z42" s="146"/>
      <c r="AA42" s="32"/>
      <c r="AB42" s="146"/>
      <c r="AC42" s="32"/>
      <c r="AD42" s="146"/>
      <c r="AE42" s="32"/>
      <c r="AF42" s="146"/>
      <c r="AG42" s="32"/>
      <c r="AH42" s="146"/>
      <c r="AI42" s="32"/>
      <c r="AJ42" s="146"/>
      <c r="AK42" s="32"/>
      <c r="AL42" s="146"/>
      <c r="AM42" s="32"/>
      <c r="AN42" s="146"/>
      <c r="AO42" s="32"/>
      <c r="AP42" s="146"/>
      <c r="AQ42" s="32"/>
      <c r="AR42" s="146"/>
      <c r="AS42" s="32"/>
      <c r="AT42" s="146"/>
      <c r="AU42" s="32"/>
      <c r="AV42" s="146"/>
      <c r="AW42" s="32"/>
      <c r="AX42" s="146"/>
      <c r="AY42" s="32"/>
      <c r="AZ42" s="146"/>
      <c r="BA42" s="32"/>
      <c r="BB42" s="146"/>
      <c r="BC42" s="32"/>
      <c r="BD42" s="146"/>
      <c r="BE42" s="32"/>
      <c r="BF42" s="146"/>
      <c r="BG42" s="32"/>
      <c r="BH42" s="146"/>
      <c r="BI42" s="32"/>
      <c r="BJ42" s="146"/>
      <c r="BK42" s="32"/>
      <c r="BL42" s="146"/>
      <c r="BM42" s="32"/>
      <c r="BN42" s="146"/>
      <c r="BO42" s="32"/>
      <c r="BP42" s="146"/>
      <c r="BQ42" s="32"/>
      <c r="BR42" s="146"/>
      <c r="BS42" s="32"/>
      <c r="BT42" s="146">
        <v>651</v>
      </c>
      <c r="BU42" s="32">
        <v>247</v>
      </c>
      <c r="BV42" s="146">
        <v>666</v>
      </c>
      <c r="BW42" s="32">
        <v>231</v>
      </c>
    </row>
    <row r="43" spans="1:75" ht="13" x14ac:dyDescent="0.25">
      <c r="A43" s="186">
        <v>503</v>
      </c>
      <c r="B43" s="187" t="s">
        <v>65</v>
      </c>
      <c r="C43" s="46">
        <v>852</v>
      </c>
      <c r="D43" s="142">
        <v>643</v>
      </c>
      <c r="E43" s="145">
        <f t="shared" si="0"/>
        <v>0.75469483568075113</v>
      </c>
      <c r="F43" s="146">
        <v>436</v>
      </c>
      <c r="G43" s="32">
        <v>197</v>
      </c>
      <c r="H43" s="146"/>
      <c r="I43" s="32"/>
      <c r="J43" s="146"/>
      <c r="K43" s="32"/>
      <c r="L43" s="146"/>
      <c r="M43" s="32"/>
      <c r="N43" s="146"/>
      <c r="O43" s="32"/>
      <c r="P43" s="146"/>
      <c r="Q43" s="32"/>
      <c r="R43" s="146"/>
      <c r="S43" s="32"/>
      <c r="T43" s="146"/>
      <c r="U43" s="32"/>
      <c r="V43" s="146"/>
      <c r="W43" s="32"/>
      <c r="X43" s="146"/>
      <c r="Y43" s="32"/>
      <c r="Z43" s="146"/>
      <c r="AA43" s="32"/>
      <c r="AB43" s="146"/>
      <c r="AC43" s="32"/>
      <c r="AD43" s="146"/>
      <c r="AE43" s="32"/>
      <c r="AF43" s="146"/>
      <c r="AG43" s="32"/>
      <c r="AH43" s="146"/>
      <c r="AI43" s="32"/>
      <c r="AJ43" s="146"/>
      <c r="AK43" s="32"/>
      <c r="AL43" s="146"/>
      <c r="AM43" s="32"/>
      <c r="AN43" s="146"/>
      <c r="AO43" s="32"/>
      <c r="AP43" s="146"/>
      <c r="AQ43" s="32"/>
      <c r="AR43" s="146"/>
      <c r="AS43" s="32"/>
      <c r="AT43" s="146"/>
      <c r="AU43" s="32"/>
      <c r="AV43" s="146"/>
      <c r="AW43" s="32"/>
      <c r="AX43" s="146"/>
      <c r="AY43" s="32"/>
      <c r="AZ43" s="146"/>
      <c r="BA43" s="32"/>
      <c r="BB43" s="146"/>
      <c r="BC43" s="32"/>
      <c r="BD43" s="146"/>
      <c r="BE43" s="32"/>
      <c r="BF43" s="146"/>
      <c r="BG43" s="32"/>
      <c r="BH43" s="146"/>
      <c r="BI43" s="32"/>
      <c r="BJ43" s="146"/>
      <c r="BK43" s="32"/>
      <c r="BL43" s="146"/>
      <c r="BM43" s="32"/>
      <c r="BN43" s="146"/>
      <c r="BO43" s="32"/>
      <c r="BP43" s="146"/>
      <c r="BQ43" s="32"/>
      <c r="BR43" s="146"/>
      <c r="BS43" s="32"/>
      <c r="BT43" s="146">
        <v>474</v>
      </c>
      <c r="BU43" s="32">
        <v>150</v>
      </c>
      <c r="BV43" s="146">
        <v>469</v>
      </c>
      <c r="BW43" s="32">
        <v>155</v>
      </c>
    </row>
    <row r="44" spans="1:75" ht="13" x14ac:dyDescent="0.25">
      <c r="A44" s="186">
        <v>504</v>
      </c>
      <c r="B44" s="187" t="s">
        <v>66</v>
      </c>
      <c r="C44" s="46">
        <v>1351</v>
      </c>
      <c r="D44" s="142">
        <v>1109</v>
      </c>
      <c r="E44" s="145">
        <f t="shared" si="0"/>
        <v>0.82087342709104372</v>
      </c>
      <c r="F44" s="146">
        <v>706</v>
      </c>
      <c r="G44" s="32">
        <v>352</v>
      </c>
      <c r="H44" s="146"/>
      <c r="I44" s="32"/>
      <c r="J44" s="146"/>
      <c r="K44" s="32"/>
      <c r="L44" s="146"/>
      <c r="M44" s="32"/>
      <c r="N44" s="146"/>
      <c r="O44" s="32"/>
      <c r="P44" s="146"/>
      <c r="Q44" s="32"/>
      <c r="R44" s="146"/>
      <c r="S44" s="32"/>
      <c r="T44" s="146"/>
      <c r="U44" s="32"/>
      <c r="V44" s="146"/>
      <c r="W44" s="32"/>
      <c r="X44" s="146"/>
      <c r="Y44" s="32"/>
      <c r="Z44" s="146"/>
      <c r="AA44" s="32"/>
      <c r="AB44" s="146"/>
      <c r="AC44" s="32"/>
      <c r="AD44" s="146"/>
      <c r="AE44" s="32"/>
      <c r="AF44" s="146"/>
      <c r="AG44" s="32"/>
      <c r="AH44" s="146"/>
      <c r="AI44" s="32"/>
      <c r="AJ44" s="146"/>
      <c r="AK44" s="32"/>
      <c r="AL44" s="146"/>
      <c r="AM44" s="32"/>
      <c r="AN44" s="146"/>
      <c r="AO44" s="32"/>
      <c r="AP44" s="146"/>
      <c r="AQ44" s="32"/>
      <c r="AR44" s="146"/>
      <c r="AS44" s="32"/>
      <c r="AT44" s="146"/>
      <c r="AU44" s="32"/>
      <c r="AV44" s="146"/>
      <c r="AW44" s="32"/>
      <c r="AX44" s="146"/>
      <c r="AY44" s="32"/>
      <c r="AZ44" s="146"/>
      <c r="BA44" s="32"/>
      <c r="BB44" s="146"/>
      <c r="BC44" s="32"/>
      <c r="BD44" s="146"/>
      <c r="BE44" s="32"/>
      <c r="BF44" s="146"/>
      <c r="BG44" s="32"/>
      <c r="BH44" s="146"/>
      <c r="BI44" s="32"/>
      <c r="BJ44" s="146"/>
      <c r="BK44" s="32"/>
      <c r="BL44" s="146"/>
      <c r="BM44" s="32"/>
      <c r="BN44" s="146"/>
      <c r="BO44" s="32"/>
      <c r="BP44" s="146"/>
      <c r="BQ44" s="32"/>
      <c r="BR44" s="146"/>
      <c r="BS44" s="32"/>
      <c r="BT44" s="146">
        <v>779</v>
      </c>
      <c r="BU44" s="32">
        <v>280</v>
      </c>
      <c r="BV44" s="146">
        <v>796</v>
      </c>
      <c r="BW44" s="32">
        <v>261</v>
      </c>
    </row>
    <row r="45" spans="1:75" ht="13" x14ac:dyDescent="0.25">
      <c r="A45" s="186">
        <v>505</v>
      </c>
      <c r="B45" s="187" t="s">
        <v>67</v>
      </c>
      <c r="C45" s="46">
        <v>1469</v>
      </c>
      <c r="D45" s="142">
        <v>1145</v>
      </c>
      <c r="E45" s="145">
        <f t="shared" si="0"/>
        <v>0.77944179714091222</v>
      </c>
      <c r="F45" s="146">
        <v>735</v>
      </c>
      <c r="G45" s="32">
        <v>360</v>
      </c>
      <c r="H45" s="146"/>
      <c r="I45" s="32"/>
      <c r="J45" s="146"/>
      <c r="K45" s="32"/>
      <c r="L45" s="146"/>
      <c r="M45" s="32"/>
      <c r="N45" s="146"/>
      <c r="O45" s="32"/>
      <c r="P45" s="146"/>
      <c r="Q45" s="32"/>
      <c r="R45" s="146"/>
      <c r="S45" s="32"/>
      <c r="T45" s="146"/>
      <c r="U45" s="32"/>
      <c r="V45" s="146"/>
      <c r="W45" s="32"/>
      <c r="X45" s="146"/>
      <c r="Y45" s="32"/>
      <c r="Z45" s="146"/>
      <c r="AA45" s="32"/>
      <c r="AB45" s="146"/>
      <c r="AC45" s="32"/>
      <c r="AD45" s="146"/>
      <c r="AE45" s="32"/>
      <c r="AF45" s="146"/>
      <c r="AG45" s="32"/>
      <c r="AH45" s="146"/>
      <c r="AI45" s="32"/>
      <c r="AJ45" s="146"/>
      <c r="AK45" s="32"/>
      <c r="AL45" s="146"/>
      <c r="AM45" s="32"/>
      <c r="AN45" s="146"/>
      <c r="AO45" s="32"/>
      <c r="AP45" s="146"/>
      <c r="AQ45" s="32"/>
      <c r="AR45" s="146"/>
      <c r="AS45" s="32"/>
      <c r="AT45" s="146"/>
      <c r="AU45" s="32"/>
      <c r="AV45" s="146"/>
      <c r="AW45" s="32"/>
      <c r="AX45" s="146"/>
      <c r="AY45" s="32"/>
      <c r="AZ45" s="146"/>
      <c r="BA45" s="32"/>
      <c r="BB45" s="146"/>
      <c r="BC45" s="32"/>
      <c r="BD45" s="146"/>
      <c r="BE45" s="32"/>
      <c r="BF45" s="146"/>
      <c r="BG45" s="32"/>
      <c r="BH45" s="146"/>
      <c r="BI45" s="32"/>
      <c r="BJ45" s="146"/>
      <c r="BK45" s="32"/>
      <c r="BL45" s="146"/>
      <c r="BM45" s="32"/>
      <c r="BN45" s="146"/>
      <c r="BO45" s="32"/>
      <c r="BP45" s="146"/>
      <c r="BQ45" s="32"/>
      <c r="BR45" s="146"/>
      <c r="BS45" s="32"/>
      <c r="BT45" s="146">
        <v>745</v>
      </c>
      <c r="BU45" s="32">
        <v>334</v>
      </c>
      <c r="BV45" s="146">
        <v>775</v>
      </c>
      <c r="BW45" s="32">
        <v>307</v>
      </c>
    </row>
    <row r="46" spans="1:75" ht="13" x14ac:dyDescent="0.25">
      <c r="A46" s="186">
        <v>506</v>
      </c>
      <c r="B46" s="187" t="s">
        <v>68</v>
      </c>
      <c r="C46" s="46">
        <v>938</v>
      </c>
      <c r="D46" s="142">
        <v>690</v>
      </c>
      <c r="E46" s="145">
        <f t="shared" si="0"/>
        <v>0.73560767590618337</v>
      </c>
      <c r="F46" s="146">
        <v>425</v>
      </c>
      <c r="G46" s="32">
        <v>240</v>
      </c>
      <c r="H46" s="146"/>
      <c r="I46" s="32"/>
      <c r="J46" s="146"/>
      <c r="K46" s="32"/>
      <c r="L46" s="146"/>
      <c r="M46" s="32"/>
      <c r="N46" s="146"/>
      <c r="O46" s="32"/>
      <c r="P46" s="146"/>
      <c r="Q46" s="32"/>
      <c r="R46" s="146"/>
      <c r="S46" s="32"/>
      <c r="T46" s="146"/>
      <c r="U46" s="32"/>
      <c r="V46" s="146"/>
      <c r="W46" s="32"/>
      <c r="X46" s="146"/>
      <c r="Y46" s="32"/>
      <c r="Z46" s="146"/>
      <c r="AA46" s="32"/>
      <c r="AB46" s="146"/>
      <c r="AC46" s="32"/>
      <c r="AD46" s="146"/>
      <c r="AE46" s="32"/>
      <c r="AF46" s="146"/>
      <c r="AG46" s="32"/>
      <c r="AH46" s="146"/>
      <c r="AI46" s="32"/>
      <c r="AJ46" s="146"/>
      <c r="AK46" s="32"/>
      <c r="AL46" s="146"/>
      <c r="AM46" s="32"/>
      <c r="AN46" s="146"/>
      <c r="AO46" s="32"/>
      <c r="AP46" s="146"/>
      <c r="AQ46" s="32"/>
      <c r="AR46" s="146"/>
      <c r="AS46" s="32"/>
      <c r="AT46" s="146"/>
      <c r="AU46" s="32"/>
      <c r="AV46" s="146"/>
      <c r="AW46" s="32"/>
      <c r="AX46" s="146"/>
      <c r="AY46" s="32"/>
      <c r="AZ46" s="146"/>
      <c r="BA46" s="32"/>
      <c r="BB46" s="146"/>
      <c r="BC46" s="32"/>
      <c r="BD46" s="146"/>
      <c r="BE46" s="32"/>
      <c r="BF46" s="146"/>
      <c r="BG46" s="32"/>
      <c r="BH46" s="146"/>
      <c r="BI46" s="32"/>
      <c r="BJ46" s="146"/>
      <c r="BK46" s="32"/>
      <c r="BL46" s="146"/>
      <c r="BM46" s="32"/>
      <c r="BN46" s="146"/>
      <c r="BO46" s="32"/>
      <c r="BP46" s="146"/>
      <c r="BQ46" s="32"/>
      <c r="BR46" s="146"/>
      <c r="BS46" s="32"/>
      <c r="BT46" s="146">
        <v>450</v>
      </c>
      <c r="BU46" s="32">
        <v>216</v>
      </c>
      <c r="BV46" s="146">
        <v>472</v>
      </c>
      <c r="BW46" s="32">
        <v>195</v>
      </c>
    </row>
    <row r="47" spans="1:75" ht="13" x14ac:dyDescent="0.25">
      <c r="A47" s="186">
        <v>507</v>
      </c>
      <c r="B47" s="187" t="s">
        <v>69</v>
      </c>
      <c r="C47" s="46">
        <v>1550</v>
      </c>
      <c r="D47" s="142">
        <v>1121</v>
      </c>
      <c r="E47" s="145">
        <f t="shared" si="0"/>
        <v>0.72322580645161294</v>
      </c>
      <c r="F47" s="146">
        <v>655</v>
      </c>
      <c r="G47" s="32">
        <v>417</v>
      </c>
      <c r="H47" s="146"/>
      <c r="I47" s="32"/>
      <c r="J47" s="146"/>
      <c r="K47" s="32"/>
      <c r="L47" s="146"/>
      <c r="M47" s="32"/>
      <c r="N47" s="146"/>
      <c r="O47" s="32"/>
      <c r="P47" s="146"/>
      <c r="Q47" s="32"/>
      <c r="R47" s="146"/>
      <c r="S47" s="32"/>
      <c r="T47" s="146"/>
      <c r="U47" s="32"/>
      <c r="V47" s="146"/>
      <c r="W47" s="32"/>
      <c r="X47" s="146"/>
      <c r="Y47" s="32"/>
      <c r="Z47" s="146"/>
      <c r="AA47" s="32"/>
      <c r="AB47" s="146"/>
      <c r="AC47" s="32"/>
      <c r="AD47" s="146"/>
      <c r="AE47" s="32"/>
      <c r="AF47" s="146"/>
      <c r="AG47" s="32"/>
      <c r="AH47" s="146"/>
      <c r="AI47" s="32"/>
      <c r="AJ47" s="146"/>
      <c r="AK47" s="32"/>
      <c r="AL47" s="146"/>
      <c r="AM47" s="32"/>
      <c r="AN47" s="146"/>
      <c r="AO47" s="32"/>
      <c r="AP47" s="146"/>
      <c r="AQ47" s="32"/>
      <c r="AR47" s="146"/>
      <c r="AS47" s="32"/>
      <c r="AT47" s="146"/>
      <c r="AU47" s="32"/>
      <c r="AV47" s="146"/>
      <c r="AW47" s="32"/>
      <c r="AX47" s="146"/>
      <c r="AY47" s="32"/>
      <c r="AZ47" s="146"/>
      <c r="BA47" s="32"/>
      <c r="BB47" s="146"/>
      <c r="BC47" s="32"/>
      <c r="BD47" s="146"/>
      <c r="BE47" s="32"/>
      <c r="BF47" s="146"/>
      <c r="BG47" s="32"/>
      <c r="BH47" s="146"/>
      <c r="BI47" s="32"/>
      <c r="BJ47" s="146"/>
      <c r="BK47" s="32"/>
      <c r="BL47" s="146"/>
      <c r="BM47" s="32"/>
      <c r="BN47" s="146"/>
      <c r="BO47" s="32"/>
      <c r="BP47" s="146"/>
      <c r="BQ47" s="32"/>
      <c r="BR47" s="146"/>
      <c r="BS47" s="32"/>
      <c r="BT47" s="146">
        <v>728</v>
      </c>
      <c r="BU47" s="32">
        <v>316</v>
      </c>
      <c r="BV47" s="146">
        <v>737</v>
      </c>
      <c r="BW47" s="32">
        <v>304</v>
      </c>
    </row>
    <row r="48" spans="1:75" ht="13" x14ac:dyDescent="0.25">
      <c r="A48" s="186">
        <v>508</v>
      </c>
      <c r="B48" s="187" t="s">
        <v>70</v>
      </c>
      <c r="C48" s="46">
        <v>943</v>
      </c>
      <c r="D48" s="142">
        <v>583</v>
      </c>
      <c r="E48" s="145">
        <f t="shared" si="0"/>
        <v>0.61823966065747615</v>
      </c>
      <c r="F48" s="146">
        <v>460</v>
      </c>
      <c r="G48" s="32">
        <v>104</v>
      </c>
      <c r="H48" s="146"/>
      <c r="I48" s="32"/>
      <c r="J48" s="146"/>
      <c r="K48" s="32"/>
      <c r="L48" s="146"/>
      <c r="M48" s="32"/>
      <c r="N48" s="146"/>
      <c r="O48" s="32"/>
      <c r="P48" s="146"/>
      <c r="Q48" s="32"/>
      <c r="R48" s="146"/>
      <c r="S48" s="32"/>
      <c r="T48" s="146"/>
      <c r="U48" s="32"/>
      <c r="V48" s="146"/>
      <c r="W48" s="32"/>
      <c r="X48" s="146"/>
      <c r="Y48" s="32"/>
      <c r="Z48" s="146"/>
      <c r="AA48" s="32"/>
      <c r="AB48" s="146"/>
      <c r="AC48" s="32"/>
      <c r="AD48" s="146"/>
      <c r="AE48" s="32"/>
      <c r="AF48" s="146"/>
      <c r="AG48" s="32"/>
      <c r="AH48" s="146"/>
      <c r="AI48" s="32"/>
      <c r="AJ48" s="146"/>
      <c r="AK48" s="32"/>
      <c r="AL48" s="146"/>
      <c r="AM48" s="32"/>
      <c r="AN48" s="146"/>
      <c r="AO48" s="32"/>
      <c r="AP48" s="146"/>
      <c r="AQ48" s="32"/>
      <c r="AR48" s="146"/>
      <c r="AS48" s="32"/>
      <c r="AT48" s="146"/>
      <c r="AU48" s="32"/>
      <c r="AV48" s="146"/>
      <c r="AW48" s="32"/>
      <c r="AX48" s="146"/>
      <c r="AY48" s="32"/>
      <c r="AZ48" s="146"/>
      <c r="BA48" s="32"/>
      <c r="BB48" s="146"/>
      <c r="BC48" s="32"/>
      <c r="BD48" s="146"/>
      <c r="BE48" s="32"/>
      <c r="BF48" s="146"/>
      <c r="BG48" s="32"/>
      <c r="BH48" s="146"/>
      <c r="BI48" s="32"/>
      <c r="BJ48" s="146"/>
      <c r="BK48" s="32"/>
      <c r="BL48" s="146"/>
      <c r="BM48" s="32"/>
      <c r="BN48" s="146"/>
      <c r="BO48" s="32"/>
      <c r="BP48" s="146"/>
      <c r="BQ48" s="32"/>
      <c r="BR48" s="146"/>
      <c r="BS48" s="32"/>
      <c r="BT48" s="146">
        <v>469</v>
      </c>
      <c r="BU48" s="32">
        <v>92</v>
      </c>
      <c r="BV48" s="146">
        <v>481</v>
      </c>
      <c r="BW48" s="32">
        <v>79</v>
      </c>
    </row>
    <row r="49" spans="1:75" ht="13" x14ac:dyDescent="0.25">
      <c r="A49" s="186">
        <v>509</v>
      </c>
      <c r="B49" s="187" t="s">
        <v>71</v>
      </c>
      <c r="C49" s="46">
        <v>1341</v>
      </c>
      <c r="D49" s="142">
        <v>1007</v>
      </c>
      <c r="E49" s="145">
        <f t="shared" si="0"/>
        <v>0.75093214019388521</v>
      </c>
      <c r="F49" s="146">
        <v>495</v>
      </c>
      <c r="G49" s="32">
        <v>483</v>
      </c>
      <c r="H49" s="146"/>
      <c r="I49" s="32"/>
      <c r="J49" s="146"/>
      <c r="K49" s="32"/>
      <c r="L49" s="146"/>
      <c r="M49" s="32"/>
      <c r="N49" s="146"/>
      <c r="O49" s="32"/>
      <c r="P49" s="146"/>
      <c r="Q49" s="32"/>
      <c r="R49" s="146"/>
      <c r="S49" s="32"/>
      <c r="T49" s="146"/>
      <c r="U49" s="32"/>
      <c r="V49" s="146"/>
      <c r="W49" s="32"/>
      <c r="X49" s="146"/>
      <c r="Y49" s="32"/>
      <c r="Z49" s="146"/>
      <c r="AA49" s="32"/>
      <c r="AB49" s="146"/>
      <c r="AC49" s="32"/>
      <c r="AD49" s="146"/>
      <c r="AE49" s="32"/>
      <c r="AF49" s="146"/>
      <c r="AG49" s="32"/>
      <c r="AH49" s="146"/>
      <c r="AI49" s="32"/>
      <c r="AJ49" s="146"/>
      <c r="AK49" s="32"/>
      <c r="AL49" s="146"/>
      <c r="AM49" s="32"/>
      <c r="AN49" s="146"/>
      <c r="AO49" s="32"/>
      <c r="AP49" s="146"/>
      <c r="AQ49" s="32"/>
      <c r="AR49" s="146"/>
      <c r="AS49" s="32"/>
      <c r="AT49" s="146"/>
      <c r="AU49" s="32"/>
      <c r="AV49" s="146"/>
      <c r="AW49" s="32"/>
      <c r="AX49" s="146"/>
      <c r="AY49" s="32"/>
      <c r="AZ49" s="146"/>
      <c r="BA49" s="32"/>
      <c r="BB49" s="146"/>
      <c r="BC49" s="32"/>
      <c r="BD49" s="146"/>
      <c r="BE49" s="32"/>
      <c r="BF49" s="146"/>
      <c r="BG49" s="32"/>
      <c r="BH49" s="146"/>
      <c r="BI49" s="32"/>
      <c r="BJ49" s="146"/>
      <c r="BK49" s="32"/>
      <c r="BL49" s="146"/>
      <c r="BM49" s="32"/>
      <c r="BN49" s="146"/>
      <c r="BO49" s="32"/>
      <c r="BP49" s="146"/>
      <c r="BQ49" s="32"/>
      <c r="BR49" s="146"/>
      <c r="BS49" s="32"/>
      <c r="BT49" s="146">
        <v>603</v>
      </c>
      <c r="BU49" s="32">
        <v>365</v>
      </c>
      <c r="BV49" s="146">
        <v>623</v>
      </c>
      <c r="BW49" s="32">
        <v>345</v>
      </c>
    </row>
    <row r="50" spans="1:75" ht="13" x14ac:dyDescent="0.25">
      <c r="A50" s="186">
        <v>601</v>
      </c>
      <c r="B50" s="187" t="s">
        <v>72</v>
      </c>
      <c r="C50" s="46">
        <v>2141</v>
      </c>
      <c r="D50" s="142">
        <v>1157</v>
      </c>
      <c r="E50" s="145">
        <f t="shared" si="0"/>
        <v>0.54040168145726297</v>
      </c>
      <c r="F50" s="146">
        <v>792</v>
      </c>
      <c r="G50" s="32">
        <v>324</v>
      </c>
      <c r="H50" s="146"/>
      <c r="I50" s="32"/>
      <c r="J50" s="146"/>
      <c r="K50" s="32"/>
      <c r="L50" s="146"/>
      <c r="M50" s="32"/>
      <c r="N50" s="146">
        <v>895</v>
      </c>
      <c r="O50" s="32">
        <v>188</v>
      </c>
      <c r="P50" s="146"/>
      <c r="Q50" s="32"/>
      <c r="R50" s="146"/>
      <c r="S50" s="32"/>
      <c r="T50" s="146"/>
      <c r="U50" s="32"/>
      <c r="V50" s="146"/>
      <c r="W50" s="32"/>
      <c r="X50" s="146"/>
      <c r="Y50" s="32"/>
      <c r="Z50" s="146"/>
      <c r="AA50" s="32"/>
      <c r="AB50" s="146"/>
      <c r="AC50" s="32"/>
      <c r="AD50" s="146"/>
      <c r="AE50" s="32"/>
      <c r="AF50" s="146"/>
      <c r="AG50" s="32"/>
      <c r="AH50" s="146"/>
      <c r="AI50" s="32"/>
      <c r="AJ50" s="146"/>
      <c r="AK50" s="32"/>
      <c r="AL50" s="146"/>
      <c r="AM50" s="32"/>
      <c r="AN50" s="146"/>
      <c r="AO50" s="32"/>
      <c r="AP50" s="146"/>
      <c r="AQ50" s="32"/>
      <c r="AR50" s="146"/>
      <c r="AS50" s="32"/>
      <c r="AT50" s="146"/>
      <c r="AU50" s="32"/>
      <c r="AV50" s="146"/>
      <c r="AW50" s="32"/>
      <c r="AX50" s="146"/>
      <c r="AY50" s="32"/>
      <c r="AZ50" s="146"/>
      <c r="BA50" s="32"/>
      <c r="BB50" s="146"/>
      <c r="BC50" s="32"/>
      <c r="BD50" s="146"/>
      <c r="BE50" s="32"/>
      <c r="BF50" s="146"/>
      <c r="BG50" s="32"/>
      <c r="BH50" s="146"/>
      <c r="BI50" s="32"/>
      <c r="BJ50" s="146"/>
      <c r="BK50" s="32"/>
      <c r="BL50" s="146"/>
      <c r="BM50" s="32"/>
      <c r="BN50" s="146"/>
      <c r="BO50" s="32"/>
      <c r="BP50" s="146"/>
      <c r="BQ50" s="32"/>
      <c r="BR50" s="146"/>
      <c r="BS50" s="32"/>
      <c r="BT50" s="146">
        <v>884</v>
      </c>
      <c r="BU50" s="32">
        <v>214</v>
      </c>
      <c r="BV50" s="146">
        <v>920</v>
      </c>
      <c r="BW50" s="32">
        <v>182</v>
      </c>
    </row>
    <row r="51" spans="1:75" ht="13" x14ac:dyDescent="0.25">
      <c r="A51" s="186">
        <v>602</v>
      </c>
      <c r="B51" s="187" t="s">
        <v>73</v>
      </c>
      <c r="C51" s="46">
        <v>1418</v>
      </c>
      <c r="D51" s="142">
        <v>757</v>
      </c>
      <c r="E51" s="145">
        <f t="shared" si="0"/>
        <v>0.53385049365303239</v>
      </c>
      <c r="F51" s="146">
        <v>460</v>
      </c>
      <c r="G51" s="32">
        <v>252</v>
      </c>
      <c r="H51" s="146"/>
      <c r="I51" s="32"/>
      <c r="J51" s="146"/>
      <c r="K51" s="32"/>
      <c r="L51" s="146"/>
      <c r="M51" s="32"/>
      <c r="N51" s="146"/>
      <c r="O51" s="32"/>
      <c r="P51" s="146"/>
      <c r="Q51" s="32"/>
      <c r="R51" s="146"/>
      <c r="S51" s="32"/>
      <c r="T51" s="146"/>
      <c r="U51" s="32"/>
      <c r="V51" s="146"/>
      <c r="W51" s="32"/>
      <c r="X51" s="146"/>
      <c r="Y51" s="32"/>
      <c r="Z51" s="146"/>
      <c r="AA51" s="32"/>
      <c r="AB51" s="146"/>
      <c r="AC51" s="32"/>
      <c r="AD51" s="146"/>
      <c r="AE51" s="32"/>
      <c r="AF51" s="146"/>
      <c r="AG51" s="32"/>
      <c r="AH51" s="146"/>
      <c r="AI51" s="32"/>
      <c r="AJ51" s="146"/>
      <c r="AK51" s="32"/>
      <c r="AL51" s="146"/>
      <c r="AM51" s="32"/>
      <c r="AN51" s="146"/>
      <c r="AO51" s="32"/>
      <c r="AP51" s="146"/>
      <c r="AQ51" s="32"/>
      <c r="AR51" s="146"/>
      <c r="AS51" s="32"/>
      <c r="AT51" s="146"/>
      <c r="AU51" s="32"/>
      <c r="AV51" s="146"/>
      <c r="AW51" s="32"/>
      <c r="AX51" s="146"/>
      <c r="AY51" s="32"/>
      <c r="AZ51" s="146"/>
      <c r="BA51" s="32"/>
      <c r="BB51" s="146"/>
      <c r="BC51" s="32"/>
      <c r="BD51" s="146"/>
      <c r="BE51" s="32"/>
      <c r="BF51" s="146"/>
      <c r="BG51" s="32"/>
      <c r="BH51" s="146"/>
      <c r="BI51" s="32"/>
      <c r="BJ51" s="146"/>
      <c r="BK51" s="32"/>
      <c r="BL51" s="146"/>
      <c r="BM51" s="32"/>
      <c r="BN51" s="146"/>
      <c r="BO51" s="32"/>
      <c r="BP51" s="146"/>
      <c r="BQ51" s="32"/>
      <c r="BR51" s="146"/>
      <c r="BS51" s="32"/>
      <c r="BT51" s="146">
        <v>538</v>
      </c>
      <c r="BU51" s="32">
        <v>172</v>
      </c>
      <c r="BV51" s="146">
        <v>556</v>
      </c>
      <c r="BW51" s="32">
        <v>155</v>
      </c>
    </row>
    <row r="52" spans="1:75" ht="13" x14ac:dyDescent="0.25">
      <c r="A52" s="186">
        <v>603</v>
      </c>
      <c r="B52" s="187" t="s">
        <v>74</v>
      </c>
      <c r="C52" s="46">
        <v>1737</v>
      </c>
      <c r="D52" s="142">
        <v>817</v>
      </c>
      <c r="E52" s="145">
        <f t="shared" si="0"/>
        <v>0.47035118019573979</v>
      </c>
      <c r="F52" s="146">
        <v>644</v>
      </c>
      <c r="G52" s="32">
        <v>143</v>
      </c>
      <c r="H52" s="146"/>
      <c r="I52" s="32"/>
      <c r="J52" s="146"/>
      <c r="K52" s="32"/>
      <c r="L52" s="146"/>
      <c r="M52" s="32"/>
      <c r="N52" s="146"/>
      <c r="O52" s="32"/>
      <c r="P52" s="146"/>
      <c r="Q52" s="32"/>
      <c r="R52" s="146"/>
      <c r="S52" s="32"/>
      <c r="T52" s="146"/>
      <c r="U52" s="32"/>
      <c r="V52" s="146"/>
      <c r="W52" s="32"/>
      <c r="X52" s="146"/>
      <c r="Y52" s="32"/>
      <c r="Z52" s="146"/>
      <c r="AA52" s="32"/>
      <c r="AB52" s="146"/>
      <c r="AC52" s="32"/>
      <c r="AD52" s="146"/>
      <c r="AE52" s="32"/>
      <c r="AF52" s="146"/>
      <c r="AG52" s="32"/>
      <c r="AH52" s="146"/>
      <c r="AI52" s="32"/>
      <c r="AJ52" s="146"/>
      <c r="AK52" s="32"/>
      <c r="AL52" s="146"/>
      <c r="AM52" s="32"/>
      <c r="AN52" s="146"/>
      <c r="AO52" s="32"/>
      <c r="AP52" s="146"/>
      <c r="AQ52" s="32"/>
      <c r="AR52" s="146"/>
      <c r="AS52" s="32"/>
      <c r="AT52" s="146"/>
      <c r="AU52" s="32"/>
      <c r="AV52" s="146"/>
      <c r="AW52" s="32"/>
      <c r="AX52" s="146"/>
      <c r="AY52" s="32"/>
      <c r="AZ52" s="146"/>
      <c r="BA52" s="32"/>
      <c r="BB52" s="146"/>
      <c r="BC52" s="32"/>
      <c r="BD52" s="146"/>
      <c r="BE52" s="32"/>
      <c r="BF52" s="146"/>
      <c r="BG52" s="32"/>
      <c r="BH52" s="146"/>
      <c r="BI52" s="32"/>
      <c r="BJ52" s="146"/>
      <c r="BK52" s="32"/>
      <c r="BL52" s="146"/>
      <c r="BM52" s="32"/>
      <c r="BN52" s="146"/>
      <c r="BO52" s="32"/>
      <c r="BP52" s="146"/>
      <c r="BQ52" s="32"/>
      <c r="BR52" s="146"/>
      <c r="BS52" s="32"/>
      <c r="BT52" s="146">
        <v>660</v>
      </c>
      <c r="BU52" s="32">
        <v>120</v>
      </c>
      <c r="BV52" s="146">
        <v>677</v>
      </c>
      <c r="BW52" s="32">
        <v>102</v>
      </c>
    </row>
    <row r="53" spans="1:75" ht="13" x14ac:dyDescent="0.25">
      <c r="A53" s="186">
        <v>604</v>
      </c>
      <c r="B53" s="187" t="s">
        <v>75</v>
      </c>
      <c r="C53" s="46">
        <v>1823</v>
      </c>
      <c r="D53" s="142">
        <v>992</v>
      </c>
      <c r="E53" s="145">
        <f t="shared" si="0"/>
        <v>0.54415798134942406</v>
      </c>
      <c r="F53" s="146">
        <v>784</v>
      </c>
      <c r="G53" s="32">
        <v>154</v>
      </c>
      <c r="H53" s="146"/>
      <c r="I53" s="32"/>
      <c r="J53" s="146"/>
      <c r="K53" s="32"/>
      <c r="L53" s="146"/>
      <c r="M53" s="32"/>
      <c r="N53" s="146"/>
      <c r="O53" s="32"/>
      <c r="P53" s="146"/>
      <c r="Q53" s="32"/>
      <c r="R53" s="146"/>
      <c r="S53" s="32"/>
      <c r="T53" s="146"/>
      <c r="U53" s="32"/>
      <c r="V53" s="146"/>
      <c r="W53" s="32"/>
      <c r="X53" s="146"/>
      <c r="Y53" s="32"/>
      <c r="Z53" s="146"/>
      <c r="AA53" s="32"/>
      <c r="AB53" s="146"/>
      <c r="AC53" s="32"/>
      <c r="AD53" s="146"/>
      <c r="AE53" s="32"/>
      <c r="AF53" s="146"/>
      <c r="AG53" s="32"/>
      <c r="AH53" s="146"/>
      <c r="AI53" s="32"/>
      <c r="AJ53" s="146"/>
      <c r="AK53" s="32"/>
      <c r="AL53" s="146"/>
      <c r="AM53" s="32"/>
      <c r="AN53" s="146"/>
      <c r="AO53" s="32"/>
      <c r="AP53" s="146"/>
      <c r="AQ53" s="32"/>
      <c r="AR53" s="146"/>
      <c r="AS53" s="32"/>
      <c r="AT53" s="146"/>
      <c r="AU53" s="32"/>
      <c r="AV53" s="146"/>
      <c r="AW53" s="32"/>
      <c r="AX53" s="146"/>
      <c r="AY53" s="32"/>
      <c r="AZ53" s="146"/>
      <c r="BA53" s="32"/>
      <c r="BB53" s="146"/>
      <c r="BC53" s="32"/>
      <c r="BD53" s="146"/>
      <c r="BE53" s="32"/>
      <c r="BF53" s="146"/>
      <c r="BG53" s="32"/>
      <c r="BH53" s="146"/>
      <c r="BI53" s="32"/>
      <c r="BJ53" s="146"/>
      <c r="BK53" s="32"/>
      <c r="BL53" s="146"/>
      <c r="BM53" s="32"/>
      <c r="BN53" s="146"/>
      <c r="BO53" s="32"/>
      <c r="BP53" s="146"/>
      <c r="BQ53" s="32"/>
      <c r="BR53" s="146"/>
      <c r="BS53" s="32"/>
      <c r="BT53" s="146">
        <v>803</v>
      </c>
      <c r="BU53" s="32">
        <v>140</v>
      </c>
      <c r="BV53" s="146">
        <v>831</v>
      </c>
      <c r="BW53" s="32">
        <v>112</v>
      </c>
    </row>
    <row r="54" spans="1:75" ht="13" x14ac:dyDescent="0.25">
      <c r="A54" s="186">
        <v>605</v>
      </c>
      <c r="B54" s="187" t="s">
        <v>76</v>
      </c>
      <c r="C54" s="46">
        <v>1539</v>
      </c>
      <c r="D54" s="142">
        <v>928</v>
      </c>
      <c r="E54" s="145">
        <f t="shared" si="0"/>
        <v>0.60298895386614682</v>
      </c>
      <c r="F54" s="146">
        <v>569</v>
      </c>
      <c r="G54" s="32">
        <v>312</v>
      </c>
      <c r="H54" s="146"/>
      <c r="I54" s="32"/>
      <c r="J54" s="146"/>
      <c r="K54" s="32"/>
      <c r="L54" s="146"/>
      <c r="M54" s="32"/>
      <c r="N54" s="146"/>
      <c r="O54" s="32"/>
      <c r="P54" s="146"/>
      <c r="Q54" s="32"/>
      <c r="R54" s="146"/>
      <c r="S54" s="32"/>
      <c r="T54" s="146"/>
      <c r="U54" s="32"/>
      <c r="V54" s="146"/>
      <c r="W54" s="32"/>
      <c r="X54" s="146"/>
      <c r="Y54" s="32"/>
      <c r="Z54" s="146"/>
      <c r="AA54" s="32"/>
      <c r="AB54" s="146"/>
      <c r="AC54" s="32"/>
      <c r="AD54" s="146"/>
      <c r="AE54" s="32"/>
      <c r="AF54" s="146"/>
      <c r="AG54" s="32"/>
      <c r="AH54" s="146"/>
      <c r="AI54" s="32"/>
      <c r="AJ54" s="146"/>
      <c r="AK54" s="32"/>
      <c r="AL54" s="146"/>
      <c r="AM54" s="32"/>
      <c r="AN54" s="146"/>
      <c r="AO54" s="32"/>
      <c r="AP54" s="146"/>
      <c r="AQ54" s="32"/>
      <c r="AR54" s="146"/>
      <c r="AS54" s="32"/>
      <c r="AT54" s="146"/>
      <c r="AU54" s="32"/>
      <c r="AV54" s="146"/>
      <c r="AW54" s="32"/>
      <c r="AX54" s="146"/>
      <c r="AY54" s="32"/>
      <c r="AZ54" s="146"/>
      <c r="BA54" s="32"/>
      <c r="BB54" s="146"/>
      <c r="BC54" s="32"/>
      <c r="BD54" s="146"/>
      <c r="BE54" s="32"/>
      <c r="BF54" s="146"/>
      <c r="BG54" s="32"/>
      <c r="BH54" s="146"/>
      <c r="BI54" s="32"/>
      <c r="BJ54" s="146"/>
      <c r="BK54" s="32"/>
      <c r="BL54" s="146"/>
      <c r="BM54" s="32"/>
      <c r="BN54" s="146"/>
      <c r="BO54" s="32"/>
      <c r="BP54" s="146"/>
      <c r="BQ54" s="32"/>
      <c r="BR54" s="146"/>
      <c r="BS54" s="32"/>
      <c r="BT54" s="146">
        <v>648</v>
      </c>
      <c r="BU54" s="32">
        <v>229</v>
      </c>
      <c r="BV54" s="146">
        <v>686</v>
      </c>
      <c r="BW54" s="32">
        <v>192</v>
      </c>
    </row>
    <row r="55" spans="1:75" ht="13" x14ac:dyDescent="0.25">
      <c r="A55" s="186">
        <v>701</v>
      </c>
      <c r="B55" s="187" t="s">
        <v>77</v>
      </c>
      <c r="C55" s="46">
        <v>1287</v>
      </c>
      <c r="D55" s="142">
        <v>802</v>
      </c>
      <c r="E55" s="145">
        <f t="shared" si="0"/>
        <v>0.62315462315462311</v>
      </c>
      <c r="F55" s="146">
        <v>604</v>
      </c>
      <c r="G55" s="32">
        <v>151</v>
      </c>
      <c r="H55" s="146"/>
      <c r="I55" s="32"/>
      <c r="J55" s="146"/>
      <c r="K55" s="32"/>
      <c r="L55" s="146"/>
      <c r="M55" s="32"/>
      <c r="N55" s="146"/>
      <c r="O55" s="32"/>
      <c r="P55" s="146"/>
      <c r="Q55" s="32"/>
      <c r="R55" s="146"/>
      <c r="S55" s="32"/>
      <c r="T55" s="146"/>
      <c r="U55" s="32"/>
      <c r="V55" s="146"/>
      <c r="W55" s="32"/>
      <c r="X55" s="146"/>
      <c r="Y55" s="32"/>
      <c r="Z55" s="146"/>
      <c r="AA55" s="32"/>
      <c r="AB55" s="146"/>
      <c r="AC55" s="32"/>
      <c r="AD55" s="146"/>
      <c r="AE55" s="32"/>
      <c r="AF55" s="146"/>
      <c r="AG55" s="32"/>
      <c r="AH55" s="146"/>
      <c r="AI55" s="32"/>
      <c r="AJ55" s="146"/>
      <c r="AK55" s="32"/>
      <c r="AL55" s="146"/>
      <c r="AM55" s="32"/>
      <c r="AN55" s="146"/>
      <c r="AO55" s="32"/>
      <c r="AP55" s="146"/>
      <c r="AQ55" s="32"/>
      <c r="AR55" s="146"/>
      <c r="AS55" s="32"/>
      <c r="AT55" s="146"/>
      <c r="AU55" s="32"/>
      <c r="AV55" s="146"/>
      <c r="AW55" s="32"/>
      <c r="AX55" s="146"/>
      <c r="AY55" s="32"/>
      <c r="AZ55" s="146"/>
      <c r="BA55" s="32"/>
      <c r="BB55" s="146"/>
      <c r="BC55" s="32"/>
      <c r="BD55" s="146"/>
      <c r="BE55" s="32"/>
      <c r="BF55" s="146"/>
      <c r="BG55" s="32"/>
      <c r="BH55" s="146"/>
      <c r="BI55" s="32"/>
      <c r="BJ55" s="146"/>
      <c r="BK55" s="32"/>
      <c r="BL55" s="146"/>
      <c r="BM55" s="32"/>
      <c r="BN55" s="146"/>
      <c r="BO55" s="32"/>
      <c r="BP55" s="146"/>
      <c r="BQ55" s="32"/>
      <c r="BR55" s="146"/>
      <c r="BS55" s="32"/>
      <c r="BT55" s="146">
        <v>588</v>
      </c>
      <c r="BU55" s="32">
        <v>182</v>
      </c>
      <c r="BV55" s="146">
        <v>607</v>
      </c>
      <c r="BW55" s="32">
        <v>166</v>
      </c>
    </row>
    <row r="56" spans="1:75" ht="13" x14ac:dyDescent="0.25">
      <c r="A56" s="186">
        <v>702</v>
      </c>
      <c r="B56" s="187" t="s">
        <v>78</v>
      </c>
      <c r="C56" s="46">
        <v>727</v>
      </c>
      <c r="D56" s="142">
        <v>334</v>
      </c>
      <c r="E56" s="145">
        <f t="shared" si="0"/>
        <v>0.45942228335625862</v>
      </c>
      <c r="F56" s="146">
        <v>247</v>
      </c>
      <c r="G56" s="32">
        <v>64</v>
      </c>
      <c r="H56" s="146"/>
      <c r="I56" s="32"/>
      <c r="J56" s="146"/>
      <c r="K56" s="32"/>
      <c r="L56" s="146"/>
      <c r="M56" s="32"/>
      <c r="N56" s="146"/>
      <c r="O56" s="32"/>
      <c r="P56" s="146"/>
      <c r="Q56" s="32"/>
      <c r="R56" s="146"/>
      <c r="S56" s="32"/>
      <c r="T56" s="146"/>
      <c r="U56" s="32"/>
      <c r="V56" s="146"/>
      <c r="W56" s="32"/>
      <c r="X56" s="146"/>
      <c r="Y56" s="32"/>
      <c r="Z56" s="146"/>
      <c r="AA56" s="32"/>
      <c r="AB56" s="146"/>
      <c r="AC56" s="32"/>
      <c r="AD56" s="146"/>
      <c r="AE56" s="32"/>
      <c r="AF56" s="146"/>
      <c r="AG56" s="32"/>
      <c r="AH56" s="146"/>
      <c r="AI56" s="32"/>
      <c r="AJ56" s="146"/>
      <c r="AK56" s="32"/>
      <c r="AL56" s="146"/>
      <c r="AM56" s="32"/>
      <c r="AN56" s="146"/>
      <c r="AO56" s="32"/>
      <c r="AP56" s="146"/>
      <c r="AQ56" s="32"/>
      <c r="AR56" s="146"/>
      <c r="AS56" s="32"/>
      <c r="AT56" s="146"/>
      <c r="AU56" s="32"/>
      <c r="AV56" s="146"/>
      <c r="AW56" s="32"/>
      <c r="AX56" s="146"/>
      <c r="AY56" s="32"/>
      <c r="AZ56" s="146"/>
      <c r="BA56" s="32"/>
      <c r="BB56" s="146"/>
      <c r="BC56" s="32"/>
      <c r="BD56" s="146"/>
      <c r="BE56" s="32"/>
      <c r="BF56" s="146"/>
      <c r="BG56" s="32"/>
      <c r="BH56" s="146"/>
      <c r="BI56" s="32"/>
      <c r="BJ56" s="146"/>
      <c r="BK56" s="32"/>
      <c r="BL56" s="146"/>
      <c r="BM56" s="32"/>
      <c r="BN56" s="146"/>
      <c r="BO56" s="32"/>
      <c r="BP56" s="146"/>
      <c r="BQ56" s="32"/>
      <c r="BR56" s="146"/>
      <c r="BS56" s="32"/>
      <c r="BT56" s="146">
        <v>243</v>
      </c>
      <c r="BU56" s="32">
        <v>66</v>
      </c>
      <c r="BV56" s="146">
        <v>260</v>
      </c>
      <c r="BW56" s="32">
        <v>48</v>
      </c>
    </row>
    <row r="57" spans="1:75" ht="13" x14ac:dyDescent="0.25">
      <c r="A57" s="186">
        <v>703</v>
      </c>
      <c r="B57" s="187" t="s">
        <v>79</v>
      </c>
      <c r="C57" s="46">
        <v>1154</v>
      </c>
      <c r="D57" s="142">
        <v>772</v>
      </c>
      <c r="E57" s="145">
        <f t="shared" si="0"/>
        <v>0.66897746967071059</v>
      </c>
      <c r="F57" s="146">
        <v>628</v>
      </c>
      <c r="G57" s="32">
        <v>111</v>
      </c>
      <c r="H57" s="146"/>
      <c r="I57" s="32"/>
      <c r="J57" s="146"/>
      <c r="K57" s="32"/>
      <c r="L57" s="146"/>
      <c r="M57" s="32"/>
      <c r="N57" s="146"/>
      <c r="O57" s="32"/>
      <c r="P57" s="146"/>
      <c r="Q57" s="32"/>
      <c r="R57" s="146"/>
      <c r="S57" s="32"/>
      <c r="T57" s="146"/>
      <c r="U57" s="32"/>
      <c r="V57" s="146"/>
      <c r="W57" s="32"/>
      <c r="X57" s="146"/>
      <c r="Y57" s="32"/>
      <c r="Z57" s="146"/>
      <c r="AA57" s="32"/>
      <c r="AB57" s="146"/>
      <c r="AC57" s="32"/>
      <c r="AD57" s="146"/>
      <c r="AE57" s="32"/>
      <c r="AF57" s="146"/>
      <c r="AG57" s="32"/>
      <c r="AH57" s="146"/>
      <c r="AI57" s="32"/>
      <c r="AJ57" s="146"/>
      <c r="AK57" s="32"/>
      <c r="AL57" s="146"/>
      <c r="AM57" s="32"/>
      <c r="AN57" s="146"/>
      <c r="AO57" s="32"/>
      <c r="AP57" s="146"/>
      <c r="AQ57" s="32"/>
      <c r="AR57" s="146"/>
      <c r="AS57" s="32"/>
      <c r="AT57" s="146"/>
      <c r="AU57" s="32"/>
      <c r="AV57" s="146"/>
      <c r="AW57" s="32"/>
      <c r="AX57" s="146"/>
      <c r="AY57" s="32"/>
      <c r="AZ57" s="146"/>
      <c r="BA57" s="32"/>
      <c r="BB57" s="146"/>
      <c r="BC57" s="32"/>
      <c r="BD57" s="146"/>
      <c r="BE57" s="32"/>
      <c r="BF57" s="146"/>
      <c r="BG57" s="32"/>
      <c r="BH57" s="146"/>
      <c r="BI57" s="32"/>
      <c r="BJ57" s="146"/>
      <c r="BK57" s="32"/>
      <c r="BL57" s="146"/>
      <c r="BM57" s="32"/>
      <c r="BN57" s="146"/>
      <c r="BO57" s="32"/>
      <c r="BP57" s="146"/>
      <c r="BQ57" s="32"/>
      <c r="BR57" s="146"/>
      <c r="BS57" s="32"/>
      <c r="BT57" s="146">
        <v>584</v>
      </c>
      <c r="BU57" s="32">
        <v>155</v>
      </c>
      <c r="BV57" s="146">
        <v>591</v>
      </c>
      <c r="BW57" s="32">
        <v>147</v>
      </c>
    </row>
    <row r="58" spans="1:75" ht="13" x14ac:dyDescent="0.25">
      <c r="A58" s="186">
        <v>704</v>
      </c>
      <c r="B58" s="187" t="s">
        <v>80</v>
      </c>
      <c r="C58" s="46">
        <v>1218</v>
      </c>
      <c r="D58" s="142">
        <v>668</v>
      </c>
      <c r="E58" s="145">
        <f t="shared" si="0"/>
        <v>0.54844006568144499</v>
      </c>
      <c r="F58" s="146">
        <v>492</v>
      </c>
      <c r="G58" s="32">
        <v>131</v>
      </c>
      <c r="H58" s="146"/>
      <c r="I58" s="32"/>
      <c r="J58" s="146"/>
      <c r="K58" s="32"/>
      <c r="L58" s="146"/>
      <c r="M58" s="32"/>
      <c r="N58" s="146"/>
      <c r="O58" s="32"/>
      <c r="P58" s="146"/>
      <c r="Q58" s="32"/>
      <c r="R58" s="146"/>
      <c r="S58" s="32"/>
      <c r="T58" s="146"/>
      <c r="U58" s="32"/>
      <c r="V58" s="146"/>
      <c r="W58" s="32"/>
      <c r="X58" s="146"/>
      <c r="Y58" s="32"/>
      <c r="Z58" s="146"/>
      <c r="AA58" s="32"/>
      <c r="AB58" s="146"/>
      <c r="AC58" s="32"/>
      <c r="AD58" s="146"/>
      <c r="AE58" s="32"/>
      <c r="AF58" s="146"/>
      <c r="AG58" s="32"/>
      <c r="AH58" s="146"/>
      <c r="AI58" s="32"/>
      <c r="AJ58" s="146"/>
      <c r="AK58" s="32"/>
      <c r="AL58" s="146"/>
      <c r="AM58" s="32"/>
      <c r="AN58" s="146"/>
      <c r="AO58" s="32"/>
      <c r="AP58" s="146"/>
      <c r="AQ58" s="32"/>
      <c r="AR58" s="146"/>
      <c r="AS58" s="32"/>
      <c r="AT58" s="146"/>
      <c r="AU58" s="32"/>
      <c r="AV58" s="146"/>
      <c r="AW58" s="32"/>
      <c r="AX58" s="146"/>
      <c r="AY58" s="32"/>
      <c r="AZ58" s="146"/>
      <c r="BA58" s="32"/>
      <c r="BB58" s="146"/>
      <c r="BC58" s="32"/>
      <c r="BD58" s="146"/>
      <c r="BE58" s="32"/>
      <c r="BF58" s="146"/>
      <c r="BG58" s="32"/>
      <c r="BH58" s="146"/>
      <c r="BI58" s="32"/>
      <c r="BJ58" s="146"/>
      <c r="BK58" s="32"/>
      <c r="BL58" s="146"/>
      <c r="BM58" s="32"/>
      <c r="BN58" s="146"/>
      <c r="BO58" s="32"/>
      <c r="BP58" s="146"/>
      <c r="BQ58" s="32"/>
      <c r="BR58" s="146"/>
      <c r="BS58" s="32"/>
      <c r="BT58" s="146">
        <v>491</v>
      </c>
      <c r="BU58" s="32">
        <v>151</v>
      </c>
      <c r="BV58" s="146">
        <v>492</v>
      </c>
      <c r="BW58" s="32">
        <v>146</v>
      </c>
    </row>
    <row r="59" spans="1:75" ht="13" x14ac:dyDescent="0.25">
      <c r="A59" s="186">
        <v>705</v>
      </c>
      <c r="B59" s="187" t="s">
        <v>81</v>
      </c>
      <c r="C59" s="46">
        <v>603</v>
      </c>
      <c r="D59" s="142">
        <v>415</v>
      </c>
      <c r="E59" s="145">
        <f t="shared" si="0"/>
        <v>0.6882255389718076</v>
      </c>
      <c r="F59" s="146">
        <v>315</v>
      </c>
      <c r="G59" s="32">
        <v>78</v>
      </c>
      <c r="H59" s="146"/>
      <c r="I59" s="32"/>
      <c r="J59" s="146"/>
      <c r="K59" s="32"/>
      <c r="L59" s="146"/>
      <c r="M59" s="32"/>
      <c r="N59" s="146"/>
      <c r="O59" s="32"/>
      <c r="P59" s="146"/>
      <c r="Q59" s="32"/>
      <c r="R59" s="146"/>
      <c r="S59" s="32"/>
      <c r="T59" s="146"/>
      <c r="U59" s="32"/>
      <c r="V59" s="146"/>
      <c r="W59" s="32"/>
      <c r="X59" s="146"/>
      <c r="Y59" s="32"/>
      <c r="Z59" s="146"/>
      <c r="AA59" s="32"/>
      <c r="AB59" s="146"/>
      <c r="AC59" s="32"/>
      <c r="AD59" s="146"/>
      <c r="AE59" s="32"/>
      <c r="AF59" s="146"/>
      <c r="AG59" s="32"/>
      <c r="AH59" s="146"/>
      <c r="AI59" s="32"/>
      <c r="AJ59" s="146"/>
      <c r="AK59" s="32"/>
      <c r="AL59" s="146"/>
      <c r="AM59" s="32"/>
      <c r="AN59" s="146"/>
      <c r="AO59" s="32"/>
      <c r="AP59" s="146"/>
      <c r="AQ59" s="32"/>
      <c r="AR59" s="146"/>
      <c r="AS59" s="32"/>
      <c r="AT59" s="146"/>
      <c r="AU59" s="32"/>
      <c r="AV59" s="146"/>
      <c r="AW59" s="32"/>
      <c r="AX59" s="146"/>
      <c r="AY59" s="32"/>
      <c r="AZ59" s="146"/>
      <c r="BA59" s="32"/>
      <c r="BB59" s="146"/>
      <c r="BC59" s="32"/>
      <c r="BD59" s="146"/>
      <c r="BE59" s="32"/>
      <c r="BF59" s="146"/>
      <c r="BG59" s="32"/>
      <c r="BH59" s="146"/>
      <c r="BI59" s="32"/>
      <c r="BJ59" s="146"/>
      <c r="BK59" s="32"/>
      <c r="BL59" s="146"/>
      <c r="BM59" s="32"/>
      <c r="BN59" s="146"/>
      <c r="BO59" s="32"/>
      <c r="BP59" s="146"/>
      <c r="BQ59" s="32"/>
      <c r="BR59" s="146"/>
      <c r="BS59" s="32"/>
      <c r="BT59" s="146">
        <v>284</v>
      </c>
      <c r="BU59" s="32">
        <v>109</v>
      </c>
      <c r="BV59" s="146">
        <v>289</v>
      </c>
      <c r="BW59" s="32">
        <v>103</v>
      </c>
    </row>
    <row r="60" spans="1:75" ht="13" x14ac:dyDescent="0.25">
      <c r="A60" s="186">
        <v>706</v>
      </c>
      <c r="B60" s="187" t="s">
        <v>82</v>
      </c>
      <c r="C60" s="46">
        <v>904</v>
      </c>
      <c r="D60" s="142">
        <v>515</v>
      </c>
      <c r="E60" s="145">
        <f t="shared" si="0"/>
        <v>0.56969026548672563</v>
      </c>
      <c r="F60" s="146">
        <v>390</v>
      </c>
      <c r="G60" s="32">
        <v>90</v>
      </c>
      <c r="H60" s="146"/>
      <c r="I60" s="32"/>
      <c r="J60" s="146"/>
      <c r="K60" s="32"/>
      <c r="L60" s="146"/>
      <c r="M60" s="32"/>
      <c r="N60" s="146"/>
      <c r="O60" s="32"/>
      <c r="P60" s="146"/>
      <c r="Q60" s="32"/>
      <c r="R60" s="146"/>
      <c r="S60" s="32"/>
      <c r="T60" s="146"/>
      <c r="U60" s="32"/>
      <c r="V60" s="146"/>
      <c r="W60" s="32"/>
      <c r="X60" s="146"/>
      <c r="Y60" s="32"/>
      <c r="Z60" s="146"/>
      <c r="AA60" s="32"/>
      <c r="AB60" s="146"/>
      <c r="AC60" s="32"/>
      <c r="AD60" s="146"/>
      <c r="AE60" s="32"/>
      <c r="AF60" s="146"/>
      <c r="AG60" s="32"/>
      <c r="AH60" s="146"/>
      <c r="AI60" s="32"/>
      <c r="AJ60" s="146"/>
      <c r="AK60" s="32"/>
      <c r="AL60" s="146"/>
      <c r="AM60" s="32"/>
      <c r="AN60" s="146"/>
      <c r="AO60" s="32"/>
      <c r="AP60" s="146"/>
      <c r="AQ60" s="32"/>
      <c r="AR60" s="146"/>
      <c r="AS60" s="32"/>
      <c r="AT60" s="146"/>
      <c r="AU60" s="32"/>
      <c r="AV60" s="146"/>
      <c r="AW60" s="32"/>
      <c r="AX60" s="146"/>
      <c r="AY60" s="32"/>
      <c r="AZ60" s="146"/>
      <c r="BA60" s="32"/>
      <c r="BB60" s="146"/>
      <c r="BC60" s="32"/>
      <c r="BD60" s="146"/>
      <c r="BE60" s="32"/>
      <c r="BF60" s="146"/>
      <c r="BG60" s="32"/>
      <c r="BH60" s="146"/>
      <c r="BI60" s="32"/>
      <c r="BJ60" s="146"/>
      <c r="BK60" s="32"/>
      <c r="BL60" s="146"/>
      <c r="BM60" s="32"/>
      <c r="BN60" s="146"/>
      <c r="BO60" s="32"/>
      <c r="BP60" s="146"/>
      <c r="BQ60" s="32"/>
      <c r="BR60" s="146"/>
      <c r="BS60" s="32"/>
      <c r="BT60" s="146">
        <v>365</v>
      </c>
      <c r="BU60" s="32">
        <v>121</v>
      </c>
      <c r="BV60" s="146">
        <v>391</v>
      </c>
      <c r="BW60" s="32">
        <v>93</v>
      </c>
    </row>
    <row r="61" spans="1:75" ht="13" x14ac:dyDescent="0.25">
      <c r="A61" s="186">
        <v>707</v>
      </c>
      <c r="B61" s="187" t="s">
        <v>83</v>
      </c>
      <c r="C61" s="46">
        <v>1280</v>
      </c>
      <c r="D61" s="142">
        <v>722</v>
      </c>
      <c r="E61" s="145">
        <f t="shared" si="0"/>
        <v>0.56406250000000002</v>
      </c>
      <c r="F61" s="146">
        <v>552</v>
      </c>
      <c r="G61" s="32">
        <v>130</v>
      </c>
      <c r="H61" s="146"/>
      <c r="I61" s="32"/>
      <c r="J61" s="146"/>
      <c r="K61" s="32"/>
      <c r="L61" s="146"/>
      <c r="M61" s="32"/>
      <c r="N61" s="146"/>
      <c r="O61" s="32"/>
      <c r="P61" s="146"/>
      <c r="Q61" s="32"/>
      <c r="R61" s="146"/>
      <c r="S61" s="32"/>
      <c r="T61" s="146"/>
      <c r="U61" s="32"/>
      <c r="V61" s="146"/>
      <c r="W61" s="32"/>
      <c r="X61" s="146"/>
      <c r="Y61" s="32"/>
      <c r="Z61" s="146"/>
      <c r="AA61" s="32"/>
      <c r="AB61" s="146"/>
      <c r="AC61" s="32"/>
      <c r="AD61" s="146"/>
      <c r="AE61" s="32"/>
      <c r="AF61" s="146"/>
      <c r="AG61" s="32"/>
      <c r="AH61" s="146"/>
      <c r="AI61" s="32"/>
      <c r="AJ61" s="146"/>
      <c r="AK61" s="32"/>
      <c r="AL61" s="146"/>
      <c r="AM61" s="32"/>
      <c r="AN61" s="146"/>
      <c r="AO61" s="32"/>
      <c r="AP61" s="146"/>
      <c r="AQ61" s="32"/>
      <c r="AR61" s="146"/>
      <c r="AS61" s="32"/>
      <c r="AT61" s="146"/>
      <c r="AU61" s="32"/>
      <c r="AV61" s="146"/>
      <c r="AW61" s="32"/>
      <c r="AX61" s="146"/>
      <c r="AY61" s="32"/>
      <c r="AZ61" s="146"/>
      <c r="BA61" s="32"/>
      <c r="BB61" s="146"/>
      <c r="BC61" s="32"/>
      <c r="BD61" s="146"/>
      <c r="BE61" s="32"/>
      <c r="BF61" s="146"/>
      <c r="BG61" s="32"/>
      <c r="BH61" s="146"/>
      <c r="BI61" s="32"/>
      <c r="BJ61" s="146"/>
      <c r="BK61" s="32"/>
      <c r="BL61" s="146"/>
      <c r="BM61" s="32"/>
      <c r="BN61" s="146"/>
      <c r="BO61" s="32"/>
      <c r="BP61" s="146"/>
      <c r="BQ61" s="32"/>
      <c r="BR61" s="146"/>
      <c r="BS61" s="32"/>
      <c r="BT61" s="146">
        <v>528</v>
      </c>
      <c r="BU61" s="32">
        <v>166</v>
      </c>
      <c r="BV61" s="146">
        <v>540</v>
      </c>
      <c r="BW61" s="32">
        <v>151</v>
      </c>
    </row>
    <row r="62" spans="1:75" ht="13" x14ac:dyDescent="0.25">
      <c r="A62" s="186">
        <v>708</v>
      </c>
      <c r="B62" s="187" t="s">
        <v>84</v>
      </c>
      <c r="C62" s="46">
        <v>1178</v>
      </c>
      <c r="D62" s="142">
        <v>621</v>
      </c>
      <c r="E62" s="145">
        <f t="shared" si="0"/>
        <v>0.52716468590831922</v>
      </c>
      <c r="F62" s="146">
        <v>476</v>
      </c>
      <c r="G62" s="32">
        <v>90</v>
      </c>
      <c r="H62" s="146"/>
      <c r="I62" s="32"/>
      <c r="J62" s="146"/>
      <c r="K62" s="32"/>
      <c r="L62" s="146"/>
      <c r="M62" s="32"/>
      <c r="N62" s="146"/>
      <c r="O62" s="32"/>
      <c r="P62" s="146"/>
      <c r="Q62" s="32"/>
      <c r="R62" s="146"/>
      <c r="S62" s="32"/>
      <c r="T62" s="146"/>
      <c r="U62" s="32"/>
      <c r="V62" s="146"/>
      <c r="W62" s="32"/>
      <c r="X62" s="146"/>
      <c r="Y62" s="32"/>
      <c r="Z62" s="146"/>
      <c r="AA62" s="32"/>
      <c r="AB62" s="146"/>
      <c r="AC62" s="32"/>
      <c r="AD62" s="146"/>
      <c r="AE62" s="32"/>
      <c r="AF62" s="146"/>
      <c r="AG62" s="32"/>
      <c r="AH62" s="146"/>
      <c r="AI62" s="32"/>
      <c r="AJ62" s="146"/>
      <c r="AK62" s="32"/>
      <c r="AL62" s="146"/>
      <c r="AM62" s="32"/>
      <c r="AN62" s="146"/>
      <c r="AO62" s="32"/>
      <c r="AP62" s="146"/>
      <c r="AQ62" s="32"/>
      <c r="AR62" s="146"/>
      <c r="AS62" s="32"/>
      <c r="AT62" s="146"/>
      <c r="AU62" s="32"/>
      <c r="AV62" s="146"/>
      <c r="AW62" s="32"/>
      <c r="AX62" s="146"/>
      <c r="AY62" s="32"/>
      <c r="AZ62" s="146"/>
      <c r="BA62" s="32"/>
      <c r="BB62" s="146"/>
      <c r="BC62" s="32"/>
      <c r="BD62" s="146"/>
      <c r="BE62" s="32"/>
      <c r="BF62" s="146"/>
      <c r="BG62" s="32"/>
      <c r="BH62" s="146"/>
      <c r="BI62" s="32"/>
      <c r="BJ62" s="146"/>
      <c r="BK62" s="32"/>
      <c r="BL62" s="146"/>
      <c r="BM62" s="32"/>
      <c r="BN62" s="146"/>
      <c r="BO62" s="32"/>
      <c r="BP62" s="146"/>
      <c r="BQ62" s="32"/>
      <c r="BR62" s="146"/>
      <c r="BS62" s="32"/>
      <c r="BT62" s="146">
        <v>444</v>
      </c>
      <c r="BU62" s="32">
        <v>136</v>
      </c>
      <c r="BV62" s="146">
        <v>454</v>
      </c>
      <c r="BW62" s="32">
        <v>127</v>
      </c>
    </row>
    <row r="63" spans="1:75" ht="13" x14ac:dyDescent="0.25">
      <c r="A63" s="186">
        <v>709</v>
      </c>
      <c r="B63" s="187" t="s">
        <v>85</v>
      </c>
      <c r="C63" s="46">
        <v>1135</v>
      </c>
      <c r="D63" s="142">
        <v>730</v>
      </c>
      <c r="E63" s="145">
        <f t="shared" si="0"/>
        <v>0.64317180616740088</v>
      </c>
      <c r="F63" s="146">
        <v>551</v>
      </c>
      <c r="G63" s="32">
        <v>147</v>
      </c>
      <c r="H63" s="146"/>
      <c r="I63" s="32"/>
      <c r="J63" s="146"/>
      <c r="K63" s="32"/>
      <c r="L63" s="146"/>
      <c r="M63" s="32"/>
      <c r="N63" s="146"/>
      <c r="O63" s="32"/>
      <c r="P63" s="146"/>
      <c r="Q63" s="32"/>
      <c r="R63" s="146"/>
      <c r="S63" s="32"/>
      <c r="T63" s="146"/>
      <c r="U63" s="32"/>
      <c r="V63" s="146"/>
      <c r="W63" s="32"/>
      <c r="X63" s="146"/>
      <c r="Y63" s="32"/>
      <c r="Z63" s="146"/>
      <c r="AA63" s="32"/>
      <c r="AB63" s="146"/>
      <c r="AC63" s="32"/>
      <c r="AD63" s="146"/>
      <c r="AE63" s="32"/>
      <c r="AF63" s="146"/>
      <c r="AG63" s="32"/>
      <c r="AH63" s="146"/>
      <c r="AI63" s="32"/>
      <c r="AJ63" s="146"/>
      <c r="AK63" s="32"/>
      <c r="AL63" s="146"/>
      <c r="AM63" s="32"/>
      <c r="AN63" s="146"/>
      <c r="AO63" s="32"/>
      <c r="AP63" s="146"/>
      <c r="AQ63" s="32"/>
      <c r="AR63" s="146"/>
      <c r="AS63" s="32"/>
      <c r="AT63" s="146"/>
      <c r="AU63" s="32"/>
      <c r="AV63" s="146"/>
      <c r="AW63" s="32"/>
      <c r="AX63" s="146"/>
      <c r="AY63" s="32"/>
      <c r="AZ63" s="146"/>
      <c r="BA63" s="32"/>
      <c r="BB63" s="146"/>
      <c r="BC63" s="32"/>
      <c r="BD63" s="146"/>
      <c r="BE63" s="32"/>
      <c r="BF63" s="146"/>
      <c r="BG63" s="32"/>
      <c r="BH63" s="146"/>
      <c r="BI63" s="32"/>
      <c r="BJ63" s="146"/>
      <c r="BK63" s="32"/>
      <c r="BL63" s="146"/>
      <c r="BM63" s="32"/>
      <c r="BN63" s="146"/>
      <c r="BO63" s="32"/>
      <c r="BP63" s="146"/>
      <c r="BQ63" s="32"/>
      <c r="BR63" s="146"/>
      <c r="BS63" s="32"/>
      <c r="BT63" s="146">
        <v>525</v>
      </c>
      <c r="BU63" s="32">
        <v>169</v>
      </c>
      <c r="BV63" s="146">
        <v>537</v>
      </c>
      <c r="BW63" s="32">
        <v>155</v>
      </c>
    </row>
    <row r="64" spans="1:75" ht="13" x14ac:dyDescent="0.25">
      <c r="A64" s="186">
        <v>710</v>
      </c>
      <c r="B64" s="187" t="s">
        <v>86</v>
      </c>
      <c r="C64" s="46">
        <v>529</v>
      </c>
      <c r="D64" s="142">
        <v>247</v>
      </c>
      <c r="E64" s="145">
        <f t="shared" si="0"/>
        <v>0.46691871455576561</v>
      </c>
      <c r="F64" s="146">
        <v>181</v>
      </c>
      <c r="G64" s="32">
        <v>52</v>
      </c>
      <c r="H64" s="146"/>
      <c r="I64" s="32"/>
      <c r="J64" s="146"/>
      <c r="K64" s="32"/>
      <c r="L64" s="146"/>
      <c r="M64" s="32"/>
      <c r="N64" s="146"/>
      <c r="O64" s="32"/>
      <c r="P64" s="146"/>
      <c r="Q64" s="32"/>
      <c r="R64" s="146"/>
      <c r="S64" s="32"/>
      <c r="T64" s="146"/>
      <c r="U64" s="32"/>
      <c r="V64" s="146"/>
      <c r="W64" s="32"/>
      <c r="X64" s="146"/>
      <c r="Y64" s="32"/>
      <c r="Z64" s="146"/>
      <c r="AA64" s="32"/>
      <c r="AB64" s="146"/>
      <c r="AC64" s="32"/>
      <c r="AD64" s="146"/>
      <c r="AE64" s="32"/>
      <c r="AF64" s="146"/>
      <c r="AG64" s="32"/>
      <c r="AH64" s="146"/>
      <c r="AI64" s="32"/>
      <c r="AJ64" s="146"/>
      <c r="AK64" s="32"/>
      <c r="AL64" s="146"/>
      <c r="AM64" s="32"/>
      <c r="AN64" s="146"/>
      <c r="AO64" s="32"/>
      <c r="AP64" s="146"/>
      <c r="AQ64" s="32"/>
      <c r="AR64" s="146"/>
      <c r="AS64" s="32"/>
      <c r="AT64" s="146"/>
      <c r="AU64" s="32"/>
      <c r="AV64" s="146"/>
      <c r="AW64" s="32"/>
      <c r="AX64" s="146"/>
      <c r="AY64" s="32"/>
      <c r="AZ64" s="146"/>
      <c r="BA64" s="32"/>
      <c r="BB64" s="146"/>
      <c r="BC64" s="32"/>
      <c r="BD64" s="146"/>
      <c r="BE64" s="32"/>
      <c r="BF64" s="146"/>
      <c r="BG64" s="32"/>
      <c r="BH64" s="146"/>
      <c r="BI64" s="32"/>
      <c r="BJ64" s="146"/>
      <c r="BK64" s="32"/>
      <c r="BL64" s="146"/>
      <c r="BM64" s="32"/>
      <c r="BN64" s="146"/>
      <c r="BO64" s="32"/>
      <c r="BP64" s="146"/>
      <c r="BQ64" s="32"/>
      <c r="BR64" s="146"/>
      <c r="BS64" s="32"/>
      <c r="BT64" s="146">
        <v>181</v>
      </c>
      <c r="BU64" s="32">
        <v>51</v>
      </c>
      <c r="BV64" s="146">
        <v>186</v>
      </c>
      <c r="BW64" s="32">
        <v>45</v>
      </c>
    </row>
    <row r="65" spans="1:75" ht="13" x14ac:dyDescent="0.25">
      <c r="A65" s="186">
        <v>711</v>
      </c>
      <c r="B65" s="187" t="s">
        <v>87</v>
      </c>
      <c r="C65" s="46">
        <v>1073</v>
      </c>
      <c r="D65" s="142">
        <v>642</v>
      </c>
      <c r="E65" s="145">
        <f t="shared" si="0"/>
        <v>0.59832246039142589</v>
      </c>
      <c r="F65" s="146">
        <v>477</v>
      </c>
      <c r="G65" s="32">
        <v>124</v>
      </c>
      <c r="H65" s="146"/>
      <c r="I65" s="32"/>
      <c r="J65" s="146"/>
      <c r="K65" s="32"/>
      <c r="L65" s="146"/>
      <c r="M65" s="32"/>
      <c r="N65" s="146"/>
      <c r="O65" s="32"/>
      <c r="P65" s="146"/>
      <c r="Q65" s="32"/>
      <c r="R65" s="146"/>
      <c r="S65" s="32"/>
      <c r="T65" s="146"/>
      <c r="U65" s="32"/>
      <c r="V65" s="146"/>
      <c r="W65" s="32"/>
      <c r="X65" s="146"/>
      <c r="Y65" s="32"/>
      <c r="Z65" s="146"/>
      <c r="AA65" s="32"/>
      <c r="AB65" s="146"/>
      <c r="AC65" s="32"/>
      <c r="AD65" s="146"/>
      <c r="AE65" s="32"/>
      <c r="AF65" s="146"/>
      <c r="AG65" s="32"/>
      <c r="AH65" s="146"/>
      <c r="AI65" s="32"/>
      <c r="AJ65" s="146"/>
      <c r="AK65" s="32"/>
      <c r="AL65" s="146"/>
      <c r="AM65" s="32"/>
      <c r="AN65" s="146"/>
      <c r="AO65" s="32"/>
      <c r="AP65" s="146"/>
      <c r="AQ65" s="32"/>
      <c r="AR65" s="146"/>
      <c r="AS65" s="32"/>
      <c r="AT65" s="146"/>
      <c r="AU65" s="32"/>
      <c r="AV65" s="146"/>
      <c r="AW65" s="32"/>
      <c r="AX65" s="146"/>
      <c r="AY65" s="32"/>
      <c r="AZ65" s="146"/>
      <c r="BA65" s="32"/>
      <c r="BB65" s="146"/>
      <c r="BC65" s="32"/>
      <c r="BD65" s="146"/>
      <c r="BE65" s="32"/>
      <c r="BF65" s="146"/>
      <c r="BG65" s="32"/>
      <c r="BH65" s="146"/>
      <c r="BI65" s="32"/>
      <c r="BJ65" s="146"/>
      <c r="BK65" s="32"/>
      <c r="BL65" s="146"/>
      <c r="BM65" s="32"/>
      <c r="BN65" s="146"/>
      <c r="BO65" s="32"/>
      <c r="BP65" s="146"/>
      <c r="BQ65" s="32"/>
      <c r="BR65" s="146"/>
      <c r="BS65" s="32"/>
      <c r="BT65" s="146">
        <v>448</v>
      </c>
      <c r="BU65" s="32">
        <v>159</v>
      </c>
      <c r="BV65" s="146">
        <v>459</v>
      </c>
      <c r="BW65" s="32">
        <v>143</v>
      </c>
    </row>
    <row r="66" spans="1:75" ht="13" x14ac:dyDescent="0.25">
      <c r="A66" s="186">
        <v>801</v>
      </c>
      <c r="B66" s="187" t="s">
        <v>88</v>
      </c>
      <c r="C66" s="46">
        <v>1518</v>
      </c>
      <c r="D66" s="142">
        <v>721</v>
      </c>
      <c r="E66" s="145">
        <f t="shared" si="0"/>
        <v>0.47496706192358368</v>
      </c>
      <c r="F66" s="146">
        <v>564</v>
      </c>
      <c r="G66" s="32">
        <v>119</v>
      </c>
      <c r="H66" s="146"/>
      <c r="I66" s="32"/>
      <c r="J66" s="146"/>
      <c r="K66" s="32"/>
      <c r="L66" s="146"/>
      <c r="M66" s="32"/>
      <c r="N66" s="146"/>
      <c r="O66" s="32"/>
      <c r="P66" s="146"/>
      <c r="Q66" s="32"/>
      <c r="R66" s="146"/>
      <c r="S66" s="32"/>
      <c r="T66" s="146"/>
      <c r="U66" s="32"/>
      <c r="V66" s="146"/>
      <c r="W66" s="32"/>
      <c r="X66" s="146"/>
      <c r="Y66" s="32"/>
      <c r="Z66" s="146"/>
      <c r="AA66" s="32"/>
      <c r="AB66" s="146"/>
      <c r="AC66" s="32"/>
      <c r="AD66" s="146"/>
      <c r="AE66" s="32"/>
      <c r="AF66" s="146"/>
      <c r="AG66" s="32"/>
      <c r="AH66" s="146"/>
      <c r="AI66" s="32"/>
      <c r="AJ66" s="146"/>
      <c r="AK66" s="32"/>
      <c r="AL66" s="146"/>
      <c r="AM66" s="32"/>
      <c r="AN66" s="146"/>
      <c r="AO66" s="32"/>
      <c r="AP66" s="146"/>
      <c r="AQ66" s="32"/>
      <c r="AR66" s="146"/>
      <c r="AS66" s="32"/>
      <c r="AT66" s="146"/>
      <c r="AU66" s="32"/>
      <c r="AV66" s="146"/>
      <c r="AW66" s="32"/>
      <c r="AX66" s="146"/>
      <c r="AY66" s="32"/>
      <c r="AZ66" s="146"/>
      <c r="BA66" s="32"/>
      <c r="BB66" s="146"/>
      <c r="BC66" s="32"/>
      <c r="BD66" s="146"/>
      <c r="BE66" s="32"/>
      <c r="BF66" s="146"/>
      <c r="BG66" s="32"/>
      <c r="BH66" s="146"/>
      <c r="BI66" s="32"/>
      <c r="BJ66" s="146"/>
      <c r="BK66" s="32"/>
      <c r="BL66" s="146"/>
      <c r="BM66" s="32"/>
      <c r="BN66" s="146"/>
      <c r="BO66" s="32"/>
      <c r="BP66" s="146"/>
      <c r="BQ66" s="32"/>
      <c r="BR66" s="146"/>
      <c r="BS66" s="32"/>
      <c r="BT66" s="146">
        <v>527</v>
      </c>
      <c r="BU66" s="32">
        <v>152</v>
      </c>
      <c r="BV66" s="146">
        <v>548</v>
      </c>
      <c r="BW66" s="32">
        <v>133</v>
      </c>
    </row>
    <row r="67" spans="1:75" ht="13" x14ac:dyDescent="0.25">
      <c r="A67" s="186">
        <v>802</v>
      </c>
      <c r="B67" s="187" t="s">
        <v>89</v>
      </c>
      <c r="C67" s="46">
        <v>1366</v>
      </c>
      <c r="D67" s="142">
        <v>835</v>
      </c>
      <c r="E67" s="145">
        <f t="shared" si="0"/>
        <v>0.61127379209370425</v>
      </c>
      <c r="F67" s="146">
        <v>611</v>
      </c>
      <c r="G67" s="32">
        <v>201</v>
      </c>
      <c r="H67" s="146"/>
      <c r="I67" s="32"/>
      <c r="J67" s="146"/>
      <c r="K67" s="32"/>
      <c r="L67" s="146"/>
      <c r="M67" s="32"/>
      <c r="N67" s="146"/>
      <c r="O67" s="32"/>
      <c r="P67" s="146"/>
      <c r="Q67" s="32"/>
      <c r="R67" s="146"/>
      <c r="S67" s="32"/>
      <c r="T67" s="146"/>
      <c r="U67" s="32"/>
      <c r="V67" s="146"/>
      <c r="W67" s="32"/>
      <c r="X67" s="146"/>
      <c r="Y67" s="32"/>
      <c r="Z67" s="146"/>
      <c r="AA67" s="32"/>
      <c r="AB67" s="146"/>
      <c r="AC67" s="32"/>
      <c r="AD67" s="146"/>
      <c r="AE67" s="32"/>
      <c r="AF67" s="146"/>
      <c r="AG67" s="32"/>
      <c r="AH67" s="146"/>
      <c r="AI67" s="32"/>
      <c r="AJ67" s="146"/>
      <c r="AK67" s="32"/>
      <c r="AL67" s="146"/>
      <c r="AM67" s="32"/>
      <c r="AN67" s="146"/>
      <c r="AO67" s="32"/>
      <c r="AP67" s="146"/>
      <c r="AQ67" s="32"/>
      <c r="AR67" s="146"/>
      <c r="AS67" s="32"/>
      <c r="AT67" s="146"/>
      <c r="AU67" s="32"/>
      <c r="AV67" s="146"/>
      <c r="AW67" s="32"/>
      <c r="AX67" s="146"/>
      <c r="AY67" s="32"/>
      <c r="AZ67" s="146"/>
      <c r="BA67" s="32"/>
      <c r="BB67" s="146"/>
      <c r="BC67" s="32"/>
      <c r="BD67" s="146"/>
      <c r="BE67" s="32"/>
      <c r="BF67" s="146"/>
      <c r="BG67" s="32"/>
      <c r="BH67" s="146"/>
      <c r="BI67" s="32"/>
      <c r="BJ67" s="146"/>
      <c r="BK67" s="32"/>
      <c r="BL67" s="146"/>
      <c r="BM67" s="32"/>
      <c r="BN67" s="146"/>
      <c r="BO67" s="32"/>
      <c r="BP67" s="146"/>
      <c r="BQ67" s="32"/>
      <c r="BR67" s="146"/>
      <c r="BS67" s="32"/>
      <c r="BT67" s="146">
        <v>649</v>
      </c>
      <c r="BU67" s="32">
        <v>153</v>
      </c>
      <c r="BV67" s="146">
        <v>667</v>
      </c>
      <c r="BW67" s="32">
        <v>134</v>
      </c>
    </row>
    <row r="68" spans="1:75" ht="13" x14ac:dyDescent="0.25">
      <c r="A68" s="186">
        <v>803</v>
      </c>
      <c r="B68" s="187" t="s">
        <v>90</v>
      </c>
      <c r="C68" s="46">
        <v>1576</v>
      </c>
      <c r="D68" s="142">
        <v>1106</v>
      </c>
      <c r="E68" s="145">
        <f t="shared" si="0"/>
        <v>0.70177664974619292</v>
      </c>
      <c r="F68" s="146">
        <v>693</v>
      </c>
      <c r="G68" s="32">
        <v>379</v>
      </c>
      <c r="H68" s="146"/>
      <c r="I68" s="32"/>
      <c r="J68" s="146"/>
      <c r="K68" s="32"/>
      <c r="L68" s="146"/>
      <c r="M68" s="32"/>
      <c r="N68" s="146"/>
      <c r="O68" s="32"/>
      <c r="P68" s="146"/>
      <c r="Q68" s="32"/>
      <c r="R68" s="146"/>
      <c r="S68" s="32"/>
      <c r="T68" s="146"/>
      <c r="U68" s="32"/>
      <c r="V68" s="146"/>
      <c r="W68" s="32"/>
      <c r="X68" s="146"/>
      <c r="Y68" s="32"/>
      <c r="Z68" s="146"/>
      <c r="AA68" s="32"/>
      <c r="AB68" s="146"/>
      <c r="AC68" s="32"/>
      <c r="AD68" s="146"/>
      <c r="AE68" s="32"/>
      <c r="AF68" s="146"/>
      <c r="AG68" s="32"/>
      <c r="AH68" s="146"/>
      <c r="AI68" s="32"/>
      <c r="AJ68" s="146"/>
      <c r="AK68" s="32"/>
      <c r="AL68" s="146"/>
      <c r="AM68" s="32"/>
      <c r="AN68" s="146"/>
      <c r="AO68" s="32"/>
      <c r="AP68" s="146"/>
      <c r="AQ68" s="32"/>
      <c r="AR68" s="146"/>
      <c r="AS68" s="32"/>
      <c r="AT68" s="146"/>
      <c r="AU68" s="32"/>
      <c r="AV68" s="146"/>
      <c r="AW68" s="32"/>
      <c r="AX68" s="146"/>
      <c r="AY68" s="32"/>
      <c r="AZ68" s="146"/>
      <c r="BA68" s="32"/>
      <c r="BB68" s="146"/>
      <c r="BC68" s="32"/>
      <c r="BD68" s="146"/>
      <c r="BE68" s="32"/>
      <c r="BF68" s="146"/>
      <c r="BG68" s="32"/>
      <c r="BH68" s="146"/>
      <c r="BI68" s="32"/>
      <c r="BJ68" s="146"/>
      <c r="BK68" s="32"/>
      <c r="BL68" s="146"/>
      <c r="BM68" s="32"/>
      <c r="BN68" s="146"/>
      <c r="BO68" s="32"/>
      <c r="BP68" s="146"/>
      <c r="BQ68" s="32"/>
      <c r="BR68" s="146"/>
      <c r="BS68" s="32"/>
      <c r="BT68" s="146">
        <v>721</v>
      </c>
      <c r="BU68" s="32">
        <v>328</v>
      </c>
      <c r="BV68" s="146">
        <v>736</v>
      </c>
      <c r="BW68" s="32">
        <v>313</v>
      </c>
    </row>
    <row r="69" spans="1:75" ht="13" x14ac:dyDescent="0.25">
      <c r="A69" s="186">
        <v>804</v>
      </c>
      <c r="B69" s="187" t="s">
        <v>91</v>
      </c>
      <c r="C69" s="46">
        <v>1614</v>
      </c>
      <c r="D69" s="142">
        <v>769</v>
      </c>
      <c r="E69" s="145">
        <f t="shared" si="0"/>
        <v>0.47645600991325898</v>
      </c>
      <c r="F69" s="146">
        <v>621</v>
      </c>
      <c r="G69" s="32">
        <v>119</v>
      </c>
      <c r="H69" s="146"/>
      <c r="I69" s="32"/>
      <c r="J69" s="146"/>
      <c r="K69" s="32"/>
      <c r="L69" s="146"/>
      <c r="M69" s="32"/>
      <c r="N69" s="146"/>
      <c r="O69" s="32"/>
      <c r="P69" s="146"/>
      <c r="Q69" s="32"/>
      <c r="R69" s="146"/>
      <c r="S69" s="32"/>
      <c r="T69" s="146"/>
      <c r="U69" s="32"/>
      <c r="V69" s="146"/>
      <c r="W69" s="32"/>
      <c r="X69" s="146"/>
      <c r="Y69" s="32"/>
      <c r="Z69" s="146"/>
      <c r="AA69" s="32"/>
      <c r="AB69" s="146"/>
      <c r="AC69" s="32"/>
      <c r="AD69" s="146"/>
      <c r="AE69" s="32"/>
      <c r="AF69" s="146"/>
      <c r="AG69" s="32"/>
      <c r="AH69" s="146"/>
      <c r="AI69" s="32"/>
      <c r="AJ69" s="146"/>
      <c r="AK69" s="32"/>
      <c r="AL69" s="146"/>
      <c r="AM69" s="32"/>
      <c r="AN69" s="146"/>
      <c r="AO69" s="32"/>
      <c r="AP69" s="146"/>
      <c r="AQ69" s="32"/>
      <c r="AR69" s="146"/>
      <c r="AS69" s="32"/>
      <c r="AT69" s="146"/>
      <c r="AU69" s="32"/>
      <c r="AV69" s="146"/>
      <c r="AW69" s="32"/>
      <c r="AX69" s="146"/>
      <c r="AY69" s="32"/>
      <c r="AZ69" s="146"/>
      <c r="BA69" s="32"/>
      <c r="BB69" s="146"/>
      <c r="BC69" s="32"/>
      <c r="BD69" s="146"/>
      <c r="BE69" s="32"/>
      <c r="BF69" s="146"/>
      <c r="BG69" s="32"/>
      <c r="BH69" s="146"/>
      <c r="BI69" s="32"/>
      <c r="BJ69" s="146"/>
      <c r="BK69" s="32"/>
      <c r="BL69" s="146"/>
      <c r="BM69" s="32"/>
      <c r="BN69" s="146"/>
      <c r="BO69" s="32"/>
      <c r="BP69" s="146"/>
      <c r="BQ69" s="32"/>
      <c r="BR69" s="146"/>
      <c r="BS69" s="32"/>
      <c r="BT69" s="146">
        <v>616</v>
      </c>
      <c r="BU69" s="32">
        <v>127</v>
      </c>
      <c r="BV69" s="146">
        <v>635</v>
      </c>
      <c r="BW69" s="32">
        <v>112</v>
      </c>
    </row>
    <row r="70" spans="1:75" ht="13" x14ac:dyDescent="0.25">
      <c r="A70" s="186">
        <v>901</v>
      </c>
      <c r="B70" s="187" t="s">
        <v>92</v>
      </c>
      <c r="C70" s="46">
        <v>850</v>
      </c>
      <c r="D70" s="142">
        <v>329</v>
      </c>
      <c r="E70" s="145">
        <f t="shared" si="0"/>
        <v>0.38705882352941179</v>
      </c>
      <c r="F70" s="146">
        <v>251</v>
      </c>
      <c r="G70" s="32">
        <v>56</v>
      </c>
      <c r="H70" s="146"/>
      <c r="I70" s="32"/>
      <c r="J70" s="146"/>
      <c r="K70" s="32"/>
      <c r="L70" s="146"/>
      <c r="M70" s="32"/>
      <c r="N70" s="146"/>
      <c r="O70" s="32"/>
      <c r="P70" s="146"/>
      <c r="Q70" s="32"/>
      <c r="R70" s="146"/>
      <c r="S70" s="32"/>
      <c r="T70" s="146"/>
      <c r="U70" s="32"/>
      <c r="V70" s="146"/>
      <c r="W70" s="32"/>
      <c r="X70" s="146"/>
      <c r="Y70" s="32"/>
      <c r="Z70" s="146"/>
      <c r="AA70" s="32"/>
      <c r="AB70" s="146"/>
      <c r="AC70" s="32"/>
      <c r="AD70" s="146"/>
      <c r="AE70" s="32"/>
      <c r="AF70" s="146"/>
      <c r="AG70" s="32"/>
      <c r="AH70" s="146"/>
      <c r="AI70" s="32"/>
      <c r="AJ70" s="146"/>
      <c r="AK70" s="32"/>
      <c r="AL70" s="146"/>
      <c r="AM70" s="32"/>
      <c r="AN70" s="146"/>
      <c r="AO70" s="32"/>
      <c r="AP70" s="146"/>
      <c r="AQ70" s="32"/>
      <c r="AR70" s="146"/>
      <c r="AS70" s="32"/>
      <c r="AT70" s="146"/>
      <c r="AU70" s="32"/>
      <c r="AV70" s="146"/>
      <c r="AW70" s="32"/>
      <c r="AX70" s="146"/>
      <c r="AY70" s="32"/>
      <c r="AZ70" s="146"/>
      <c r="BA70" s="32"/>
      <c r="BB70" s="146"/>
      <c r="BC70" s="32"/>
      <c r="BD70" s="146"/>
      <c r="BE70" s="32"/>
      <c r="BF70" s="146"/>
      <c r="BG70" s="32"/>
      <c r="BH70" s="146"/>
      <c r="BI70" s="32"/>
      <c r="BJ70" s="146"/>
      <c r="BK70" s="32"/>
      <c r="BL70" s="146"/>
      <c r="BM70" s="32"/>
      <c r="BN70" s="146"/>
      <c r="BO70" s="32"/>
      <c r="BP70" s="146"/>
      <c r="BQ70" s="32"/>
      <c r="BR70" s="146"/>
      <c r="BS70" s="32"/>
      <c r="BT70" s="146">
        <v>249</v>
      </c>
      <c r="BU70" s="32">
        <v>60</v>
      </c>
      <c r="BV70" s="146">
        <v>261</v>
      </c>
      <c r="BW70" s="32">
        <v>47</v>
      </c>
    </row>
    <row r="71" spans="1:75" ht="13" x14ac:dyDescent="0.25">
      <c r="A71" s="186">
        <v>902</v>
      </c>
      <c r="B71" s="187" t="s">
        <v>93</v>
      </c>
      <c r="C71" s="46">
        <v>1727</v>
      </c>
      <c r="D71" s="142">
        <v>1162</v>
      </c>
      <c r="E71" s="145">
        <f t="shared" ref="E71:E143" si="1">SUM(D71/C71)</f>
        <v>0.67284308048639263</v>
      </c>
      <c r="F71" s="146">
        <v>832</v>
      </c>
      <c r="G71" s="32">
        <v>281</v>
      </c>
      <c r="H71" s="146"/>
      <c r="I71" s="32"/>
      <c r="J71" s="146"/>
      <c r="K71" s="32"/>
      <c r="L71" s="146"/>
      <c r="M71" s="32"/>
      <c r="N71" s="146"/>
      <c r="O71" s="32"/>
      <c r="P71" s="146"/>
      <c r="Q71" s="32"/>
      <c r="R71" s="146"/>
      <c r="S71" s="32"/>
      <c r="T71" s="146"/>
      <c r="U71" s="32"/>
      <c r="V71" s="146"/>
      <c r="W71" s="32"/>
      <c r="X71" s="146"/>
      <c r="Y71" s="32"/>
      <c r="Z71" s="146"/>
      <c r="AA71" s="32"/>
      <c r="AB71" s="146"/>
      <c r="AC71" s="32"/>
      <c r="AD71" s="146"/>
      <c r="AE71" s="32"/>
      <c r="AF71" s="146"/>
      <c r="AG71" s="32"/>
      <c r="AH71" s="146"/>
      <c r="AI71" s="32"/>
      <c r="AJ71" s="146"/>
      <c r="AK71" s="32"/>
      <c r="AL71" s="146"/>
      <c r="AM71" s="32"/>
      <c r="AN71" s="146"/>
      <c r="AO71" s="32"/>
      <c r="AP71" s="146"/>
      <c r="AQ71" s="32"/>
      <c r="AR71" s="146"/>
      <c r="AS71" s="32"/>
      <c r="AT71" s="146"/>
      <c r="AU71" s="32"/>
      <c r="AV71" s="146"/>
      <c r="AW71" s="32"/>
      <c r="AX71" s="146"/>
      <c r="AY71" s="32"/>
      <c r="AZ71" s="146"/>
      <c r="BA71" s="32"/>
      <c r="BB71" s="146"/>
      <c r="BC71" s="32"/>
      <c r="BD71" s="146"/>
      <c r="BE71" s="32"/>
      <c r="BF71" s="146"/>
      <c r="BG71" s="32"/>
      <c r="BH71" s="146"/>
      <c r="BI71" s="32"/>
      <c r="BJ71" s="146"/>
      <c r="BK71" s="32"/>
      <c r="BL71" s="146"/>
      <c r="BM71" s="32"/>
      <c r="BN71" s="146"/>
      <c r="BO71" s="32"/>
      <c r="BP71" s="146"/>
      <c r="BQ71" s="32"/>
      <c r="BR71" s="146"/>
      <c r="BS71" s="32"/>
      <c r="BT71" s="146">
        <v>895</v>
      </c>
      <c r="BU71" s="32">
        <v>214</v>
      </c>
      <c r="BV71" s="146">
        <v>919</v>
      </c>
      <c r="BW71" s="32">
        <v>186</v>
      </c>
    </row>
    <row r="72" spans="1:75" ht="13" x14ac:dyDescent="0.25">
      <c r="A72" s="186">
        <v>903</v>
      </c>
      <c r="B72" s="187" t="s">
        <v>94</v>
      </c>
      <c r="C72" s="46">
        <v>1386</v>
      </c>
      <c r="D72" s="142">
        <v>624</v>
      </c>
      <c r="E72" s="145">
        <f t="shared" si="1"/>
        <v>0.45021645021645024</v>
      </c>
      <c r="F72" s="146">
        <v>445</v>
      </c>
      <c r="G72" s="32">
        <v>123</v>
      </c>
      <c r="H72" s="146"/>
      <c r="I72" s="32"/>
      <c r="J72" s="146"/>
      <c r="K72" s="32"/>
      <c r="L72" s="146"/>
      <c r="M72" s="32"/>
      <c r="N72" s="146"/>
      <c r="O72" s="32"/>
      <c r="P72" s="146"/>
      <c r="Q72" s="32"/>
      <c r="R72" s="146"/>
      <c r="S72" s="32"/>
      <c r="T72" s="146"/>
      <c r="U72" s="32"/>
      <c r="V72" s="146"/>
      <c r="W72" s="32"/>
      <c r="X72" s="146"/>
      <c r="Y72" s="32"/>
      <c r="Z72" s="146"/>
      <c r="AA72" s="32"/>
      <c r="AB72" s="146"/>
      <c r="AC72" s="32"/>
      <c r="AD72" s="146"/>
      <c r="AE72" s="32"/>
      <c r="AF72" s="146"/>
      <c r="AG72" s="32"/>
      <c r="AH72" s="146"/>
      <c r="AI72" s="32"/>
      <c r="AJ72" s="146"/>
      <c r="AK72" s="32"/>
      <c r="AL72" s="146"/>
      <c r="AM72" s="32"/>
      <c r="AN72" s="146"/>
      <c r="AO72" s="32"/>
      <c r="AP72" s="146"/>
      <c r="AQ72" s="32"/>
      <c r="AR72" s="146"/>
      <c r="AS72" s="32"/>
      <c r="AT72" s="146"/>
      <c r="AU72" s="32"/>
      <c r="AV72" s="146"/>
      <c r="AW72" s="32"/>
      <c r="AX72" s="146"/>
      <c r="AY72" s="32"/>
      <c r="AZ72" s="146"/>
      <c r="BA72" s="32"/>
      <c r="BB72" s="146"/>
      <c r="BC72" s="32"/>
      <c r="BD72" s="146"/>
      <c r="BE72" s="32"/>
      <c r="BF72" s="146"/>
      <c r="BG72" s="32"/>
      <c r="BH72" s="146"/>
      <c r="BI72" s="32"/>
      <c r="BJ72" s="146"/>
      <c r="BK72" s="32"/>
      <c r="BL72" s="146"/>
      <c r="BM72" s="32"/>
      <c r="BN72" s="146"/>
      <c r="BO72" s="32"/>
      <c r="BP72" s="146"/>
      <c r="BQ72" s="32"/>
      <c r="BR72" s="146"/>
      <c r="BS72" s="32"/>
      <c r="BT72" s="146">
        <v>464</v>
      </c>
      <c r="BU72" s="32">
        <v>115</v>
      </c>
      <c r="BV72" s="146">
        <v>475</v>
      </c>
      <c r="BW72" s="32">
        <v>99</v>
      </c>
    </row>
    <row r="73" spans="1:75" ht="13" x14ac:dyDescent="0.25">
      <c r="A73" s="186">
        <v>904</v>
      </c>
      <c r="B73" s="187" t="s">
        <v>95</v>
      </c>
      <c r="C73" s="46">
        <v>1096</v>
      </c>
      <c r="D73" s="142">
        <v>504</v>
      </c>
      <c r="E73" s="145">
        <f t="shared" si="1"/>
        <v>0.45985401459854014</v>
      </c>
      <c r="F73" s="146">
        <v>374</v>
      </c>
      <c r="G73" s="32">
        <v>87</v>
      </c>
      <c r="H73" s="146"/>
      <c r="I73" s="32"/>
      <c r="J73" s="146"/>
      <c r="K73" s="32"/>
      <c r="L73" s="146"/>
      <c r="M73" s="32"/>
      <c r="N73" s="146"/>
      <c r="O73" s="32"/>
      <c r="P73" s="146"/>
      <c r="Q73" s="32"/>
      <c r="R73" s="146"/>
      <c r="S73" s="32"/>
      <c r="T73" s="146"/>
      <c r="U73" s="32"/>
      <c r="V73" s="146"/>
      <c r="W73" s="32"/>
      <c r="X73" s="146"/>
      <c r="Y73" s="32"/>
      <c r="Z73" s="146"/>
      <c r="AA73" s="32"/>
      <c r="AB73" s="146"/>
      <c r="AC73" s="32"/>
      <c r="AD73" s="146"/>
      <c r="AE73" s="32"/>
      <c r="AF73" s="146"/>
      <c r="AG73" s="32"/>
      <c r="AH73" s="146"/>
      <c r="AI73" s="32"/>
      <c r="AJ73" s="146"/>
      <c r="AK73" s="32"/>
      <c r="AL73" s="146"/>
      <c r="AM73" s="32"/>
      <c r="AN73" s="146"/>
      <c r="AO73" s="32"/>
      <c r="AP73" s="146"/>
      <c r="AQ73" s="32"/>
      <c r="AR73" s="146"/>
      <c r="AS73" s="32"/>
      <c r="AT73" s="146"/>
      <c r="AU73" s="32"/>
      <c r="AV73" s="146"/>
      <c r="AW73" s="32"/>
      <c r="AX73" s="146"/>
      <c r="AY73" s="32"/>
      <c r="AZ73" s="146"/>
      <c r="BA73" s="32"/>
      <c r="BB73" s="146"/>
      <c r="BC73" s="32"/>
      <c r="BD73" s="146"/>
      <c r="BE73" s="32"/>
      <c r="BF73" s="146"/>
      <c r="BG73" s="32"/>
      <c r="BH73" s="146"/>
      <c r="BI73" s="32"/>
      <c r="BJ73" s="146"/>
      <c r="BK73" s="32"/>
      <c r="BL73" s="146"/>
      <c r="BM73" s="32"/>
      <c r="BN73" s="146"/>
      <c r="BO73" s="32"/>
      <c r="BP73" s="146"/>
      <c r="BQ73" s="32"/>
      <c r="BR73" s="146"/>
      <c r="BS73" s="32"/>
      <c r="BT73" s="146">
        <v>358</v>
      </c>
      <c r="BU73" s="32">
        <v>106</v>
      </c>
      <c r="BV73" s="146">
        <v>376</v>
      </c>
      <c r="BW73" s="32">
        <v>87</v>
      </c>
    </row>
    <row r="74" spans="1:75" ht="13" x14ac:dyDescent="0.25">
      <c r="A74" s="186">
        <v>1001</v>
      </c>
      <c r="B74" s="187" t="s">
        <v>96</v>
      </c>
      <c r="C74" s="46">
        <v>1374</v>
      </c>
      <c r="D74" s="142">
        <v>858</v>
      </c>
      <c r="E74" s="145">
        <f t="shared" si="1"/>
        <v>0.62445414847161573</v>
      </c>
      <c r="F74" s="146">
        <v>597</v>
      </c>
      <c r="G74" s="32">
        <v>245</v>
      </c>
      <c r="H74" s="146"/>
      <c r="I74" s="32"/>
      <c r="J74" s="146"/>
      <c r="K74" s="32"/>
      <c r="L74" s="146"/>
      <c r="M74" s="32"/>
      <c r="N74" s="146"/>
      <c r="O74" s="32"/>
      <c r="P74" s="146"/>
      <c r="Q74" s="32"/>
      <c r="R74" s="146"/>
      <c r="S74" s="32"/>
      <c r="T74" s="146"/>
      <c r="U74" s="32"/>
      <c r="V74" s="146"/>
      <c r="W74" s="32"/>
      <c r="X74" s="146"/>
      <c r="Y74" s="32"/>
      <c r="Z74" s="146"/>
      <c r="AA74" s="32"/>
      <c r="AB74" s="146"/>
      <c r="AC74" s="32"/>
      <c r="AD74" s="146"/>
      <c r="AE74" s="32"/>
      <c r="AF74" s="146"/>
      <c r="AG74" s="32"/>
      <c r="AH74" s="146"/>
      <c r="AI74" s="32"/>
      <c r="AJ74" s="146"/>
      <c r="AK74" s="32"/>
      <c r="AL74" s="146"/>
      <c r="AM74" s="32"/>
      <c r="AN74" s="146"/>
      <c r="AO74" s="32"/>
      <c r="AP74" s="146"/>
      <c r="AQ74" s="32"/>
      <c r="AR74" s="146"/>
      <c r="AS74" s="32"/>
      <c r="AT74" s="146"/>
      <c r="AU74" s="32"/>
      <c r="AV74" s="146"/>
      <c r="AW74" s="32"/>
      <c r="AX74" s="146"/>
      <c r="AY74" s="32"/>
      <c r="AZ74" s="146"/>
      <c r="BA74" s="32"/>
      <c r="BB74" s="146"/>
      <c r="BC74" s="32"/>
      <c r="BD74" s="146"/>
      <c r="BE74" s="32"/>
      <c r="BF74" s="146"/>
      <c r="BG74" s="32"/>
      <c r="BH74" s="146"/>
      <c r="BI74" s="32"/>
      <c r="BJ74" s="146"/>
      <c r="BK74" s="32"/>
      <c r="BL74" s="146"/>
      <c r="BM74" s="32"/>
      <c r="BN74" s="146"/>
      <c r="BO74" s="32"/>
      <c r="BP74" s="146"/>
      <c r="BQ74" s="32"/>
      <c r="BR74" s="146"/>
      <c r="BS74" s="32"/>
      <c r="BT74" s="146">
        <v>612</v>
      </c>
      <c r="BU74" s="32">
        <v>206</v>
      </c>
      <c r="BV74" s="146">
        <v>599</v>
      </c>
      <c r="BW74" s="32">
        <v>214</v>
      </c>
    </row>
    <row r="75" spans="1:75" ht="13" x14ac:dyDescent="0.25">
      <c r="A75" s="186">
        <v>1002</v>
      </c>
      <c r="B75" s="187" t="s">
        <v>97</v>
      </c>
      <c r="C75" s="46">
        <v>1585</v>
      </c>
      <c r="D75" s="142">
        <v>546</v>
      </c>
      <c r="E75" s="145">
        <f t="shared" si="1"/>
        <v>0.34447949526813881</v>
      </c>
      <c r="F75" s="146">
        <v>406</v>
      </c>
      <c r="G75" s="32">
        <v>104</v>
      </c>
      <c r="H75" s="146"/>
      <c r="I75" s="32"/>
      <c r="J75" s="146"/>
      <c r="K75" s="32"/>
      <c r="L75" s="146"/>
      <c r="M75" s="32"/>
      <c r="N75" s="146"/>
      <c r="O75" s="32"/>
      <c r="P75" s="146"/>
      <c r="Q75" s="32"/>
      <c r="R75" s="146"/>
      <c r="S75" s="32"/>
      <c r="T75" s="146"/>
      <c r="U75" s="32"/>
      <c r="V75" s="146"/>
      <c r="W75" s="32"/>
      <c r="X75" s="146"/>
      <c r="Y75" s="32"/>
      <c r="Z75" s="146"/>
      <c r="AA75" s="32"/>
      <c r="AB75" s="146"/>
      <c r="AC75" s="32"/>
      <c r="AD75" s="146"/>
      <c r="AE75" s="32"/>
      <c r="AF75" s="146"/>
      <c r="AG75" s="32"/>
      <c r="AH75" s="146"/>
      <c r="AI75" s="32"/>
      <c r="AJ75" s="146"/>
      <c r="AK75" s="32"/>
      <c r="AL75" s="146"/>
      <c r="AM75" s="32"/>
      <c r="AN75" s="146"/>
      <c r="AO75" s="32"/>
      <c r="AP75" s="146"/>
      <c r="AQ75" s="32"/>
      <c r="AR75" s="146"/>
      <c r="AS75" s="32"/>
      <c r="AT75" s="146"/>
      <c r="AU75" s="32"/>
      <c r="AV75" s="146"/>
      <c r="AW75" s="32"/>
      <c r="AX75" s="146"/>
      <c r="AY75" s="32"/>
      <c r="AZ75" s="146"/>
      <c r="BA75" s="32"/>
      <c r="BB75" s="146"/>
      <c r="BC75" s="32"/>
      <c r="BD75" s="146"/>
      <c r="BE75" s="32"/>
      <c r="BF75" s="146"/>
      <c r="BG75" s="32"/>
      <c r="BH75" s="146"/>
      <c r="BI75" s="32"/>
      <c r="BJ75" s="146"/>
      <c r="BK75" s="32"/>
      <c r="BL75" s="146"/>
      <c r="BM75" s="32"/>
      <c r="BN75" s="146"/>
      <c r="BO75" s="32"/>
      <c r="BP75" s="146"/>
      <c r="BQ75" s="32"/>
      <c r="BR75" s="146"/>
      <c r="BS75" s="32"/>
      <c r="BT75" s="146">
        <v>430</v>
      </c>
      <c r="BU75" s="32">
        <v>76</v>
      </c>
      <c r="BV75" s="146">
        <v>434</v>
      </c>
      <c r="BW75" s="32">
        <v>68</v>
      </c>
    </row>
    <row r="76" spans="1:75" ht="13" x14ac:dyDescent="0.25">
      <c r="A76" s="186">
        <v>1003</v>
      </c>
      <c r="B76" s="187" t="s">
        <v>98</v>
      </c>
      <c r="C76" s="46">
        <v>1366</v>
      </c>
      <c r="D76" s="142">
        <v>682</v>
      </c>
      <c r="E76" s="145">
        <f t="shared" si="1"/>
        <v>0.49926793557833088</v>
      </c>
      <c r="F76" s="146">
        <v>532</v>
      </c>
      <c r="G76" s="32">
        <v>114</v>
      </c>
      <c r="H76" s="146"/>
      <c r="I76" s="32"/>
      <c r="J76" s="146"/>
      <c r="K76" s="32"/>
      <c r="L76" s="146"/>
      <c r="M76" s="32"/>
      <c r="N76" s="146"/>
      <c r="O76" s="32"/>
      <c r="P76" s="146"/>
      <c r="Q76" s="32"/>
      <c r="R76" s="146"/>
      <c r="S76" s="32"/>
      <c r="T76" s="146"/>
      <c r="U76" s="32"/>
      <c r="V76" s="146"/>
      <c r="W76" s="32"/>
      <c r="X76" s="146"/>
      <c r="Y76" s="32"/>
      <c r="Z76" s="146"/>
      <c r="AA76" s="32"/>
      <c r="AB76" s="146"/>
      <c r="AC76" s="32"/>
      <c r="AD76" s="146"/>
      <c r="AE76" s="32"/>
      <c r="AF76" s="146"/>
      <c r="AG76" s="32"/>
      <c r="AH76" s="146"/>
      <c r="AI76" s="32"/>
      <c r="AJ76" s="146"/>
      <c r="AK76" s="32"/>
      <c r="AL76" s="146"/>
      <c r="AM76" s="32"/>
      <c r="AN76" s="146"/>
      <c r="AO76" s="32"/>
      <c r="AP76" s="146"/>
      <c r="AQ76" s="32"/>
      <c r="AR76" s="146"/>
      <c r="AS76" s="32"/>
      <c r="AT76" s="146"/>
      <c r="AU76" s="32"/>
      <c r="AV76" s="146"/>
      <c r="AW76" s="32"/>
      <c r="AX76" s="146"/>
      <c r="AY76" s="32"/>
      <c r="AZ76" s="146"/>
      <c r="BA76" s="32"/>
      <c r="BB76" s="146"/>
      <c r="BC76" s="32"/>
      <c r="BD76" s="146"/>
      <c r="BE76" s="32"/>
      <c r="BF76" s="146"/>
      <c r="BG76" s="32"/>
      <c r="BH76" s="146"/>
      <c r="BI76" s="32"/>
      <c r="BJ76" s="146"/>
      <c r="BK76" s="32"/>
      <c r="BL76" s="146"/>
      <c r="BM76" s="32"/>
      <c r="BN76" s="146"/>
      <c r="BO76" s="32"/>
      <c r="BP76" s="146"/>
      <c r="BQ76" s="32"/>
      <c r="BR76" s="146"/>
      <c r="BS76" s="32"/>
      <c r="BT76" s="146">
        <v>543</v>
      </c>
      <c r="BU76" s="32">
        <v>115</v>
      </c>
      <c r="BV76" s="146">
        <v>553</v>
      </c>
      <c r="BW76" s="32">
        <v>104</v>
      </c>
    </row>
    <row r="77" spans="1:75" ht="13" x14ac:dyDescent="0.25">
      <c r="A77" s="186">
        <v>1101</v>
      </c>
      <c r="B77" s="187" t="s">
        <v>99</v>
      </c>
      <c r="C77" s="46">
        <v>1192</v>
      </c>
      <c r="D77" s="142">
        <v>650</v>
      </c>
      <c r="E77" s="145">
        <f t="shared" si="1"/>
        <v>0.54530201342281881</v>
      </c>
      <c r="F77" s="146">
        <v>473</v>
      </c>
      <c r="G77" s="32">
        <v>158</v>
      </c>
      <c r="H77" s="146"/>
      <c r="I77" s="32"/>
      <c r="J77" s="146"/>
      <c r="K77" s="32"/>
      <c r="L77" s="146"/>
      <c r="M77" s="32"/>
      <c r="N77" s="146"/>
      <c r="O77" s="32"/>
      <c r="P77" s="146"/>
      <c r="Q77" s="32"/>
      <c r="R77" s="146"/>
      <c r="S77" s="32"/>
      <c r="T77" s="146"/>
      <c r="U77" s="32"/>
      <c r="V77" s="146"/>
      <c r="W77" s="32"/>
      <c r="X77" s="146"/>
      <c r="Y77" s="32"/>
      <c r="Z77" s="146"/>
      <c r="AA77" s="32"/>
      <c r="AB77" s="146"/>
      <c r="AC77" s="32"/>
      <c r="AD77" s="146"/>
      <c r="AE77" s="32"/>
      <c r="AF77" s="146"/>
      <c r="AG77" s="32"/>
      <c r="AH77" s="146"/>
      <c r="AI77" s="32"/>
      <c r="AJ77" s="146"/>
      <c r="AK77" s="32"/>
      <c r="AL77" s="146"/>
      <c r="AM77" s="32"/>
      <c r="AN77" s="146"/>
      <c r="AO77" s="32"/>
      <c r="AP77" s="146"/>
      <c r="AQ77" s="32"/>
      <c r="AR77" s="146"/>
      <c r="AS77" s="32"/>
      <c r="AT77" s="146"/>
      <c r="AU77" s="32"/>
      <c r="AV77" s="146"/>
      <c r="AW77" s="32"/>
      <c r="AX77" s="146"/>
      <c r="AY77" s="32"/>
      <c r="AZ77" s="146"/>
      <c r="BA77" s="32"/>
      <c r="BB77" s="146"/>
      <c r="BC77" s="32"/>
      <c r="BD77" s="146"/>
      <c r="BE77" s="32"/>
      <c r="BF77" s="146"/>
      <c r="BG77" s="32"/>
      <c r="BH77" s="146"/>
      <c r="BI77" s="32"/>
      <c r="BJ77" s="146"/>
      <c r="BK77" s="32"/>
      <c r="BL77" s="146"/>
      <c r="BM77" s="32"/>
      <c r="BN77" s="146"/>
      <c r="BO77" s="32"/>
      <c r="BP77" s="146"/>
      <c r="BQ77" s="32"/>
      <c r="BR77" s="146"/>
      <c r="BS77" s="32"/>
      <c r="BT77" s="146">
        <v>472</v>
      </c>
      <c r="BU77" s="32">
        <v>140</v>
      </c>
      <c r="BV77" s="146">
        <v>484</v>
      </c>
      <c r="BW77" s="32">
        <v>128</v>
      </c>
    </row>
    <row r="78" spans="1:75" ht="13" x14ac:dyDescent="0.25">
      <c r="A78" s="186">
        <v>1102</v>
      </c>
      <c r="B78" s="187" t="s">
        <v>100</v>
      </c>
      <c r="C78" s="46">
        <v>1376</v>
      </c>
      <c r="D78" s="142">
        <v>542</v>
      </c>
      <c r="E78" s="145">
        <f t="shared" si="1"/>
        <v>0.39389534883720928</v>
      </c>
      <c r="F78" s="146">
        <v>372</v>
      </c>
      <c r="G78" s="32">
        <v>137</v>
      </c>
      <c r="H78" s="146"/>
      <c r="I78" s="32"/>
      <c r="J78" s="146"/>
      <c r="K78" s="32"/>
      <c r="L78" s="146"/>
      <c r="M78" s="32"/>
      <c r="N78" s="146"/>
      <c r="O78" s="32"/>
      <c r="P78" s="146"/>
      <c r="Q78" s="32"/>
      <c r="R78" s="146"/>
      <c r="S78" s="32"/>
      <c r="T78" s="146"/>
      <c r="U78" s="32"/>
      <c r="V78" s="146"/>
      <c r="W78" s="32"/>
      <c r="X78" s="146"/>
      <c r="Y78" s="32"/>
      <c r="Z78" s="146"/>
      <c r="AA78" s="32"/>
      <c r="AB78" s="146"/>
      <c r="AC78" s="32"/>
      <c r="AD78" s="146"/>
      <c r="AE78" s="32"/>
      <c r="AF78" s="146"/>
      <c r="AG78" s="32"/>
      <c r="AH78" s="146"/>
      <c r="AI78" s="32"/>
      <c r="AJ78" s="146"/>
      <c r="AK78" s="32"/>
      <c r="AL78" s="146"/>
      <c r="AM78" s="32"/>
      <c r="AN78" s="146"/>
      <c r="AO78" s="32"/>
      <c r="AP78" s="146"/>
      <c r="AQ78" s="32"/>
      <c r="AR78" s="146"/>
      <c r="AS78" s="32"/>
      <c r="AT78" s="146"/>
      <c r="AU78" s="32"/>
      <c r="AV78" s="146"/>
      <c r="AW78" s="32"/>
      <c r="AX78" s="146"/>
      <c r="AY78" s="32"/>
      <c r="AZ78" s="146"/>
      <c r="BA78" s="32"/>
      <c r="BB78" s="146"/>
      <c r="BC78" s="32"/>
      <c r="BD78" s="146"/>
      <c r="BE78" s="32"/>
      <c r="BF78" s="146"/>
      <c r="BG78" s="32"/>
      <c r="BH78" s="146"/>
      <c r="BI78" s="32"/>
      <c r="BJ78" s="146"/>
      <c r="BK78" s="32"/>
      <c r="BL78" s="146"/>
      <c r="BM78" s="32"/>
      <c r="BN78" s="146"/>
      <c r="BO78" s="32"/>
      <c r="BP78" s="146"/>
      <c r="BQ78" s="32"/>
      <c r="BR78" s="146"/>
      <c r="BS78" s="32"/>
      <c r="BT78" s="146">
        <v>389</v>
      </c>
      <c r="BU78" s="32">
        <v>113</v>
      </c>
      <c r="BV78" s="146">
        <v>408</v>
      </c>
      <c r="BW78" s="32">
        <v>95</v>
      </c>
    </row>
    <row r="79" spans="1:75" ht="13" x14ac:dyDescent="0.25">
      <c r="A79" s="186">
        <v>1103</v>
      </c>
      <c r="B79" s="187" t="s">
        <v>101</v>
      </c>
      <c r="C79" s="46">
        <v>900</v>
      </c>
      <c r="D79" s="142">
        <v>368</v>
      </c>
      <c r="E79" s="145">
        <f t="shared" si="1"/>
        <v>0.40888888888888891</v>
      </c>
      <c r="F79" s="146">
        <v>256</v>
      </c>
      <c r="G79" s="32">
        <v>91</v>
      </c>
      <c r="H79" s="146"/>
      <c r="I79" s="32"/>
      <c r="J79" s="146"/>
      <c r="K79" s="32"/>
      <c r="L79" s="146"/>
      <c r="M79" s="32"/>
      <c r="N79" s="146"/>
      <c r="O79" s="32"/>
      <c r="P79" s="146"/>
      <c r="Q79" s="32"/>
      <c r="R79" s="146"/>
      <c r="S79" s="32"/>
      <c r="T79" s="146"/>
      <c r="U79" s="32"/>
      <c r="V79" s="146"/>
      <c r="W79" s="32"/>
      <c r="X79" s="146"/>
      <c r="Y79" s="32"/>
      <c r="Z79" s="146"/>
      <c r="AA79" s="32"/>
      <c r="AB79" s="146"/>
      <c r="AC79" s="32"/>
      <c r="AD79" s="146"/>
      <c r="AE79" s="32"/>
      <c r="AF79" s="146"/>
      <c r="AG79" s="32"/>
      <c r="AH79" s="146"/>
      <c r="AI79" s="32"/>
      <c r="AJ79" s="146"/>
      <c r="AK79" s="32"/>
      <c r="AL79" s="146"/>
      <c r="AM79" s="32"/>
      <c r="AN79" s="146"/>
      <c r="AO79" s="32"/>
      <c r="AP79" s="146"/>
      <c r="AQ79" s="32"/>
      <c r="AR79" s="146"/>
      <c r="AS79" s="32"/>
      <c r="AT79" s="146"/>
      <c r="AU79" s="32"/>
      <c r="AV79" s="146"/>
      <c r="AW79" s="32"/>
      <c r="AX79" s="146"/>
      <c r="AY79" s="32"/>
      <c r="AZ79" s="146"/>
      <c r="BA79" s="32"/>
      <c r="BB79" s="146"/>
      <c r="BC79" s="32"/>
      <c r="BD79" s="146"/>
      <c r="BE79" s="32"/>
      <c r="BF79" s="146"/>
      <c r="BG79" s="32"/>
      <c r="BH79" s="146"/>
      <c r="BI79" s="32"/>
      <c r="BJ79" s="146"/>
      <c r="BK79" s="32"/>
      <c r="BL79" s="146"/>
      <c r="BM79" s="32"/>
      <c r="BN79" s="146"/>
      <c r="BO79" s="32"/>
      <c r="BP79" s="146"/>
      <c r="BQ79" s="32"/>
      <c r="BR79" s="146"/>
      <c r="BS79" s="32"/>
      <c r="BT79" s="146">
        <v>256</v>
      </c>
      <c r="BU79" s="32">
        <v>66</v>
      </c>
      <c r="BV79" s="146">
        <v>270</v>
      </c>
      <c r="BW79" s="32">
        <v>51</v>
      </c>
    </row>
    <row r="80" spans="1:75" ht="13" x14ac:dyDescent="0.25">
      <c r="A80" s="186">
        <v>1104</v>
      </c>
      <c r="B80" s="187" t="s">
        <v>102</v>
      </c>
      <c r="C80" s="46">
        <v>1036</v>
      </c>
      <c r="D80" s="142">
        <v>510</v>
      </c>
      <c r="E80" s="145">
        <f t="shared" si="1"/>
        <v>0.49227799227799229</v>
      </c>
      <c r="F80" s="146">
        <v>391</v>
      </c>
      <c r="G80" s="32">
        <v>96</v>
      </c>
      <c r="H80" s="146"/>
      <c r="I80" s="32"/>
      <c r="J80" s="146"/>
      <c r="K80" s="32"/>
      <c r="L80" s="146"/>
      <c r="M80" s="32"/>
      <c r="N80" s="146"/>
      <c r="O80" s="32"/>
      <c r="P80" s="146"/>
      <c r="Q80" s="32"/>
      <c r="R80" s="146"/>
      <c r="S80" s="32"/>
      <c r="T80" s="146"/>
      <c r="U80" s="32"/>
      <c r="V80" s="146"/>
      <c r="W80" s="32"/>
      <c r="X80" s="146"/>
      <c r="Y80" s="32"/>
      <c r="Z80" s="146"/>
      <c r="AA80" s="32"/>
      <c r="AB80" s="146"/>
      <c r="AC80" s="32"/>
      <c r="AD80" s="146"/>
      <c r="AE80" s="32"/>
      <c r="AF80" s="146"/>
      <c r="AG80" s="32"/>
      <c r="AH80" s="146"/>
      <c r="AI80" s="32"/>
      <c r="AJ80" s="146"/>
      <c r="AK80" s="32"/>
      <c r="AL80" s="146"/>
      <c r="AM80" s="32"/>
      <c r="AN80" s="146"/>
      <c r="AO80" s="32"/>
      <c r="AP80" s="146"/>
      <c r="AQ80" s="32"/>
      <c r="AR80" s="146"/>
      <c r="AS80" s="32"/>
      <c r="AT80" s="146"/>
      <c r="AU80" s="32"/>
      <c r="AV80" s="146"/>
      <c r="AW80" s="32"/>
      <c r="AX80" s="146"/>
      <c r="AY80" s="32"/>
      <c r="AZ80" s="146"/>
      <c r="BA80" s="32"/>
      <c r="BB80" s="146"/>
      <c r="BC80" s="32"/>
      <c r="BD80" s="146"/>
      <c r="BE80" s="32"/>
      <c r="BF80" s="146"/>
      <c r="BG80" s="32"/>
      <c r="BH80" s="146"/>
      <c r="BI80" s="32"/>
      <c r="BJ80" s="146"/>
      <c r="BK80" s="32"/>
      <c r="BL80" s="146"/>
      <c r="BM80" s="32"/>
      <c r="BN80" s="146"/>
      <c r="BO80" s="32"/>
      <c r="BP80" s="146"/>
      <c r="BQ80" s="32"/>
      <c r="BR80" s="146"/>
      <c r="BS80" s="32"/>
      <c r="BT80" s="146">
        <v>391</v>
      </c>
      <c r="BU80" s="32">
        <v>86</v>
      </c>
      <c r="BV80" s="146">
        <v>397</v>
      </c>
      <c r="BW80" s="32">
        <v>82</v>
      </c>
    </row>
    <row r="81" spans="1:75" ht="13" x14ac:dyDescent="0.25">
      <c r="A81" s="186">
        <v>1201</v>
      </c>
      <c r="B81" s="187" t="s">
        <v>103</v>
      </c>
      <c r="C81" s="46">
        <v>886</v>
      </c>
      <c r="D81" s="142">
        <v>354</v>
      </c>
      <c r="E81" s="145">
        <f t="shared" si="1"/>
        <v>0.39954853273137697</v>
      </c>
      <c r="F81" s="146">
        <v>238</v>
      </c>
      <c r="G81" s="32">
        <v>93</v>
      </c>
      <c r="H81" s="146"/>
      <c r="I81" s="32"/>
      <c r="J81" s="146"/>
      <c r="K81" s="32"/>
      <c r="L81" s="146"/>
      <c r="M81" s="32"/>
      <c r="N81" s="146"/>
      <c r="O81" s="32"/>
      <c r="P81" s="146"/>
      <c r="Q81" s="32"/>
      <c r="R81" s="146"/>
      <c r="S81" s="32"/>
      <c r="T81" s="146"/>
      <c r="U81" s="32"/>
      <c r="V81" s="146"/>
      <c r="W81" s="32"/>
      <c r="X81" s="146"/>
      <c r="Y81" s="32"/>
      <c r="Z81" s="146"/>
      <c r="AA81" s="32"/>
      <c r="AB81" s="146"/>
      <c r="AC81" s="32"/>
      <c r="AD81" s="146"/>
      <c r="AE81" s="32"/>
      <c r="AF81" s="146"/>
      <c r="AG81" s="32"/>
      <c r="AH81" s="146"/>
      <c r="AI81" s="32"/>
      <c r="AJ81" s="146"/>
      <c r="AK81" s="32"/>
      <c r="AL81" s="146"/>
      <c r="AM81" s="32"/>
      <c r="AN81" s="146"/>
      <c r="AO81" s="32"/>
      <c r="AP81" s="146"/>
      <c r="AQ81" s="32"/>
      <c r="AR81" s="146"/>
      <c r="AS81" s="32"/>
      <c r="AT81" s="146"/>
      <c r="AU81" s="32"/>
      <c r="AV81" s="146"/>
      <c r="AW81" s="32"/>
      <c r="AX81" s="146"/>
      <c r="AY81" s="32"/>
      <c r="AZ81" s="146"/>
      <c r="BA81" s="32"/>
      <c r="BB81" s="146"/>
      <c r="BC81" s="32"/>
      <c r="BD81" s="146"/>
      <c r="BE81" s="32"/>
      <c r="BF81" s="146"/>
      <c r="BG81" s="32"/>
      <c r="BH81" s="146"/>
      <c r="BI81" s="32"/>
      <c r="BJ81" s="146"/>
      <c r="BK81" s="32"/>
      <c r="BL81" s="146"/>
      <c r="BM81" s="32"/>
      <c r="BN81" s="146"/>
      <c r="BO81" s="32"/>
      <c r="BP81" s="146"/>
      <c r="BQ81" s="32"/>
      <c r="BR81" s="146"/>
      <c r="BS81" s="32"/>
      <c r="BT81" s="146">
        <v>237</v>
      </c>
      <c r="BU81" s="32">
        <v>59</v>
      </c>
      <c r="BV81" s="146">
        <v>253</v>
      </c>
      <c r="BW81" s="32">
        <v>50</v>
      </c>
    </row>
    <row r="82" spans="1:75" ht="13" x14ac:dyDescent="0.25">
      <c r="A82" s="186">
        <v>1202</v>
      </c>
      <c r="B82" s="187" t="s">
        <v>104</v>
      </c>
      <c r="C82" s="46">
        <v>783</v>
      </c>
      <c r="D82" s="142">
        <v>299</v>
      </c>
      <c r="E82" s="145">
        <f t="shared" si="1"/>
        <v>0.38186462324393361</v>
      </c>
      <c r="F82" s="146">
        <v>183</v>
      </c>
      <c r="G82" s="32">
        <v>75</v>
      </c>
      <c r="H82" s="146"/>
      <c r="I82" s="32"/>
      <c r="J82" s="146"/>
      <c r="K82" s="32"/>
      <c r="L82" s="146"/>
      <c r="M82" s="32"/>
      <c r="N82" s="146"/>
      <c r="O82" s="32"/>
      <c r="P82" s="146"/>
      <c r="Q82" s="32"/>
      <c r="R82" s="146"/>
      <c r="S82" s="32"/>
      <c r="T82" s="146"/>
      <c r="U82" s="32"/>
      <c r="V82" s="146"/>
      <c r="W82" s="32"/>
      <c r="X82" s="146"/>
      <c r="Y82" s="32"/>
      <c r="Z82" s="146"/>
      <c r="AA82" s="32"/>
      <c r="AB82" s="146"/>
      <c r="AC82" s="32"/>
      <c r="AD82" s="146"/>
      <c r="AE82" s="32"/>
      <c r="AF82" s="146"/>
      <c r="AG82" s="32"/>
      <c r="AH82" s="146"/>
      <c r="AI82" s="32"/>
      <c r="AJ82" s="146"/>
      <c r="AK82" s="32"/>
      <c r="AL82" s="146"/>
      <c r="AM82" s="32"/>
      <c r="AN82" s="146"/>
      <c r="AO82" s="32"/>
      <c r="AP82" s="146"/>
      <c r="AQ82" s="32"/>
      <c r="AR82" s="146"/>
      <c r="AS82" s="32"/>
      <c r="AT82" s="146"/>
      <c r="AU82" s="32"/>
      <c r="AV82" s="146"/>
      <c r="AW82" s="32"/>
      <c r="AX82" s="146"/>
      <c r="AY82" s="32"/>
      <c r="AZ82" s="146"/>
      <c r="BA82" s="32"/>
      <c r="BB82" s="146"/>
      <c r="BC82" s="32"/>
      <c r="BD82" s="146"/>
      <c r="BE82" s="32"/>
      <c r="BF82" s="146"/>
      <c r="BG82" s="32"/>
      <c r="BH82" s="146"/>
      <c r="BI82" s="32"/>
      <c r="BJ82" s="146"/>
      <c r="BK82" s="32"/>
      <c r="BL82" s="146"/>
      <c r="BM82" s="32"/>
      <c r="BN82" s="146"/>
      <c r="BO82" s="32"/>
      <c r="BP82" s="146"/>
      <c r="BQ82" s="32"/>
      <c r="BR82" s="146"/>
      <c r="BS82" s="32"/>
      <c r="BT82" s="146">
        <v>178</v>
      </c>
      <c r="BU82" s="32">
        <v>61</v>
      </c>
      <c r="BV82" s="146">
        <v>194</v>
      </c>
      <c r="BW82" s="32">
        <v>43</v>
      </c>
    </row>
    <row r="83" spans="1:75" ht="13" x14ac:dyDescent="0.25">
      <c r="A83" s="186">
        <v>1203</v>
      </c>
      <c r="B83" s="187" t="s">
        <v>105</v>
      </c>
      <c r="C83" s="46">
        <v>1111</v>
      </c>
      <c r="D83" s="142">
        <v>467</v>
      </c>
      <c r="E83" s="145">
        <f t="shared" si="1"/>
        <v>0.42034203420342037</v>
      </c>
      <c r="F83" s="146">
        <v>342</v>
      </c>
      <c r="G83" s="32">
        <v>91</v>
      </c>
      <c r="H83" s="146"/>
      <c r="I83" s="32"/>
      <c r="J83" s="146"/>
      <c r="K83" s="32"/>
      <c r="L83" s="146"/>
      <c r="M83" s="32"/>
      <c r="N83" s="146"/>
      <c r="O83" s="32"/>
      <c r="P83" s="146"/>
      <c r="Q83" s="32"/>
      <c r="R83" s="146"/>
      <c r="S83" s="32"/>
      <c r="T83" s="146"/>
      <c r="U83" s="32"/>
      <c r="V83" s="146"/>
      <c r="W83" s="32"/>
      <c r="X83" s="146"/>
      <c r="Y83" s="32"/>
      <c r="Z83" s="146"/>
      <c r="AA83" s="32"/>
      <c r="AB83" s="146"/>
      <c r="AC83" s="32"/>
      <c r="AD83" s="146"/>
      <c r="AE83" s="32"/>
      <c r="AF83" s="146"/>
      <c r="AG83" s="32"/>
      <c r="AH83" s="146"/>
      <c r="AI83" s="32"/>
      <c r="AJ83" s="146"/>
      <c r="AK83" s="32"/>
      <c r="AL83" s="146"/>
      <c r="AM83" s="32"/>
      <c r="AN83" s="146"/>
      <c r="AO83" s="32"/>
      <c r="AP83" s="146"/>
      <c r="AQ83" s="32"/>
      <c r="AR83" s="146"/>
      <c r="AS83" s="32"/>
      <c r="AT83" s="146"/>
      <c r="AU83" s="32"/>
      <c r="AV83" s="146"/>
      <c r="AW83" s="32"/>
      <c r="AX83" s="146"/>
      <c r="AY83" s="32"/>
      <c r="AZ83" s="146"/>
      <c r="BA83" s="32"/>
      <c r="BB83" s="146"/>
      <c r="BC83" s="32"/>
      <c r="BD83" s="146"/>
      <c r="BE83" s="32"/>
      <c r="BF83" s="146"/>
      <c r="BG83" s="32"/>
      <c r="BH83" s="146"/>
      <c r="BI83" s="32"/>
      <c r="BJ83" s="146"/>
      <c r="BK83" s="32"/>
      <c r="BL83" s="146"/>
      <c r="BM83" s="32"/>
      <c r="BN83" s="146"/>
      <c r="BO83" s="32"/>
      <c r="BP83" s="146"/>
      <c r="BQ83" s="32"/>
      <c r="BR83" s="146"/>
      <c r="BS83" s="32"/>
      <c r="BT83" s="146">
        <v>344</v>
      </c>
      <c r="BU83" s="32">
        <v>69</v>
      </c>
      <c r="BV83" s="146">
        <v>354</v>
      </c>
      <c r="BW83" s="32">
        <v>58</v>
      </c>
    </row>
    <row r="84" spans="1:75" ht="13" x14ac:dyDescent="0.25">
      <c r="A84" s="186">
        <v>1204</v>
      </c>
      <c r="B84" s="187" t="s">
        <v>106</v>
      </c>
      <c r="C84" s="46">
        <v>1442</v>
      </c>
      <c r="D84" s="142">
        <v>600</v>
      </c>
      <c r="E84" s="145">
        <f t="shared" si="1"/>
        <v>0.41608876560332869</v>
      </c>
      <c r="F84" s="146">
        <v>433</v>
      </c>
      <c r="G84" s="32">
        <v>130</v>
      </c>
      <c r="H84" s="146"/>
      <c r="I84" s="32"/>
      <c r="J84" s="146"/>
      <c r="K84" s="32"/>
      <c r="L84" s="146"/>
      <c r="M84" s="32"/>
      <c r="N84" s="146"/>
      <c r="O84" s="32"/>
      <c r="P84" s="146"/>
      <c r="Q84" s="32"/>
      <c r="R84" s="146"/>
      <c r="S84" s="32"/>
      <c r="T84" s="146"/>
      <c r="U84" s="32"/>
      <c r="V84" s="146"/>
      <c r="W84" s="32"/>
      <c r="X84" s="146"/>
      <c r="Y84" s="32"/>
      <c r="Z84" s="146"/>
      <c r="AA84" s="32"/>
      <c r="AB84" s="146"/>
      <c r="AC84" s="32"/>
      <c r="AD84" s="146"/>
      <c r="AE84" s="32"/>
      <c r="AF84" s="146"/>
      <c r="AG84" s="32"/>
      <c r="AH84" s="146"/>
      <c r="AI84" s="32"/>
      <c r="AJ84" s="146"/>
      <c r="AK84" s="32"/>
      <c r="AL84" s="146"/>
      <c r="AM84" s="32"/>
      <c r="AN84" s="146"/>
      <c r="AO84" s="32"/>
      <c r="AP84" s="146"/>
      <c r="AQ84" s="32"/>
      <c r="AR84" s="146"/>
      <c r="AS84" s="32"/>
      <c r="AT84" s="146"/>
      <c r="AU84" s="32"/>
      <c r="AV84" s="146"/>
      <c r="AW84" s="32"/>
      <c r="AX84" s="146"/>
      <c r="AY84" s="32"/>
      <c r="AZ84" s="146"/>
      <c r="BA84" s="32"/>
      <c r="BB84" s="146"/>
      <c r="BC84" s="32"/>
      <c r="BD84" s="146"/>
      <c r="BE84" s="32"/>
      <c r="BF84" s="146"/>
      <c r="BG84" s="32"/>
      <c r="BH84" s="146"/>
      <c r="BI84" s="32"/>
      <c r="BJ84" s="146"/>
      <c r="BK84" s="32"/>
      <c r="BL84" s="146"/>
      <c r="BM84" s="32"/>
      <c r="BN84" s="146"/>
      <c r="BO84" s="32"/>
      <c r="BP84" s="146"/>
      <c r="BQ84" s="32"/>
      <c r="BR84" s="146"/>
      <c r="BS84" s="32"/>
      <c r="BT84" s="146">
        <v>470</v>
      </c>
      <c r="BU84" s="32">
        <v>92</v>
      </c>
      <c r="BV84" s="146">
        <v>500</v>
      </c>
      <c r="BW84" s="32">
        <v>60</v>
      </c>
    </row>
    <row r="85" spans="1:75" ht="13" x14ac:dyDescent="0.25">
      <c r="A85" s="186">
        <v>1205</v>
      </c>
      <c r="B85" s="187" t="s">
        <v>107</v>
      </c>
      <c r="C85" s="46">
        <v>1035</v>
      </c>
      <c r="D85" s="142">
        <v>421</v>
      </c>
      <c r="E85" s="145">
        <f t="shared" si="1"/>
        <v>0.4067632850241546</v>
      </c>
      <c r="F85" s="146">
        <v>289</v>
      </c>
      <c r="G85" s="32">
        <v>110</v>
      </c>
      <c r="H85" s="146"/>
      <c r="I85" s="32"/>
      <c r="J85" s="146"/>
      <c r="K85" s="32"/>
      <c r="L85" s="146"/>
      <c r="M85" s="32"/>
      <c r="N85" s="146"/>
      <c r="O85" s="32"/>
      <c r="P85" s="146"/>
      <c r="Q85" s="32"/>
      <c r="R85" s="146"/>
      <c r="S85" s="32"/>
      <c r="T85" s="146"/>
      <c r="U85" s="32"/>
      <c r="V85" s="146"/>
      <c r="W85" s="32"/>
      <c r="X85" s="146"/>
      <c r="Y85" s="32"/>
      <c r="Z85" s="146"/>
      <c r="AA85" s="32"/>
      <c r="AB85" s="146"/>
      <c r="AC85" s="32"/>
      <c r="AD85" s="146"/>
      <c r="AE85" s="32"/>
      <c r="AF85" s="146"/>
      <c r="AG85" s="32"/>
      <c r="AH85" s="146"/>
      <c r="AI85" s="32"/>
      <c r="AJ85" s="146"/>
      <c r="AK85" s="32"/>
      <c r="AL85" s="146"/>
      <c r="AM85" s="32"/>
      <c r="AN85" s="146"/>
      <c r="AO85" s="32"/>
      <c r="AP85" s="146"/>
      <c r="AQ85" s="32"/>
      <c r="AR85" s="146"/>
      <c r="AS85" s="32"/>
      <c r="AT85" s="146"/>
      <c r="AU85" s="32"/>
      <c r="AV85" s="146"/>
      <c r="AW85" s="32"/>
      <c r="AX85" s="146"/>
      <c r="AY85" s="32"/>
      <c r="AZ85" s="146"/>
      <c r="BA85" s="32"/>
      <c r="BB85" s="146"/>
      <c r="BC85" s="32"/>
      <c r="BD85" s="146"/>
      <c r="BE85" s="32"/>
      <c r="BF85" s="146"/>
      <c r="BG85" s="32"/>
      <c r="BH85" s="146"/>
      <c r="BI85" s="32"/>
      <c r="BJ85" s="146"/>
      <c r="BK85" s="32"/>
      <c r="BL85" s="146"/>
      <c r="BM85" s="32"/>
      <c r="BN85" s="146"/>
      <c r="BO85" s="32"/>
      <c r="BP85" s="146"/>
      <c r="BQ85" s="32"/>
      <c r="BR85" s="146"/>
      <c r="BS85" s="32"/>
      <c r="BT85" s="146">
        <v>304</v>
      </c>
      <c r="BU85" s="32">
        <v>81</v>
      </c>
      <c r="BV85" s="146">
        <v>316</v>
      </c>
      <c r="BW85" s="32">
        <v>69</v>
      </c>
    </row>
    <row r="86" spans="1:75" ht="13" x14ac:dyDescent="0.25">
      <c r="A86" s="186">
        <v>1301</v>
      </c>
      <c r="B86" s="187" t="s">
        <v>108</v>
      </c>
      <c r="C86" s="46">
        <v>1264</v>
      </c>
      <c r="D86" s="142">
        <v>445</v>
      </c>
      <c r="E86" s="145">
        <f t="shared" si="1"/>
        <v>0.35205696202531644</v>
      </c>
      <c r="F86" s="146">
        <v>321</v>
      </c>
      <c r="G86" s="32">
        <v>92</v>
      </c>
      <c r="H86" s="146"/>
      <c r="I86" s="32"/>
      <c r="J86" s="146"/>
      <c r="K86" s="32"/>
      <c r="L86" s="146"/>
      <c r="M86" s="32"/>
      <c r="N86" s="146"/>
      <c r="O86" s="32"/>
      <c r="P86" s="146"/>
      <c r="Q86" s="32"/>
      <c r="R86" s="146"/>
      <c r="S86" s="32"/>
      <c r="T86" s="146"/>
      <c r="U86" s="32"/>
      <c r="V86" s="146"/>
      <c r="W86" s="32"/>
      <c r="X86" s="146"/>
      <c r="Y86" s="32"/>
      <c r="Z86" s="146"/>
      <c r="AA86" s="32"/>
      <c r="AB86" s="146"/>
      <c r="AC86" s="32"/>
      <c r="AD86" s="146"/>
      <c r="AE86" s="32"/>
      <c r="AF86" s="146"/>
      <c r="AG86" s="32"/>
      <c r="AH86" s="146"/>
      <c r="AI86" s="32"/>
      <c r="AJ86" s="146"/>
      <c r="AK86" s="32"/>
      <c r="AL86" s="146"/>
      <c r="AM86" s="32"/>
      <c r="AN86" s="146"/>
      <c r="AO86" s="32"/>
      <c r="AP86" s="146"/>
      <c r="AQ86" s="32"/>
      <c r="AR86" s="146"/>
      <c r="AS86" s="32"/>
      <c r="AT86" s="146"/>
      <c r="AU86" s="32"/>
      <c r="AV86" s="146"/>
      <c r="AW86" s="32"/>
      <c r="AX86" s="146"/>
      <c r="AY86" s="32"/>
      <c r="AZ86" s="146"/>
      <c r="BA86" s="32"/>
      <c r="BB86" s="146"/>
      <c r="BC86" s="32"/>
      <c r="BD86" s="146"/>
      <c r="BE86" s="32"/>
      <c r="BF86" s="146"/>
      <c r="BG86" s="32"/>
      <c r="BH86" s="146"/>
      <c r="BI86" s="32"/>
      <c r="BJ86" s="146"/>
      <c r="BK86" s="32"/>
      <c r="BL86" s="146"/>
      <c r="BM86" s="32"/>
      <c r="BN86" s="146"/>
      <c r="BO86" s="32"/>
      <c r="BP86" s="146"/>
      <c r="BQ86" s="32"/>
      <c r="BR86" s="146"/>
      <c r="BS86" s="32"/>
      <c r="BT86" s="146">
        <v>311</v>
      </c>
      <c r="BU86" s="32">
        <v>99</v>
      </c>
      <c r="BV86" s="146">
        <v>317</v>
      </c>
      <c r="BW86" s="32">
        <v>87</v>
      </c>
    </row>
    <row r="87" spans="1:75" ht="13" x14ac:dyDescent="0.25">
      <c r="A87" s="186">
        <v>1302</v>
      </c>
      <c r="B87" s="187" t="s">
        <v>109</v>
      </c>
      <c r="C87" s="46">
        <v>861</v>
      </c>
      <c r="D87" s="142">
        <v>556</v>
      </c>
      <c r="E87" s="145">
        <f t="shared" si="1"/>
        <v>0.64576074332171896</v>
      </c>
      <c r="F87" s="146">
        <v>429</v>
      </c>
      <c r="G87" s="32">
        <v>107</v>
      </c>
      <c r="H87" s="146"/>
      <c r="I87" s="32"/>
      <c r="J87" s="146"/>
      <c r="K87" s="32"/>
      <c r="L87" s="146"/>
      <c r="M87" s="32"/>
      <c r="N87" s="146"/>
      <c r="O87" s="32"/>
      <c r="P87" s="146"/>
      <c r="Q87" s="32"/>
      <c r="R87" s="146"/>
      <c r="S87" s="32"/>
      <c r="T87" s="146"/>
      <c r="U87" s="32"/>
      <c r="V87" s="146"/>
      <c r="W87" s="32"/>
      <c r="X87" s="146"/>
      <c r="Y87" s="32"/>
      <c r="Z87" s="146"/>
      <c r="AA87" s="32"/>
      <c r="AB87" s="146"/>
      <c r="AC87" s="32"/>
      <c r="AD87" s="146"/>
      <c r="AE87" s="32"/>
      <c r="AF87" s="146"/>
      <c r="AG87" s="32"/>
      <c r="AH87" s="146"/>
      <c r="AI87" s="32"/>
      <c r="AJ87" s="146"/>
      <c r="AK87" s="32"/>
      <c r="AL87" s="146"/>
      <c r="AM87" s="32"/>
      <c r="AN87" s="146"/>
      <c r="AO87" s="32"/>
      <c r="AP87" s="146"/>
      <c r="AQ87" s="32"/>
      <c r="AR87" s="146"/>
      <c r="AS87" s="32"/>
      <c r="AT87" s="146"/>
      <c r="AU87" s="32"/>
      <c r="AV87" s="146"/>
      <c r="AW87" s="32"/>
      <c r="AX87" s="146"/>
      <c r="AY87" s="32"/>
      <c r="AZ87" s="146"/>
      <c r="BA87" s="32"/>
      <c r="BB87" s="146"/>
      <c r="BC87" s="32"/>
      <c r="BD87" s="146"/>
      <c r="BE87" s="32"/>
      <c r="BF87" s="146"/>
      <c r="BG87" s="32"/>
      <c r="BH87" s="146"/>
      <c r="BI87" s="32"/>
      <c r="BJ87" s="146"/>
      <c r="BK87" s="32"/>
      <c r="BL87" s="146"/>
      <c r="BM87" s="32"/>
      <c r="BN87" s="146"/>
      <c r="BO87" s="32"/>
      <c r="BP87" s="146"/>
      <c r="BQ87" s="32"/>
      <c r="BR87" s="146"/>
      <c r="BS87" s="32"/>
      <c r="BT87" s="146">
        <v>411</v>
      </c>
      <c r="BU87" s="32">
        <v>111</v>
      </c>
      <c r="BV87" s="146">
        <v>410</v>
      </c>
      <c r="BW87" s="32">
        <v>111</v>
      </c>
    </row>
    <row r="88" spans="1:75" ht="13" x14ac:dyDescent="0.25">
      <c r="A88" s="186">
        <v>1303</v>
      </c>
      <c r="B88" s="187" t="s">
        <v>110</v>
      </c>
      <c r="C88" s="46">
        <v>1281</v>
      </c>
      <c r="D88" s="142">
        <v>477</v>
      </c>
      <c r="E88" s="145">
        <f t="shared" si="1"/>
        <v>0.37236533957845436</v>
      </c>
      <c r="F88" s="146">
        <v>358</v>
      </c>
      <c r="G88" s="32">
        <v>93</v>
      </c>
      <c r="H88" s="146"/>
      <c r="I88" s="32"/>
      <c r="J88" s="146"/>
      <c r="K88" s="32"/>
      <c r="L88" s="146"/>
      <c r="M88" s="32"/>
      <c r="N88" s="146"/>
      <c r="O88" s="32"/>
      <c r="P88" s="146"/>
      <c r="Q88" s="32"/>
      <c r="R88" s="146"/>
      <c r="S88" s="32"/>
      <c r="T88" s="146"/>
      <c r="U88" s="32"/>
      <c r="V88" s="146"/>
      <c r="W88" s="32"/>
      <c r="X88" s="146"/>
      <c r="Y88" s="32"/>
      <c r="Z88" s="146"/>
      <c r="AA88" s="32"/>
      <c r="AB88" s="146"/>
      <c r="AC88" s="32"/>
      <c r="AD88" s="146"/>
      <c r="AE88" s="32"/>
      <c r="AF88" s="146"/>
      <c r="AG88" s="32"/>
      <c r="AH88" s="146"/>
      <c r="AI88" s="32"/>
      <c r="AJ88" s="146"/>
      <c r="AK88" s="32"/>
      <c r="AL88" s="146"/>
      <c r="AM88" s="32"/>
      <c r="AN88" s="146"/>
      <c r="AO88" s="32"/>
      <c r="AP88" s="146"/>
      <c r="AQ88" s="32"/>
      <c r="AR88" s="146"/>
      <c r="AS88" s="32"/>
      <c r="AT88" s="146"/>
      <c r="AU88" s="32"/>
      <c r="AV88" s="146"/>
      <c r="AW88" s="32"/>
      <c r="AX88" s="146"/>
      <c r="AY88" s="32"/>
      <c r="AZ88" s="146"/>
      <c r="BA88" s="32"/>
      <c r="BB88" s="146"/>
      <c r="BC88" s="32"/>
      <c r="BD88" s="146"/>
      <c r="BE88" s="32"/>
      <c r="BF88" s="146"/>
      <c r="BG88" s="32"/>
      <c r="BH88" s="146"/>
      <c r="BI88" s="32"/>
      <c r="BJ88" s="146"/>
      <c r="BK88" s="32"/>
      <c r="BL88" s="146"/>
      <c r="BM88" s="32"/>
      <c r="BN88" s="146"/>
      <c r="BO88" s="32"/>
      <c r="BP88" s="146"/>
      <c r="BQ88" s="32"/>
      <c r="BR88" s="146"/>
      <c r="BS88" s="32"/>
      <c r="BT88" s="146">
        <v>341</v>
      </c>
      <c r="BU88" s="32">
        <v>106</v>
      </c>
      <c r="BV88" s="146">
        <v>358</v>
      </c>
      <c r="BW88" s="32">
        <v>85</v>
      </c>
    </row>
    <row r="89" spans="1:75" ht="13" x14ac:dyDescent="0.25">
      <c r="A89" s="186">
        <v>1304</v>
      </c>
      <c r="B89" s="187" t="s">
        <v>111</v>
      </c>
      <c r="C89" s="46">
        <v>1236</v>
      </c>
      <c r="D89" s="142">
        <v>589</v>
      </c>
      <c r="E89" s="145">
        <f t="shared" si="1"/>
        <v>0.47653721682847894</v>
      </c>
      <c r="F89" s="146">
        <v>451</v>
      </c>
      <c r="G89" s="32">
        <v>109</v>
      </c>
      <c r="H89" s="146"/>
      <c r="I89" s="32"/>
      <c r="J89" s="146"/>
      <c r="K89" s="32"/>
      <c r="L89" s="146"/>
      <c r="M89" s="32"/>
      <c r="N89" s="146"/>
      <c r="O89" s="32"/>
      <c r="P89" s="146"/>
      <c r="Q89" s="32"/>
      <c r="R89" s="146"/>
      <c r="S89" s="32"/>
      <c r="T89" s="146"/>
      <c r="U89" s="32"/>
      <c r="V89" s="146"/>
      <c r="W89" s="32"/>
      <c r="X89" s="146"/>
      <c r="Y89" s="32"/>
      <c r="Z89" s="146"/>
      <c r="AA89" s="32"/>
      <c r="AB89" s="146"/>
      <c r="AC89" s="32"/>
      <c r="AD89" s="146"/>
      <c r="AE89" s="32"/>
      <c r="AF89" s="146"/>
      <c r="AG89" s="32"/>
      <c r="AH89" s="146"/>
      <c r="AI89" s="32"/>
      <c r="AJ89" s="146"/>
      <c r="AK89" s="32"/>
      <c r="AL89" s="146"/>
      <c r="AM89" s="32"/>
      <c r="AN89" s="146"/>
      <c r="AO89" s="32"/>
      <c r="AP89" s="146"/>
      <c r="AQ89" s="32"/>
      <c r="AR89" s="146"/>
      <c r="AS89" s="32"/>
      <c r="AT89" s="146"/>
      <c r="AU89" s="32"/>
      <c r="AV89" s="146"/>
      <c r="AW89" s="32"/>
      <c r="AX89" s="146"/>
      <c r="AY89" s="32"/>
      <c r="AZ89" s="146"/>
      <c r="BA89" s="32"/>
      <c r="BB89" s="146"/>
      <c r="BC89" s="32"/>
      <c r="BD89" s="146"/>
      <c r="BE89" s="32"/>
      <c r="BF89" s="146"/>
      <c r="BG89" s="32"/>
      <c r="BH89" s="146"/>
      <c r="BI89" s="32"/>
      <c r="BJ89" s="146"/>
      <c r="BK89" s="32"/>
      <c r="BL89" s="146"/>
      <c r="BM89" s="32"/>
      <c r="BN89" s="146"/>
      <c r="BO89" s="32"/>
      <c r="BP89" s="146"/>
      <c r="BQ89" s="32"/>
      <c r="BR89" s="146"/>
      <c r="BS89" s="32"/>
      <c r="BT89" s="146">
        <v>453</v>
      </c>
      <c r="BU89" s="32">
        <v>109</v>
      </c>
      <c r="BV89" s="146">
        <v>472</v>
      </c>
      <c r="BW89" s="32">
        <v>89</v>
      </c>
    </row>
    <row r="90" spans="1:75" ht="13" x14ac:dyDescent="0.25">
      <c r="A90" s="186">
        <v>1305</v>
      </c>
      <c r="B90" s="187" t="s">
        <v>112</v>
      </c>
      <c r="C90" s="46">
        <v>1359</v>
      </c>
      <c r="D90" s="142">
        <v>982</v>
      </c>
      <c r="E90" s="145">
        <f t="shared" si="1"/>
        <v>0.72259013980868281</v>
      </c>
      <c r="F90" s="146">
        <v>777</v>
      </c>
      <c r="G90" s="32">
        <v>169</v>
      </c>
      <c r="H90" s="146"/>
      <c r="I90" s="32"/>
      <c r="J90" s="146"/>
      <c r="K90" s="32"/>
      <c r="L90" s="146"/>
      <c r="M90" s="32"/>
      <c r="N90" s="146"/>
      <c r="O90" s="32"/>
      <c r="P90" s="146"/>
      <c r="Q90" s="32"/>
      <c r="R90" s="146"/>
      <c r="S90" s="32"/>
      <c r="T90" s="146"/>
      <c r="U90" s="32"/>
      <c r="V90" s="146"/>
      <c r="W90" s="32"/>
      <c r="X90" s="146"/>
      <c r="Y90" s="32"/>
      <c r="Z90" s="146"/>
      <c r="AA90" s="32"/>
      <c r="AB90" s="146"/>
      <c r="AC90" s="32"/>
      <c r="AD90" s="146"/>
      <c r="AE90" s="32"/>
      <c r="AF90" s="146"/>
      <c r="AG90" s="32"/>
      <c r="AH90" s="146"/>
      <c r="AI90" s="32"/>
      <c r="AJ90" s="146"/>
      <c r="AK90" s="32"/>
      <c r="AL90" s="146"/>
      <c r="AM90" s="32"/>
      <c r="AN90" s="146"/>
      <c r="AO90" s="32"/>
      <c r="AP90" s="146"/>
      <c r="AQ90" s="32"/>
      <c r="AR90" s="146"/>
      <c r="AS90" s="32"/>
      <c r="AT90" s="146"/>
      <c r="AU90" s="32"/>
      <c r="AV90" s="146"/>
      <c r="AW90" s="32"/>
      <c r="AX90" s="146"/>
      <c r="AY90" s="32"/>
      <c r="AZ90" s="146"/>
      <c r="BA90" s="32"/>
      <c r="BB90" s="146"/>
      <c r="BC90" s="32"/>
      <c r="BD90" s="146"/>
      <c r="BE90" s="32"/>
      <c r="BF90" s="146"/>
      <c r="BG90" s="32"/>
      <c r="BH90" s="146"/>
      <c r="BI90" s="32"/>
      <c r="BJ90" s="146"/>
      <c r="BK90" s="32"/>
      <c r="BL90" s="146"/>
      <c r="BM90" s="32"/>
      <c r="BN90" s="146"/>
      <c r="BO90" s="32"/>
      <c r="BP90" s="146"/>
      <c r="BQ90" s="32"/>
      <c r="BR90" s="146"/>
      <c r="BS90" s="32"/>
      <c r="BT90" s="146">
        <v>767</v>
      </c>
      <c r="BU90" s="32">
        <v>181</v>
      </c>
      <c r="BV90" s="146">
        <v>778</v>
      </c>
      <c r="BW90" s="32">
        <v>170</v>
      </c>
    </row>
    <row r="91" spans="1:75" ht="13" x14ac:dyDescent="0.25">
      <c r="A91" s="186">
        <v>1306</v>
      </c>
      <c r="B91" s="187" t="s">
        <v>113</v>
      </c>
      <c r="C91" s="46">
        <v>981</v>
      </c>
      <c r="D91" s="142">
        <v>687</v>
      </c>
      <c r="E91" s="145">
        <f t="shared" si="1"/>
        <v>0.70030581039755346</v>
      </c>
      <c r="F91" s="146">
        <v>553</v>
      </c>
      <c r="G91" s="32">
        <v>114</v>
      </c>
      <c r="H91" s="146"/>
      <c r="I91" s="32"/>
      <c r="J91" s="146"/>
      <c r="K91" s="32"/>
      <c r="L91" s="146"/>
      <c r="M91" s="32"/>
      <c r="N91" s="146"/>
      <c r="O91" s="32"/>
      <c r="P91" s="146"/>
      <c r="Q91" s="32"/>
      <c r="R91" s="146"/>
      <c r="S91" s="32"/>
      <c r="T91" s="146"/>
      <c r="U91" s="32"/>
      <c r="V91" s="146"/>
      <c r="W91" s="32"/>
      <c r="X91" s="146"/>
      <c r="Y91" s="32"/>
      <c r="Z91" s="146"/>
      <c r="AA91" s="32"/>
      <c r="AB91" s="146"/>
      <c r="AC91" s="32"/>
      <c r="AD91" s="146"/>
      <c r="AE91" s="32"/>
      <c r="AF91" s="146"/>
      <c r="AG91" s="32"/>
      <c r="AH91" s="146"/>
      <c r="AI91" s="32"/>
      <c r="AJ91" s="146"/>
      <c r="AK91" s="32"/>
      <c r="AL91" s="146"/>
      <c r="AM91" s="32"/>
      <c r="AN91" s="146"/>
      <c r="AO91" s="32"/>
      <c r="AP91" s="146"/>
      <c r="AQ91" s="32"/>
      <c r="AR91" s="146"/>
      <c r="AS91" s="32"/>
      <c r="AT91" s="146"/>
      <c r="AU91" s="32"/>
      <c r="AV91" s="146"/>
      <c r="AW91" s="32"/>
      <c r="AX91" s="146"/>
      <c r="AY91" s="32"/>
      <c r="AZ91" s="146"/>
      <c r="BA91" s="32"/>
      <c r="BB91" s="146"/>
      <c r="BC91" s="32"/>
      <c r="BD91" s="146"/>
      <c r="BE91" s="32"/>
      <c r="BF91" s="146"/>
      <c r="BG91" s="32"/>
      <c r="BH91" s="146"/>
      <c r="BI91" s="32"/>
      <c r="BJ91" s="146"/>
      <c r="BK91" s="32"/>
      <c r="BL91" s="146"/>
      <c r="BM91" s="32"/>
      <c r="BN91" s="146"/>
      <c r="BO91" s="32"/>
      <c r="BP91" s="146"/>
      <c r="BQ91" s="32"/>
      <c r="BR91" s="146"/>
      <c r="BS91" s="32"/>
      <c r="BT91" s="146">
        <v>531</v>
      </c>
      <c r="BU91" s="32">
        <v>131</v>
      </c>
      <c r="BV91" s="146">
        <v>566</v>
      </c>
      <c r="BW91" s="32">
        <v>98</v>
      </c>
    </row>
    <row r="92" spans="1:75" ht="13" x14ac:dyDescent="0.25">
      <c r="A92" s="186">
        <v>1307</v>
      </c>
      <c r="B92" s="187" t="s">
        <v>114</v>
      </c>
      <c r="C92" s="46">
        <v>1551</v>
      </c>
      <c r="D92" s="142">
        <v>595</v>
      </c>
      <c r="E92" s="145">
        <f t="shared" si="1"/>
        <v>0.3836234687298517</v>
      </c>
      <c r="F92" s="146">
        <v>437</v>
      </c>
      <c r="G92" s="32">
        <v>106</v>
      </c>
      <c r="H92" s="146"/>
      <c r="I92" s="32"/>
      <c r="J92" s="146"/>
      <c r="K92" s="32"/>
      <c r="L92" s="146"/>
      <c r="M92" s="32"/>
      <c r="N92" s="146"/>
      <c r="O92" s="32"/>
      <c r="P92" s="146"/>
      <c r="Q92" s="32"/>
      <c r="R92" s="146"/>
      <c r="S92" s="32"/>
      <c r="T92" s="146"/>
      <c r="U92" s="32"/>
      <c r="V92" s="146"/>
      <c r="W92" s="32"/>
      <c r="X92" s="146"/>
      <c r="Y92" s="32"/>
      <c r="Z92" s="146"/>
      <c r="AA92" s="32"/>
      <c r="AB92" s="146"/>
      <c r="AC92" s="32"/>
      <c r="AD92" s="146"/>
      <c r="AE92" s="32"/>
      <c r="AF92" s="146"/>
      <c r="AG92" s="32"/>
      <c r="AH92" s="146"/>
      <c r="AI92" s="32"/>
      <c r="AJ92" s="146"/>
      <c r="AK92" s="32"/>
      <c r="AL92" s="146"/>
      <c r="AM92" s="32"/>
      <c r="AN92" s="146"/>
      <c r="AO92" s="32"/>
      <c r="AP92" s="146"/>
      <c r="AQ92" s="32"/>
      <c r="AR92" s="146"/>
      <c r="AS92" s="32"/>
      <c r="AT92" s="146"/>
      <c r="AU92" s="32"/>
      <c r="AV92" s="146"/>
      <c r="AW92" s="32"/>
      <c r="AX92" s="146"/>
      <c r="AY92" s="32"/>
      <c r="AZ92" s="146"/>
      <c r="BA92" s="32"/>
      <c r="BB92" s="146"/>
      <c r="BC92" s="32"/>
      <c r="BD92" s="146"/>
      <c r="BE92" s="32"/>
      <c r="BF92" s="146"/>
      <c r="BG92" s="32"/>
      <c r="BH92" s="146"/>
      <c r="BI92" s="32"/>
      <c r="BJ92" s="146"/>
      <c r="BK92" s="32"/>
      <c r="BL92" s="146"/>
      <c r="BM92" s="32"/>
      <c r="BN92" s="146"/>
      <c r="BO92" s="32"/>
      <c r="BP92" s="146"/>
      <c r="BQ92" s="32"/>
      <c r="BR92" s="146"/>
      <c r="BS92" s="32"/>
      <c r="BT92" s="146">
        <v>430</v>
      </c>
      <c r="BU92" s="32">
        <v>120</v>
      </c>
      <c r="BV92" s="146">
        <v>450</v>
      </c>
      <c r="BW92" s="32">
        <v>106</v>
      </c>
    </row>
    <row r="93" spans="1:75" ht="13" x14ac:dyDescent="0.25">
      <c r="A93" s="186">
        <v>1308</v>
      </c>
      <c r="B93" s="187" t="s">
        <v>115</v>
      </c>
      <c r="C93" s="46">
        <v>668</v>
      </c>
      <c r="D93" s="142">
        <v>134</v>
      </c>
      <c r="E93" s="145">
        <f t="shared" si="1"/>
        <v>0.20059880239520958</v>
      </c>
      <c r="F93" s="146">
        <v>72</v>
      </c>
      <c r="G93" s="32">
        <v>54</v>
      </c>
      <c r="H93" s="146"/>
      <c r="I93" s="32"/>
      <c r="J93" s="146"/>
      <c r="K93" s="32"/>
      <c r="L93" s="146"/>
      <c r="M93" s="32"/>
      <c r="N93" s="146"/>
      <c r="O93" s="32"/>
      <c r="P93" s="146"/>
      <c r="Q93" s="32"/>
      <c r="R93" s="146"/>
      <c r="S93" s="32"/>
      <c r="T93" s="146"/>
      <c r="U93" s="32"/>
      <c r="V93" s="146"/>
      <c r="W93" s="32"/>
      <c r="X93" s="146"/>
      <c r="Y93" s="32"/>
      <c r="Z93" s="146"/>
      <c r="AA93" s="32"/>
      <c r="AB93" s="146"/>
      <c r="AC93" s="32"/>
      <c r="AD93" s="146"/>
      <c r="AE93" s="32"/>
      <c r="AF93" s="146"/>
      <c r="AG93" s="32"/>
      <c r="AH93" s="146"/>
      <c r="AI93" s="32"/>
      <c r="AJ93" s="146"/>
      <c r="AK93" s="32"/>
      <c r="AL93" s="146"/>
      <c r="AM93" s="32"/>
      <c r="AN93" s="146"/>
      <c r="AO93" s="32"/>
      <c r="AP93" s="146"/>
      <c r="AQ93" s="32"/>
      <c r="AR93" s="146"/>
      <c r="AS93" s="32"/>
      <c r="AT93" s="146"/>
      <c r="AU93" s="32"/>
      <c r="AV93" s="146"/>
      <c r="AW93" s="32"/>
      <c r="AX93" s="146"/>
      <c r="AY93" s="32"/>
      <c r="AZ93" s="146"/>
      <c r="BA93" s="32"/>
      <c r="BB93" s="146"/>
      <c r="BC93" s="32"/>
      <c r="BD93" s="146"/>
      <c r="BE93" s="32"/>
      <c r="BF93" s="146"/>
      <c r="BG93" s="32"/>
      <c r="BH93" s="146"/>
      <c r="BI93" s="32"/>
      <c r="BJ93" s="146"/>
      <c r="BK93" s="32"/>
      <c r="BL93" s="146"/>
      <c r="BM93" s="32"/>
      <c r="BN93" s="146"/>
      <c r="BO93" s="32"/>
      <c r="BP93" s="146"/>
      <c r="BQ93" s="32"/>
      <c r="BR93" s="146"/>
      <c r="BS93" s="32"/>
      <c r="BT93" s="146">
        <v>86</v>
      </c>
      <c r="BU93" s="32">
        <v>33</v>
      </c>
      <c r="BV93" s="146">
        <v>91</v>
      </c>
      <c r="BW93" s="32">
        <v>27</v>
      </c>
    </row>
    <row r="94" spans="1:75" ht="13" x14ac:dyDescent="0.25">
      <c r="A94" s="186">
        <v>1401</v>
      </c>
      <c r="B94" s="187" t="s">
        <v>116</v>
      </c>
      <c r="C94" s="46">
        <v>1254</v>
      </c>
      <c r="D94" s="142">
        <v>963</v>
      </c>
      <c r="E94" s="145">
        <f t="shared" si="1"/>
        <v>0.76794258373205737</v>
      </c>
      <c r="F94" s="146">
        <v>731</v>
      </c>
      <c r="G94" s="32">
        <v>199</v>
      </c>
      <c r="H94" s="146"/>
      <c r="I94" s="32"/>
      <c r="J94" s="146"/>
      <c r="K94" s="32"/>
      <c r="L94" s="146"/>
      <c r="M94" s="32"/>
      <c r="N94" s="146"/>
      <c r="O94" s="32"/>
      <c r="P94" s="146"/>
      <c r="Q94" s="32"/>
      <c r="R94" s="146"/>
      <c r="S94" s="32"/>
      <c r="T94" s="146"/>
      <c r="U94" s="32"/>
      <c r="V94" s="146"/>
      <c r="W94" s="32"/>
      <c r="X94" s="146"/>
      <c r="Y94" s="32"/>
      <c r="Z94" s="146"/>
      <c r="AA94" s="32"/>
      <c r="AB94" s="146"/>
      <c r="AC94" s="32"/>
      <c r="AD94" s="146"/>
      <c r="AE94" s="32"/>
      <c r="AF94" s="146"/>
      <c r="AG94" s="32"/>
      <c r="AH94" s="146"/>
      <c r="AI94" s="32"/>
      <c r="AJ94" s="146"/>
      <c r="AK94" s="32"/>
      <c r="AL94" s="146"/>
      <c r="AM94" s="32"/>
      <c r="AN94" s="146"/>
      <c r="AO94" s="32"/>
      <c r="AP94" s="146"/>
      <c r="AQ94" s="32"/>
      <c r="AR94" s="146"/>
      <c r="AS94" s="32"/>
      <c r="AT94" s="146"/>
      <c r="AU94" s="32"/>
      <c r="AV94" s="146"/>
      <c r="AW94" s="32"/>
      <c r="AX94" s="146"/>
      <c r="AY94" s="32"/>
      <c r="AZ94" s="146"/>
      <c r="BA94" s="32"/>
      <c r="BB94" s="146"/>
      <c r="BC94" s="32"/>
      <c r="BD94" s="146"/>
      <c r="BE94" s="32"/>
      <c r="BF94" s="146"/>
      <c r="BG94" s="32"/>
      <c r="BH94" s="146"/>
      <c r="BI94" s="32"/>
      <c r="BJ94" s="146"/>
      <c r="BK94" s="32"/>
      <c r="BL94" s="146"/>
      <c r="BM94" s="32"/>
      <c r="BN94" s="146"/>
      <c r="BO94" s="32"/>
      <c r="BP94" s="146"/>
      <c r="BQ94" s="32"/>
      <c r="BR94" s="146"/>
      <c r="BS94" s="32"/>
      <c r="BT94" s="146">
        <v>739</v>
      </c>
      <c r="BU94" s="32">
        <v>189</v>
      </c>
      <c r="BV94" s="146">
        <v>769</v>
      </c>
      <c r="BW94" s="32">
        <v>158</v>
      </c>
    </row>
    <row r="95" spans="1:75" ht="13" x14ac:dyDescent="0.25">
      <c r="A95" s="186">
        <v>1402</v>
      </c>
      <c r="B95" s="187" t="s">
        <v>117</v>
      </c>
      <c r="C95" s="46">
        <v>1222</v>
      </c>
      <c r="D95" s="142">
        <v>816</v>
      </c>
      <c r="E95" s="145">
        <f t="shared" si="1"/>
        <v>0.66775777414075288</v>
      </c>
      <c r="F95" s="146">
        <v>671</v>
      </c>
      <c r="G95" s="32">
        <v>103</v>
      </c>
      <c r="H95" s="146"/>
      <c r="I95" s="32"/>
      <c r="J95" s="146"/>
      <c r="K95" s="32"/>
      <c r="L95" s="146"/>
      <c r="M95" s="32"/>
      <c r="N95" s="146"/>
      <c r="O95" s="32"/>
      <c r="P95" s="146"/>
      <c r="Q95" s="32"/>
      <c r="R95" s="146"/>
      <c r="S95" s="32"/>
      <c r="T95" s="146"/>
      <c r="U95" s="32"/>
      <c r="V95" s="146"/>
      <c r="W95" s="32"/>
      <c r="X95" s="146"/>
      <c r="Y95" s="32"/>
      <c r="Z95" s="146"/>
      <c r="AA95" s="32"/>
      <c r="AB95" s="146"/>
      <c r="AC95" s="32"/>
      <c r="AD95" s="146"/>
      <c r="AE95" s="32"/>
      <c r="AF95" s="146"/>
      <c r="AG95" s="32"/>
      <c r="AH95" s="146"/>
      <c r="AI95" s="32"/>
      <c r="AJ95" s="146"/>
      <c r="AK95" s="32"/>
      <c r="AL95" s="146"/>
      <c r="AM95" s="32"/>
      <c r="AN95" s="146"/>
      <c r="AO95" s="32"/>
      <c r="AP95" s="146"/>
      <c r="AQ95" s="32"/>
      <c r="AR95" s="146"/>
      <c r="AS95" s="32"/>
      <c r="AT95" s="146"/>
      <c r="AU95" s="32"/>
      <c r="AV95" s="146"/>
      <c r="AW95" s="32"/>
      <c r="AX95" s="146"/>
      <c r="AY95" s="32"/>
      <c r="AZ95" s="146"/>
      <c r="BA95" s="32"/>
      <c r="BB95" s="146"/>
      <c r="BC95" s="32"/>
      <c r="BD95" s="146"/>
      <c r="BE95" s="32"/>
      <c r="BF95" s="146"/>
      <c r="BG95" s="32"/>
      <c r="BH95" s="146"/>
      <c r="BI95" s="32"/>
      <c r="BJ95" s="146"/>
      <c r="BK95" s="32"/>
      <c r="BL95" s="146"/>
      <c r="BM95" s="32"/>
      <c r="BN95" s="146"/>
      <c r="BO95" s="32"/>
      <c r="BP95" s="146"/>
      <c r="BQ95" s="32"/>
      <c r="BR95" s="146"/>
      <c r="BS95" s="32"/>
      <c r="BT95" s="146">
        <v>629</v>
      </c>
      <c r="BU95" s="32">
        <v>152</v>
      </c>
      <c r="BV95" s="146">
        <v>651</v>
      </c>
      <c r="BW95" s="32">
        <v>130</v>
      </c>
    </row>
    <row r="96" spans="1:75" ht="13" x14ac:dyDescent="0.25">
      <c r="A96" s="186">
        <v>1403</v>
      </c>
      <c r="B96" s="187" t="s">
        <v>118</v>
      </c>
      <c r="C96" s="46">
        <v>493</v>
      </c>
      <c r="D96" s="142">
        <v>411</v>
      </c>
      <c r="E96" s="145">
        <f t="shared" si="1"/>
        <v>0.83367139959432046</v>
      </c>
      <c r="F96" s="146">
        <v>309</v>
      </c>
      <c r="G96" s="32">
        <v>92</v>
      </c>
      <c r="H96" s="146"/>
      <c r="I96" s="32"/>
      <c r="J96" s="146"/>
      <c r="K96" s="32"/>
      <c r="L96" s="146"/>
      <c r="M96" s="32"/>
      <c r="N96" s="146"/>
      <c r="O96" s="32"/>
      <c r="P96" s="146"/>
      <c r="Q96" s="32"/>
      <c r="R96" s="146"/>
      <c r="S96" s="32"/>
      <c r="T96" s="146"/>
      <c r="U96" s="32"/>
      <c r="V96" s="146"/>
      <c r="W96" s="32"/>
      <c r="X96" s="146"/>
      <c r="Y96" s="32"/>
      <c r="Z96" s="146"/>
      <c r="AA96" s="32"/>
      <c r="AB96" s="146"/>
      <c r="AC96" s="32"/>
      <c r="AD96" s="146"/>
      <c r="AE96" s="32"/>
      <c r="AF96" s="146"/>
      <c r="AG96" s="32"/>
      <c r="AH96" s="146"/>
      <c r="AI96" s="32"/>
      <c r="AJ96" s="146"/>
      <c r="AK96" s="32"/>
      <c r="AL96" s="146"/>
      <c r="AM96" s="32"/>
      <c r="AN96" s="146"/>
      <c r="AO96" s="32"/>
      <c r="AP96" s="146"/>
      <c r="AQ96" s="32"/>
      <c r="AR96" s="146"/>
      <c r="AS96" s="32"/>
      <c r="AT96" s="146"/>
      <c r="AU96" s="32"/>
      <c r="AV96" s="146"/>
      <c r="AW96" s="32"/>
      <c r="AX96" s="146"/>
      <c r="AY96" s="32"/>
      <c r="AZ96" s="146"/>
      <c r="BA96" s="32"/>
      <c r="BB96" s="146"/>
      <c r="BC96" s="32"/>
      <c r="BD96" s="146"/>
      <c r="BE96" s="32"/>
      <c r="BF96" s="146"/>
      <c r="BG96" s="32"/>
      <c r="BH96" s="146"/>
      <c r="BI96" s="32"/>
      <c r="BJ96" s="146"/>
      <c r="BK96" s="32"/>
      <c r="BL96" s="146"/>
      <c r="BM96" s="32"/>
      <c r="BN96" s="146"/>
      <c r="BO96" s="32"/>
      <c r="BP96" s="146"/>
      <c r="BQ96" s="32"/>
      <c r="BR96" s="146"/>
      <c r="BS96" s="32"/>
      <c r="BT96" s="146">
        <v>319</v>
      </c>
      <c r="BU96" s="32">
        <v>76</v>
      </c>
      <c r="BV96" s="146">
        <v>322</v>
      </c>
      <c r="BW96" s="32">
        <v>75</v>
      </c>
    </row>
    <row r="97" spans="1:75" ht="13" x14ac:dyDescent="0.25">
      <c r="A97" s="186">
        <v>1404</v>
      </c>
      <c r="B97" s="187" t="s">
        <v>119</v>
      </c>
      <c r="C97" s="46">
        <v>1439</v>
      </c>
      <c r="D97" s="142">
        <v>1085</v>
      </c>
      <c r="E97" s="145">
        <f t="shared" si="1"/>
        <v>0.75399583043780405</v>
      </c>
      <c r="F97" s="146">
        <v>843</v>
      </c>
      <c r="G97" s="32">
        <v>190</v>
      </c>
      <c r="H97" s="146"/>
      <c r="I97" s="32"/>
      <c r="J97" s="146"/>
      <c r="K97" s="32"/>
      <c r="L97" s="146"/>
      <c r="M97" s="32"/>
      <c r="N97" s="146"/>
      <c r="O97" s="32"/>
      <c r="P97" s="146"/>
      <c r="Q97" s="32"/>
      <c r="R97" s="146"/>
      <c r="S97" s="32"/>
      <c r="T97" s="146"/>
      <c r="U97" s="32"/>
      <c r="V97" s="146"/>
      <c r="W97" s="32"/>
      <c r="X97" s="146"/>
      <c r="Y97" s="32"/>
      <c r="Z97" s="146"/>
      <c r="AA97" s="32"/>
      <c r="AB97" s="146"/>
      <c r="AC97" s="32"/>
      <c r="AD97" s="146"/>
      <c r="AE97" s="32"/>
      <c r="AF97" s="146"/>
      <c r="AG97" s="32"/>
      <c r="AH97" s="146"/>
      <c r="AI97" s="32"/>
      <c r="AJ97" s="146"/>
      <c r="AK97" s="32"/>
      <c r="AL97" s="146"/>
      <c r="AM97" s="32"/>
      <c r="AN97" s="146"/>
      <c r="AO97" s="32"/>
      <c r="AP97" s="146"/>
      <c r="AQ97" s="32"/>
      <c r="AR97" s="146"/>
      <c r="AS97" s="32"/>
      <c r="AT97" s="146"/>
      <c r="AU97" s="32"/>
      <c r="AV97" s="146"/>
      <c r="AW97" s="32"/>
      <c r="AX97" s="146"/>
      <c r="AY97" s="32"/>
      <c r="AZ97" s="146"/>
      <c r="BA97" s="32"/>
      <c r="BB97" s="146"/>
      <c r="BC97" s="32"/>
      <c r="BD97" s="146"/>
      <c r="BE97" s="32"/>
      <c r="BF97" s="146"/>
      <c r="BG97" s="32"/>
      <c r="BH97" s="146"/>
      <c r="BI97" s="32"/>
      <c r="BJ97" s="146"/>
      <c r="BK97" s="32"/>
      <c r="BL97" s="146"/>
      <c r="BM97" s="32"/>
      <c r="BN97" s="146"/>
      <c r="BO97" s="32"/>
      <c r="BP97" s="146"/>
      <c r="BQ97" s="32"/>
      <c r="BR97" s="146"/>
      <c r="BS97" s="32"/>
      <c r="BT97" s="146">
        <v>830</v>
      </c>
      <c r="BU97" s="32">
        <v>208</v>
      </c>
      <c r="BV97" s="146">
        <v>850</v>
      </c>
      <c r="BW97" s="32">
        <v>189</v>
      </c>
    </row>
    <row r="98" spans="1:75" ht="13" x14ac:dyDescent="0.25">
      <c r="A98" s="186">
        <v>1405</v>
      </c>
      <c r="B98" s="187" t="s">
        <v>120</v>
      </c>
      <c r="C98" s="46">
        <v>1264</v>
      </c>
      <c r="D98" s="142">
        <v>891</v>
      </c>
      <c r="E98" s="145">
        <f t="shared" si="1"/>
        <v>0.70490506329113922</v>
      </c>
      <c r="F98" s="146">
        <v>701</v>
      </c>
      <c r="G98" s="32">
        <v>159</v>
      </c>
      <c r="H98" s="146"/>
      <c r="I98" s="32"/>
      <c r="J98" s="146"/>
      <c r="K98" s="32"/>
      <c r="L98" s="146"/>
      <c r="M98" s="32"/>
      <c r="N98" s="146"/>
      <c r="O98" s="32"/>
      <c r="P98" s="146"/>
      <c r="Q98" s="32"/>
      <c r="R98" s="146"/>
      <c r="S98" s="32"/>
      <c r="T98" s="146"/>
      <c r="U98" s="32"/>
      <c r="V98" s="146"/>
      <c r="W98" s="32"/>
      <c r="X98" s="146"/>
      <c r="Y98" s="32"/>
      <c r="Z98" s="146"/>
      <c r="AA98" s="32"/>
      <c r="AB98" s="146"/>
      <c r="AC98" s="32"/>
      <c r="AD98" s="146"/>
      <c r="AE98" s="32"/>
      <c r="AF98" s="146"/>
      <c r="AG98" s="32"/>
      <c r="AH98" s="146"/>
      <c r="AI98" s="32"/>
      <c r="AJ98" s="146"/>
      <c r="AK98" s="32"/>
      <c r="AL98" s="146"/>
      <c r="AM98" s="32"/>
      <c r="AN98" s="146"/>
      <c r="AO98" s="32"/>
      <c r="AP98" s="146"/>
      <c r="AQ98" s="32"/>
      <c r="AR98" s="146"/>
      <c r="AS98" s="32"/>
      <c r="AT98" s="146"/>
      <c r="AU98" s="32"/>
      <c r="AV98" s="146"/>
      <c r="AW98" s="32"/>
      <c r="AX98" s="146"/>
      <c r="AY98" s="32"/>
      <c r="AZ98" s="146"/>
      <c r="BA98" s="32"/>
      <c r="BB98" s="146"/>
      <c r="BC98" s="32"/>
      <c r="BD98" s="146"/>
      <c r="BE98" s="32"/>
      <c r="BF98" s="146"/>
      <c r="BG98" s="32"/>
      <c r="BH98" s="146"/>
      <c r="BI98" s="32"/>
      <c r="BJ98" s="146"/>
      <c r="BK98" s="32"/>
      <c r="BL98" s="146"/>
      <c r="BM98" s="32"/>
      <c r="BN98" s="146"/>
      <c r="BO98" s="32"/>
      <c r="BP98" s="146"/>
      <c r="BQ98" s="32"/>
      <c r="BR98" s="146"/>
      <c r="BS98" s="32"/>
      <c r="BT98" s="146">
        <v>685</v>
      </c>
      <c r="BU98" s="32">
        <v>166</v>
      </c>
      <c r="BV98" s="146">
        <v>703</v>
      </c>
      <c r="BW98" s="32">
        <v>146</v>
      </c>
    </row>
    <row r="99" spans="1:75" ht="13" x14ac:dyDescent="0.25">
      <c r="A99" s="186">
        <v>1406</v>
      </c>
      <c r="B99" s="187" t="s">
        <v>121</v>
      </c>
      <c r="C99" s="46">
        <v>998</v>
      </c>
      <c r="D99" s="142">
        <v>799</v>
      </c>
      <c r="E99" s="145">
        <f t="shared" si="1"/>
        <v>0.80060120240480959</v>
      </c>
      <c r="F99" s="146">
        <v>618</v>
      </c>
      <c r="G99" s="32">
        <v>158</v>
      </c>
      <c r="H99" s="146"/>
      <c r="I99" s="32"/>
      <c r="J99" s="146"/>
      <c r="K99" s="32"/>
      <c r="L99" s="146"/>
      <c r="M99" s="32"/>
      <c r="N99" s="146"/>
      <c r="O99" s="32"/>
      <c r="P99" s="146"/>
      <c r="Q99" s="32"/>
      <c r="R99" s="146"/>
      <c r="S99" s="32"/>
      <c r="T99" s="146"/>
      <c r="U99" s="32"/>
      <c r="V99" s="146"/>
      <c r="W99" s="32"/>
      <c r="X99" s="146"/>
      <c r="Y99" s="32"/>
      <c r="Z99" s="146"/>
      <c r="AA99" s="32"/>
      <c r="AB99" s="146"/>
      <c r="AC99" s="32"/>
      <c r="AD99" s="146"/>
      <c r="AE99" s="32"/>
      <c r="AF99" s="146"/>
      <c r="AG99" s="32"/>
      <c r="AH99" s="146"/>
      <c r="AI99" s="32"/>
      <c r="AJ99" s="146"/>
      <c r="AK99" s="32"/>
      <c r="AL99" s="146"/>
      <c r="AM99" s="32"/>
      <c r="AN99" s="146"/>
      <c r="AO99" s="32"/>
      <c r="AP99" s="146"/>
      <c r="AQ99" s="32"/>
      <c r="AR99" s="146"/>
      <c r="AS99" s="32"/>
      <c r="AT99" s="146"/>
      <c r="AU99" s="32"/>
      <c r="AV99" s="146"/>
      <c r="AW99" s="32"/>
      <c r="AX99" s="146"/>
      <c r="AY99" s="32"/>
      <c r="AZ99" s="146"/>
      <c r="BA99" s="32"/>
      <c r="BB99" s="146"/>
      <c r="BC99" s="32"/>
      <c r="BD99" s="146"/>
      <c r="BE99" s="32"/>
      <c r="BF99" s="146"/>
      <c r="BG99" s="32"/>
      <c r="BH99" s="146"/>
      <c r="BI99" s="32"/>
      <c r="BJ99" s="146"/>
      <c r="BK99" s="32"/>
      <c r="BL99" s="146"/>
      <c r="BM99" s="32"/>
      <c r="BN99" s="146"/>
      <c r="BO99" s="32"/>
      <c r="BP99" s="146"/>
      <c r="BQ99" s="32"/>
      <c r="BR99" s="146"/>
      <c r="BS99" s="32"/>
      <c r="BT99" s="146">
        <v>624</v>
      </c>
      <c r="BU99" s="32">
        <v>146</v>
      </c>
      <c r="BV99" s="146">
        <v>640</v>
      </c>
      <c r="BW99" s="32">
        <v>129</v>
      </c>
    </row>
    <row r="100" spans="1:75" ht="13" x14ac:dyDescent="0.25">
      <c r="A100" s="186">
        <v>1407</v>
      </c>
      <c r="B100" s="187" t="s">
        <v>122</v>
      </c>
      <c r="C100" s="46">
        <v>1056</v>
      </c>
      <c r="D100" s="142">
        <v>866</v>
      </c>
      <c r="E100" s="145">
        <f t="shared" si="1"/>
        <v>0.82007575757575757</v>
      </c>
      <c r="F100" s="146">
        <v>644</v>
      </c>
      <c r="G100" s="32">
        <v>195</v>
      </c>
      <c r="H100" s="146"/>
      <c r="I100" s="32"/>
      <c r="J100" s="146"/>
      <c r="K100" s="32"/>
      <c r="L100" s="146"/>
      <c r="M100" s="32"/>
      <c r="N100" s="146"/>
      <c r="O100" s="32"/>
      <c r="P100" s="146"/>
      <c r="Q100" s="32"/>
      <c r="R100" s="146"/>
      <c r="S100" s="32"/>
      <c r="T100" s="146"/>
      <c r="U100" s="32"/>
      <c r="V100" s="146"/>
      <c r="W100" s="32"/>
      <c r="X100" s="146"/>
      <c r="Y100" s="32"/>
      <c r="Z100" s="146"/>
      <c r="AA100" s="32"/>
      <c r="AB100" s="146"/>
      <c r="AC100" s="32"/>
      <c r="AD100" s="146"/>
      <c r="AE100" s="32"/>
      <c r="AF100" s="146"/>
      <c r="AG100" s="32"/>
      <c r="AH100" s="146"/>
      <c r="AI100" s="32"/>
      <c r="AJ100" s="146"/>
      <c r="AK100" s="32"/>
      <c r="AL100" s="146"/>
      <c r="AM100" s="32"/>
      <c r="AN100" s="146"/>
      <c r="AO100" s="32"/>
      <c r="AP100" s="146"/>
      <c r="AQ100" s="32"/>
      <c r="AR100" s="146"/>
      <c r="AS100" s="32"/>
      <c r="AT100" s="146"/>
      <c r="AU100" s="32"/>
      <c r="AV100" s="146"/>
      <c r="AW100" s="32"/>
      <c r="AX100" s="146"/>
      <c r="AY100" s="32"/>
      <c r="AZ100" s="146"/>
      <c r="BA100" s="32"/>
      <c r="BB100" s="146"/>
      <c r="BC100" s="32"/>
      <c r="BD100" s="146"/>
      <c r="BE100" s="32"/>
      <c r="BF100" s="146"/>
      <c r="BG100" s="32"/>
      <c r="BH100" s="146"/>
      <c r="BI100" s="32"/>
      <c r="BJ100" s="146"/>
      <c r="BK100" s="32"/>
      <c r="BL100" s="146"/>
      <c r="BM100" s="32"/>
      <c r="BN100" s="146"/>
      <c r="BO100" s="32"/>
      <c r="BP100" s="146"/>
      <c r="BQ100" s="32"/>
      <c r="BR100" s="146"/>
      <c r="BS100" s="32"/>
      <c r="BT100" s="146">
        <v>664</v>
      </c>
      <c r="BU100" s="32">
        <v>174</v>
      </c>
      <c r="BV100" s="146">
        <v>678</v>
      </c>
      <c r="BW100" s="32">
        <v>156</v>
      </c>
    </row>
    <row r="101" spans="1:75" ht="13" x14ac:dyDescent="0.25">
      <c r="A101" s="186">
        <v>1408</v>
      </c>
      <c r="B101" s="187" t="s">
        <v>123</v>
      </c>
      <c r="C101" s="46">
        <v>1263</v>
      </c>
      <c r="D101" s="142">
        <v>903</v>
      </c>
      <c r="E101" s="145">
        <f t="shared" si="1"/>
        <v>0.71496437054631834</v>
      </c>
      <c r="F101" s="146">
        <v>668</v>
      </c>
      <c r="G101" s="32">
        <v>198</v>
      </c>
      <c r="H101" s="146"/>
      <c r="I101" s="32"/>
      <c r="J101" s="146"/>
      <c r="K101" s="32"/>
      <c r="L101" s="146"/>
      <c r="M101" s="32"/>
      <c r="N101" s="146"/>
      <c r="O101" s="32"/>
      <c r="P101" s="146"/>
      <c r="Q101" s="32"/>
      <c r="R101" s="146"/>
      <c r="S101" s="32"/>
      <c r="T101" s="146"/>
      <c r="U101" s="32"/>
      <c r="V101" s="146"/>
      <c r="W101" s="32"/>
      <c r="X101" s="146"/>
      <c r="Y101" s="32"/>
      <c r="Z101" s="146"/>
      <c r="AA101" s="32"/>
      <c r="AB101" s="146"/>
      <c r="AC101" s="32"/>
      <c r="AD101" s="146"/>
      <c r="AE101" s="32"/>
      <c r="AF101" s="146"/>
      <c r="AG101" s="32"/>
      <c r="AH101" s="146"/>
      <c r="AI101" s="32"/>
      <c r="AJ101" s="146"/>
      <c r="AK101" s="32"/>
      <c r="AL101" s="146"/>
      <c r="AM101" s="32"/>
      <c r="AN101" s="146"/>
      <c r="AO101" s="32"/>
      <c r="AP101" s="146"/>
      <c r="AQ101" s="32"/>
      <c r="AR101" s="146"/>
      <c r="AS101" s="32"/>
      <c r="AT101" s="146"/>
      <c r="AU101" s="32"/>
      <c r="AV101" s="146"/>
      <c r="AW101" s="32"/>
      <c r="AX101" s="146"/>
      <c r="AY101" s="32"/>
      <c r="AZ101" s="146"/>
      <c r="BA101" s="32"/>
      <c r="BB101" s="146"/>
      <c r="BC101" s="32"/>
      <c r="BD101" s="146"/>
      <c r="BE101" s="32"/>
      <c r="BF101" s="146"/>
      <c r="BG101" s="32"/>
      <c r="BH101" s="146"/>
      <c r="BI101" s="32"/>
      <c r="BJ101" s="146"/>
      <c r="BK101" s="32"/>
      <c r="BL101" s="146"/>
      <c r="BM101" s="32"/>
      <c r="BN101" s="146"/>
      <c r="BO101" s="32"/>
      <c r="BP101" s="146"/>
      <c r="BQ101" s="32"/>
      <c r="BR101" s="146"/>
      <c r="BS101" s="32"/>
      <c r="BT101" s="146">
        <v>692</v>
      </c>
      <c r="BU101" s="32">
        <v>163</v>
      </c>
      <c r="BV101" s="146">
        <v>720</v>
      </c>
      <c r="BW101" s="32">
        <v>142</v>
      </c>
    </row>
    <row r="102" spans="1:75" ht="13" x14ac:dyDescent="0.25">
      <c r="A102" s="186">
        <v>1409</v>
      </c>
      <c r="B102" s="187" t="s">
        <v>124</v>
      </c>
      <c r="C102" s="46">
        <v>1388</v>
      </c>
      <c r="D102" s="142">
        <v>929</v>
      </c>
      <c r="E102" s="145">
        <f t="shared" si="1"/>
        <v>0.6693083573487032</v>
      </c>
      <c r="F102" s="146">
        <v>725</v>
      </c>
      <c r="G102" s="32">
        <v>173</v>
      </c>
      <c r="H102" s="146"/>
      <c r="I102" s="32"/>
      <c r="J102" s="146"/>
      <c r="K102" s="32"/>
      <c r="L102" s="146"/>
      <c r="M102" s="32"/>
      <c r="N102" s="146"/>
      <c r="O102" s="32"/>
      <c r="P102" s="146"/>
      <c r="Q102" s="32"/>
      <c r="R102" s="146"/>
      <c r="S102" s="32"/>
      <c r="T102" s="146"/>
      <c r="U102" s="32"/>
      <c r="V102" s="146"/>
      <c r="W102" s="32"/>
      <c r="X102" s="146"/>
      <c r="Y102" s="32"/>
      <c r="Z102" s="146"/>
      <c r="AA102" s="32"/>
      <c r="AB102" s="146"/>
      <c r="AC102" s="32"/>
      <c r="AD102" s="146"/>
      <c r="AE102" s="32"/>
      <c r="AF102" s="146"/>
      <c r="AG102" s="32"/>
      <c r="AH102" s="146"/>
      <c r="AI102" s="32"/>
      <c r="AJ102" s="146"/>
      <c r="AK102" s="32"/>
      <c r="AL102" s="146"/>
      <c r="AM102" s="32"/>
      <c r="AN102" s="146"/>
      <c r="AO102" s="32"/>
      <c r="AP102" s="146"/>
      <c r="AQ102" s="32"/>
      <c r="AR102" s="146"/>
      <c r="AS102" s="32"/>
      <c r="AT102" s="146"/>
      <c r="AU102" s="32"/>
      <c r="AV102" s="146"/>
      <c r="AW102" s="32"/>
      <c r="AX102" s="146"/>
      <c r="AY102" s="32"/>
      <c r="AZ102" s="146"/>
      <c r="BA102" s="32"/>
      <c r="BB102" s="146"/>
      <c r="BC102" s="32"/>
      <c r="BD102" s="146"/>
      <c r="BE102" s="32"/>
      <c r="BF102" s="146"/>
      <c r="BG102" s="32"/>
      <c r="BH102" s="146"/>
      <c r="BI102" s="32"/>
      <c r="BJ102" s="146"/>
      <c r="BK102" s="32"/>
      <c r="BL102" s="146"/>
      <c r="BM102" s="32"/>
      <c r="BN102" s="146"/>
      <c r="BO102" s="32"/>
      <c r="BP102" s="146"/>
      <c r="BQ102" s="32"/>
      <c r="BR102" s="146"/>
      <c r="BS102" s="32"/>
      <c r="BT102" s="146">
        <v>693</v>
      </c>
      <c r="BU102" s="32">
        <v>196</v>
      </c>
      <c r="BV102" s="146">
        <v>714</v>
      </c>
      <c r="BW102" s="32">
        <v>176</v>
      </c>
    </row>
    <row r="103" spans="1:75" ht="13" x14ac:dyDescent="0.25">
      <c r="A103" s="186">
        <v>1501</v>
      </c>
      <c r="B103" s="187" t="s">
        <v>125</v>
      </c>
      <c r="C103" s="46">
        <v>1271</v>
      </c>
      <c r="D103" s="142">
        <v>893</v>
      </c>
      <c r="E103" s="145">
        <f t="shared" si="1"/>
        <v>0.70259638080251774</v>
      </c>
      <c r="F103" s="146">
        <v>769</v>
      </c>
      <c r="G103" s="32">
        <v>96</v>
      </c>
      <c r="H103" s="146"/>
      <c r="I103" s="32"/>
      <c r="J103" s="146"/>
      <c r="K103" s="32"/>
      <c r="L103" s="146"/>
      <c r="M103" s="32"/>
      <c r="N103" s="146"/>
      <c r="O103" s="32"/>
      <c r="P103" s="146"/>
      <c r="Q103" s="32"/>
      <c r="R103" s="146"/>
      <c r="S103" s="32"/>
      <c r="T103" s="146"/>
      <c r="U103" s="32"/>
      <c r="V103" s="146"/>
      <c r="W103" s="32"/>
      <c r="X103" s="146"/>
      <c r="Y103" s="32"/>
      <c r="Z103" s="146"/>
      <c r="AA103" s="32"/>
      <c r="AB103" s="146"/>
      <c r="AC103" s="32"/>
      <c r="AD103" s="146"/>
      <c r="AE103" s="32"/>
      <c r="AF103" s="146"/>
      <c r="AG103" s="32"/>
      <c r="AH103" s="146"/>
      <c r="AI103" s="32"/>
      <c r="AJ103" s="146"/>
      <c r="AK103" s="32"/>
      <c r="AL103" s="146"/>
      <c r="AM103" s="32"/>
      <c r="AN103" s="146"/>
      <c r="AO103" s="32"/>
      <c r="AP103" s="146"/>
      <c r="AQ103" s="32"/>
      <c r="AR103" s="146"/>
      <c r="AS103" s="32"/>
      <c r="AT103" s="146"/>
      <c r="AU103" s="32"/>
      <c r="AV103" s="146"/>
      <c r="AW103" s="32"/>
      <c r="AX103" s="146"/>
      <c r="AY103" s="32"/>
      <c r="AZ103" s="146"/>
      <c r="BA103" s="32"/>
      <c r="BB103" s="146"/>
      <c r="BC103" s="32"/>
      <c r="BD103" s="146"/>
      <c r="BE103" s="32"/>
      <c r="BF103" s="146"/>
      <c r="BG103" s="32"/>
      <c r="BH103" s="146"/>
      <c r="BI103" s="32"/>
      <c r="BJ103" s="146"/>
      <c r="BK103" s="32"/>
      <c r="BL103" s="146"/>
      <c r="BM103" s="32"/>
      <c r="BN103" s="146"/>
      <c r="BO103" s="32"/>
      <c r="BP103" s="146"/>
      <c r="BQ103" s="32"/>
      <c r="BR103" s="146"/>
      <c r="BS103" s="32"/>
      <c r="BT103" s="146">
        <v>758</v>
      </c>
      <c r="BU103" s="32">
        <v>109</v>
      </c>
      <c r="BV103" s="146">
        <v>770</v>
      </c>
      <c r="BW103" s="32">
        <v>99</v>
      </c>
    </row>
    <row r="104" spans="1:75" ht="13" x14ac:dyDescent="0.25">
      <c r="A104" s="186">
        <v>1502</v>
      </c>
      <c r="B104" s="187" t="s">
        <v>126</v>
      </c>
      <c r="C104" s="46">
        <v>1494</v>
      </c>
      <c r="D104" s="142">
        <v>913</v>
      </c>
      <c r="E104" s="145">
        <f t="shared" si="1"/>
        <v>0.61111111111111116</v>
      </c>
      <c r="F104" s="146">
        <v>740</v>
      </c>
      <c r="G104" s="32">
        <v>146</v>
      </c>
      <c r="H104" s="146"/>
      <c r="I104" s="32"/>
      <c r="J104" s="146"/>
      <c r="K104" s="32"/>
      <c r="L104" s="146"/>
      <c r="M104" s="32"/>
      <c r="N104" s="146"/>
      <c r="O104" s="32"/>
      <c r="P104" s="146"/>
      <c r="Q104" s="32"/>
      <c r="R104" s="146"/>
      <c r="S104" s="32"/>
      <c r="T104" s="146"/>
      <c r="U104" s="32"/>
      <c r="V104" s="146"/>
      <c r="W104" s="32"/>
      <c r="X104" s="146"/>
      <c r="Y104" s="32"/>
      <c r="Z104" s="146"/>
      <c r="AA104" s="32"/>
      <c r="AB104" s="146"/>
      <c r="AC104" s="32"/>
      <c r="AD104" s="146"/>
      <c r="AE104" s="32"/>
      <c r="AF104" s="146"/>
      <c r="AG104" s="32"/>
      <c r="AH104" s="146"/>
      <c r="AI104" s="32"/>
      <c r="AJ104" s="146"/>
      <c r="AK104" s="32"/>
      <c r="AL104" s="146"/>
      <c r="AM104" s="32"/>
      <c r="AN104" s="146"/>
      <c r="AO104" s="32"/>
      <c r="AP104" s="146"/>
      <c r="AQ104" s="32"/>
      <c r="AR104" s="146"/>
      <c r="AS104" s="32"/>
      <c r="AT104" s="146"/>
      <c r="AU104" s="32"/>
      <c r="AV104" s="146"/>
      <c r="AW104" s="32"/>
      <c r="AX104" s="146"/>
      <c r="AY104" s="32"/>
      <c r="AZ104" s="146"/>
      <c r="BA104" s="32"/>
      <c r="BB104" s="146"/>
      <c r="BC104" s="32"/>
      <c r="BD104" s="146"/>
      <c r="BE104" s="32"/>
      <c r="BF104" s="146"/>
      <c r="BG104" s="32"/>
      <c r="BH104" s="146"/>
      <c r="BI104" s="32"/>
      <c r="BJ104" s="146"/>
      <c r="BK104" s="32"/>
      <c r="BL104" s="146"/>
      <c r="BM104" s="32"/>
      <c r="BN104" s="146"/>
      <c r="BO104" s="32"/>
      <c r="BP104" s="146"/>
      <c r="BQ104" s="32"/>
      <c r="BR104" s="146"/>
      <c r="BS104" s="32"/>
      <c r="BT104" s="146">
        <v>755</v>
      </c>
      <c r="BU104" s="32">
        <v>119</v>
      </c>
      <c r="BV104" s="146">
        <v>764</v>
      </c>
      <c r="BW104" s="32">
        <v>114</v>
      </c>
    </row>
    <row r="105" spans="1:75" ht="13" x14ac:dyDescent="0.25">
      <c r="A105" s="186">
        <v>1503</v>
      </c>
      <c r="B105" s="187" t="s">
        <v>127</v>
      </c>
      <c r="C105" s="46">
        <v>976</v>
      </c>
      <c r="D105" s="142">
        <v>426</v>
      </c>
      <c r="E105" s="145">
        <f t="shared" si="1"/>
        <v>0.43647540983606559</v>
      </c>
      <c r="F105" s="146">
        <v>313</v>
      </c>
      <c r="G105" s="32">
        <v>75</v>
      </c>
      <c r="H105" s="146"/>
      <c r="I105" s="32"/>
      <c r="J105" s="146"/>
      <c r="K105" s="32"/>
      <c r="L105" s="146"/>
      <c r="M105" s="32"/>
      <c r="N105" s="146"/>
      <c r="O105" s="32"/>
      <c r="P105" s="146"/>
      <c r="Q105" s="32"/>
      <c r="R105" s="146"/>
      <c r="S105" s="32"/>
      <c r="T105" s="146"/>
      <c r="U105" s="32"/>
      <c r="V105" s="146"/>
      <c r="W105" s="32"/>
      <c r="X105" s="146"/>
      <c r="Y105" s="32"/>
      <c r="Z105" s="146"/>
      <c r="AA105" s="32"/>
      <c r="AB105" s="146"/>
      <c r="AC105" s="32"/>
      <c r="AD105" s="146"/>
      <c r="AE105" s="32"/>
      <c r="AF105" s="146"/>
      <c r="AG105" s="32"/>
      <c r="AH105" s="146"/>
      <c r="AI105" s="32"/>
      <c r="AJ105" s="146"/>
      <c r="AK105" s="32"/>
      <c r="AL105" s="146"/>
      <c r="AM105" s="32"/>
      <c r="AN105" s="146"/>
      <c r="AO105" s="32"/>
      <c r="AP105" s="146"/>
      <c r="AQ105" s="32"/>
      <c r="AR105" s="146"/>
      <c r="AS105" s="32"/>
      <c r="AT105" s="146"/>
      <c r="AU105" s="32"/>
      <c r="AV105" s="146"/>
      <c r="AW105" s="32"/>
      <c r="AX105" s="146"/>
      <c r="AY105" s="32"/>
      <c r="AZ105" s="146"/>
      <c r="BA105" s="32"/>
      <c r="BB105" s="146"/>
      <c r="BC105" s="32"/>
      <c r="BD105" s="146"/>
      <c r="BE105" s="32"/>
      <c r="BF105" s="146"/>
      <c r="BG105" s="32"/>
      <c r="BH105" s="146"/>
      <c r="BI105" s="32"/>
      <c r="BJ105" s="146"/>
      <c r="BK105" s="32"/>
      <c r="BL105" s="146"/>
      <c r="BM105" s="32"/>
      <c r="BN105" s="146"/>
      <c r="BO105" s="32"/>
      <c r="BP105" s="146"/>
      <c r="BQ105" s="32"/>
      <c r="BR105" s="146"/>
      <c r="BS105" s="32"/>
      <c r="BT105" s="146">
        <v>299</v>
      </c>
      <c r="BU105" s="32">
        <v>95</v>
      </c>
      <c r="BV105" s="146">
        <v>312</v>
      </c>
      <c r="BW105" s="32">
        <v>84</v>
      </c>
    </row>
    <row r="106" spans="1:75" ht="13" x14ac:dyDescent="0.25">
      <c r="A106" s="186">
        <v>1504</v>
      </c>
      <c r="B106" s="187" t="s">
        <v>128</v>
      </c>
      <c r="C106" s="46">
        <v>839</v>
      </c>
      <c r="D106" s="142">
        <v>469</v>
      </c>
      <c r="E106" s="145">
        <f t="shared" si="1"/>
        <v>0.55899880810488678</v>
      </c>
      <c r="F106" s="146">
        <v>377</v>
      </c>
      <c r="G106" s="32">
        <v>72</v>
      </c>
      <c r="H106" s="146"/>
      <c r="I106" s="32"/>
      <c r="J106" s="146"/>
      <c r="K106" s="32"/>
      <c r="L106" s="146"/>
      <c r="M106" s="32"/>
      <c r="N106" s="146"/>
      <c r="O106" s="32"/>
      <c r="P106" s="146"/>
      <c r="Q106" s="32"/>
      <c r="R106" s="146"/>
      <c r="S106" s="32"/>
      <c r="T106" s="146"/>
      <c r="U106" s="32"/>
      <c r="V106" s="146"/>
      <c r="W106" s="32"/>
      <c r="X106" s="146"/>
      <c r="Y106" s="32"/>
      <c r="Z106" s="146"/>
      <c r="AA106" s="32"/>
      <c r="AB106" s="146"/>
      <c r="AC106" s="32"/>
      <c r="AD106" s="146"/>
      <c r="AE106" s="32"/>
      <c r="AF106" s="146"/>
      <c r="AG106" s="32"/>
      <c r="AH106" s="146"/>
      <c r="AI106" s="32"/>
      <c r="AJ106" s="146"/>
      <c r="AK106" s="32"/>
      <c r="AL106" s="146"/>
      <c r="AM106" s="32"/>
      <c r="AN106" s="146"/>
      <c r="AO106" s="32"/>
      <c r="AP106" s="146"/>
      <c r="AQ106" s="32"/>
      <c r="AR106" s="146"/>
      <c r="AS106" s="32"/>
      <c r="AT106" s="146"/>
      <c r="AU106" s="32"/>
      <c r="AV106" s="146"/>
      <c r="AW106" s="32"/>
      <c r="AX106" s="146"/>
      <c r="AY106" s="32"/>
      <c r="AZ106" s="146"/>
      <c r="BA106" s="32"/>
      <c r="BB106" s="146"/>
      <c r="BC106" s="32"/>
      <c r="BD106" s="146"/>
      <c r="BE106" s="32"/>
      <c r="BF106" s="146"/>
      <c r="BG106" s="32"/>
      <c r="BH106" s="146"/>
      <c r="BI106" s="32"/>
      <c r="BJ106" s="146"/>
      <c r="BK106" s="32"/>
      <c r="BL106" s="146"/>
      <c r="BM106" s="32"/>
      <c r="BN106" s="146"/>
      <c r="BO106" s="32"/>
      <c r="BP106" s="146"/>
      <c r="BQ106" s="32"/>
      <c r="BR106" s="146"/>
      <c r="BS106" s="32"/>
      <c r="BT106" s="146">
        <v>355</v>
      </c>
      <c r="BU106" s="32">
        <v>94</v>
      </c>
      <c r="BV106" s="146">
        <v>363</v>
      </c>
      <c r="BW106" s="32">
        <v>86</v>
      </c>
    </row>
    <row r="107" spans="1:75" ht="13" x14ac:dyDescent="0.25">
      <c r="A107" s="186">
        <v>1505</v>
      </c>
      <c r="B107" s="187" t="s">
        <v>129</v>
      </c>
      <c r="C107" s="46">
        <v>1290</v>
      </c>
      <c r="D107" s="142">
        <v>890</v>
      </c>
      <c r="E107" s="145">
        <f t="shared" si="1"/>
        <v>0.68992248062015504</v>
      </c>
      <c r="F107" s="146">
        <v>729</v>
      </c>
      <c r="G107" s="32">
        <v>143</v>
      </c>
      <c r="H107" s="146"/>
      <c r="I107" s="32"/>
      <c r="J107" s="146"/>
      <c r="K107" s="32"/>
      <c r="L107" s="146"/>
      <c r="M107" s="32"/>
      <c r="N107" s="146"/>
      <c r="O107" s="32"/>
      <c r="P107" s="146"/>
      <c r="Q107" s="32"/>
      <c r="R107" s="146"/>
      <c r="S107" s="32"/>
      <c r="T107" s="146"/>
      <c r="U107" s="32"/>
      <c r="V107" s="146"/>
      <c r="W107" s="32"/>
      <c r="X107" s="146"/>
      <c r="Y107" s="32"/>
      <c r="Z107" s="146"/>
      <c r="AA107" s="32"/>
      <c r="AB107" s="146"/>
      <c r="AC107" s="32"/>
      <c r="AD107" s="146"/>
      <c r="AE107" s="32"/>
      <c r="AF107" s="146"/>
      <c r="AG107" s="32"/>
      <c r="AH107" s="146"/>
      <c r="AI107" s="32"/>
      <c r="AJ107" s="146"/>
      <c r="AK107" s="32"/>
      <c r="AL107" s="146"/>
      <c r="AM107" s="32"/>
      <c r="AN107" s="146"/>
      <c r="AO107" s="32"/>
      <c r="AP107" s="146"/>
      <c r="AQ107" s="32"/>
      <c r="AR107" s="146"/>
      <c r="AS107" s="32"/>
      <c r="AT107" s="146"/>
      <c r="AU107" s="32"/>
      <c r="AV107" s="146"/>
      <c r="AW107" s="32"/>
      <c r="AX107" s="146"/>
      <c r="AY107" s="32"/>
      <c r="AZ107" s="146"/>
      <c r="BA107" s="32"/>
      <c r="BB107" s="146"/>
      <c r="BC107" s="32"/>
      <c r="BD107" s="146"/>
      <c r="BE107" s="32"/>
      <c r="BF107" s="146"/>
      <c r="BG107" s="32"/>
      <c r="BH107" s="146"/>
      <c r="BI107" s="32"/>
      <c r="BJ107" s="146"/>
      <c r="BK107" s="32"/>
      <c r="BL107" s="146"/>
      <c r="BM107" s="32"/>
      <c r="BN107" s="146"/>
      <c r="BO107" s="32"/>
      <c r="BP107" s="146"/>
      <c r="BQ107" s="32"/>
      <c r="BR107" s="146"/>
      <c r="BS107" s="32"/>
      <c r="BT107" s="146">
        <v>752</v>
      </c>
      <c r="BU107" s="32">
        <v>113</v>
      </c>
      <c r="BV107" s="146">
        <v>752</v>
      </c>
      <c r="BW107" s="32">
        <v>111</v>
      </c>
    </row>
    <row r="108" spans="1:75" ht="13" x14ac:dyDescent="0.25">
      <c r="A108" s="186">
        <v>1506</v>
      </c>
      <c r="B108" s="187" t="s">
        <v>130</v>
      </c>
      <c r="C108" s="46">
        <v>1152</v>
      </c>
      <c r="D108" s="142">
        <v>680</v>
      </c>
      <c r="E108" s="145">
        <f t="shared" si="1"/>
        <v>0.59027777777777779</v>
      </c>
      <c r="F108" s="146">
        <v>546</v>
      </c>
      <c r="G108" s="32">
        <v>118</v>
      </c>
      <c r="H108" s="146"/>
      <c r="I108" s="32"/>
      <c r="J108" s="146"/>
      <c r="K108" s="32"/>
      <c r="L108" s="146"/>
      <c r="M108" s="32"/>
      <c r="N108" s="146"/>
      <c r="O108" s="32"/>
      <c r="P108" s="146"/>
      <c r="Q108" s="32"/>
      <c r="R108" s="146"/>
      <c r="S108" s="32"/>
      <c r="T108" s="146"/>
      <c r="U108" s="32"/>
      <c r="V108" s="146"/>
      <c r="W108" s="32"/>
      <c r="X108" s="146"/>
      <c r="Y108" s="32"/>
      <c r="Z108" s="146"/>
      <c r="AA108" s="32"/>
      <c r="AB108" s="146"/>
      <c r="AC108" s="32"/>
      <c r="AD108" s="146"/>
      <c r="AE108" s="32"/>
      <c r="AF108" s="146"/>
      <c r="AG108" s="32"/>
      <c r="AH108" s="146"/>
      <c r="AI108" s="32"/>
      <c r="AJ108" s="146"/>
      <c r="AK108" s="32"/>
      <c r="AL108" s="146"/>
      <c r="AM108" s="32"/>
      <c r="AN108" s="146"/>
      <c r="AO108" s="32"/>
      <c r="AP108" s="146"/>
      <c r="AQ108" s="32"/>
      <c r="AR108" s="146"/>
      <c r="AS108" s="32"/>
      <c r="AT108" s="146"/>
      <c r="AU108" s="32"/>
      <c r="AV108" s="146"/>
      <c r="AW108" s="32"/>
      <c r="AX108" s="146"/>
      <c r="AY108" s="32"/>
      <c r="AZ108" s="146"/>
      <c r="BA108" s="32"/>
      <c r="BB108" s="146"/>
      <c r="BC108" s="32"/>
      <c r="BD108" s="146"/>
      <c r="BE108" s="32"/>
      <c r="BF108" s="146"/>
      <c r="BG108" s="32"/>
      <c r="BH108" s="146"/>
      <c r="BI108" s="32"/>
      <c r="BJ108" s="146"/>
      <c r="BK108" s="32"/>
      <c r="BL108" s="146"/>
      <c r="BM108" s="32"/>
      <c r="BN108" s="146"/>
      <c r="BO108" s="32"/>
      <c r="BP108" s="146"/>
      <c r="BQ108" s="32"/>
      <c r="BR108" s="146"/>
      <c r="BS108" s="32"/>
      <c r="BT108" s="146">
        <v>554</v>
      </c>
      <c r="BU108" s="32">
        <v>103</v>
      </c>
      <c r="BV108" s="146">
        <v>568</v>
      </c>
      <c r="BW108" s="32">
        <v>85</v>
      </c>
    </row>
    <row r="109" spans="1:75" ht="13" x14ac:dyDescent="0.25">
      <c r="A109" s="186">
        <v>1507</v>
      </c>
      <c r="B109" s="187" t="s">
        <v>131</v>
      </c>
      <c r="C109" s="46">
        <v>690</v>
      </c>
      <c r="D109" s="142">
        <v>451</v>
      </c>
      <c r="E109" s="145">
        <f t="shared" si="1"/>
        <v>0.65362318840579714</v>
      </c>
      <c r="F109" s="146">
        <v>350</v>
      </c>
      <c r="G109" s="32">
        <v>84</v>
      </c>
      <c r="H109" s="146"/>
      <c r="I109" s="32"/>
      <c r="J109" s="146"/>
      <c r="K109" s="32"/>
      <c r="L109" s="146"/>
      <c r="M109" s="32"/>
      <c r="N109" s="146"/>
      <c r="O109" s="32"/>
      <c r="P109" s="146"/>
      <c r="Q109" s="32"/>
      <c r="R109" s="146"/>
      <c r="S109" s="32"/>
      <c r="T109" s="146"/>
      <c r="U109" s="32"/>
      <c r="V109" s="146"/>
      <c r="W109" s="32"/>
      <c r="X109" s="146"/>
      <c r="Y109" s="32"/>
      <c r="Z109" s="146"/>
      <c r="AA109" s="32"/>
      <c r="AB109" s="146"/>
      <c r="AC109" s="32"/>
      <c r="AD109" s="146"/>
      <c r="AE109" s="32"/>
      <c r="AF109" s="146"/>
      <c r="AG109" s="32"/>
      <c r="AH109" s="146"/>
      <c r="AI109" s="32"/>
      <c r="AJ109" s="146"/>
      <c r="AK109" s="32"/>
      <c r="AL109" s="146"/>
      <c r="AM109" s="32"/>
      <c r="AN109" s="146"/>
      <c r="AO109" s="32"/>
      <c r="AP109" s="146"/>
      <c r="AQ109" s="32"/>
      <c r="AR109" s="146"/>
      <c r="AS109" s="32"/>
      <c r="AT109" s="146"/>
      <c r="AU109" s="32"/>
      <c r="AV109" s="146"/>
      <c r="AW109" s="32"/>
      <c r="AX109" s="146"/>
      <c r="AY109" s="32"/>
      <c r="AZ109" s="146"/>
      <c r="BA109" s="32"/>
      <c r="BB109" s="146"/>
      <c r="BC109" s="32"/>
      <c r="BD109" s="146"/>
      <c r="BE109" s="32"/>
      <c r="BF109" s="146"/>
      <c r="BG109" s="32"/>
      <c r="BH109" s="146"/>
      <c r="BI109" s="32"/>
      <c r="BJ109" s="146"/>
      <c r="BK109" s="32"/>
      <c r="BL109" s="146"/>
      <c r="BM109" s="32"/>
      <c r="BN109" s="146"/>
      <c r="BO109" s="32"/>
      <c r="BP109" s="146"/>
      <c r="BQ109" s="32"/>
      <c r="BR109" s="146"/>
      <c r="BS109" s="32"/>
      <c r="BT109" s="146">
        <v>343</v>
      </c>
      <c r="BU109" s="32">
        <v>94</v>
      </c>
      <c r="BV109" s="146">
        <v>358</v>
      </c>
      <c r="BW109" s="32">
        <v>78</v>
      </c>
    </row>
    <row r="110" spans="1:75" ht="13" x14ac:dyDescent="0.25">
      <c r="A110" s="186">
        <v>1508</v>
      </c>
      <c r="B110" s="187" t="s">
        <v>132</v>
      </c>
      <c r="C110" s="46">
        <v>1204</v>
      </c>
      <c r="D110" s="142">
        <v>953</v>
      </c>
      <c r="E110" s="145">
        <f t="shared" si="1"/>
        <v>0.7915282392026578</v>
      </c>
      <c r="F110" s="146">
        <v>757</v>
      </c>
      <c r="G110" s="32">
        <v>173</v>
      </c>
      <c r="H110" s="146"/>
      <c r="I110" s="32"/>
      <c r="J110" s="146"/>
      <c r="K110" s="32"/>
      <c r="L110" s="146"/>
      <c r="M110" s="32"/>
      <c r="N110" s="146"/>
      <c r="O110" s="32"/>
      <c r="P110" s="146"/>
      <c r="Q110" s="32"/>
      <c r="R110" s="146"/>
      <c r="S110" s="32"/>
      <c r="T110" s="146"/>
      <c r="U110" s="32"/>
      <c r="V110" s="146"/>
      <c r="W110" s="32"/>
      <c r="X110" s="146"/>
      <c r="Y110" s="32"/>
      <c r="Z110" s="146"/>
      <c r="AA110" s="32"/>
      <c r="AB110" s="146"/>
      <c r="AC110" s="32"/>
      <c r="AD110" s="146"/>
      <c r="AE110" s="32"/>
      <c r="AF110" s="146"/>
      <c r="AG110" s="32"/>
      <c r="AH110" s="146"/>
      <c r="AI110" s="32"/>
      <c r="AJ110" s="146"/>
      <c r="AK110" s="32"/>
      <c r="AL110" s="146"/>
      <c r="AM110" s="32"/>
      <c r="AN110" s="146"/>
      <c r="AO110" s="32"/>
      <c r="AP110" s="146"/>
      <c r="AQ110" s="32"/>
      <c r="AR110" s="146"/>
      <c r="AS110" s="32"/>
      <c r="AT110" s="146"/>
      <c r="AU110" s="32"/>
      <c r="AV110" s="146"/>
      <c r="AW110" s="32"/>
      <c r="AX110" s="146"/>
      <c r="AY110" s="32"/>
      <c r="AZ110" s="146"/>
      <c r="BA110" s="32"/>
      <c r="BB110" s="146"/>
      <c r="BC110" s="32"/>
      <c r="BD110" s="146"/>
      <c r="BE110" s="32"/>
      <c r="BF110" s="146"/>
      <c r="BG110" s="32"/>
      <c r="BH110" s="146"/>
      <c r="BI110" s="32"/>
      <c r="BJ110" s="146"/>
      <c r="BK110" s="32"/>
      <c r="BL110" s="146"/>
      <c r="BM110" s="32"/>
      <c r="BN110" s="146"/>
      <c r="BO110" s="32"/>
      <c r="BP110" s="146"/>
      <c r="BQ110" s="32"/>
      <c r="BR110" s="146"/>
      <c r="BS110" s="32"/>
      <c r="BT110" s="146">
        <v>757</v>
      </c>
      <c r="BU110" s="32">
        <v>167</v>
      </c>
      <c r="BV110" s="146">
        <v>773</v>
      </c>
      <c r="BW110" s="32">
        <v>154</v>
      </c>
    </row>
    <row r="111" spans="1:75" ht="13" x14ac:dyDescent="0.25">
      <c r="A111" s="186">
        <v>1509</v>
      </c>
      <c r="B111" s="187" t="s">
        <v>133</v>
      </c>
      <c r="C111" s="46">
        <v>1034</v>
      </c>
      <c r="D111" s="142">
        <v>606</v>
      </c>
      <c r="E111" s="145">
        <f t="shared" si="1"/>
        <v>0.58607350096711797</v>
      </c>
      <c r="F111" s="146">
        <v>471</v>
      </c>
      <c r="G111" s="32">
        <v>110</v>
      </c>
      <c r="H111" s="146"/>
      <c r="I111" s="32"/>
      <c r="J111" s="146"/>
      <c r="K111" s="32"/>
      <c r="L111" s="146"/>
      <c r="M111" s="32"/>
      <c r="N111" s="146"/>
      <c r="O111" s="32"/>
      <c r="P111" s="146"/>
      <c r="Q111" s="32"/>
      <c r="R111" s="146"/>
      <c r="S111" s="32"/>
      <c r="T111" s="146"/>
      <c r="U111" s="32"/>
      <c r="V111" s="146"/>
      <c r="W111" s="32"/>
      <c r="X111" s="146"/>
      <c r="Y111" s="32"/>
      <c r="Z111" s="146"/>
      <c r="AA111" s="32"/>
      <c r="AB111" s="146"/>
      <c r="AC111" s="32"/>
      <c r="AD111" s="146"/>
      <c r="AE111" s="32"/>
      <c r="AF111" s="146"/>
      <c r="AG111" s="32"/>
      <c r="AH111" s="146"/>
      <c r="AI111" s="32"/>
      <c r="AJ111" s="146"/>
      <c r="AK111" s="32"/>
      <c r="AL111" s="146"/>
      <c r="AM111" s="32"/>
      <c r="AN111" s="146"/>
      <c r="AO111" s="32"/>
      <c r="AP111" s="146"/>
      <c r="AQ111" s="32"/>
      <c r="AR111" s="146"/>
      <c r="AS111" s="32"/>
      <c r="AT111" s="146"/>
      <c r="AU111" s="32"/>
      <c r="AV111" s="146"/>
      <c r="AW111" s="32"/>
      <c r="AX111" s="146"/>
      <c r="AY111" s="32"/>
      <c r="AZ111" s="146"/>
      <c r="BA111" s="32"/>
      <c r="BB111" s="146"/>
      <c r="BC111" s="32"/>
      <c r="BD111" s="146"/>
      <c r="BE111" s="32"/>
      <c r="BF111" s="146"/>
      <c r="BG111" s="32"/>
      <c r="BH111" s="146"/>
      <c r="BI111" s="32"/>
      <c r="BJ111" s="146"/>
      <c r="BK111" s="32"/>
      <c r="BL111" s="146"/>
      <c r="BM111" s="32"/>
      <c r="BN111" s="146"/>
      <c r="BO111" s="32"/>
      <c r="BP111" s="146"/>
      <c r="BQ111" s="32"/>
      <c r="BR111" s="146"/>
      <c r="BS111" s="32"/>
      <c r="BT111" s="146">
        <v>486</v>
      </c>
      <c r="BU111" s="32">
        <v>94</v>
      </c>
      <c r="BV111" s="146">
        <v>501</v>
      </c>
      <c r="BW111" s="32">
        <v>78</v>
      </c>
    </row>
    <row r="112" spans="1:75" ht="13" x14ac:dyDescent="0.25">
      <c r="A112" s="186">
        <v>1510</v>
      </c>
      <c r="B112" s="187" t="s">
        <v>134</v>
      </c>
      <c r="C112" s="46">
        <v>815</v>
      </c>
      <c r="D112" s="142">
        <v>369</v>
      </c>
      <c r="E112" s="145">
        <f t="shared" si="1"/>
        <v>0.45276073619631901</v>
      </c>
      <c r="F112" s="146">
        <v>260</v>
      </c>
      <c r="G112" s="32">
        <v>74</v>
      </c>
      <c r="H112" s="146"/>
      <c r="I112" s="32"/>
      <c r="J112" s="146"/>
      <c r="K112" s="32"/>
      <c r="L112" s="146"/>
      <c r="M112" s="32"/>
      <c r="N112" s="146"/>
      <c r="O112" s="32"/>
      <c r="P112" s="146"/>
      <c r="Q112" s="32"/>
      <c r="R112" s="146"/>
      <c r="S112" s="32"/>
      <c r="T112" s="146"/>
      <c r="U112" s="32"/>
      <c r="V112" s="146"/>
      <c r="W112" s="32"/>
      <c r="X112" s="146"/>
      <c r="Y112" s="32"/>
      <c r="Z112" s="146"/>
      <c r="AA112" s="32"/>
      <c r="AB112" s="146"/>
      <c r="AC112" s="32"/>
      <c r="AD112" s="146"/>
      <c r="AE112" s="32"/>
      <c r="AF112" s="146"/>
      <c r="AG112" s="32"/>
      <c r="AH112" s="146"/>
      <c r="AI112" s="32"/>
      <c r="AJ112" s="146"/>
      <c r="AK112" s="32"/>
      <c r="AL112" s="146"/>
      <c r="AM112" s="32"/>
      <c r="AN112" s="146"/>
      <c r="AO112" s="32"/>
      <c r="AP112" s="146"/>
      <c r="AQ112" s="32"/>
      <c r="AR112" s="146"/>
      <c r="AS112" s="32"/>
      <c r="AT112" s="146"/>
      <c r="AU112" s="32"/>
      <c r="AV112" s="146"/>
      <c r="AW112" s="32"/>
      <c r="AX112" s="146"/>
      <c r="AY112" s="32"/>
      <c r="AZ112" s="146"/>
      <c r="BA112" s="32"/>
      <c r="BB112" s="146"/>
      <c r="BC112" s="32"/>
      <c r="BD112" s="146"/>
      <c r="BE112" s="32"/>
      <c r="BF112" s="146"/>
      <c r="BG112" s="32"/>
      <c r="BH112" s="146"/>
      <c r="BI112" s="32"/>
      <c r="BJ112" s="146"/>
      <c r="BK112" s="32"/>
      <c r="BL112" s="146"/>
      <c r="BM112" s="32"/>
      <c r="BN112" s="146"/>
      <c r="BO112" s="32"/>
      <c r="BP112" s="146"/>
      <c r="BQ112" s="32"/>
      <c r="BR112" s="146"/>
      <c r="BS112" s="32"/>
      <c r="BT112" s="146">
        <v>262</v>
      </c>
      <c r="BU112" s="32">
        <v>79</v>
      </c>
      <c r="BV112" s="146">
        <v>272</v>
      </c>
      <c r="BW112" s="32">
        <v>69</v>
      </c>
    </row>
    <row r="113" spans="1:75" ht="13" x14ac:dyDescent="0.25">
      <c r="A113" s="186">
        <v>1601</v>
      </c>
      <c r="B113" s="187" t="s">
        <v>135</v>
      </c>
      <c r="C113" s="46">
        <v>1389</v>
      </c>
      <c r="D113" s="142">
        <v>489</v>
      </c>
      <c r="E113" s="145">
        <f t="shared" si="1"/>
        <v>0.35205183585313177</v>
      </c>
      <c r="F113" s="146">
        <v>359</v>
      </c>
      <c r="G113" s="32">
        <v>98</v>
      </c>
      <c r="H113" s="146"/>
      <c r="I113" s="32"/>
      <c r="J113" s="146"/>
      <c r="K113" s="32"/>
      <c r="L113" s="146"/>
      <c r="M113" s="32"/>
      <c r="N113" s="146"/>
      <c r="O113" s="32"/>
      <c r="P113" s="146"/>
      <c r="Q113" s="32"/>
      <c r="R113" s="146"/>
      <c r="S113" s="32"/>
      <c r="T113" s="146"/>
      <c r="U113" s="32"/>
      <c r="V113" s="146"/>
      <c r="W113" s="32"/>
      <c r="X113" s="146"/>
      <c r="Y113" s="32"/>
      <c r="Z113" s="146"/>
      <c r="AA113" s="32"/>
      <c r="AB113" s="146"/>
      <c r="AC113" s="32"/>
      <c r="AD113" s="146"/>
      <c r="AE113" s="32"/>
      <c r="AF113" s="146"/>
      <c r="AG113" s="32"/>
      <c r="AH113" s="146"/>
      <c r="AI113" s="32"/>
      <c r="AJ113" s="146"/>
      <c r="AK113" s="32"/>
      <c r="AL113" s="146"/>
      <c r="AM113" s="32"/>
      <c r="AN113" s="146"/>
      <c r="AO113" s="32"/>
      <c r="AP113" s="146"/>
      <c r="AQ113" s="32"/>
      <c r="AR113" s="146"/>
      <c r="AS113" s="32"/>
      <c r="AT113" s="146"/>
      <c r="AU113" s="32"/>
      <c r="AV113" s="146"/>
      <c r="AW113" s="32"/>
      <c r="AX113" s="146"/>
      <c r="AY113" s="32"/>
      <c r="AZ113" s="146"/>
      <c r="BA113" s="32"/>
      <c r="BB113" s="146"/>
      <c r="BC113" s="32"/>
      <c r="BD113" s="146"/>
      <c r="BE113" s="32"/>
      <c r="BF113" s="146"/>
      <c r="BG113" s="32"/>
      <c r="BH113" s="146"/>
      <c r="BI113" s="32"/>
      <c r="BJ113" s="146"/>
      <c r="BK113" s="32"/>
      <c r="BL113" s="146"/>
      <c r="BM113" s="32"/>
      <c r="BN113" s="146"/>
      <c r="BO113" s="32"/>
      <c r="BP113" s="146"/>
      <c r="BQ113" s="32"/>
      <c r="BR113" s="146"/>
      <c r="BS113" s="32"/>
      <c r="BT113" s="146">
        <v>339</v>
      </c>
      <c r="BU113" s="32">
        <v>112</v>
      </c>
      <c r="BV113" s="146">
        <v>346</v>
      </c>
      <c r="BW113" s="32">
        <v>101</v>
      </c>
    </row>
    <row r="114" spans="1:75" ht="13" x14ac:dyDescent="0.25">
      <c r="A114" s="186">
        <v>1701</v>
      </c>
      <c r="B114" s="187" t="s">
        <v>136</v>
      </c>
      <c r="C114" s="46">
        <v>1562</v>
      </c>
      <c r="D114" s="142">
        <v>697</v>
      </c>
      <c r="E114" s="145">
        <f t="shared" si="1"/>
        <v>0.44622279129321385</v>
      </c>
      <c r="F114" s="146">
        <v>520</v>
      </c>
      <c r="G114" s="32">
        <v>112</v>
      </c>
      <c r="H114" s="146"/>
      <c r="I114" s="32"/>
      <c r="J114" s="146"/>
      <c r="K114" s="32"/>
      <c r="L114" s="146"/>
      <c r="M114" s="32"/>
      <c r="N114" s="146"/>
      <c r="O114" s="32"/>
      <c r="P114" s="146"/>
      <c r="Q114" s="32"/>
      <c r="R114" s="146"/>
      <c r="S114" s="32"/>
      <c r="T114" s="146"/>
      <c r="U114" s="32"/>
      <c r="V114" s="146"/>
      <c r="W114" s="32"/>
      <c r="X114" s="146"/>
      <c r="Y114" s="32"/>
      <c r="Z114" s="146"/>
      <c r="AA114" s="32"/>
      <c r="AB114" s="146"/>
      <c r="AC114" s="32"/>
      <c r="AD114" s="146"/>
      <c r="AE114" s="32"/>
      <c r="AF114" s="146"/>
      <c r="AG114" s="32"/>
      <c r="AH114" s="146"/>
      <c r="AI114" s="32"/>
      <c r="AJ114" s="146"/>
      <c r="AK114" s="32"/>
      <c r="AL114" s="146"/>
      <c r="AM114" s="32"/>
      <c r="AN114" s="146"/>
      <c r="AO114" s="32"/>
      <c r="AP114" s="146"/>
      <c r="AQ114" s="32"/>
      <c r="AR114" s="146"/>
      <c r="AS114" s="32"/>
      <c r="AT114" s="146"/>
      <c r="AU114" s="32"/>
      <c r="AV114" s="146"/>
      <c r="AW114" s="32"/>
      <c r="AX114" s="146"/>
      <c r="AY114" s="32"/>
      <c r="AZ114" s="146"/>
      <c r="BA114" s="32"/>
      <c r="BB114" s="146"/>
      <c r="BC114" s="32"/>
      <c r="BD114" s="146"/>
      <c r="BE114" s="32"/>
      <c r="BF114" s="146"/>
      <c r="BG114" s="32"/>
      <c r="BH114" s="146"/>
      <c r="BI114" s="32"/>
      <c r="BJ114" s="146"/>
      <c r="BK114" s="32"/>
      <c r="BL114" s="146"/>
      <c r="BM114" s="32"/>
      <c r="BN114" s="146"/>
      <c r="BO114" s="32"/>
      <c r="BP114" s="146"/>
      <c r="BQ114" s="32"/>
      <c r="BR114" s="146"/>
      <c r="BS114" s="32"/>
      <c r="BT114" s="146">
        <v>517</v>
      </c>
      <c r="BU114" s="32">
        <v>123</v>
      </c>
      <c r="BV114" s="146">
        <v>533</v>
      </c>
      <c r="BW114" s="32">
        <v>105</v>
      </c>
    </row>
    <row r="115" spans="1:75" ht="13" x14ac:dyDescent="0.25">
      <c r="A115" s="186">
        <v>1702</v>
      </c>
      <c r="B115" s="187" t="s">
        <v>137</v>
      </c>
      <c r="C115" s="46">
        <v>1605</v>
      </c>
      <c r="D115" s="142">
        <v>755</v>
      </c>
      <c r="E115" s="145">
        <f t="shared" si="1"/>
        <v>0.47040498442367601</v>
      </c>
      <c r="F115" s="146">
        <v>578</v>
      </c>
      <c r="G115" s="32">
        <v>134</v>
      </c>
      <c r="H115" s="146"/>
      <c r="I115" s="32"/>
      <c r="J115" s="146"/>
      <c r="K115" s="32"/>
      <c r="L115" s="146"/>
      <c r="M115" s="32"/>
      <c r="N115" s="146"/>
      <c r="O115" s="32"/>
      <c r="P115" s="146"/>
      <c r="Q115" s="32"/>
      <c r="R115" s="146"/>
      <c r="S115" s="32"/>
      <c r="T115" s="146"/>
      <c r="U115" s="32"/>
      <c r="V115" s="146"/>
      <c r="W115" s="32"/>
      <c r="X115" s="146"/>
      <c r="Y115" s="32"/>
      <c r="Z115" s="146"/>
      <c r="AA115" s="32"/>
      <c r="AB115" s="146"/>
      <c r="AC115" s="32"/>
      <c r="AD115" s="146"/>
      <c r="AE115" s="32"/>
      <c r="AF115" s="146"/>
      <c r="AG115" s="32"/>
      <c r="AH115" s="146"/>
      <c r="AI115" s="32"/>
      <c r="AJ115" s="146"/>
      <c r="AK115" s="32"/>
      <c r="AL115" s="146"/>
      <c r="AM115" s="32"/>
      <c r="AN115" s="146"/>
      <c r="AO115" s="32"/>
      <c r="AP115" s="146"/>
      <c r="AQ115" s="32"/>
      <c r="AR115" s="146"/>
      <c r="AS115" s="32"/>
      <c r="AT115" s="146"/>
      <c r="AU115" s="32"/>
      <c r="AV115" s="146"/>
      <c r="AW115" s="32"/>
      <c r="AX115" s="146"/>
      <c r="AY115" s="32"/>
      <c r="AZ115" s="146"/>
      <c r="BA115" s="32"/>
      <c r="BB115" s="146"/>
      <c r="BC115" s="32"/>
      <c r="BD115" s="146"/>
      <c r="BE115" s="32"/>
      <c r="BF115" s="146"/>
      <c r="BG115" s="32"/>
      <c r="BH115" s="146"/>
      <c r="BI115" s="32"/>
      <c r="BJ115" s="146"/>
      <c r="BK115" s="32"/>
      <c r="BL115" s="146"/>
      <c r="BM115" s="32"/>
      <c r="BN115" s="146"/>
      <c r="BO115" s="32"/>
      <c r="BP115" s="146"/>
      <c r="BQ115" s="32"/>
      <c r="BR115" s="146"/>
      <c r="BS115" s="32"/>
      <c r="BT115" s="146">
        <v>579</v>
      </c>
      <c r="BU115" s="32">
        <v>141</v>
      </c>
      <c r="BV115" s="146">
        <v>597</v>
      </c>
      <c r="BW115" s="32">
        <v>119</v>
      </c>
    </row>
    <row r="116" spans="1:75" ht="13" x14ac:dyDescent="0.25">
      <c r="A116" s="186">
        <v>1703</v>
      </c>
      <c r="B116" s="187" t="s">
        <v>138</v>
      </c>
      <c r="C116" s="46">
        <v>1155</v>
      </c>
      <c r="D116" s="142">
        <v>534</v>
      </c>
      <c r="E116" s="145">
        <f t="shared" si="1"/>
        <v>0.46233766233766233</v>
      </c>
      <c r="F116" s="146">
        <v>410</v>
      </c>
      <c r="G116" s="32">
        <v>96</v>
      </c>
      <c r="H116" s="146"/>
      <c r="I116" s="32"/>
      <c r="J116" s="146"/>
      <c r="K116" s="32"/>
      <c r="L116" s="146"/>
      <c r="M116" s="32"/>
      <c r="N116" s="146"/>
      <c r="O116" s="32"/>
      <c r="P116" s="146"/>
      <c r="Q116" s="32"/>
      <c r="R116" s="146"/>
      <c r="S116" s="32"/>
      <c r="T116" s="146"/>
      <c r="U116" s="32"/>
      <c r="V116" s="146"/>
      <c r="W116" s="32"/>
      <c r="X116" s="146"/>
      <c r="Y116" s="32"/>
      <c r="Z116" s="146"/>
      <c r="AA116" s="32"/>
      <c r="AB116" s="146"/>
      <c r="AC116" s="32"/>
      <c r="AD116" s="146"/>
      <c r="AE116" s="32"/>
      <c r="AF116" s="146"/>
      <c r="AG116" s="32"/>
      <c r="AH116" s="146"/>
      <c r="AI116" s="32"/>
      <c r="AJ116" s="146"/>
      <c r="AK116" s="32"/>
      <c r="AL116" s="146"/>
      <c r="AM116" s="32"/>
      <c r="AN116" s="146"/>
      <c r="AO116" s="32"/>
      <c r="AP116" s="146"/>
      <c r="AQ116" s="32"/>
      <c r="AR116" s="146"/>
      <c r="AS116" s="32"/>
      <c r="AT116" s="146"/>
      <c r="AU116" s="32"/>
      <c r="AV116" s="146"/>
      <c r="AW116" s="32"/>
      <c r="AX116" s="146"/>
      <c r="AY116" s="32"/>
      <c r="AZ116" s="146"/>
      <c r="BA116" s="32"/>
      <c r="BB116" s="146"/>
      <c r="BC116" s="32"/>
      <c r="BD116" s="146"/>
      <c r="BE116" s="32"/>
      <c r="BF116" s="146"/>
      <c r="BG116" s="32"/>
      <c r="BH116" s="146"/>
      <c r="BI116" s="32"/>
      <c r="BJ116" s="146"/>
      <c r="BK116" s="32"/>
      <c r="BL116" s="146"/>
      <c r="BM116" s="32"/>
      <c r="BN116" s="146"/>
      <c r="BO116" s="32"/>
      <c r="BP116" s="146"/>
      <c r="BQ116" s="32"/>
      <c r="BR116" s="146"/>
      <c r="BS116" s="32"/>
      <c r="BT116" s="146">
        <v>411</v>
      </c>
      <c r="BU116" s="32">
        <v>96</v>
      </c>
      <c r="BV116" s="146">
        <v>419</v>
      </c>
      <c r="BW116" s="32">
        <v>89</v>
      </c>
    </row>
    <row r="117" spans="1:75" ht="13" x14ac:dyDescent="0.25">
      <c r="A117" s="186">
        <v>1801</v>
      </c>
      <c r="B117" s="187" t="s">
        <v>139</v>
      </c>
      <c r="C117" s="46">
        <v>1034</v>
      </c>
      <c r="D117" s="142">
        <v>424</v>
      </c>
      <c r="E117" s="145">
        <f t="shared" si="1"/>
        <v>0.41005802707930367</v>
      </c>
      <c r="F117" s="146">
        <v>307</v>
      </c>
      <c r="G117" s="32">
        <v>81</v>
      </c>
      <c r="H117" s="146"/>
      <c r="I117" s="32"/>
      <c r="J117" s="146"/>
      <c r="K117" s="32"/>
      <c r="L117" s="146"/>
      <c r="M117" s="32"/>
      <c r="N117" s="146"/>
      <c r="O117" s="32"/>
      <c r="P117" s="146"/>
      <c r="Q117" s="32"/>
      <c r="R117" s="146"/>
      <c r="S117" s="32"/>
      <c r="T117" s="146"/>
      <c r="U117" s="32"/>
      <c r="V117" s="146"/>
      <c r="W117" s="32"/>
      <c r="X117" s="146"/>
      <c r="Y117" s="32"/>
      <c r="Z117" s="146"/>
      <c r="AA117" s="32"/>
      <c r="AB117" s="146"/>
      <c r="AC117" s="32"/>
      <c r="AD117" s="146"/>
      <c r="AE117" s="32"/>
      <c r="AF117" s="146"/>
      <c r="AG117" s="32"/>
      <c r="AH117" s="146"/>
      <c r="AI117" s="32"/>
      <c r="AJ117" s="146"/>
      <c r="AK117" s="32"/>
      <c r="AL117" s="146"/>
      <c r="AM117" s="32"/>
      <c r="AN117" s="146"/>
      <c r="AO117" s="32"/>
      <c r="AP117" s="146"/>
      <c r="AQ117" s="32"/>
      <c r="AR117" s="146"/>
      <c r="AS117" s="32"/>
      <c r="AT117" s="146"/>
      <c r="AU117" s="32"/>
      <c r="AV117" s="146"/>
      <c r="AW117" s="32"/>
      <c r="AX117" s="146"/>
      <c r="AY117" s="32"/>
      <c r="AZ117" s="146"/>
      <c r="BA117" s="32"/>
      <c r="BB117" s="146"/>
      <c r="BC117" s="32"/>
      <c r="BD117" s="146"/>
      <c r="BE117" s="32"/>
      <c r="BF117" s="146"/>
      <c r="BG117" s="32"/>
      <c r="BH117" s="146"/>
      <c r="BI117" s="32"/>
      <c r="BJ117" s="146"/>
      <c r="BK117" s="32"/>
      <c r="BL117" s="146"/>
      <c r="BM117" s="32"/>
      <c r="BN117" s="146"/>
      <c r="BO117" s="32"/>
      <c r="BP117" s="146"/>
      <c r="BQ117" s="32"/>
      <c r="BR117" s="146"/>
      <c r="BS117" s="32"/>
      <c r="BT117" s="146">
        <v>298</v>
      </c>
      <c r="BU117" s="32">
        <v>100</v>
      </c>
      <c r="BV117" s="146">
        <v>320</v>
      </c>
      <c r="BW117" s="32">
        <v>79</v>
      </c>
    </row>
    <row r="118" spans="1:75" ht="13" x14ac:dyDescent="0.25">
      <c r="A118" s="186">
        <v>1802</v>
      </c>
      <c r="B118" s="187" t="s">
        <v>140</v>
      </c>
      <c r="C118" s="46">
        <v>747</v>
      </c>
      <c r="D118" s="142">
        <v>224</v>
      </c>
      <c r="E118" s="145">
        <f t="shared" si="1"/>
        <v>0.29986613119143241</v>
      </c>
      <c r="F118" s="146">
        <v>149</v>
      </c>
      <c r="G118" s="32">
        <v>44</v>
      </c>
      <c r="H118" s="146"/>
      <c r="I118" s="32"/>
      <c r="J118" s="146"/>
      <c r="K118" s="32"/>
      <c r="L118" s="146"/>
      <c r="M118" s="32"/>
      <c r="N118" s="146"/>
      <c r="O118" s="32"/>
      <c r="P118" s="146"/>
      <c r="Q118" s="32"/>
      <c r="R118" s="146"/>
      <c r="S118" s="32"/>
      <c r="T118" s="146"/>
      <c r="U118" s="32"/>
      <c r="V118" s="146"/>
      <c r="W118" s="32"/>
      <c r="X118" s="146"/>
      <c r="Y118" s="32"/>
      <c r="Z118" s="146"/>
      <c r="AA118" s="32"/>
      <c r="AB118" s="146"/>
      <c r="AC118" s="32"/>
      <c r="AD118" s="146"/>
      <c r="AE118" s="32"/>
      <c r="AF118" s="146"/>
      <c r="AG118" s="32"/>
      <c r="AH118" s="146"/>
      <c r="AI118" s="32"/>
      <c r="AJ118" s="146"/>
      <c r="AK118" s="32"/>
      <c r="AL118" s="146"/>
      <c r="AM118" s="32"/>
      <c r="AN118" s="146"/>
      <c r="AO118" s="32"/>
      <c r="AP118" s="146"/>
      <c r="AQ118" s="32"/>
      <c r="AR118" s="146"/>
      <c r="AS118" s="32"/>
      <c r="AT118" s="146"/>
      <c r="AU118" s="32"/>
      <c r="AV118" s="146"/>
      <c r="AW118" s="32"/>
      <c r="AX118" s="146"/>
      <c r="AY118" s="32"/>
      <c r="AZ118" s="146"/>
      <c r="BA118" s="32"/>
      <c r="BB118" s="146"/>
      <c r="BC118" s="32"/>
      <c r="BD118" s="146"/>
      <c r="BE118" s="32"/>
      <c r="BF118" s="146"/>
      <c r="BG118" s="32"/>
      <c r="BH118" s="146"/>
      <c r="BI118" s="32"/>
      <c r="BJ118" s="146"/>
      <c r="BK118" s="32"/>
      <c r="BL118" s="146"/>
      <c r="BM118" s="32"/>
      <c r="BN118" s="146"/>
      <c r="BO118" s="32"/>
      <c r="BP118" s="146"/>
      <c r="BQ118" s="32"/>
      <c r="BR118" s="146"/>
      <c r="BS118" s="32"/>
      <c r="BT118" s="146">
        <v>152</v>
      </c>
      <c r="BU118" s="32">
        <v>52</v>
      </c>
      <c r="BV118" s="146">
        <v>161</v>
      </c>
      <c r="BW118" s="32">
        <v>38</v>
      </c>
    </row>
    <row r="119" spans="1:75" ht="13" x14ac:dyDescent="0.25">
      <c r="A119" s="186">
        <v>1901</v>
      </c>
      <c r="B119" s="187" t="s">
        <v>141</v>
      </c>
      <c r="C119" s="46">
        <v>987</v>
      </c>
      <c r="D119" s="142">
        <v>646</v>
      </c>
      <c r="E119" s="145">
        <f t="shared" si="1"/>
        <v>0.65450861195542043</v>
      </c>
      <c r="F119" s="146">
        <v>251</v>
      </c>
      <c r="G119" s="32">
        <v>352</v>
      </c>
      <c r="H119" s="146"/>
      <c r="I119" s="32"/>
      <c r="J119" s="146"/>
      <c r="K119" s="32"/>
      <c r="L119" s="146"/>
      <c r="M119" s="32"/>
      <c r="N119" s="146"/>
      <c r="O119" s="32"/>
      <c r="P119" s="146"/>
      <c r="Q119" s="32"/>
      <c r="R119" s="146"/>
      <c r="S119" s="32"/>
      <c r="T119" s="146"/>
      <c r="U119" s="32"/>
      <c r="V119" s="146"/>
      <c r="W119" s="32"/>
      <c r="X119" s="146"/>
      <c r="Y119" s="32"/>
      <c r="Z119" s="146"/>
      <c r="AA119" s="32"/>
      <c r="AB119" s="146"/>
      <c r="AC119" s="32"/>
      <c r="AD119" s="146"/>
      <c r="AE119" s="32"/>
      <c r="AF119" s="146"/>
      <c r="AG119" s="32"/>
      <c r="AH119" s="146"/>
      <c r="AI119" s="32"/>
      <c r="AJ119" s="146"/>
      <c r="AK119" s="32"/>
      <c r="AL119" s="146"/>
      <c r="AM119" s="32"/>
      <c r="AN119" s="146"/>
      <c r="AO119" s="32"/>
      <c r="AP119" s="146"/>
      <c r="AQ119" s="32"/>
      <c r="AR119" s="146"/>
      <c r="AS119" s="32"/>
      <c r="AT119" s="146"/>
      <c r="AU119" s="32"/>
      <c r="AV119" s="146"/>
      <c r="AW119" s="32"/>
      <c r="AX119" s="146"/>
      <c r="AY119" s="32"/>
      <c r="AZ119" s="146"/>
      <c r="BA119" s="32"/>
      <c r="BB119" s="146"/>
      <c r="BC119" s="32"/>
      <c r="BD119" s="146"/>
      <c r="BE119" s="32"/>
      <c r="BF119" s="146"/>
      <c r="BG119" s="32"/>
      <c r="BH119" s="146"/>
      <c r="BI119" s="32"/>
      <c r="BJ119" s="146"/>
      <c r="BK119" s="32"/>
      <c r="BL119" s="146"/>
      <c r="BM119" s="32"/>
      <c r="BN119" s="146"/>
      <c r="BO119" s="32"/>
      <c r="BP119" s="146"/>
      <c r="BQ119" s="32"/>
      <c r="BR119" s="146"/>
      <c r="BS119" s="32"/>
      <c r="BT119" s="146">
        <v>290</v>
      </c>
      <c r="BU119" s="32">
        <v>309</v>
      </c>
      <c r="BV119" s="146">
        <v>326</v>
      </c>
      <c r="BW119" s="32">
        <v>277</v>
      </c>
    </row>
    <row r="120" spans="1:75" ht="13" x14ac:dyDescent="0.25">
      <c r="A120" s="186">
        <v>1902</v>
      </c>
      <c r="B120" s="187" t="s">
        <v>142</v>
      </c>
      <c r="C120" s="46">
        <v>1315</v>
      </c>
      <c r="D120" s="142">
        <v>953</v>
      </c>
      <c r="E120" s="145">
        <f t="shared" si="1"/>
        <v>0.7247148288973384</v>
      </c>
      <c r="F120" s="146">
        <v>378</v>
      </c>
      <c r="G120" s="32">
        <v>544</v>
      </c>
      <c r="H120" s="146"/>
      <c r="I120" s="32"/>
      <c r="J120" s="146"/>
      <c r="K120" s="32"/>
      <c r="L120" s="146"/>
      <c r="M120" s="32"/>
      <c r="N120" s="146"/>
      <c r="O120" s="32"/>
      <c r="P120" s="146"/>
      <c r="Q120" s="32"/>
      <c r="R120" s="146"/>
      <c r="S120" s="32"/>
      <c r="T120" s="146"/>
      <c r="U120" s="32"/>
      <c r="V120" s="146"/>
      <c r="W120" s="32"/>
      <c r="X120" s="146"/>
      <c r="Y120" s="32"/>
      <c r="Z120" s="146"/>
      <c r="AA120" s="32"/>
      <c r="AB120" s="146"/>
      <c r="AC120" s="32"/>
      <c r="AD120" s="146"/>
      <c r="AE120" s="32"/>
      <c r="AF120" s="146"/>
      <c r="AG120" s="32"/>
      <c r="AH120" s="146"/>
      <c r="AI120" s="32"/>
      <c r="AJ120" s="146"/>
      <c r="AK120" s="32"/>
      <c r="AL120" s="146"/>
      <c r="AM120" s="32"/>
      <c r="AN120" s="146"/>
      <c r="AO120" s="32"/>
      <c r="AP120" s="146"/>
      <c r="AQ120" s="32"/>
      <c r="AR120" s="146"/>
      <c r="AS120" s="32"/>
      <c r="AT120" s="146"/>
      <c r="AU120" s="32"/>
      <c r="AV120" s="146"/>
      <c r="AW120" s="32"/>
      <c r="AX120" s="146"/>
      <c r="AY120" s="32"/>
      <c r="AZ120" s="146"/>
      <c r="BA120" s="32"/>
      <c r="BB120" s="146"/>
      <c r="BC120" s="32"/>
      <c r="BD120" s="146"/>
      <c r="BE120" s="32"/>
      <c r="BF120" s="146"/>
      <c r="BG120" s="32"/>
      <c r="BH120" s="146"/>
      <c r="BI120" s="32"/>
      <c r="BJ120" s="146"/>
      <c r="BK120" s="32"/>
      <c r="BL120" s="146"/>
      <c r="BM120" s="32"/>
      <c r="BN120" s="146"/>
      <c r="BO120" s="32"/>
      <c r="BP120" s="146"/>
      <c r="BQ120" s="32"/>
      <c r="BR120" s="146"/>
      <c r="BS120" s="32"/>
      <c r="BT120" s="146">
        <v>454</v>
      </c>
      <c r="BU120" s="32">
        <v>458</v>
      </c>
      <c r="BV120" s="146">
        <v>493</v>
      </c>
      <c r="BW120" s="32">
        <v>427</v>
      </c>
    </row>
    <row r="121" spans="1:75" ht="13" x14ac:dyDescent="0.25">
      <c r="A121" s="186">
        <v>1903</v>
      </c>
      <c r="B121" s="187" t="s">
        <v>143</v>
      </c>
      <c r="C121" s="46">
        <v>1298</v>
      </c>
      <c r="D121" s="142">
        <v>662</v>
      </c>
      <c r="E121" s="145">
        <f t="shared" si="1"/>
        <v>0.51001540832049308</v>
      </c>
      <c r="F121" s="146">
        <v>263</v>
      </c>
      <c r="G121" s="32">
        <v>375</v>
      </c>
      <c r="H121" s="146"/>
      <c r="I121" s="32"/>
      <c r="J121" s="146"/>
      <c r="K121" s="32"/>
      <c r="L121" s="146"/>
      <c r="M121" s="32"/>
      <c r="N121" s="146"/>
      <c r="O121" s="32"/>
      <c r="P121" s="146"/>
      <c r="Q121" s="32"/>
      <c r="R121" s="146"/>
      <c r="S121" s="32"/>
      <c r="T121" s="146"/>
      <c r="U121" s="32"/>
      <c r="V121" s="146"/>
      <c r="W121" s="32"/>
      <c r="X121" s="146"/>
      <c r="Y121" s="32"/>
      <c r="Z121" s="146"/>
      <c r="AA121" s="32"/>
      <c r="AB121" s="146"/>
      <c r="AC121" s="32"/>
      <c r="AD121" s="146"/>
      <c r="AE121" s="32"/>
      <c r="AF121" s="146"/>
      <c r="AG121" s="32"/>
      <c r="AH121" s="146"/>
      <c r="AI121" s="32"/>
      <c r="AJ121" s="146"/>
      <c r="AK121" s="32"/>
      <c r="AL121" s="146"/>
      <c r="AM121" s="32"/>
      <c r="AN121" s="146"/>
      <c r="AO121" s="32"/>
      <c r="AP121" s="146"/>
      <c r="AQ121" s="32"/>
      <c r="AR121" s="146"/>
      <c r="AS121" s="32"/>
      <c r="AT121" s="146"/>
      <c r="AU121" s="32"/>
      <c r="AV121" s="146"/>
      <c r="AW121" s="32"/>
      <c r="AX121" s="146"/>
      <c r="AY121" s="32"/>
      <c r="AZ121" s="146"/>
      <c r="BA121" s="32"/>
      <c r="BB121" s="146"/>
      <c r="BC121" s="32"/>
      <c r="BD121" s="146"/>
      <c r="BE121" s="32"/>
      <c r="BF121" s="146"/>
      <c r="BG121" s="32"/>
      <c r="BH121" s="146"/>
      <c r="BI121" s="32"/>
      <c r="BJ121" s="146"/>
      <c r="BK121" s="32"/>
      <c r="BL121" s="146"/>
      <c r="BM121" s="32"/>
      <c r="BN121" s="146"/>
      <c r="BO121" s="32"/>
      <c r="BP121" s="146"/>
      <c r="BQ121" s="32"/>
      <c r="BR121" s="146"/>
      <c r="BS121" s="32"/>
      <c r="BT121" s="146">
        <v>327</v>
      </c>
      <c r="BU121" s="32">
        <v>296</v>
      </c>
      <c r="BV121" s="146">
        <v>363</v>
      </c>
      <c r="BW121" s="32">
        <v>261</v>
      </c>
    </row>
    <row r="122" spans="1:75" ht="13" x14ac:dyDescent="0.25">
      <c r="A122" s="186">
        <v>1904</v>
      </c>
      <c r="B122" s="187" t="s">
        <v>144</v>
      </c>
      <c r="C122" s="46">
        <v>460</v>
      </c>
      <c r="D122" s="142">
        <v>123</v>
      </c>
      <c r="E122" s="145">
        <f t="shared" si="1"/>
        <v>0.2673913043478261</v>
      </c>
      <c r="F122" s="146">
        <v>63</v>
      </c>
      <c r="G122" s="32">
        <v>43</v>
      </c>
      <c r="H122" s="146"/>
      <c r="I122" s="32"/>
      <c r="J122" s="146"/>
      <c r="K122" s="32"/>
      <c r="L122" s="146"/>
      <c r="M122" s="32"/>
      <c r="N122" s="146"/>
      <c r="O122" s="32"/>
      <c r="P122" s="146"/>
      <c r="Q122" s="32"/>
      <c r="R122" s="146"/>
      <c r="S122" s="32"/>
      <c r="T122" s="146"/>
      <c r="U122" s="32"/>
      <c r="V122" s="146"/>
      <c r="W122" s="32"/>
      <c r="X122" s="146"/>
      <c r="Y122" s="32"/>
      <c r="Z122" s="146"/>
      <c r="AA122" s="32"/>
      <c r="AB122" s="146"/>
      <c r="AC122" s="32"/>
      <c r="AD122" s="146"/>
      <c r="AE122" s="32"/>
      <c r="AF122" s="146"/>
      <c r="AG122" s="32"/>
      <c r="AH122" s="146"/>
      <c r="AI122" s="32"/>
      <c r="AJ122" s="146"/>
      <c r="AK122" s="32"/>
      <c r="AL122" s="146"/>
      <c r="AM122" s="32"/>
      <c r="AN122" s="146"/>
      <c r="AO122" s="32"/>
      <c r="AP122" s="146"/>
      <c r="AQ122" s="32"/>
      <c r="AR122" s="146"/>
      <c r="AS122" s="32"/>
      <c r="AT122" s="146"/>
      <c r="AU122" s="32"/>
      <c r="AV122" s="146"/>
      <c r="AW122" s="32"/>
      <c r="AX122" s="146"/>
      <c r="AY122" s="32"/>
      <c r="AZ122" s="146"/>
      <c r="BA122" s="32"/>
      <c r="BB122" s="146"/>
      <c r="BC122" s="32"/>
      <c r="BD122" s="146"/>
      <c r="BE122" s="32"/>
      <c r="BF122" s="146"/>
      <c r="BG122" s="32"/>
      <c r="BH122" s="146"/>
      <c r="BI122" s="32"/>
      <c r="BJ122" s="146"/>
      <c r="BK122" s="32"/>
      <c r="BL122" s="146"/>
      <c r="BM122" s="32"/>
      <c r="BN122" s="146"/>
      <c r="BO122" s="32"/>
      <c r="BP122" s="146"/>
      <c r="BQ122" s="32"/>
      <c r="BR122" s="146"/>
      <c r="BS122" s="32"/>
      <c r="BT122" s="146">
        <v>73</v>
      </c>
      <c r="BU122" s="32">
        <v>38</v>
      </c>
      <c r="BV122" s="146">
        <v>79</v>
      </c>
      <c r="BW122" s="32">
        <v>30</v>
      </c>
    </row>
    <row r="123" spans="1:75" ht="13" x14ac:dyDescent="0.25">
      <c r="A123" s="186">
        <v>2001</v>
      </c>
      <c r="B123" s="187" t="s">
        <v>145</v>
      </c>
      <c r="C123" s="46">
        <v>1217</v>
      </c>
      <c r="D123" s="142">
        <v>499</v>
      </c>
      <c r="E123" s="145">
        <f t="shared" si="1"/>
        <v>0.41002465078060807</v>
      </c>
      <c r="F123" s="146">
        <v>275</v>
      </c>
      <c r="G123" s="32">
        <v>194</v>
      </c>
      <c r="H123" s="146"/>
      <c r="I123" s="32"/>
      <c r="J123" s="146"/>
      <c r="K123" s="32"/>
      <c r="L123" s="146"/>
      <c r="M123" s="32"/>
      <c r="N123" s="146"/>
      <c r="O123" s="32"/>
      <c r="P123" s="146"/>
      <c r="Q123" s="32"/>
      <c r="R123" s="146"/>
      <c r="S123" s="32"/>
      <c r="T123" s="146"/>
      <c r="U123" s="32"/>
      <c r="V123" s="146"/>
      <c r="W123" s="32"/>
      <c r="X123" s="146"/>
      <c r="Y123" s="32"/>
      <c r="Z123" s="146"/>
      <c r="AA123" s="32"/>
      <c r="AB123" s="146"/>
      <c r="AC123" s="32"/>
      <c r="AD123" s="146"/>
      <c r="AE123" s="32"/>
      <c r="AF123" s="146"/>
      <c r="AG123" s="32"/>
      <c r="AH123" s="146"/>
      <c r="AI123" s="32"/>
      <c r="AJ123" s="146"/>
      <c r="AK123" s="32"/>
      <c r="AL123" s="146"/>
      <c r="AM123" s="32"/>
      <c r="AN123" s="146"/>
      <c r="AO123" s="32"/>
      <c r="AP123" s="146"/>
      <c r="AQ123" s="32"/>
      <c r="AR123" s="146"/>
      <c r="AS123" s="32"/>
      <c r="AT123" s="146"/>
      <c r="AU123" s="32"/>
      <c r="AV123" s="146"/>
      <c r="AW123" s="32"/>
      <c r="AX123" s="146"/>
      <c r="AY123" s="32"/>
      <c r="AZ123" s="146"/>
      <c r="BA123" s="32"/>
      <c r="BB123" s="146"/>
      <c r="BC123" s="32"/>
      <c r="BD123" s="146"/>
      <c r="BE123" s="32"/>
      <c r="BF123" s="146"/>
      <c r="BG123" s="32"/>
      <c r="BH123" s="146"/>
      <c r="BI123" s="32"/>
      <c r="BJ123" s="146"/>
      <c r="BK123" s="32"/>
      <c r="BL123" s="146"/>
      <c r="BM123" s="32"/>
      <c r="BN123" s="146"/>
      <c r="BO123" s="32"/>
      <c r="BP123" s="146"/>
      <c r="BQ123" s="32"/>
      <c r="BR123" s="146"/>
      <c r="BS123" s="32"/>
      <c r="BT123" s="146">
        <v>329</v>
      </c>
      <c r="BU123" s="32">
        <v>147</v>
      </c>
      <c r="BV123" s="146">
        <v>344</v>
      </c>
      <c r="BW123" s="32">
        <v>133</v>
      </c>
    </row>
    <row r="124" spans="1:75" ht="13" x14ac:dyDescent="0.25">
      <c r="A124" s="186">
        <v>2002</v>
      </c>
      <c r="B124" s="187" t="s">
        <v>146</v>
      </c>
      <c r="C124" s="46">
        <v>1038</v>
      </c>
      <c r="D124" s="142">
        <v>472</v>
      </c>
      <c r="E124" s="145">
        <f t="shared" si="1"/>
        <v>0.45472061657032753</v>
      </c>
      <c r="F124" s="146">
        <v>291</v>
      </c>
      <c r="G124" s="32">
        <v>157</v>
      </c>
      <c r="H124" s="146"/>
      <c r="I124" s="32"/>
      <c r="J124" s="146"/>
      <c r="K124" s="32"/>
      <c r="L124" s="146"/>
      <c r="M124" s="32"/>
      <c r="N124" s="146"/>
      <c r="O124" s="32"/>
      <c r="P124" s="146">
        <v>292</v>
      </c>
      <c r="Q124" s="32">
        <v>153</v>
      </c>
      <c r="R124" s="146">
        <v>290</v>
      </c>
      <c r="S124" s="32">
        <v>158</v>
      </c>
      <c r="T124" s="146"/>
      <c r="U124" s="32"/>
      <c r="V124" s="146"/>
      <c r="W124" s="32"/>
      <c r="X124" s="146"/>
      <c r="Y124" s="32"/>
      <c r="Z124" s="146"/>
      <c r="AA124" s="32"/>
      <c r="AB124" s="146"/>
      <c r="AC124" s="32"/>
      <c r="AD124" s="146"/>
      <c r="AE124" s="32"/>
      <c r="AF124" s="146"/>
      <c r="AG124" s="32"/>
      <c r="AH124" s="146"/>
      <c r="AI124" s="32"/>
      <c r="AJ124" s="146"/>
      <c r="AK124" s="32"/>
      <c r="AL124" s="146"/>
      <c r="AM124" s="32"/>
      <c r="AN124" s="146"/>
      <c r="AO124" s="32"/>
      <c r="AP124" s="146"/>
      <c r="AQ124" s="32"/>
      <c r="AR124" s="146"/>
      <c r="AS124" s="32"/>
      <c r="AT124" s="146"/>
      <c r="AU124" s="32"/>
      <c r="AV124" s="146"/>
      <c r="AW124" s="32"/>
      <c r="AX124" s="146"/>
      <c r="AY124" s="32"/>
      <c r="AZ124" s="146"/>
      <c r="BA124" s="32"/>
      <c r="BB124" s="146"/>
      <c r="BC124" s="32"/>
      <c r="BD124" s="146"/>
      <c r="BE124" s="32"/>
      <c r="BF124" s="146"/>
      <c r="BG124" s="32"/>
      <c r="BH124" s="146"/>
      <c r="BI124" s="32"/>
      <c r="BJ124" s="146"/>
      <c r="BK124" s="32"/>
      <c r="BL124" s="146"/>
      <c r="BM124" s="32"/>
      <c r="BN124" s="146"/>
      <c r="BO124" s="32"/>
      <c r="BP124" s="146"/>
      <c r="BQ124" s="32"/>
      <c r="BR124" s="146"/>
      <c r="BS124" s="32"/>
      <c r="BT124" s="146">
        <v>297</v>
      </c>
      <c r="BU124" s="32">
        <v>150</v>
      </c>
      <c r="BV124" s="146">
        <v>323</v>
      </c>
      <c r="BW124" s="32">
        <v>123</v>
      </c>
    </row>
    <row r="125" spans="1:75" ht="13" x14ac:dyDescent="0.25">
      <c r="A125" s="186">
        <v>2003</v>
      </c>
      <c r="B125" s="187" t="s">
        <v>147</v>
      </c>
      <c r="C125" s="46">
        <v>1526</v>
      </c>
      <c r="D125" s="142">
        <v>835</v>
      </c>
      <c r="E125" s="145">
        <f t="shared" si="1"/>
        <v>0.54718217562254257</v>
      </c>
      <c r="F125" s="146">
        <v>501</v>
      </c>
      <c r="G125" s="32">
        <v>292</v>
      </c>
      <c r="H125" s="146"/>
      <c r="I125" s="32"/>
      <c r="J125" s="146"/>
      <c r="K125" s="32"/>
      <c r="L125" s="146"/>
      <c r="M125" s="32"/>
      <c r="N125" s="146"/>
      <c r="O125" s="32"/>
      <c r="P125" s="146"/>
      <c r="Q125" s="32"/>
      <c r="R125" s="146"/>
      <c r="S125" s="32"/>
      <c r="T125" s="146"/>
      <c r="U125" s="32"/>
      <c r="V125" s="146"/>
      <c r="W125" s="32"/>
      <c r="X125" s="146"/>
      <c r="Y125" s="32"/>
      <c r="Z125" s="146"/>
      <c r="AA125" s="32"/>
      <c r="AB125" s="146"/>
      <c r="AC125" s="32"/>
      <c r="AD125" s="146"/>
      <c r="AE125" s="32"/>
      <c r="AF125" s="146"/>
      <c r="AG125" s="32"/>
      <c r="AH125" s="146"/>
      <c r="AI125" s="32"/>
      <c r="AJ125" s="146"/>
      <c r="AK125" s="32"/>
      <c r="AL125" s="146"/>
      <c r="AM125" s="32"/>
      <c r="AN125" s="146"/>
      <c r="AO125" s="32"/>
      <c r="AP125" s="146"/>
      <c r="AQ125" s="32"/>
      <c r="AR125" s="146"/>
      <c r="AS125" s="32"/>
      <c r="AT125" s="146"/>
      <c r="AU125" s="32"/>
      <c r="AV125" s="146"/>
      <c r="AW125" s="32"/>
      <c r="AX125" s="146"/>
      <c r="AY125" s="32"/>
      <c r="AZ125" s="146"/>
      <c r="BA125" s="32"/>
      <c r="BB125" s="146"/>
      <c r="BC125" s="32"/>
      <c r="BD125" s="146"/>
      <c r="BE125" s="32"/>
      <c r="BF125" s="146"/>
      <c r="BG125" s="32"/>
      <c r="BH125" s="146"/>
      <c r="BI125" s="32"/>
      <c r="BJ125" s="146"/>
      <c r="BK125" s="32"/>
      <c r="BL125" s="146"/>
      <c r="BM125" s="32"/>
      <c r="BN125" s="146"/>
      <c r="BO125" s="32"/>
      <c r="BP125" s="146"/>
      <c r="BQ125" s="32"/>
      <c r="BR125" s="146"/>
      <c r="BS125" s="32"/>
      <c r="BT125" s="146">
        <v>544</v>
      </c>
      <c r="BU125" s="32">
        <v>255</v>
      </c>
      <c r="BV125" s="146">
        <v>558</v>
      </c>
      <c r="BW125" s="32">
        <v>241</v>
      </c>
    </row>
    <row r="126" spans="1:75" ht="13" x14ac:dyDescent="0.25">
      <c r="A126" s="186">
        <v>2004</v>
      </c>
      <c r="B126" s="187" t="s">
        <v>148</v>
      </c>
      <c r="C126" s="46">
        <v>1391</v>
      </c>
      <c r="D126" s="142">
        <v>793</v>
      </c>
      <c r="E126" s="145">
        <f t="shared" si="1"/>
        <v>0.57009345794392519</v>
      </c>
      <c r="F126" s="146">
        <v>490</v>
      </c>
      <c r="G126" s="32">
        <v>269</v>
      </c>
      <c r="H126" s="146"/>
      <c r="I126" s="32"/>
      <c r="J126" s="146"/>
      <c r="K126" s="32"/>
      <c r="L126" s="146"/>
      <c r="M126" s="32"/>
      <c r="N126" s="146"/>
      <c r="O126" s="32"/>
      <c r="P126" s="146"/>
      <c r="Q126" s="32"/>
      <c r="R126" s="146"/>
      <c r="S126" s="32"/>
      <c r="T126" s="146"/>
      <c r="U126" s="32"/>
      <c r="V126" s="146"/>
      <c r="W126" s="32"/>
      <c r="X126" s="146"/>
      <c r="Y126" s="32"/>
      <c r="Z126" s="146"/>
      <c r="AA126" s="32"/>
      <c r="AB126" s="146"/>
      <c r="AC126" s="32"/>
      <c r="AD126" s="146"/>
      <c r="AE126" s="32"/>
      <c r="AF126" s="146"/>
      <c r="AG126" s="32"/>
      <c r="AH126" s="146"/>
      <c r="AI126" s="32"/>
      <c r="AJ126" s="146"/>
      <c r="AK126" s="32"/>
      <c r="AL126" s="146"/>
      <c r="AM126" s="32"/>
      <c r="AN126" s="146"/>
      <c r="AO126" s="32"/>
      <c r="AP126" s="146"/>
      <c r="AQ126" s="32"/>
      <c r="AR126" s="146"/>
      <c r="AS126" s="32"/>
      <c r="AT126" s="146"/>
      <c r="AU126" s="32"/>
      <c r="AV126" s="146"/>
      <c r="AW126" s="32"/>
      <c r="AX126" s="146"/>
      <c r="AY126" s="32"/>
      <c r="AZ126" s="146"/>
      <c r="BA126" s="32"/>
      <c r="BB126" s="146"/>
      <c r="BC126" s="32"/>
      <c r="BD126" s="146"/>
      <c r="BE126" s="32"/>
      <c r="BF126" s="146"/>
      <c r="BG126" s="32"/>
      <c r="BH126" s="146"/>
      <c r="BI126" s="32"/>
      <c r="BJ126" s="146"/>
      <c r="BK126" s="32"/>
      <c r="BL126" s="146"/>
      <c r="BM126" s="32"/>
      <c r="BN126" s="146"/>
      <c r="BO126" s="32"/>
      <c r="BP126" s="146"/>
      <c r="BQ126" s="32"/>
      <c r="BR126" s="146"/>
      <c r="BS126" s="32"/>
      <c r="BT126" s="146">
        <v>553</v>
      </c>
      <c r="BU126" s="32">
        <v>202</v>
      </c>
      <c r="BV126" s="146">
        <v>575</v>
      </c>
      <c r="BW126" s="32">
        <v>177</v>
      </c>
    </row>
    <row r="127" spans="1:75" ht="13" x14ac:dyDescent="0.25">
      <c r="A127" s="186">
        <v>2005</v>
      </c>
      <c r="B127" s="187" t="s">
        <v>149</v>
      </c>
      <c r="C127" s="46">
        <v>1038</v>
      </c>
      <c r="D127" s="142">
        <v>363</v>
      </c>
      <c r="E127" s="145">
        <f t="shared" si="1"/>
        <v>0.34971098265895956</v>
      </c>
      <c r="F127" s="146">
        <v>207</v>
      </c>
      <c r="G127" s="32">
        <v>121</v>
      </c>
      <c r="H127" s="146"/>
      <c r="I127" s="32"/>
      <c r="J127" s="146"/>
      <c r="K127" s="32"/>
      <c r="L127" s="146"/>
      <c r="M127" s="32"/>
      <c r="N127" s="146"/>
      <c r="O127" s="32"/>
      <c r="P127" s="146"/>
      <c r="Q127" s="32"/>
      <c r="R127" s="146"/>
      <c r="S127" s="32"/>
      <c r="T127" s="146"/>
      <c r="U127" s="32"/>
      <c r="V127" s="146"/>
      <c r="W127" s="32"/>
      <c r="X127" s="146"/>
      <c r="Y127" s="32"/>
      <c r="Z127" s="146"/>
      <c r="AA127" s="32"/>
      <c r="AB127" s="146"/>
      <c r="AC127" s="32"/>
      <c r="AD127" s="146"/>
      <c r="AE127" s="32"/>
      <c r="AF127" s="146"/>
      <c r="AG127" s="32"/>
      <c r="AH127" s="146"/>
      <c r="AI127" s="32"/>
      <c r="AJ127" s="146"/>
      <c r="AK127" s="32"/>
      <c r="AL127" s="146"/>
      <c r="AM127" s="32"/>
      <c r="AN127" s="146"/>
      <c r="AO127" s="32"/>
      <c r="AP127" s="146"/>
      <c r="AQ127" s="32"/>
      <c r="AR127" s="146"/>
      <c r="AS127" s="32"/>
      <c r="AT127" s="146"/>
      <c r="AU127" s="32"/>
      <c r="AV127" s="146"/>
      <c r="AW127" s="32"/>
      <c r="AX127" s="146"/>
      <c r="AY127" s="32"/>
      <c r="AZ127" s="146"/>
      <c r="BA127" s="32"/>
      <c r="BB127" s="146"/>
      <c r="BC127" s="32"/>
      <c r="BD127" s="146"/>
      <c r="BE127" s="32"/>
      <c r="BF127" s="146"/>
      <c r="BG127" s="32"/>
      <c r="BH127" s="146"/>
      <c r="BI127" s="32"/>
      <c r="BJ127" s="146"/>
      <c r="BK127" s="32"/>
      <c r="BL127" s="146"/>
      <c r="BM127" s="32"/>
      <c r="BN127" s="146"/>
      <c r="BO127" s="32"/>
      <c r="BP127" s="146"/>
      <c r="BQ127" s="32"/>
      <c r="BR127" s="146"/>
      <c r="BS127" s="32"/>
      <c r="BT127" s="146">
        <v>226</v>
      </c>
      <c r="BU127" s="32">
        <v>105</v>
      </c>
      <c r="BV127" s="146">
        <v>231</v>
      </c>
      <c r="BW127" s="32">
        <v>97</v>
      </c>
    </row>
    <row r="128" spans="1:75" ht="13" x14ac:dyDescent="0.25">
      <c r="A128" s="186">
        <v>2101</v>
      </c>
      <c r="B128" s="187" t="s">
        <v>150</v>
      </c>
      <c r="C128" s="46">
        <v>602</v>
      </c>
      <c r="D128" s="142">
        <v>261</v>
      </c>
      <c r="E128" s="145">
        <f t="shared" si="1"/>
        <v>0.43355481727574752</v>
      </c>
      <c r="F128" s="146">
        <v>170</v>
      </c>
      <c r="G128" s="32">
        <v>69</v>
      </c>
      <c r="H128" s="146"/>
      <c r="I128" s="32"/>
      <c r="J128" s="146"/>
      <c r="K128" s="32"/>
      <c r="L128" s="146"/>
      <c r="M128" s="32"/>
      <c r="N128" s="146"/>
      <c r="O128" s="32"/>
      <c r="P128" s="146"/>
      <c r="Q128" s="32"/>
      <c r="R128" s="146"/>
      <c r="S128" s="32"/>
      <c r="T128" s="146"/>
      <c r="U128" s="32"/>
      <c r="V128" s="146"/>
      <c r="W128" s="32"/>
      <c r="X128" s="146"/>
      <c r="Y128" s="32"/>
      <c r="Z128" s="146"/>
      <c r="AA128" s="32"/>
      <c r="AB128" s="146"/>
      <c r="AC128" s="32"/>
      <c r="AD128" s="146"/>
      <c r="AE128" s="32"/>
      <c r="AF128" s="146"/>
      <c r="AG128" s="32"/>
      <c r="AH128" s="146"/>
      <c r="AI128" s="32"/>
      <c r="AJ128" s="146"/>
      <c r="AK128" s="32"/>
      <c r="AL128" s="146"/>
      <c r="AM128" s="32"/>
      <c r="AN128" s="146"/>
      <c r="AO128" s="32"/>
      <c r="AP128" s="146"/>
      <c r="AQ128" s="32"/>
      <c r="AR128" s="146"/>
      <c r="AS128" s="32"/>
      <c r="AT128" s="146"/>
      <c r="AU128" s="32"/>
      <c r="AV128" s="146"/>
      <c r="AW128" s="32"/>
      <c r="AX128" s="146"/>
      <c r="AY128" s="32"/>
      <c r="AZ128" s="146"/>
      <c r="BA128" s="32"/>
      <c r="BB128" s="146"/>
      <c r="BC128" s="32"/>
      <c r="BD128" s="146"/>
      <c r="BE128" s="32"/>
      <c r="BF128" s="146"/>
      <c r="BG128" s="32"/>
      <c r="BH128" s="146"/>
      <c r="BI128" s="32"/>
      <c r="BJ128" s="146"/>
      <c r="BK128" s="32"/>
      <c r="BL128" s="146"/>
      <c r="BM128" s="32"/>
      <c r="BN128" s="146"/>
      <c r="BO128" s="32"/>
      <c r="BP128" s="146"/>
      <c r="BQ128" s="32"/>
      <c r="BR128" s="146"/>
      <c r="BS128" s="32"/>
      <c r="BT128" s="146">
        <v>174</v>
      </c>
      <c r="BU128" s="32">
        <v>63</v>
      </c>
      <c r="BV128" s="146">
        <v>184</v>
      </c>
      <c r="BW128" s="32">
        <v>57</v>
      </c>
    </row>
    <row r="129" spans="1:75" ht="13" x14ac:dyDescent="0.25">
      <c r="A129" s="186">
        <v>2102</v>
      </c>
      <c r="B129" s="187" t="s">
        <v>151</v>
      </c>
      <c r="C129" s="46">
        <v>818</v>
      </c>
      <c r="D129" s="142">
        <v>276</v>
      </c>
      <c r="E129" s="145">
        <f t="shared" si="1"/>
        <v>0.33740831295843521</v>
      </c>
      <c r="F129" s="146">
        <v>170</v>
      </c>
      <c r="G129" s="32">
        <v>85</v>
      </c>
      <c r="H129" s="146"/>
      <c r="I129" s="32"/>
      <c r="J129" s="146"/>
      <c r="K129" s="32"/>
      <c r="L129" s="146"/>
      <c r="M129" s="32"/>
      <c r="N129" s="146"/>
      <c r="O129" s="32"/>
      <c r="P129" s="146"/>
      <c r="Q129" s="32"/>
      <c r="R129" s="146"/>
      <c r="S129" s="32"/>
      <c r="T129" s="146"/>
      <c r="U129" s="32"/>
      <c r="V129" s="146"/>
      <c r="W129" s="32"/>
      <c r="X129" s="146"/>
      <c r="Y129" s="32"/>
      <c r="Z129" s="146"/>
      <c r="AA129" s="32"/>
      <c r="AB129" s="146"/>
      <c r="AC129" s="32"/>
      <c r="AD129" s="146"/>
      <c r="AE129" s="32"/>
      <c r="AF129" s="146"/>
      <c r="AG129" s="32"/>
      <c r="AH129" s="146"/>
      <c r="AI129" s="32"/>
      <c r="AJ129" s="146"/>
      <c r="AK129" s="32"/>
      <c r="AL129" s="146"/>
      <c r="AM129" s="32"/>
      <c r="AN129" s="146"/>
      <c r="AO129" s="32"/>
      <c r="AP129" s="146"/>
      <c r="AQ129" s="32"/>
      <c r="AR129" s="146"/>
      <c r="AS129" s="32"/>
      <c r="AT129" s="146"/>
      <c r="AU129" s="32"/>
      <c r="AV129" s="146"/>
      <c r="AW129" s="32"/>
      <c r="AX129" s="146"/>
      <c r="AY129" s="32"/>
      <c r="AZ129" s="146"/>
      <c r="BA129" s="32"/>
      <c r="BB129" s="146"/>
      <c r="BC129" s="32"/>
      <c r="BD129" s="146"/>
      <c r="BE129" s="32"/>
      <c r="BF129" s="146"/>
      <c r="BG129" s="32"/>
      <c r="BH129" s="146"/>
      <c r="BI129" s="32"/>
      <c r="BJ129" s="146"/>
      <c r="BK129" s="32"/>
      <c r="BL129" s="146"/>
      <c r="BM129" s="32"/>
      <c r="BN129" s="146"/>
      <c r="BO129" s="32"/>
      <c r="BP129" s="146"/>
      <c r="BQ129" s="32"/>
      <c r="BR129" s="146"/>
      <c r="BS129" s="32"/>
      <c r="BT129" s="146">
        <v>175</v>
      </c>
      <c r="BU129" s="32">
        <v>80</v>
      </c>
      <c r="BV129" s="146">
        <v>186</v>
      </c>
      <c r="BW129" s="32">
        <v>68</v>
      </c>
    </row>
    <row r="130" spans="1:75" ht="13" x14ac:dyDescent="0.25">
      <c r="A130" s="186">
        <v>2103</v>
      </c>
      <c r="B130" s="187" t="s">
        <v>152</v>
      </c>
      <c r="C130" s="46">
        <v>1111</v>
      </c>
      <c r="D130" s="142">
        <v>437</v>
      </c>
      <c r="E130" s="145">
        <f t="shared" si="1"/>
        <v>0.39333933393339332</v>
      </c>
      <c r="F130" s="146">
        <v>259</v>
      </c>
      <c r="G130" s="32">
        <v>143</v>
      </c>
      <c r="H130" s="146"/>
      <c r="I130" s="32"/>
      <c r="J130" s="146"/>
      <c r="K130" s="32"/>
      <c r="L130" s="146"/>
      <c r="M130" s="32"/>
      <c r="N130" s="146"/>
      <c r="O130" s="32"/>
      <c r="P130" s="146"/>
      <c r="Q130" s="32"/>
      <c r="R130" s="146"/>
      <c r="S130" s="32"/>
      <c r="T130" s="146"/>
      <c r="U130" s="32"/>
      <c r="V130" s="146"/>
      <c r="W130" s="32"/>
      <c r="X130" s="146"/>
      <c r="Y130" s="32"/>
      <c r="Z130" s="146"/>
      <c r="AA130" s="32"/>
      <c r="AB130" s="146"/>
      <c r="AC130" s="32"/>
      <c r="AD130" s="146"/>
      <c r="AE130" s="32"/>
      <c r="AF130" s="146"/>
      <c r="AG130" s="32"/>
      <c r="AH130" s="146"/>
      <c r="AI130" s="32"/>
      <c r="AJ130" s="146"/>
      <c r="AK130" s="32"/>
      <c r="AL130" s="146"/>
      <c r="AM130" s="32"/>
      <c r="AN130" s="146"/>
      <c r="AO130" s="32"/>
      <c r="AP130" s="146"/>
      <c r="AQ130" s="32"/>
      <c r="AR130" s="146"/>
      <c r="AS130" s="32"/>
      <c r="AT130" s="146"/>
      <c r="AU130" s="32"/>
      <c r="AV130" s="146"/>
      <c r="AW130" s="32"/>
      <c r="AX130" s="146"/>
      <c r="AY130" s="32"/>
      <c r="AZ130" s="146"/>
      <c r="BA130" s="32"/>
      <c r="BB130" s="146"/>
      <c r="BC130" s="32"/>
      <c r="BD130" s="146"/>
      <c r="BE130" s="32"/>
      <c r="BF130" s="146"/>
      <c r="BG130" s="32"/>
      <c r="BH130" s="146"/>
      <c r="BI130" s="32"/>
      <c r="BJ130" s="146"/>
      <c r="BK130" s="32"/>
      <c r="BL130" s="146"/>
      <c r="BM130" s="32"/>
      <c r="BN130" s="146"/>
      <c r="BO130" s="32"/>
      <c r="BP130" s="146"/>
      <c r="BQ130" s="32"/>
      <c r="BR130" s="146"/>
      <c r="BS130" s="32"/>
      <c r="BT130" s="146">
        <v>285</v>
      </c>
      <c r="BU130" s="32">
        <v>125</v>
      </c>
      <c r="BV130" s="146">
        <v>304</v>
      </c>
      <c r="BW130" s="32">
        <v>108</v>
      </c>
    </row>
    <row r="131" spans="1:75" ht="13" x14ac:dyDescent="0.25">
      <c r="A131" s="186">
        <v>2104</v>
      </c>
      <c r="B131" s="187" t="s">
        <v>153</v>
      </c>
      <c r="C131" s="46">
        <v>913</v>
      </c>
      <c r="D131" s="142">
        <v>340</v>
      </c>
      <c r="E131" s="145">
        <f t="shared" si="1"/>
        <v>0.3723986856516977</v>
      </c>
      <c r="F131" s="146">
        <v>196</v>
      </c>
      <c r="G131" s="32">
        <v>123</v>
      </c>
      <c r="H131" s="146"/>
      <c r="I131" s="32"/>
      <c r="J131" s="146"/>
      <c r="K131" s="32"/>
      <c r="L131" s="146"/>
      <c r="M131" s="32"/>
      <c r="N131" s="146"/>
      <c r="O131" s="32"/>
      <c r="P131" s="146"/>
      <c r="Q131" s="32"/>
      <c r="R131" s="146"/>
      <c r="S131" s="32"/>
      <c r="T131" s="146"/>
      <c r="U131" s="32"/>
      <c r="V131" s="146"/>
      <c r="W131" s="32"/>
      <c r="X131" s="146"/>
      <c r="Y131" s="32"/>
      <c r="Z131" s="146"/>
      <c r="AA131" s="32"/>
      <c r="AB131" s="146"/>
      <c r="AC131" s="32"/>
      <c r="AD131" s="146"/>
      <c r="AE131" s="32"/>
      <c r="AF131" s="146"/>
      <c r="AG131" s="32"/>
      <c r="AH131" s="146"/>
      <c r="AI131" s="32"/>
      <c r="AJ131" s="146"/>
      <c r="AK131" s="32"/>
      <c r="AL131" s="146"/>
      <c r="AM131" s="32"/>
      <c r="AN131" s="146"/>
      <c r="AO131" s="32"/>
      <c r="AP131" s="146"/>
      <c r="AQ131" s="32"/>
      <c r="AR131" s="146"/>
      <c r="AS131" s="32"/>
      <c r="AT131" s="146"/>
      <c r="AU131" s="32"/>
      <c r="AV131" s="146"/>
      <c r="AW131" s="32"/>
      <c r="AX131" s="146"/>
      <c r="AY131" s="32"/>
      <c r="AZ131" s="146"/>
      <c r="BA131" s="32"/>
      <c r="BB131" s="146"/>
      <c r="BC131" s="32"/>
      <c r="BD131" s="146"/>
      <c r="BE131" s="32"/>
      <c r="BF131" s="146"/>
      <c r="BG131" s="32"/>
      <c r="BH131" s="146"/>
      <c r="BI131" s="32"/>
      <c r="BJ131" s="146"/>
      <c r="BK131" s="32"/>
      <c r="BL131" s="146"/>
      <c r="BM131" s="32"/>
      <c r="BN131" s="146"/>
      <c r="BO131" s="32"/>
      <c r="BP131" s="146"/>
      <c r="BQ131" s="32"/>
      <c r="BR131" s="146"/>
      <c r="BS131" s="32"/>
      <c r="BT131" s="146">
        <v>193</v>
      </c>
      <c r="BU131" s="32">
        <v>118</v>
      </c>
      <c r="BV131" s="146">
        <v>214</v>
      </c>
      <c r="BW131" s="32">
        <v>100</v>
      </c>
    </row>
    <row r="132" spans="1:75" ht="13" x14ac:dyDescent="0.25">
      <c r="A132" s="186">
        <v>2105</v>
      </c>
      <c r="B132" s="187" t="s">
        <v>154</v>
      </c>
      <c r="C132" s="46">
        <v>826</v>
      </c>
      <c r="D132" s="142">
        <v>271</v>
      </c>
      <c r="E132" s="145">
        <f t="shared" si="1"/>
        <v>0.3280871670702179</v>
      </c>
      <c r="F132" s="146">
        <v>198</v>
      </c>
      <c r="G132" s="32">
        <v>60</v>
      </c>
      <c r="H132" s="146"/>
      <c r="I132" s="32"/>
      <c r="J132" s="146"/>
      <c r="K132" s="32"/>
      <c r="L132" s="146"/>
      <c r="M132" s="32"/>
      <c r="N132" s="146"/>
      <c r="O132" s="32"/>
      <c r="P132" s="146"/>
      <c r="Q132" s="32"/>
      <c r="R132" s="146"/>
      <c r="S132" s="32"/>
      <c r="T132" s="146"/>
      <c r="U132" s="32"/>
      <c r="V132" s="146"/>
      <c r="W132" s="32"/>
      <c r="X132" s="146"/>
      <c r="Y132" s="32"/>
      <c r="Z132" s="146"/>
      <c r="AA132" s="32"/>
      <c r="AB132" s="146"/>
      <c r="AC132" s="32"/>
      <c r="AD132" s="146"/>
      <c r="AE132" s="32"/>
      <c r="AF132" s="146"/>
      <c r="AG132" s="32"/>
      <c r="AH132" s="146"/>
      <c r="AI132" s="32"/>
      <c r="AJ132" s="146"/>
      <c r="AK132" s="32"/>
      <c r="AL132" s="146"/>
      <c r="AM132" s="32"/>
      <c r="AN132" s="146"/>
      <c r="AO132" s="32"/>
      <c r="AP132" s="146"/>
      <c r="AQ132" s="32"/>
      <c r="AR132" s="146"/>
      <c r="AS132" s="32"/>
      <c r="AT132" s="146"/>
      <c r="AU132" s="32"/>
      <c r="AV132" s="146"/>
      <c r="AW132" s="32"/>
      <c r="AX132" s="146"/>
      <c r="AY132" s="32"/>
      <c r="AZ132" s="146"/>
      <c r="BA132" s="32"/>
      <c r="BB132" s="146"/>
      <c r="BC132" s="32"/>
      <c r="BD132" s="146"/>
      <c r="BE132" s="32"/>
      <c r="BF132" s="146"/>
      <c r="BG132" s="32"/>
      <c r="BH132" s="146"/>
      <c r="BI132" s="32"/>
      <c r="BJ132" s="146"/>
      <c r="BK132" s="32"/>
      <c r="BL132" s="146"/>
      <c r="BM132" s="32"/>
      <c r="BN132" s="146"/>
      <c r="BO132" s="32"/>
      <c r="BP132" s="146"/>
      <c r="BQ132" s="32"/>
      <c r="BR132" s="146"/>
      <c r="BS132" s="32"/>
      <c r="BT132" s="146">
        <v>186</v>
      </c>
      <c r="BU132" s="32">
        <v>76</v>
      </c>
      <c r="BV132" s="146">
        <v>214</v>
      </c>
      <c r="BW132" s="32">
        <v>45</v>
      </c>
    </row>
    <row r="133" spans="1:75" ht="13" x14ac:dyDescent="0.25">
      <c r="A133" s="186">
        <v>2201</v>
      </c>
      <c r="B133" s="187" t="s">
        <v>155</v>
      </c>
      <c r="C133" s="46">
        <v>1524</v>
      </c>
      <c r="D133" s="142">
        <v>983</v>
      </c>
      <c r="E133" s="145">
        <f t="shared" si="1"/>
        <v>0.64501312335958005</v>
      </c>
      <c r="F133" s="146">
        <v>810</v>
      </c>
      <c r="G133" s="32">
        <v>148</v>
      </c>
      <c r="H133" s="146"/>
      <c r="I133" s="32"/>
      <c r="J133" s="146"/>
      <c r="K133" s="32"/>
      <c r="L133" s="146"/>
      <c r="M133" s="32"/>
      <c r="N133" s="146"/>
      <c r="O133" s="32"/>
      <c r="P133" s="146"/>
      <c r="Q133" s="32"/>
      <c r="R133" s="146"/>
      <c r="S133" s="32"/>
      <c r="T133" s="146"/>
      <c r="U133" s="32"/>
      <c r="V133" s="146"/>
      <c r="W133" s="32"/>
      <c r="X133" s="146"/>
      <c r="Y133" s="32"/>
      <c r="Z133" s="146"/>
      <c r="AA133" s="32"/>
      <c r="AB133" s="146"/>
      <c r="AC133" s="32"/>
      <c r="AD133" s="146"/>
      <c r="AE133" s="32"/>
      <c r="AF133" s="146"/>
      <c r="AG133" s="32"/>
      <c r="AH133" s="146"/>
      <c r="AI133" s="32"/>
      <c r="AJ133" s="146"/>
      <c r="AK133" s="32"/>
      <c r="AL133" s="146"/>
      <c r="AM133" s="32"/>
      <c r="AN133" s="146"/>
      <c r="AO133" s="32"/>
      <c r="AP133" s="146"/>
      <c r="AQ133" s="32"/>
      <c r="AR133" s="146"/>
      <c r="AS133" s="32"/>
      <c r="AT133" s="146"/>
      <c r="AU133" s="32"/>
      <c r="AV133" s="146"/>
      <c r="AW133" s="32"/>
      <c r="AX133" s="146"/>
      <c r="AY133" s="32"/>
      <c r="AZ133" s="146"/>
      <c r="BA133" s="32"/>
      <c r="BB133" s="146"/>
      <c r="BC133" s="32"/>
      <c r="BD133" s="146"/>
      <c r="BE133" s="32"/>
      <c r="BF133" s="146"/>
      <c r="BG133" s="32"/>
      <c r="BH133" s="146"/>
      <c r="BI133" s="32"/>
      <c r="BJ133" s="146"/>
      <c r="BK133" s="32"/>
      <c r="BL133" s="146"/>
      <c r="BM133" s="32"/>
      <c r="BN133" s="146"/>
      <c r="BO133" s="32"/>
      <c r="BP133" s="146"/>
      <c r="BQ133" s="32"/>
      <c r="BR133" s="146"/>
      <c r="BS133" s="32"/>
      <c r="BT133" s="146">
        <v>773</v>
      </c>
      <c r="BU133" s="32">
        <v>179</v>
      </c>
      <c r="BV133" s="146">
        <v>775</v>
      </c>
      <c r="BW133" s="32">
        <v>175</v>
      </c>
    </row>
    <row r="134" spans="1:75" ht="13" x14ac:dyDescent="0.25">
      <c r="A134" s="186">
        <v>2202</v>
      </c>
      <c r="B134" s="187" t="s">
        <v>156</v>
      </c>
      <c r="C134" s="46">
        <v>1109</v>
      </c>
      <c r="D134" s="142">
        <v>481</v>
      </c>
      <c r="E134" s="145">
        <f t="shared" si="1"/>
        <v>0.43372407574391342</v>
      </c>
      <c r="F134" s="146">
        <v>339</v>
      </c>
      <c r="G134" s="32">
        <v>113</v>
      </c>
      <c r="H134" s="146"/>
      <c r="I134" s="32"/>
      <c r="J134" s="146"/>
      <c r="K134" s="32"/>
      <c r="L134" s="146"/>
      <c r="M134" s="32"/>
      <c r="N134" s="146"/>
      <c r="O134" s="32"/>
      <c r="P134" s="146"/>
      <c r="Q134" s="32"/>
      <c r="R134" s="146"/>
      <c r="S134" s="32"/>
      <c r="T134" s="146"/>
      <c r="U134" s="32"/>
      <c r="V134" s="146"/>
      <c r="W134" s="32"/>
      <c r="X134" s="146"/>
      <c r="Y134" s="32"/>
      <c r="Z134" s="146"/>
      <c r="AA134" s="32"/>
      <c r="AB134" s="146"/>
      <c r="AC134" s="32"/>
      <c r="AD134" s="146"/>
      <c r="AE134" s="32"/>
      <c r="AF134" s="146"/>
      <c r="AG134" s="32"/>
      <c r="AH134" s="146"/>
      <c r="AI134" s="32"/>
      <c r="AJ134" s="146"/>
      <c r="AK134" s="32"/>
      <c r="AL134" s="146"/>
      <c r="AM134" s="32"/>
      <c r="AN134" s="146"/>
      <c r="AO134" s="32"/>
      <c r="AP134" s="146"/>
      <c r="AQ134" s="32"/>
      <c r="AR134" s="146"/>
      <c r="AS134" s="32"/>
      <c r="AT134" s="146"/>
      <c r="AU134" s="32"/>
      <c r="AV134" s="146"/>
      <c r="AW134" s="32"/>
      <c r="AX134" s="146"/>
      <c r="AY134" s="32"/>
      <c r="AZ134" s="146"/>
      <c r="BA134" s="32"/>
      <c r="BB134" s="146"/>
      <c r="BC134" s="32"/>
      <c r="BD134" s="146"/>
      <c r="BE134" s="32"/>
      <c r="BF134" s="146"/>
      <c r="BG134" s="32"/>
      <c r="BH134" s="146"/>
      <c r="BI134" s="32"/>
      <c r="BJ134" s="146"/>
      <c r="BK134" s="32"/>
      <c r="BL134" s="146"/>
      <c r="BM134" s="32"/>
      <c r="BN134" s="146"/>
      <c r="BO134" s="32"/>
      <c r="BP134" s="146"/>
      <c r="BQ134" s="32"/>
      <c r="BR134" s="146"/>
      <c r="BS134" s="32"/>
      <c r="BT134" s="146">
        <v>340</v>
      </c>
      <c r="BU134" s="32">
        <v>118</v>
      </c>
      <c r="BV134" s="146">
        <v>349</v>
      </c>
      <c r="BW134" s="32">
        <v>102</v>
      </c>
    </row>
    <row r="135" spans="1:75" ht="13" x14ac:dyDescent="0.25">
      <c r="A135" s="186">
        <v>2203</v>
      </c>
      <c r="B135" s="187" t="s">
        <v>157</v>
      </c>
      <c r="C135" s="46">
        <v>1510</v>
      </c>
      <c r="D135" s="142">
        <v>434</v>
      </c>
      <c r="E135" s="145">
        <f t="shared" si="1"/>
        <v>0.28741721854304636</v>
      </c>
      <c r="F135" s="146">
        <v>297</v>
      </c>
      <c r="G135" s="32">
        <v>100</v>
      </c>
      <c r="H135" s="146"/>
      <c r="I135" s="32"/>
      <c r="J135" s="146"/>
      <c r="K135" s="32"/>
      <c r="L135" s="146"/>
      <c r="M135" s="32"/>
      <c r="N135" s="146"/>
      <c r="O135" s="32"/>
      <c r="P135" s="146"/>
      <c r="Q135" s="32"/>
      <c r="R135" s="146"/>
      <c r="S135" s="32"/>
      <c r="T135" s="146"/>
      <c r="U135" s="32"/>
      <c r="V135" s="146"/>
      <c r="W135" s="32"/>
      <c r="X135" s="146"/>
      <c r="Y135" s="32"/>
      <c r="Z135" s="146"/>
      <c r="AA135" s="32"/>
      <c r="AB135" s="146"/>
      <c r="AC135" s="32"/>
      <c r="AD135" s="146"/>
      <c r="AE135" s="32"/>
      <c r="AF135" s="146"/>
      <c r="AG135" s="32"/>
      <c r="AH135" s="146"/>
      <c r="AI135" s="32"/>
      <c r="AJ135" s="146"/>
      <c r="AK135" s="32"/>
      <c r="AL135" s="146"/>
      <c r="AM135" s="32"/>
      <c r="AN135" s="146"/>
      <c r="AO135" s="32"/>
      <c r="AP135" s="146"/>
      <c r="AQ135" s="32"/>
      <c r="AR135" s="146"/>
      <c r="AS135" s="32"/>
      <c r="AT135" s="146"/>
      <c r="AU135" s="32"/>
      <c r="AV135" s="146"/>
      <c r="AW135" s="32"/>
      <c r="AX135" s="146"/>
      <c r="AY135" s="32"/>
      <c r="AZ135" s="146"/>
      <c r="BA135" s="32"/>
      <c r="BB135" s="146"/>
      <c r="BC135" s="32"/>
      <c r="BD135" s="146"/>
      <c r="BE135" s="32"/>
      <c r="BF135" s="146"/>
      <c r="BG135" s="32"/>
      <c r="BH135" s="146"/>
      <c r="BI135" s="32"/>
      <c r="BJ135" s="146"/>
      <c r="BK135" s="32"/>
      <c r="BL135" s="146"/>
      <c r="BM135" s="32"/>
      <c r="BN135" s="146"/>
      <c r="BO135" s="32"/>
      <c r="BP135" s="146"/>
      <c r="BQ135" s="32"/>
      <c r="BR135" s="146"/>
      <c r="BS135" s="32"/>
      <c r="BT135" s="146">
        <v>296</v>
      </c>
      <c r="BU135" s="32">
        <v>109</v>
      </c>
      <c r="BV135" s="146">
        <v>318</v>
      </c>
      <c r="BW135" s="32">
        <v>82</v>
      </c>
    </row>
    <row r="136" spans="1:75" ht="13" x14ac:dyDescent="0.25">
      <c r="A136" s="186">
        <v>2301</v>
      </c>
      <c r="B136" s="187" t="s">
        <v>158</v>
      </c>
      <c r="C136" s="46">
        <v>1542</v>
      </c>
      <c r="D136" s="142">
        <v>948</v>
      </c>
      <c r="E136" s="145">
        <f t="shared" si="1"/>
        <v>0.61478599221789887</v>
      </c>
      <c r="F136" s="146">
        <v>749</v>
      </c>
      <c r="G136" s="32">
        <v>176</v>
      </c>
      <c r="H136" s="146"/>
      <c r="I136" s="32"/>
      <c r="J136" s="146"/>
      <c r="K136" s="32"/>
      <c r="L136" s="146"/>
      <c r="M136" s="32"/>
      <c r="N136" s="146"/>
      <c r="O136" s="32"/>
      <c r="P136" s="146"/>
      <c r="Q136" s="32"/>
      <c r="R136" s="146"/>
      <c r="S136" s="32"/>
      <c r="T136" s="146"/>
      <c r="U136" s="32"/>
      <c r="V136" s="146"/>
      <c r="W136" s="32"/>
      <c r="X136" s="146"/>
      <c r="Y136" s="32"/>
      <c r="Z136" s="146"/>
      <c r="AA136" s="32"/>
      <c r="AB136" s="146"/>
      <c r="AC136" s="32"/>
      <c r="AD136" s="146"/>
      <c r="AE136" s="32"/>
      <c r="AF136" s="146"/>
      <c r="AG136" s="32"/>
      <c r="AH136" s="146"/>
      <c r="AI136" s="32"/>
      <c r="AJ136" s="146"/>
      <c r="AK136" s="32"/>
      <c r="AL136" s="146"/>
      <c r="AM136" s="32"/>
      <c r="AN136" s="146"/>
      <c r="AO136" s="32"/>
      <c r="AP136" s="146"/>
      <c r="AQ136" s="32"/>
      <c r="AR136" s="146"/>
      <c r="AS136" s="32"/>
      <c r="AT136" s="146"/>
      <c r="AU136" s="32"/>
      <c r="AV136" s="146"/>
      <c r="AW136" s="32"/>
      <c r="AX136" s="146"/>
      <c r="AY136" s="32"/>
      <c r="AZ136" s="146"/>
      <c r="BA136" s="32"/>
      <c r="BB136" s="146"/>
      <c r="BC136" s="32"/>
      <c r="BD136" s="146"/>
      <c r="BE136" s="32"/>
      <c r="BF136" s="146"/>
      <c r="BG136" s="32"/>
      <c r="BH136" s="146"/>
      <c r="BI136" s="32"/>
      <c r="BJ136" s="146"/>
      <c r="BK136" s="32"/>
      <c r="BL136" s="146"/>
      <c r="BM136" s="32"/>
      <c r="BN136" s="146"/>
      <c r="BO136" s="32"/>
      <c r="BP136" s="146"/>
      <c r="BQ136" s="32"/>
      <c r="BR136" s="146"/>
      <c r="BS136" s="32"/>
      <c r="BT136" s="146">
        <v>725</v>
      </c>
      <c r="BU136" s="32">
        <v>190</v>
      </c>
      <c r="BV136" s="146">
        <v>744</v>
      </c>
      <c r="BW136" s="32">
        <v>166</v>
      </c>
    </row>
    <row r="137" spans="1:75" ht="13" x14ac:dyDescent="0.25">
      <c r="A137" s="186">
        <v>2302</v>
      </c>
      <c r="B137" s="187" t="s">
        <v>159</v>
      </c>
      <c r="C137" s="46">
        <v>1455</v>
      </c>
      <c r="D137" s="142">
        <v>477</v>
      </c>
      <c r="E137" s="145">
        <f t="shared" si="1"/>
        <v>0.32783505154639175</v>
      </c>
      <c r="F137" s="146">
        <v>369</v>
      </c>
      <c r="G137" s="32">
        <v>86</v>
      </c>
      <c r="H137" s="146"/>
      <c r="I137" s="32"/>
      <c r="J137" s="146"/>
      <c r="K137" s="32"/>
      <c r="L137" s="146"/>
      <c r="M137" s="32"/>
      <c r="N137" s="146"/>
      <c r="O137" s="32"/>
      <c r="P137" s="146"/>
      <c r="Q137" s="32"/>
      <c r="R137" s="146"/>
      <c r="S137" s="32"/>
      <c r="T137" s="146"/>
      <c r="U137" s="32"/>
      <c r="V137" s="146"/>
      <c r="W137" s="32"/>
      <c r="X137" s="146"/>
      <c r="Y137" s="32"/>
      <c r="Z137" s="146"/>
      <c r="AA137" s="32"/>
      <c r="AB137" s="146"/>
      <c r="AC137" s="32"/>
      <c r="AD137" s="146"/>
      <c r="AE137" s="32"/>
      <c r="AF137" s="146"/>
      <c r="AG137" s="32"/>
      <c r="AH137" s="146"/>
      <c r="AI137" s="32"/>
      <c r="AJ137" s="146"/>
      <c r="AK137" s="32"/>
      <c r="AL137" s="146"/>
      <c r="AM137" s="32"/>
      <c r="AN137" s="146"/>
      <c r="AO137" s="32"/>
      <c r="AP137" s="146"/>
      <c r="AQ137" s="32"/>
      <c r="AR137" s="146"/>
      <c r="AS137" s="32"/>
      <c r="AT137" s="146"/>
      <c r="AU137" s="32"/>
      <c r="AV137" s="146"/>
      <c r="AW137" s="32"/>
      <c r="AX137" s="146"/>
      <c r="AY137" s="32"/>
      <c r="AZ137" s="146"/>
      <c r="BA137" s="32"/>
      <c r="BB137" s="146"/>
      <c r="BC137" s="32"/>
      <c r="BD137" s="146"/>
      <c r="BE137" s="32"/>
      <c r="BF137" s="146"/>
      <c r="BG137" s="32"/>
      <c r="BH137" s="146"/>
      <c r="BI137" s="32"/>
      <c r="BJ137" s="146"/>
      <c r="BK137" s="32"/>
      <c r="BL137" s="146"/>
      <c r="BM137" s="32"/>
      <c r="BN137" s="146"/>
      <c r="BO137" s="32"/>
      <c r="BP137" s="146"/>
      <c r="BQ137" s="32"/>
      <c r="BR137" s="146"/>
      <c r="BS137" s="32"/>
      <c r="BT137" s="146">
        <v>332</v>
      </c>
      <c r="BU137" s="32">
        <v>107</v>
      </c>
      <c r="BV137" s="146">
        <v>350</v>
      </c>
      <c r="BW137" s="32">
        <v>88</v>
      </c>
    </row>
    <row r="138" spans="1:75" ht="13" x14ac:dyDescent="0.25">
      <c r="A138" s="186">
        <v>2303</v>
      </c>
      <c r="B138" s="187" t="s">
        <v>160</v>
      </c>
      <c r="C138" s="46">
        <v>916</v>
      </c>
      <c r="D138" s="142">
        <v>686</v>
      </c>
      <c r="E138" s="145">
        <f t="shared" si="1"/>
        <v>0.74890829694323147</v>
      </c>
      <c r="F138" s="146">
        <v>602</v>
      </c>
      <c r="G138" s="32">
        <v>76</v>
      </c>
      <c r="H138" s="146"/>
      <c r="I138" s="32"/>
      <c r="J138" s="146"/>
      <c r="K138" s="32"/>
      <c r="L138" s="146"/>
      <c r="M138" s="32"/>
      <c r="N138" s="146"/>
      <c r="O138" s="32"/>
      <c r="P138" s="146"/>
      <c r="Q138" s="32"/>
      <c r="R138" s="146"/>
      <c r="S138" s="32"/>
      <c r="T138" s="146"/>
      <c r="U138" s="32"/>
      <c r="V138" s="146"/>
      <c r="W138" s="32"/>
      <c r="X138" s="146"/>
      <c r="Y138" s="32"/>
      <c r="Z138" s="146"/>
      <c r="AA138" s="32"/>
      <c r="AB138" s="146"/>
      <c r="AC138" s="32"/>
      <c r="AD138" s="146"/>
      <c r="AE138" s="32"/>
      <c r="AF138" s="146"/>
      <c r="AG138" s="32"/>
      <c r="AH138" s="146"/>
      <c r="AI138" s="32"/>
      <c r="AJ138" s="146"/>
      <c r="AK138" s="32"/>
      <c r="AL138" s="146"/>
      <c r="AM138" s="32"/>
      <c r="AN138" s="146"/>
      <c r="AO138" s="32"/>
      <c r="AP138" s="146"/>
      <c r="AQ138" s="32"/>
      <c r="AR138" s="146"/>
      <c r="AS138" s="32"/>
      <c r="AT138" s="146"/>
      <c r="AU138" s="32"/>
      <c r="AV138" s="146"/>
      <c r="AW138" s="32"/>
      <c r="AX138" s="146"/>
      <c r="AY138" s="32"/>
      <c r="AZ138" s="146"/>
      <c r="BA138" s="32"/>
      <c r="BB138" s="146"/>
      <c r="BC138" s="32"/>
      <c r="BD138" s="146"/>
      <c r="BE138" s="32"/>
      <c r="BF138" s="146"/>
      <c r="BG138" s="32"/>
      <c r="BH138" s="146"/>
      <c r="BI138" s="32"/>
      <c r="BJ138" s="146"/>
      <c r="BK138" s="32"/>
      <c r="BL138" s="146"/>
      <c r="BM138" s="32"/>
      <c r="BN138" s="146"/>
      <c r="BO138" s="32"/>
      <c r="BP138" s="146"/>
      <c r="BQ138" s="32"/>
      <c r="BR138" s="146"/>
      <c r="BS138" s="32"/>
      <c r="BT138" s="146">
        <v>571</v>
      </c>
      <c r="BU138" s="32">
        <v>95</v>
      </c>
      <c r="BV138" s="146">
        <v>577</v>
      </c>
      <c r="BW138" s="32">
        <v>90</v>
      </c>
    </row>
    <row r="139" spans="1:75" ht="13" x14ac:dyDescent="0.25">
      <c r="A139" s="186">
        <v>2304</v>
      </c>
      <c r="B139" s="187" t="s">
        <v>161</v>
      </c>
      <c r="C139" s="46">
        <v>1171</v>
      </c>
      <c r="D139" s="142">
        <v>854</v>
      </c>
      <c r="E139" s="145">
        <f t="shared" si="1"/>
        <v>0.72929120409906067</v>
      </c>
      <c r="F139" s="146">
        <v>769</v>
      </c>
      <c r="G139" s="32">
        <v>72</v>
      </c>
      <c r="H139" s="146"/>
      <c r="I139" s="32"/>
      <c r="J139" s="146"/>
      <c r="K139" s="32"/>
      <c r="L139" s="146"/>
      <c r="M139" s="32"/>
      <c r="N139" s="146"/>
      <c r="O139" s="32"/>
      <c r="P139" s="146"/>
      <c r="Q139" s="32"/>
      <c r="R139" s="146"/>
      <c r="S139" s="32"/>
      <c r="T139" s="146"/>
      <c r="U139" s="32"/>
      <c r="V139" s="146"/>
      <c r="W139" s="32"/>
      <c r="X139" s="146"/>
      <c r="Y139" s="32"/>
      <c r="Z139" s="146"/>
      <c r="AA139" s="32"/>
      <c r="AB139" s="146"/>
      <c r="AC139" s="32"/>
      <c r="AD139" s="146"/>
      <c r="AE139" s="32"/>
      <c r="AF139" s="146"/>
      <c r="AG139" s="32"/>
      <c r="AH139" s="146"/>
      <c r="AI139" s="32"/>
      <c r="AJ139" s="146"/>
      <c r="AK139" s="32"/>
      <c r="AL139" s="146"/>
      <c r="AM139" s="32"/>
      <c r="AN139" s="146"/>
      <c r="AO139" s="32"/>
      <c r="AP139" s="146"/>
      <c r="AQ139" s="32"/>
      <c r="AR139" s="146"/>
      <c r="AS139" s="32"/>
      <c r="AT139" s="146"/>
      <c r="AU139" s="32"/>
      <c r="AV139" s="146"/>
      <c r="AW139" s="32"/>
      <c r="AX139" s="146"/>
      <c r="AY139" s="32"/>
      <c r="AZ139" s="146"/>
      <c r="BA139" s="32"/>
      <c r="BB139" s="146"/>
      <c r="BC139" s="32"/>
      <c r="BD139" s="146"/>
      <c r="BE139" s="32"/>
      <c r="BF139" s="146"/>
      <c r="BG139" s="32"/>
      <c r="BH139" s="146"/>
      <c r="BI139" s="32"/>
      <c r="BJ139" s="146"/>
      <c r="BK139" s="32"/>
      <c r="BL139" s="146"/>
      <c r="BM139" s="32"/>
      <c r="BN139" s="146"/>
      <c r="BO139" s="32"/>
      <c r="BP139" s="146"/>
      <c r="BQ139" s="32"/>
      <c r="BR139" s="146"/>
      <c r="BS139" s="32"/>
      <c r="BT139" s="146">
        <v>732</v>
      </c>
      <c r="BU139" s="32">
        <v>100</v>
      </c>
      <c r="BV139" s="146">
        <v>740</v>
      </c>
      <c r="BW139" s="32">
        <v>95</v>
      </c>
    </row>
    <row r="140" spans="1:75" ht="13" x14ac:dyDescent="0.25">
      <c r="A140" s="186">
        <v>2305</v>
      </c>
      <c r="B140" s="187" t="s">
        <v>162</v>
      </c>
      <c r="C140" s="46">
        <v>1045</v>
      </c>
      <c r="D140" s="142">
        <v>600</v>
      </c>
      <c r="E140" s="145">
        <f t="shared" si="1"/>
        <v>0.57416267942583732</v>
      </c>
      <c r="F140" s="146">
        <v>456</v>
      </c>
      <c r="G140" s="32">
        <v>109</v>
      </c>
      <c r="H140" s="146"/>
      <c r="I140" s="32"/>
      <c r="J140" s="146"/>
      <c r="K140" s="32"/>
      <c r="L140" s="146"/>
      <c r="M140" s="32"/>
      <c r="N140" s="146"/>
      <c r="O140" s="32"/>
      <c r="P140" s="146"/>
      <c r="Q140" s="32"/>
      <c r="R140" s="146"/>
      <c r="S140" s="32"/>
      <c r="T140" s="146"/>
      <c r="U140" s="32"/>
      <c r="V140" s="146"/>
      <c r="W140" s="32"/>
      <c r="X140" s="146"/>
      <c r="Y140" s="32"/>
      <c r="Z140" s="146"/>
      <c r="AA140" s="32"/>
      <c r="AB140" s="146"/>
      <c r="AC140" s="32"/>
      <c r="AD140" s="146"/>
      <c r="AE140" s="32"/>
      <c r="AF140" s="146"/>
      <c r="AG140" s="32"/>
      <c r="AH140" s="146"/>
      <c r="AI140" s="32"/>
      <c r="AJ140" s="146"/>
      <c r="AK140" s="32"/>
      <c r="AL140" s="146"/>
      <c r="AM140" s="32"/>
      <c r="AN140" s="146"/>
      <c r="AO140" s="32"/>
      <c r="AP140" s="146"/>
      <c r="AQ140" s="32"/>
      <c r="AR140" s="146"/>
      <c r="AS140" s="32"/>
      <c r="AT140" s="146"/>
      <c r="AU140" s="32"/>
      <c r="AV140" s="146"/>
      <c r="AW140" s="32"/>
      <c r="AX140" s="146"/>
      <c r="AY140" s="32"/>
      <c r="AZ140" s="146"/>
      <c r="BA140" s="32"/>
      <c r="BB140" s="146"/>
      <c r="BC140" s="32"/>
      <c r="BD140" s="146"/>
      <c r="BE140" s="32"/>
      <c r="BF140" s="146"/>
      <c r="BG140" s="32"/>
      <c r="BH140" s="146"/>
      <c r="BI140" s="32"/>
      <c r="BJ140" s="146"/>
      <c r="BK140" s="32"/>
      <c r="BL140" s="146"/>
      <c r="BM140" s="32"/>
      <c r="BN140" s="146"/>
      <c r="BO140" s="32"/>
      <c r="BP140" s="146"/>
      <c r="BQ140" s="32"/>
      <c r="BR140" s="146"/>
      <c r="BS140" s="32"/>
      <c r="BT140" s="146">
        <v>448</v>
      </c>
      <c r="BU140" s="32">
        <v>126</v>
      </c>
      <c r="BV140" s="146">
        <v>459</v>
      </c>
      <c r="BW140" s="32">
        <v>113</v>
      </c>
    </row>
    <row r="141" spans="1:75" ht="13" x14ac:dyDescent="0.25">
      <c r="A141" s="186">
        <v>2306</v>
      </c>
      <c r="B141" s="187" t="s">
        <v>163</v>
      </c>
      <c r="C141" s="46">
        <v>1305</v>
      </c>
      <c r="D141" s="142">
        <v>850</v>
      </c>
      <c r="E141" s="145">
        <f t="shared" si="1"/>
        <v>0.65134099616858232</v>
      </c>
      <c r="F141" s="146">
        <v>618</v>
      </c>
      <c r="G141" s="32">
        <v>200</v>
      </c>
      <c r="H141" s="146"/>
      <c r="I141" s="32"/>
      <c r="J141" s="146"/>
      <c r="K141" s="32"/>
      <c r="L141" s="146"/>
      <c r="M141" s="32"/>
      <c r="N141" s="146"/>
      <c r="O141" s="32"/>
      <c r="P141" s="146"/>
      <c r="Q141" s="32"/>
      <c r="R141" s="146"/>
      <c r="S141" s="32"/>
      <c r="T141" s="146"/>
      <c r="U141" s="32"/>
      <c r="V141" s="146"/>
      <c r="W141" s="32"/>
      <c r="X141" s="146"/>
      <c r="Y141" s="32"/>
      <c r="Z141" s="146"/>
      <c r="AA141" s="32"/>
      <c r="AB141" s="146"/>
      <c r="AC141" s="32"/>
      <c r="AD141" s="146"/>
      <c r="AE141" s="32"/>
      <c r="AF141" s="146"/>
      <c r="AG141" s="32"/>
      <c r="AH141" s="146"/>
      <c r="AI141" s="32"/>
      <c r="AJ141" s="146"/>
      <c r="AK141" s="32"/>
      <c r="AL141" s="146"/>
      <c r="AM141" s="32"/>
      <c r="AN141" s="146"/>
      <c r="AO141" s="32"/>
      <c r="AP141" s="146"/>
      <c r="AQ141" s="32"/>
      <c r="AR141" s="146"/>
      <c r="AS141" s="32"/>
      <c r="AT141" s="146"/>
      <c r="AU141" s="32"/>
      <c r="AV141" s="146"/>
      <c r="AW141" s="32"/>
      <c r="AX141" s="146"/>
      <c r="AY141" s="32"/>
      <c r="AZ141" s="146"/>
      <c r="BA141" s="32"/>
      <c r="BB141" s="146"/>
      <c r="BC141" s="32"/>
      <c r="BD141" s="146"/>
      <c r="BE141" s="32"/>
      <c r="BF141" s="146"/>
      <c r="BG141" s="32"/>
      <c r="BH141" s="146"/>
      <c r="BI141" s="32"/>
      <c r="BJ141" s="146"/>
      <c r="BK141" s="32"/>
      <c r="BL141" s="146"/>
      <c r="BM141" s="32"/>
      <c r="BN141" s="146"/>
      <c r="BO141" s="32"/>
      <c r="BP141" s="146"/>
      <c r="BQ141" s="32"/>
      <c r="BR141" s="146"/>
      <c r="BS141" s="32"/>
      <c r="BT141" s="146">
        <v>633</v>
      </c>
      <c r="BU141" s="32">
        <v>177</v>
      </c>
      <c r="BV141" s="146">
        <v>655</v>
      </c>
      <c r="BW141" s="32">
        <v>159</v>
      </c>
    </row>
    <row r="142" spans="1:75" ht="13" x14ac:dyDescent="0.25">
      <c r="A142" s="186">
        <v>2307</v>
      </c>
      <c r="B142" s="187" t="s">
        <v>164</v>
      </c>
      <c r="C142" s="46">
        <v>587</v>
      </c>
      <c r="D142" s="142">
        <v>363</v>
      </c>
      <c r="E142" s="145">
        <f t="shared" si="1"/>
        <v>0.61839863713798982</v>
      </c>
      <c r="F142" s="146">
        <v>286</v>
      </c>
      <c r="G142" s="32">
        <v>57</v>
      </c>
      <c r="H142" s="146"/>
      <c r="I142" s="32"/>
      <c r="J142" s="146"/>
      <c r="K142" s="32"/>
      <c r="L142" s="146"/>
      <c r="M142" s="32"/>
      <c r="N142" s="146"/>
      <c r="O142" s="32"/>
      <c r="P142" s="146"/>
      <c r="Q142" s="32"/>
      <c r="R142" s="146"/>
      <c r="S142" s="32"/>
      <c r="T142" s="146"/>
      <c r="U142" s="32"/>
      <c r="V142" s="146"/>
      <c r="W142" s="32"/>
      <c r="X142" s="146"/>
      <c r="Y142" s="32"/>
      <c r="Z142" s="146"/>
      <c r="AA142" s="32"/>
      <c r="AB142" s="146"/>
      <c r="AC142" s="32"/>
      <c r="AD142" s="146"/>
      <c r="AE142" s="32"/>
      <c r="AF142" s="146"/>
      <c r="AG142" s="32"/>
      <c r="AH142" s="146"/>
      <c r="AI142" s="32"/>
      <c r="AJ142" s="146"/>
      <c r="AK142" s="32"/>
      <c r="AL142" s="146"/>
      <c r="AM142" s="32"/>
      <c r="AN142" s="146"/>
      <c r="AO142" s="32"/>
      <c r="AP142" s="146"/>
      <c r="AQ142" s="32"/>
      <c r="AR142" s="146"/>
      <c r="AS142" s="32"/>
      <c r="AT142" s="146"/>
      <c r="AU142" s="32"/>
      <c r="AV142" s="146"/>
      <c r="AW142" s="32"/>
      <c r="AX142" s="146"/>
      <c r="AY142" s="32"/>
      <c r="AZ142" s="146"/>
      <c r="BA142" s="32"/>
      <c r="BB142" s="146"/>
      <c r="BC142" s="32"/>
      <c r="BD142" s="146"/>
      <c r="BE142" s="32"/>
      <c r="BF142" s="146"/>
      <c r="BG142" s="32"/>
      <c r="BH142" s="146"/>
      <c r="BI142" s="32"/>
      <c r="BJ142" s="146"/>
      <c r="BK142" s="32"/>
      <c r="BL142" s="146"/>
      <c r="BM142" s="32"/>
      <c r="BN142" s="146"/>
      <c r="BO142" s="32"/>
      <c r="BP142" s="146"/>
      <c r="BQ142" s="32"/>
      <c r="BR142" s="146"/>
      <c r="BS142" s="32"/>
      <c r="BT142" s="146">
        <v>256</v>
      </c>
      <c r="BU142" s="32">
        <v>89</v>
      </c>
      <c r="BV142" s="146">
        <v>266</v>
      </c>
      <c r="BW142" s="32">
        <v>77</v>
      </c>
    </row>
    <row r="143" spans="1:75" ht="13" x14ac:dyDescent="0.25">
      <c r="A143" s="186">
        <v>2308</v>
      </c>
      <c r="B143" s="187" t="s">
        <v>165</v>
      </c>
      <c r="C143" s="46">
        <v>1037</v>
      </c>
      <c r="D143" s="142">
        <v>851</v>
      </c>
      <c r="E143" s="145">
        <f t="shared" si="1"/>
        <v>0.82063645130183216</v>
      </c>
      <c r="F143" s="146">
        <v>616</v>
      </c>
      <c r="G143" s="32">
        <v>217</v>
      </c>
      <c r="H143" s="146"/>
      <c r="I143" s="32"/>
      <c r="J143" s="146"/>
      <c r="K143" s="32"/>
      <c r="L143" s="146"/>
      <c r="M143" s="32"/>
      <c r="N143" s="146"/>
      <c r="O143" s="32"/>
      <c r="P143" s="146"/>
      <c r="Q143" s="32"/>
      <c r="R143" s="146"/>
      <c r="S143" s="32"/>
      <c r="T143" s="146"/>
      <c r="U143" s="32"/>
      <c r="V143" s="146"/>
      <c r="W143" s="32"/>
      <c r="X143" s="146"/>
      <c r="Y143" s="32"/>
      <c r="Z143" s="146"/>
      <c r="AA143" s="32"/>
      <c r="AB143" s="146"/>
      <c r="AC143" s="32"/>
      <c r="AD143" s="146"/>
      <c r="AE143" s="32"/>
      <c r="AF143" s="146"/>
      <c r="AG143" s="32"/>
      <c r="AH143" s="146"/>
      <c r="AI143" s="32"/>
      <c r="AJ143" s="146"/>
      <c r="AK143" s="32"/>
      <c r="AL143" s="146"/>
      <c r="AM143" s="32"/>
      <c r="AN143" s="146"/>
      <c r="AO143" s="32"/>
      <c r="AP143" s="146"/>
      <c r="AQ143" s="32"/>
      <c r="AR143" s="146"/>
      <c r="AS143" s="32"/>
      <c r="AT143" s="146"/>
      <c r="AU143" s="32"/>
      <c r="AV143" s="146"/>
      <c r="AW143" s="32"/>
      <c r="AX143" s="146"/>
      <c r="AY143" s="32"/>
      <c r="AZ143" s="146"/>
      <c r="BA143" s="32"/>
      <c r="BB143" s="146"/>
      <c r="BC143" s="32"/>
      <c r="BD143" s="146"/>
      <c r="BE143" s="32"/>
      <c r="BF143" s="146"/>
      <c r="BG143" s="32"/>
      <c r="BH143" s="146"/>
      <c r="BI143" s="32"/>
      <c r="BJ143" s="146"/>
      <c r="BK143" s="32"/>
      <c r="BL143" s="146"/>
      <c r="BM143" s="32"/>
      <c r="BN143" s="146"/>
      <c r="BO143" s="32"/>
      <c r="BP143" s="146"/>
      <c r="BQ143" s="32"/>
      <c r="BR143" s="146"/>
      <c r="BS143" s="32"/>
      <c r="BT143" s="146">
        <v>654</v>
      </c>
      <c r="BU143" s="32">
        <v>168</v>
      </c>
      <c r="BV143" s="146">
        <v>649</v>
      </c>
      <c r="BW143" s="32">
        <v>177</v>
      </c>
    </row>
    <row r="144" spans="1:75" ht="13" x14ac:dyDescent="0.25">
      <c r="A144" s="186">
        <v>2309</v>
      </c>
      <c r="B144" s="187" t="s">
        <v>166</v>
      </c>
      <c r="C144" s="46">
        <v>1031</v>
      </c>
      <c r="D144" s="142">
        <v>749</v>
      </c>
      <c r="E144" s="145">
        <f t="shared" ref="E144:E212" si="2">SUM(D144/C144)</f>
        <v>0.72647914645974787</v>
      </c>
      <c r="F144" s="146">
        <v>538</v>
      </c>
      <c r="G144" s="32">
        <v>187</v>
      </c>
      <c r="H144" s="146"/>
      <c r="I144" s="32"/>
      <c r="J144" s="146"/>
      <c r="K144" s="32"/>
      <c r="L144" s="146"/>
      <c r="M144" s="32"/>
      <c r="N144" s="146"/>
      <c r="O144" s="32"/>
      <c r="P144" s="146"/>
      <c r="Q144" s="32"/>
      <c r="R144" s="146"/>
      <c r="S144" s="32"/>
      <c r="T144" s="146"/>
      <c r="U144" s="32"/>
      <c r="V144" s="146"/>
      <c r="W144" s="32"/>
      <c r="X144" s="146"/>
      <c r="Y144" s="32"/>
      <c r="Z144" s="146"/>
      <c r="AA144" s="32"/>
      <c r="AB144" s="146"/>
      <c r="AC144" s="32"/>
      <c r="AD144" s="146"/>
      <c r="AE144" s="32"/>
      <c r="AF144" s="146"/>
      <c r="AG144" s="32"/>
      <c r="AH144" s="146"/>
      <c r="AI144" s="32"/>
      <c r="AJ144" s="146"/>
      <c r="AK144" s="32"/>
      <c r="AL144" s="146"/>
      <c r="AM144" s="32"/>
      <c r="AN144" s="146"/>
      <c r="AO144" s="32"/>
      <c r="AP144" s="146"/>
      <c r="AQ144" s="32"/>
      <c r="AR144" s="146"/>
      <c r="AS144" s="32"/>
      <c r="AT144" s="146"/>
      <c r="AU144" s="32"/>
      <c r="AV144" s="146"/>
      <c r="AW144" s="32"/>
      <c r="AX144" s="146"/>
      <c r="AY144" s="32"/>
      <c r="AZ144" s="146"/>
      <c r="BA144" s="32"/>
      <c r="BB144" s="146"/>
      <c r="BC144" s="32"/>
      <c r="BD144" s="146"/>
      <c r="BE144" s="32"/>
      <c r="BF144" s="146"/>
      <c r="BG144" s="32"/>
      <c r="BH144" s="146"/>
      <c r="BI144" s="32"/>
      <c r="BJ144" s="146"/>
      <c r="BK144" s="32"/>
      <c r="BL144" s="146"/>
      <c r="BM144" s="32"/>
      <c r="BN144" s="146"/>
      <c r="BO144" s="32"/>
      <c r="BP144" s="146"/>
      <c r="BQ144" s="32"/>
      <c r="BR144" s="146"/>
      <c r="BS144" s="32"/>
      <c r="BT144" s="146">
        <v>549</v>
      </c>
      <c r="BU144" s="32">
        <v>173</v>
      </c>
      <c r="BV144" s="146">
        <v>563</v>
      </c>
      <c r="BW144" s="32">
        <v>161</v>
      </c>
    </row>
    <row r="145" spans="1:75" ht="13" x14ac:dyDescent="0.25">
      <c r="A145" s="186">
        <v>2310</v>
      </c>
      <c r="B145" s="187" t="s">
        <v>167</v>
      </c>
      <c r="C145" s="46">
        <v>1334</v>
      </c>
      <c r="D145" s="142">
        <v>839</v>
      </c>
      <c r="E145" s="145">
        <f t="shared" si="2"/>
        <v>0.6289355322338831</v>
      </c>
      <c r="F145" s="146">
        <v>551</v>
      </c>
      <c r="G145" s="32">
        <v>267</v>
      </c>
      <c r="H145" s="146"/>
      <c r="I145" s="32"/>
      <c r="J145" s="146"/>
      <c r="K145" s="32"/>
      <c r="L145" s="146"/>
      <c r="M145" s="32"/>
      <c r="N145" s="146"/>
      <c r="O145" s="32"/>
      <c r="P145" s="146"/>
      <c r="Q145" s="32"/>
      <c r="R145" s="146"/>
      <c r="S145" s="32"/>
      <c r="T145" s="146"/>
      <c r="U145" s="32"/>
      <c r="V145" s="146"/>
      <c r="W145" s="32"/>
      <c r="X145" s="146"/>
      <c r="Y145" s="32"/>
      <c r="Z145" s="146"/>
      <c r="AA145" s="32"/>
      <c r="AB145" s="146"/>
      <c r="AC145" s="32"/>
      <c r="AD145" s="146"/>
      <c r="AE145" s="32"/>
      <c r="AF145" s="146"/>
      <c r="AG145" s="32"/>
      <c r="AH145" s="146"/>
      <c r="AI145" s="32"/>
      <c r="AJ145" s="146"/>
      <c r="AK145" s="32"/>
      <c r="AL145" s="146"/>
      <c r="AM145" s="32"/>
      <c r="AN145" s="146"/>
      <c r="AO145" s="32"/>
      <c r="AP145" s="146"/>
      <c r="AQ145" s="32"/>
      <c r="AR145" s="146"/>
      <c r="AS145" s="32"/>
      <c r="AT145" s="146"/>
      <c r="AU145" s="32"/>
      <c r="AV145" s="146"/>
      <c r="AW145" s="32"/>
      <c r="AX145" s="146"/>
      <c r="AY145" s="32"/>
      <c r="AZ145" s="146"/>
      <c r="BA145" s="32"/>
      <c r="BB145" s="146"/>
      <c r="BC145" s="32"/>
      <c r="BD145" s="146"/>
      <c r="BE145" s="32"/>
      <c r="BF145" s="146"/>
      <c r="BG145" s="32"/>
      <c r="BH145" s="146"/>
      <c r="BI145" s="32"/>
      <c r="BJ145" s="146"/>
      <c r="BK145" s="32"/>
      <c r="BL145" s="146"/>
      <c r="BM145" s="32"/>
      <c r="BN145" s="146"/>
      <c r="BO145" s="32"/>
      <c r="BP145" s="146"/>
      <c r="BQ145" s="32"/>
      <c r="BR145" s="146"/>
      <c r="BS145" s="32"/>
      <c r="BT145" s="146">
        <v>579</v>
      </c>
      <c r="BU145" s="32">
        <v>232</v>
      </c>
      <c r="BV145" s="146">
        <v>599</v>
      </c>
      <c r="BW145" s="32">
        <v>210</v>
      </c>
    </row>
    <row r="146" spans="1:75" ht="13" x14ac:dyDescent="0.25">
      <c r="A146" s="186">
        <v>2311</v>
      </c>
      <c r="B146" s="187" t="s">
        <v>168</v>
      </c>
      <c r="C146" s="46">
        <v>1163</v>
      </c>
      <c r="D146" s="142">
        <v>812</v>
      </c>
      <c r="E146" s="145">
        <f t="shared" si="2"/>
        <v>0.69819432502149614</v>
      </c>
      <c r="F146" s="146">
        <v>632</v>
      </c>
      <c r="G146" s="32">
        <v>150</v>
      </c>
      <c r="H146" s="146"/>
      <c r="I146" s="32"/>
      <c r="J146" s="146"/>
      <c r="K146" s="32"/>
      <c r="L146" s="146"/>
      <c r="M146" s="32"/>
      <c r="N146" s="146"/>
      <c r="O146" s="32"/>
      <c r="P146" s="146"/>
      <c r="Q146" s="32"/>
      <c r="R146" s="146"/>
      <c r="S146" s="32"/>
      <c r="T146" s="146"/>
      <c r="U146" s="32"/>
      <c r="V146" s="146"/>
      <c r="W146" s="32"/>
      <c r="X146" s="146"/>
      <c r="Y146" s="32"/>
      <c r="Z146" s="146"/>
      <c r="AA146" s="32"/>
      <c r="AB146" s="146"/>
      <c r="AC146" s="32"/>
      <c r="AD146" s="146"/>
      <c r="AE146" s="32"/>
      <c r="AF146" s="146"/>
      <c r="AG146" s="32"/>
      <c r="AH146" s="146"/>
      <c r="AI146" s="32"/>
      <c r="AJ146" s="146"/>
      <c r="AK146" s="32"/>
      <c r="AL146" s="146"/>
      <c r="AM146" s="32"/>
      <c r="AN146" s="146"/>
      <c r="AO146" s="32"/>
      <c r="AP146" s="146"/>
      <c r="AQ146" s="32"/>
      <c r="AR146" s="146"/>
      <c r="AS146" s="32"/>
      <c r="AT146" s="146"/>
      <c r="AU146" s="32"/>
      <c r="AV146" s="146"/>
      <c r="AW146" s="32"/>
      <c r="AX146" s="146"/>
      <c r="AY146" s="32"/>
      <c r="AZ146" s="146"/>
      <c r="BA146" s="32"/>
      <c r="BB146" s="146"/>
      <c r="BC146" s="32"/>
      <c r="BD146" s="146"/>
      <c r="BE146" s="32"/>
      <c r="BF146" s="146"/>
      <c r="BG146" s="32"/>
      <c r="BH146" s="146"/>
      <c r="BI146" s="32"/>
      <c r="BJ146" s="146"/>
      <c r="BK146" s="32"/>
      <c r="BL146" s="146"/>
      <c r="BM146" s="32"/>
      <c r="BN146" s="146"/>
      <c r="BO146" s="32"/>
      <c r="BP146" s="146"/>
      <c r="BQ146" s="32"/>
      <c r="BR146" s="146"/>
      <c r="BS146" s="32"/>
      <c r="BT146" s="146">
        <v>628</v>
      </c>
      <c r="BU146" s="32">
        <v>152</v>
      </c>
      <c r="BV146" s="146">
        <v>647</v>
      </c>
      <c r="BW146" s="32">
        <v>136</v>
      </c>
    </row>
    <row r="147" spans="1:75" ht="13" x14ac:dyDescent="0.25">
      <c r="A147" s="186">
        <v>2312</v>
      </c>
      <c r="B147" s="187" t="s">
        <v>169</v>
      </c>
      <c r="C147" s="46">
        <v>615</v>
      </c>
      <c r="D147" s="142">
        <v>329</v>
      </c>
      <c r="E147" s="145">
        <f t="shared" si="2"/>
        <v>0.53495934959349589</v>
      </c>
      <c r="F147" s="146">
        <v>239</v>
      </c>
      <c r="G147" s="32">
        <v>74</v>
      </c>
      <c r="H147" s="146"/>
      <c r="I147" s="32"/>
      <c r="J147" s="146"/>
      <c r="K147" s="32"/>
      <c r="L147" s="146"/>
      <c r="M147" s="32"/>
      <c r="N147" s="146"/>
      <c r="O147" s="32"/>
      <c r="P147" s="146"/>
      <c r="Q147" s="32"/>
      <c r="R147" s="146"/>
      <c r="S147" s="32"/>
      <c r="T147" s="146"/>
      <c r="U147" s="32"/>
      <c r="V147" s="146"/>
      <c r="W147" s="32"/>
      <c r="X147" s="146"/>
      <c r="Y147" s="32"/>
      <c r="Z147" s="146"/>
      <c r="AA147" s="32"/>
      <c r="AB147" s="146"/>
      <c r="AC147" s="32"/>
      <c r="AD147" s="146"/>
      <c r="AE147" s="32"/>
      <c r="AF147" s="146"/>
      <c r="AG147" s="32"/>
      <c r="AH147" s="146"/>
      <c r="AI147" s="32"/>
      <c r="AJ147" s="146"/>
      <c r="AK147" s="32"/>
      <c r="AL147" s="146"/>
      <c r="AM147" s="32"/>
      <c r="AN147" s="146"/>
      <c r="AO147" s="32"/>
      <c r="AP147" s="146"/>
      <c r="AQ147" s="32"/>
      <c r="AR147" s="146"/>
      <c r="AS147" s="32"/>
      <c r="AT147" s="146"/>
      <c r="AU147" s="32"/>
      <c r="AV147" s="146"/>
      <c r="AW147" s="32"/>
      <c r="AX147" s="146"/>
      <c r="AY147" s="32"/>
      <c r="AZ147" s="146"/>
      <c r="BA147" s="32"/>
      <c r="BB147" s="146"/>
      <c r="BC147" s="32"/>
      <c r="BD147" s="146"/>
      <c r="BE147" s="32"/>
      <c r="BF147" s="146"/>
      <c r="BG147" s="32"/>
      <c r="BH147" s="146"/>
      <c r="BI147" s="32"/>
      <c r="BJ147" s="146"/>
      <c r="BK147" s="32"/>
      <c r="BL147" s="146"/>
      <c r="BM147" s="32"/>
      <c r="BN147" s="146"/>
      <c r="BO147" s="32"/>
      <c r="BP147" s="146"/>
      <c r="BQ147" s="32"/>
      <c r="BR147" s="146"/>
      <c r="BS147" s="32"/>
      <c r="BT147" s="146">
        <v>216</v>
      </c>
      <c r="BU147" s="32">
        <v>101</v>
      </c>
      <c r="BV147" s="146">
        <v>221</v>
      </c>
      <c r="BW147" s="32">
        <v>94</v>
      </c>
    </row>
    <row r="148" spans="1:75" ht="13" x14ac:dyDescent="0.25">
      <c r="A148" s="186">
        <v>2313</v>
      </c>
      <c r="B148" s="187" t="s">
        <v>170</v>
      </c>
      <c r="C148" s="46">
        <v>1078</v>
      </c>
      <c r="D148" s="142">
        <v>653</v>
      </c>
      <c r="E148" s="145">
        <f t="shared" si="2"/>
        <v>0.60575139146567714</v>
      </c>
      <c r="F148" s="146">
        <v>490</v>
      </c>
      <c r="G148" s="32">
        <v>129</v>
      </c>
      <c r="H148" s="146"/>
      <c r="I148" s="32"/>
      <c r="J148" s="146"/>
      <c r="K148" s="32"/>
      <c r="L148" s="146"/>
      <c r="M148" s="32"/>
      <c r="N148" s="146"/>
      <c r="O148" s="32"/>
      <c r="P148" s="146"/>
      <c r="Q148" s="32"/>
      <c r="R148" s="146"/>
      <c r="S148" s="32"/>
      <c r="T148" s="146"/>
      <c r="U148" s="32"/>
      <c r="V148" s="146"/>
      <c r="W148" s="32"/>
      <c r="X148" s="146"/>
      <c r="Y148" s="32"/>
      <c r="Z148" s="146"/>
      <c r="AA148" s="32"/>
      <c r="AB148" s="146"/>
      <c r="AC148" s="32"/>
      <c r="AD148" s="146"/>
      <c r="AE148" s="32"/>
      <c r="AF148" s="146"/>
      <c r="AG148" s="32"/>
      <c r="AH148" s="146"/>
      <c r="AI148" s="32"/>
      <c r="AJ148" s="146"/>
      <c r="AK148" s="32"/>
      <c r="AL148" s="146"/>
      <c r="AM148" s="32"/>
      <c r="AN148" s="146"/>
      <c r="AO148" s="32"/>
      <c r="AP148" s="146"/>
      <c r="AQ148" s="32"/>
      <c r="AR148" s="146"/>
      <c r="AS148" s="32"/>
      <c r="AT148" s="146"/>
      <c r="AU148" s="32"/>
      <c r="AV148" s="146"/>
      <c r="AW148" s="32"/>
      <c r="AX148" s="146"/>
      <c r="AY148" s="32"/>
      <c r="AZ148" s="146"/>
      <c r="BA148" s="32"/>
      <c r="BB148" s="146"/>
      <c r="BC148" s="32"/>
      <c r="BD148" s="146"/>
      <c r="BE148" s="32"/>
      <c r="BF148" s="146"/>
      <c r="BG148" s="32"/>
      <c r="BH148" s="146"/>
      <c r="BI148" s="32"/>
      <c r="BJ148" s="146"/>
      <c r="BK148" s="32"/>
      <c r="BL148" s="146"/>
      <c r="BM148" s="32"/>
      <c r="BN148" s="146"/>
      <c r="BO148" s="32"/>
      <c r="BP148" s="146"/>
      <c r="BQ148" s="32"/>
      <c r="BR148" s="146"/>
      <c r="BS148" s="32"/>
      <c r="BT148" s="146">
        <v>502</v>
      </c>
      <c r="BU148" s="32">
        <v>115</v>
      </c>
      <c r="BV148" s="146">
        <v>506</v>
      </c>
      <c r="BW148" s="32">
        <v>113</v>
      </c>
    </row>
    <row r="149" spans="1:75" ht="13" x14ac:dyDescent="0.25">
      <c r="A149" s="186">
        <v>2314</v>
      </c>
      <c r="B149" s="187" t="s">
        <v>171</v>
      </c>
      <c r="C149" s="46">
        <v>1222</v>
      </c>
      <c r="D149" s="142">
        <v>855</v>
      </c>
      <c r="E149" s="145">
        <f t="shared" si="2"/>
        <v>0.69967266775777415</v>
      </c>
      <c r="F149" s="146">
        <v>625</v>
      </c>
      <c r="G149" s="32">
        <v>203</v>
      </c>
      <c r="H149" s="146"/>
      <c r="I149" s="32"/>
      <c r="J149" s="146"/>
      <c r="K149" s="32"/>
      <c r="L149" s="146"/>
      <c r="M149" s="32"/>
      <c r="N149" s="146"/>
      <c r="O149" s="32"/>
      <c r="P149" s="146"/>
      <c r="Q149" s="32"/>
      <c r="R149" s="146"/>
      <c r="S149" s="32"/>
      <c r="T149" s="146"/>
      <c r="U149" s="32"/>
      <c r="V149" s="146"/>
      <c r="W149" s="32"/>
      <c r="X149" s="146"/>
      <c r="Y149" s="32"/>
      <c r="Z149" s="146"/>
      <c r="AA149" s="32"/>
      <c r="AB149" s="146"/>
      <c r="AC149" s="32"/>
      <c r="AD149" s="146"/>
      <c r="AE149" s="32"/>
      <c r="AF149" s="146"/>
      <c r="AG149" s="32"/>
      <c r="AH149" s="146"/>
      <c r="AI149" s="32"/>
      <c r="AJ149" s="146"/>
      <c r="AK149" s="32"/>
      <c r="AL149" s="146"/>
      <c r="AM149" s="32"/>
      <c r="AN149" s="146"/>
      <c r="AO149" s="32"/>
      <c r="AP149" s="146"/>
      <c r="AQ149" s="32"/>
      <c r="AR149" s="146"/>
      <c r="AS149" s="32"/>
      <c r="AT149" s="146"/>
      <c r="AU149" s="32"/>
      <c r="AV149" s="146"/>
      <c r="AW149" s="32"/>
      <c r="AX149" s="146"/>
      <c r="AY149" s="32"/>
      <c r="AZ149" s="146"/>
      <c r="BA149" s="32"/>
      <c r="BB149" s="146"/>
      <c r="BC149" s="32"/>
      <c r="BD149" s="146"/>
      <c r="BE149" s="32"/>
      <c r="BF149" s="146"/>
      <c r="BG149" s="32"/>
      <c r="BH149" s="146"/>
      <c r="BI149" s="32"/>
      <c r="BJ149" s="146"/>
      <c r="BK149" s="32"/>
      <c r="BL149" s="146"/>
      <c r="BM149" s="32"/>
      <c r="BN149" s="146"/>
      <c r="BO149" s="32"/>
      <c r="BP149" s="146"/>
      <c r="BQ149" s="32"/>
      <c r="BR149" s="146"/>
      <c r="BS149" s="32"/>
      <c r="BT149" s="146">
        <v>652</v>
      </c>
      <c r="BU149" s="32">
        <v>177</v>
      </c>
      <c r="BV149" s="146">
        <v>672</v>
      </c>
      <c r="BW149" s="32">
        <v>158</v>
      </c>
    </row>
    <row r="150" spans="1:75" ht="13" x14ac:dyDescent="0.25">
      <c r="A150" s="186">
        <v>2315</v>
      </c>
      <c r="B150" s="187" t="s">
        <v>172</v>
      </c>
      <c r="C150" s="46">
        <v>1080</v>
      </c>
      <c r="D150" s="142">
        <v>814</v>
      </c>
      <c r="E150" s="145">
        <f t="shared" si="2"/>
        <v>0.75370370370370365</v>
      </c>
      <c r="F150" s="146">
        <v>594</v>
      </c>
      <c r="G150" s="32">
        <v>196</v>
      </c>
      <c r="H150" s="146"/>
      <c r="I150" s="32"/>
      <c r="J150" s="146"/>
      <c r="K150" s="32"/>
      <c r="L150" s="146"/>
      <c r="M150" s="32"/>
      <c r="N150" s="146"/>
      <c r="O150" s="32"/>
      <c r="P150" s="146"/>
      <c r="Q150" s="32"/>
      <c r="R150" s="146"/>
      <c r="S150" s="32"/>
      <c r="T150" s="146"/>
      <c r="U150" s="32"/>
      <c r="V150" s="146"/>
      <c r="W150" s="32"/>
      <c r="X150" s="146"/>
      <c r="Y150" s="32"/>
      <c r="Z150" s="146"/>
      <c r="AA150" s="32"/>
      <c r="AB150" s="146"/>
      <c r="AC150" s="32"/>
      <c r="AD150" s="146"/>
      <c r="AE150" s="32"/>
      <c r="AF150" s="146"/>
      <c r="AG150" s="32"/>
      <c r="AH150" s="146"/>
      <c r="AI150" s="32"/>
      <c r="AJ150" s="146"/>
      <c r="AK150" s="32"/>
      <c r="AL150" s="146"/>
      <c r="AM150" s="32"/>
      <c r="AN150" s="146"/>
      <c r="AO150" s="32"/>
      <c r="AP150" s="146"/>
      <c r="AQ150" s="32"/>
      <c r="AR150" s="146"/>
      <c r="AS150" s="32"/>
      <c r="AT150" s="146"/>
      <c r="AU150" s="32"/>
      <c r="AV150" s="146"/>
      <c r="AW150" s="32"/>
      <c r="AX150" s="146"/>
      <c r="AY150" s="32"/>
      <c r="AZ150" s="146"/>
      <c r="BA150" s="32"/>
      <c r="BB150" s="146"/>
      <c r="BC150" s="32"/>
      <c r="BD150" s="146"/>
      <c r="BE150" s="32"/>
      <c r="BF150" s="146"/>
      <c r="BG150" s="32"/>
      <c r="BH150" s="146"/>
      <c r="BI150" s="32"/>
      <c r="BJ150" s="146"/>
      <c r="BK150" s="32"/>
      <c r="BL150" s="146"/>
      <c r="BM150" s="32"/>
      <c r="BN150" s="146"/>
      <c r="BO150" s="32"/>
      <c r="BP150" s="146"/>
      <c r="BQ150" s="32"/>
      <c r="BR150" s="146"/>
      <c r="BS150" s="32"/>
      <c r="BT150" s="146">
        <v>601</v>
      </c>
      <c r="BU150" s="32">
        <v>189</v>
      </c>
      <c r="BV150" s="146">
        <v>611</v>
      </c>
      <c r="BW150" s="32">
        <v>179</v>
      </c>
    </row>
    <row r="151" spans="1:75" ht="13" x14ac:dyDescent="0.25">
      <c r="A151" s="186">
        <v>2316</v>
      </c>
      <c r="B151" s="187" t="s">
        <v>173</v>
      </c>
      <c r="C151" s="46">
        <v>1508</v>
      </c>
      <c r="D151" s="142">
        <v>890</v>
      </c>
      <c r="E151" s="145">
        <f t="shared" si="2"/>
        <v>0.59018567639257291</v>
      </c>
      <c r="F151" s="146">
        <v>634</v>
      </c>
      <c r="G151" s="32">
        <v>203</v>
      </c>
      <c r="H151" s="146"/>
      <c r="I151" s="32"/>
      <c r="J151" s="146"/>
      <c r="K151" s="32"/>
      <c r="L151" s="146"/>
      <c r="M151" s="32"/>
      <c r="N151" s="146"/>
      <c r="O151" s="32"/>
      <c r="P151" s="146"/>
      <c r="Q151" s="32"/>
      <c r="R151" s="146"/>
      <c r="S151" s="32"/>
      <c r="T151" s="146"/>
      <c r="U151" s="32"/>
      <c r="V151" s="146"/>
      <c r="W151" s="32"/>
      <c r="X151" s="146"/>
      <c r="Y151" s="32"/>
      <c r="Z151" s="146"/>
      <c r="AA151" s="32"/>
      <c r="AB151" s="146"/>
      <c r="AC151" s="32"/>
      <c r="AD151" s="146"/>
      <c r="AE151" s="32"/>
      <c r="AF151" s="146"/>
      <c r="AG151" s="32"/>
      <c r="AH151" s="146"/>
      <c r="AI151" s="32"/>
      <c r="AJ151" s="146"/>
      <c r="AK151" s="32"/>
      <c r="AL151" s="146"/>
      <c r="AM151" s="32"/>
      <c r="AN151" s="146"/>
      <c r="AO151" s="32"/>
      <c r="AP151" s="146"/>
      <c r="AQ151" s="32"/>
      <c r="AR151" s="146"/>
      <c r="AS151" s="32"/>
      <c r="AT151" s="146"/>
      <c r="AU151" s="32"/>
      <c r="AV151" s="146"/>
      <c r="AW151" s="32"/>
      <c r="AX151" s="146"/>
      <c r="AY151" s="32"/>
      <c r="AZ151" s="146"/>
      <c r="BA151" s="32"/>
      <c r="BB151" s="146"/>
      <c r="BC151" s="32"/>
      <c r="BD151" s="146"/>
      <c r="BE151" s="32"/>
      <c r="BF151" s="146"/>
      <c r="BG151" s="32"/>
      <c r="BH151" s="146"/>
      <c r="BI151" s="32"/>
      <c r="BJ151" s="146"/>
      <c r="BK151" s="32"/>
      <c r="BL151" s="146"/>
      <c r="BM151" s="32"/>
      <c r="BN151" s="146"/>
      <c r="BO151" s="32"/>
      <c r="BP151" s="146"/>
      <c r="BQ151" s="32"/>
      <c r="BR151" s="146"/>
      <c r="BS151" s="32"/>
      <c r="BT151" s="146">
        <v>615</v>
      </c>
      <c r="BU151" s="32">
        <v>223</v>
      </c>
      <c r="BV151" s="146">
        <v>646</v>
      </c>
      <c r="BW151" s="32">
        <v>197</v>
      </c>
    </row>
    <row r="152" spans="1:75" ht="13" x14ac:dyDescent="0.25">
      <c r="A152" s="186">
        <v>2317</v>
      </c>
      <c r="B152" s="187" t="s">
        <v>174</v>
      </c>
      <c r="C152" s="46">
        <v>835</v>
      </c>
      <c r="D152" s="142">
        <v>487</v>
      </c>
      <c r="E152" s="145">
        <f t="shared" si="2"/>
        <v>0.58323353293413172</v>
      </c>
      <c r="F152" s="146">
        <v>315</v>
      </c>
      <c r="G152" s="32">
        <v>137</v>
      </c>
      <c r="H152" s="146"/>
      <c r="I152" s="32"/>
      <c r="J152" s="146"/>
      <c r="K152" s="32"/>
      <c r="L152" s="146"/>
      <c r="M152" s="32"/>
      <c r="N152" s="146"/>
      <c r="O152" s="32"/>
      <c r="P152" s="146"/>
      <c r="Q152" s="32"/>
      <c r="R152" s="146"/>
      <c r="S152" s="32"/>
      <c r="T152" s="146"/>
      <c r="U152" s="32"/>
      <c r="V152" s="146"/>
      <c r="W152" s="32"/>
      <c r="X152" s="146"/>
      <c r="Y152" s="32"/>
      <c r="Z152" s="146"/>
      <c r="AA152" s="32"/>
      <c r="AB152" s="146"/>
      <c r="AC152" s="32"/>
      <c r="AD152" s="146"/>
      <c r="AE152" s="32"/>
      <c r="AF152" s="146"/>
      <c r="AG152" s="32"/>
      <c r="AH152" s="146"/>
      <c r="AI152" s="32"/>
      <c r="AJ152" s="146"/>
      <c r="AK152" s="32"/>
      <c r="AL152" s="146"/>
      <c r="AM152" s="32"/>
      <c r="AN152" s="146"/>
      <c r="AO152" s="32"/>
      <c r="AP152" s="146"/>
      <c r="AQ152" s="32"/>
      <c r="AR152" s="146"/>
      <c r="AS152" s="32"/>
      <c r="AT152" s="146"/>
      <c r="AU152" s="32"/>
      <c r="AV152" s="146"/>
      <c r="AW152" s="32"/>
      <c r="AX152" s="146"/>
      <c r="AY152" s="32"/>
      <c r="AZ152" s="146"/>
      <c r="BA152" s="32"/>
      <c r="BB152" s="146"/>
      <c r="BC152" s="32"/>
      <c r="BD152" s="146"/>
      <c r="BE152" s="32"/>
      <c r="BF152" s="146"/>
      <c r="BG152" s="32"/>
      <c r="BH152" s="146"/>
      <c r="BI152" s="32"/>
      <c r="BJ152" s="146"/>
      <c r="BK152" s="32"/>
      <c r="BL152" s="146"/>
      <c r="BM152" s="32"/>
      <c r="BN152" s="146"/>
      <c r="BO152" s="32"/>
      <c r="BP152" s="146"/>
      <c r="BQ152" s="32"/>
      <c r="BR152" s="146"/>
      <c r="BS152" s="32"/>
      <c r="BT152" s="146">
        <v>378</v>
      </c>
      <c r="BU152" s="32">
        <v>78</v>
      </c>
      <c r="BV152" s="146">
        <v>378</v>
      </c>
      <c r="BW152" s="32">
        <v>78</v>
      </c>
    </row>
    <row r="153" spans="1:75" ht="13" x14ac:dyDescent="0.25">
      <c r="A153" s="186">
        <v>2318</v>
      </c>
      <c r="B153" s="187" t="s">
        <v>175</v>
      </c>
      <c r="C153" s="46">
        <v>680</v>
      </c>
      <c r="D153" s="142">
        <v>425</v>
      </c>
      <c r="E153" s="145">
        <f t="shared" si="2"/>
        <v>0.625</v>
      </c>
      <c r="F153" s="146">
        <v>301</v>
      </c>
      <c r="G153" s="32">
        <v>110</v>
      </c>
      <c r="H153" s="146"/>
      <c r="I153" s="32"/>
      <c r="J153" s="146"/>
      <c r="K153" s="32"/>
      <c r="L153" s="146"/>
      <c r="M153" s="32"/>
      <c r="N153" s="146"/>
      <c r="O153" s="32"/>
      <c r="P153" s="146"/>
      <c r="Q153" s="32"/>
      <c r="R153" s="146"/>
      <c r="S153" s="32"/>
      <c r="T153" s="146"/>
      <c r="U153" s="32"/>
      <c r="V153" s="146"/>
      <c r="W153" s="32"/>
      <c r="X153" s="146"/>
      <c r="Y153" s="32"/>
      <c r="Z153" s="146"/>
      <c r="AA153" s="32"/>
      <c r="AB153" s="146"/>
      <c r="AC153" s="32"/>
      <c r="AD153" s="146"/>
      <c r="AE153" s="32"/>
      <c r="AF153" s="146"/>
      <c r="AG153" s="32"/>
      <c r="AH153" s="146"/>
      <c r="AI153" s="32"/>
      <c r="AJ153" s="146"/>
      <c r="AK153" s="32"/>
      <c r="AL153" s="146"/>
      <c r="AM153" s="32"/>
      <c r="AN153" s="146"/>
      <c r="AO153" s="32"/>
      <c r="AP153" s="146"/>
      <c r="AQ153" s="32"/>
      <c r="AR153" s="146"/>
      <c r="AS153" s="32"/>
      <c r="AT153" s="146"/>
      <c r="AU153" s="32"/>
      <c r="AV153" s="146"/>
      <c r="AW153" s="32"/>
      <c r="AX153" s="146"/>
      <c r="AY153" s="32"/>
      <c r="AZ153" s="146"/>
      <c r="BA153" s="32"/>
      <c r="BB153" s="146"/>
      <c r="BC153" s="32"/>
      <c r="BD153" s="146"/>
      <c r="BE153" s="32"/>
      <c r="BF153" s="146"/>
      <c r="BG153" s="32"/>
      <c r="BH153" s="146"/>
      <c r="BI153" s="32"/>
      <c r="BJ153" s="146"/>
      <c r="BK153" s="32"/>
      <c r="BL153" s="146"/>
      <c r="BM153" s="32"/>
      <c r="BN153" s="146"/>
      <c r="BO153" s="32"/>
      <c r="BP153" s="146"/>
      <c r="BQ153" s="32"/>
      <c r="BR153" s="146"/>
      <c r="BS153" s="32"/>
      <c r="BT153" s="146">
        <v>313</v>
      </c>
      <c r="BU153" s="32">
        <v>92</v>
      </c>
      <c r="BV153" s="146">
        <v>316</v>
      </c>
      <c r="BW153" s="32">
        <v>91</v>
      </c>
    </row>
    <row r="154" spans="1:75" ht="13" x14ac:dyDescent="0.25">
      <c r="A154" s="186">
        <v>2401</v>
      </c>
      <c r="B154" s="187" t="s">
        <v>176</v>
      </c>
      <c r="C154" s="46">
        <v>1365</v>
      </c>
      <c r="D154" s="142">
        <v>893</v>
      </c>
      <c r="E154" s="145">
        <f t="shared" si="2"/>
        <v>0.65421245421245422</v>
      </c>
      <c r="F154" s="146">
        <v>716</v>
      </c>
      <c r="G154" s="32">
        <v>139</v>
      </c>
      <c r="H154" s="146"/>
      <c r="I154" s="32"/>
      <c r="J154" s="146"/>
      <c r="K154" s="32"/>
      <c r="L154" s="146"/>
      <c r="M154" s="32"/>
      <c r="N154" s="146"/>
      <c r="O154" s="32"/>
      <c r="P154" s="146"/>
      <c r="Q154" s="32"/>
      <c r="R154" s="146"/>
      <c r="S154" s="32"/>
      <c r="T154" s="146"/>
      <c r="U154" s="32"/>
      <c r="V154" s="146"/>
      <c r="W154" s="32"/>
      <c r="X154" s="146"/>
      <c r="Y154" s="32"/>
      <c r="Z154" s="146"/>
      <c r="AA154" s="32"/>
      <c r="AB154" s="146"/>
      <c r="AC154" s="32"/>
      <c r="AD154" s="146"/>
      <c r="AE154" s="32"/>
      <c r="AF154" s="146"/>
      <c r="AG154" s="32"/>
      <c r="AH154" s="146"/>
      <c r="AI154" s="32"/>
      <c r="AJ154" s="146"/>
      <c r="AK154" s="32"/>
      <c r="AL154" s="146"/>
      <c r="AM154" s="32"/>
      <c r="AN154" s="146"/>
      <c r="AO154" s="32"/>
      <c r="AP154" s="146"/>
      <c r="AQ154" s="32"/>
      <c r="AR154" s="146"/>
      <c r="AS154" s="32"/>
      <c r="AT154" s="146"/>
      <c r="AU154" s="32"/>
      <c r="AV154" s="146"/>
      <c r="AW154" s="32"/>
      <c r="AX154" s="146"/>
      <c r="AY154" s="32"/>
      <c r="AZ154" s="146"/>
      <c r="BA154" s="32"/>
      <c r="BB154" s="146"/>
      <c r="BC154" s="32"/>
      <c r="BD154" s="146"/>
      <c r="BE154" s="32"/>
      <c r="BF154" s="146"/>
      <c r="BG154" s="32"/>
      <c r="BH154" s="146"/>
      <c r="BI154" s="32"/>
      <c r="BJ154" s="146"/>
      <c r="BK154" s="32"/>
      <c r="BL154" s="146"/>
      <c r="BM154" s="32"/>
      <c r="BN154" s="146"/>
      <c r="BO154" s="32"/>
      <c r="BP154" s="146"/>
      <c r="BQ154" s="32"/>
      <c r="BR154" s="146"/>
      <c r="BS154" s="32"/>
      <c r="BT154" s="146">
        <v>676</v>
      </c>
      <c r="BU154" s="32">
        <v>181</v>
      </c>
      <c r="BV154" s="146">
        <v>697</v>
      </c>
      <c r="BW154" s="32">
        <v>158</v>
      </c>
    </row>
    <row r="155" spans="1:75" ht="13" x14ac:dyDescent="0.25">
      <c r="A155" s="186">
        <v>2402</v>
      </c>
      <c r="B155" s="187" t="s">
        <v>177</v>
      </c>
      <c r="C155" s="46">
        <v>1455</v>
      </c>
      <c r="D155" s="142">
        <v>852</v>
      </c>
      <c r="E155" s="145">
        <f t="shared" si="2"/>
        <v>0.58556701030927838</v>
      </c>
      <c r="F155" s="146">
        <v>646</v>
      </c>
      <c r="G155" s="32">
        <v>178</v>
      </c>
      <c r="H155" s="146"/>
      <c r="I155" s="32"/>
      <c r="J155" s="146"/>
      <c r="K155" s="32"/>
      <c r="L155" s="146"/>
      <c r="M155" s="32"/>
      <c r="N155" s="146"/>
      <c r="O155" s="32"/>
      <c r="P155" s="146"/>
      <c r="Q155" s="32"/>
      <c r="R155" s="146"/>
      <c r="S155" s="32"/>
      <c r="T155" s="146"/>
      <c r="U155" s="32"/>
      <c r="V155" s="146"/>
      <c r="W155" s="32"/>
      <c r="X155" s="146"/>
      <c r="Y155" s="32"/>
      <c r="Z155" s="146"/>
      <c r="AA155" s="32"/>
      <c r="AB155" s="146"/>
      <c r="AC155" s="32"/>
      <c r="AD155" s="146"/>
      <c r="AE155" s="32"/>
      <c r="AF155" s="146"/>
      <c r="AG155" s="32"/>
      <c r="AH155" s="146"/>
      <c r="AI155" s="32"/>
      <c r="AJ155" s="146"/>
      <c r="AK155" s="32"/>
      <c r="AL155" s="146"/>
      <c r="AM155" s="32"/>
      <c r="AN155" s="146"/>
      <c r="AO155" s="32"/>
      <c r="AP155" s="146"/>
      <c r="AQ155" s="32"/>
      <c r="AR155" s="146"/>
      <c r="AS155" s="32"/>
      <c r="AT155" s="146"/>
      <c r="AU155" s="32"/>
      <c r="AV155" s="146"/>
      <c r="AW155" s="32"/>
      <c r="AX155" s="146"/>
      <c r="AY155" s="32"/>
      <c r="AZ155" s="146"/>
      <c r="BA155" s="32"/>
      <c r="BB155" s="146"/>
      <c r="BC155" s="32"/>
      <c r="BD155" s="146"/>
      <c r="BE155" s="32"/>
      <c r="BF155" s="146"/>
      <c r="BG155" s="32"/>
      <c r="BH155" s="146"/>
      <c r="BI155" s="32"/>
      <c r="BJ155" s="146"/>
      <c r="BK155" s="32"/>
      <c r="BL155" s="146"/>
      <c r="BM155" s="32"/>
      <c r="BN155" s="146"/>
      <c r="BO155" s="32"/>
      <c r="BP155" s="146"/>
      <c r="BQ155" s="32"/>
      <c r="BR155" s="146"/>
      <c r="BS155" s="32"/>
      <c r="BT155" s="146">
        <v>634</v>
      </c>
      <c r="BU155" s="32">
        <v>187</v>
      </c>
      <c r="BV155" s="146">
        <v>649</v>
      </c>
      <c r="BW155" s="32">
        <v>168</v>
      </c>
    </row>
    <row r="156" spans="1:75" ht="13" x14ac:dyDescent="0.25">
      <c r="A156" s="186">
        <v>2403</v>
      </c>
      <c r="B156" s="187" t="s">
        <v>178</v>
      </c>
      <c r="C156" s="46">
        <v>1232</v>
      </c>
      <c r="D156" s="142">
        <v>582</v>
      </c>
      <c r="E156" s="145">
        <f t="shared" si="2"/>
        <v>0.47240259740259738</v>
      </c>
      <c r="F156" s="146">
        <v>399</v>
      </c>
      <c r="G156" s="32">
        <v>134</v>
      </c>
      <c r="H156" s="146"/>
      <c r="I156" s="32"/>
      <c r="J156" s="146"/>
      <c r="K156" s="32"/>
      <c r="L156" s="146"/>
      <c r="M156" s="32"/>
      <c r="N156" s="146"/>
      <c r="O156" s="32"/>
      <c r="P156" s="146"/>
      <c r="Q156" s="32"/>
      <c r="R156" s="146"/>
      <c r="S156" s="32"/>
      <c r="T156" s="146"/>
      <c r="U156" s="32"/>
      <c r="V156" s="146"/>
      <c r="W156" s="32"/>
      <c r="X156" s="146"/>
      <c r="Y156" s="32"/>
      <c r="Z156" s="146"/>
      <c r="AA156" s="32"/>
      <c r="AB156" s="146"/>
      <c r="AC156" s="32"/>
      <c r="AD156" s="146"/>
      <c r="AE156" s="32"/>
      <c r="AF156" s="146"/>
      <c r="AG156" s="32"/>
      <c r="AH156" s="146"/>
      <c r="AI156" s="32"/>
      <c r="AJ156" s="146"/>
      <c r="AK156" s="32"/>
      <c r="AL156" s="146"/>
      <c r="AM156" s="32"/>
      <c r="AN156" s="146"/>
      <c r="AO156" s="32"/>
      <c r="AP156" s="146"/>
      <c r="AQ156" s="32"/>
      <c r="AR156" s="146"/>
      <c r="AS156" s="32"/>
      <c r="AT156" s="146"/>
      <c r="AU156" s="32"/>
      <c r="AV156" s="146"/>
      <c r="AW156" s="32"/>
      <c r="AX156" s="146"/>
      <c r="AY156" s="32"/>
      <c r="AZ156" s="146"/>
      <c r="BA156" s="32"/>
      <c r="BB156" s="146"/>
      <c r="BC156" s="32"/>
      <c r="BD156" s="146"/>
      <c r="BE156" s="32"/>
      <c r="BF156" s="146"/>
      <c r="BG156" s="32"/>
      <c r="BH156" s="146"/>
      <c r="BI156" s="32"/>
      <c r="BJ156" s="146"/>
      <c r="BK156" s="32"/>
      <c r="BL156" s="146"/>
      <c r="BM156" s="32"/>
      <c r="BN156" s="146"/>
      <c r="BO156" s="32"/>
      <c r="BP156" s="146"/>
      <c r="BQ156" s="32"/>
      <c r="BR156" s="146"/>
      <c r="BS156" s="32"/>
      <c r="BT156" s="146">
        <v>443</v>
      </c>
      <c r="BU156" s="32">
        <v>98</v>
      </c>
      <c r="BV156" s="146">
        <v>456</v>
      </c>
      <c r="BW156" s="32">
        <v>87</v>
      </c>
    </row>
    <row r="157" spans="1:75" ht="13" x14ac:dyDescent="0.25">
      <c r="A157" s="186">
        <v>2404</v>
      </c>
      <c r="B157" s="187" t="s">
        <v>179</v>
      </c>
      <c r="C157" s="46">
        <v>1468</v>
      </c>
      <c r="D157" s="142">
        <v>838</v>
      </c>
      <c r="E157" s="145">
        <f t="shared" si="2"/>
        <v>0.57084468664850141</v>
      </c>
      <c r="F157" s="146">
        <v>497</v>
      </c>
      <c r="G157" s="32">
        <v>296</v>
      </c>
      <c r="H157" s="146"/>
      <c r="I157" s="32"/>
      <c r="J157" s="146"/>
      <c r="K157" s="32"/>
      <c r="L157" s="146"/>
      <c r="M157" s="32"/>
      <c r="N157" s="146"/>
      <c r="O157" s="32"/>
      <c r="P157" s="146"/>
      <c r="Q157" s="32"/>
      <c r="R157" s="146"/>
      <c r="S157" s="32"/>
      <c r="T157" s="146"/>
      <c r="U157" s="32"/>
      <c r="V157" s="146"/>
      <c r="W157" s="32"/>
      <c r="X157" s="146"/>
      <c r="Y157" s="32"/>
      <c r="Z157" s="146"/>
      <c r="AA157" s="32"/>
      <c r="AB157" s="146"/>
      <c r="AC157" s="32"/>
      <c r="AD157" s="146"/>
      <c r="AE157" s="32"/>
      <c r="AF157" s="146"/>
      <c r="AG157" s="32"/>
      <c r="AH157" s="146"/>
      <c r="AI157" s="32"/>
      <c r="AJ157" s="146"/>
      <c r="AK157" s="32"/>
      <c r="AL157" s="146"/>
      <c r="AM157" s="32"/>
      <c r="AN157" s="146"/>
      <c r="AO157" s="32"/>
      <c r="AP157" s="146"/>
      <c r="AQ157" s="32"/>
      <c r="AR157" s="146"/>
      <c r="AS157" s="32"/>
      <c r="AT157" s="146"/>
      <c r="AU157" s="32"/>
      <c r="AV157" s="146"/>
      <c r="AW157" s="32"/>
      <c r="AX157" s="146"/>
      <c r="AY157" s="32"/>
      <c r="AZ157" s="146"/>
      <c r="BA157" s="32"/>
      <c r="BB157" s="146"/>
      <c r="BC157" s="32"/>
      <c r="BD157" s="146"/>
      <c r="BE157" s="32"/>
      <c r="BF157" s="146"/>
      <c r="BG157" s="32"/>
      <c r="BH157" s="146"/>
      <c r="BI157" s="32"/>
      <c r="BJ157" s="146"/>
      <c r="BK157" s="32"/>
      <c r="BL157" s="146"/>
      <c r="BM157" s="32"/>
      <c r="BN157" s="146"/>
      <c r="BO157" s="32"/>
      <c r="BP157" s="146"/>
      <c r="BQ157" s="32"/>
      <c r="BR157" s="146"/>
      <c r="BS157" s="32"/>
      <c r="BT157" s="146">
        <v>484</v>
      </c>
      <c r="BU157" s="32">
        <v>315</v>
      </c>
      <c r="BV157" s="146">
        <v>519</v>
      </c>
      <c r="BW157" s="32">
        <v>279</v>
      </c>
    </row>
    <row r="158" spans="1:75" ht="13" x14ac:dyDescent="0.25">
      <c r="A158" s="186">
        <v>2405</v>
      </c>
      <c r="B158" s="187" t="s">
        <v>180</v>
      </c>
      <c r="C158" s="46">
        <v>1013</v>
      </c>
      <c r="D158" s="142">
        <v>252</v>
      </c>
      <c r="E158" s="145">
        <f t="shared" si="2"/>
        <v>0.24876604146100692</v>
      </c>
      <c r="F158" s="146">
        <v>186</v>
      </c>
      <c r="G158" s="32">
        <v>48</v>
      </c>
      <c r="H158" s="146"/>
      <c r="I158" s="32"/>
      <c r="J158" s="146"/>
      <c r="K158" s="32"/>
      <c r="L158" s="146"/>
      <c r="M158" s="32"/>
      <c r="N158" s="146"/>
      <c r="O158" s="32"/>
      <c r="P158" s="146"/>
      <c r="Q158" s="32"/>
      <c r="R158" s="146"/>
      <c r="S158" s="32"/>
      <c r="T158" s="146"/>
      <c r="U158" s="32"/>
      <c r="V158" s="146"/>
      <c r="W158" s="32"/>
      <c r="X158" s="146"/>
      <c r="Y158" s="32"/>
      <c r="Z158" s="146"/>
      <c r="AA158" s="32"/>
      <c r="AB158" s="146"/>
      <c r="AC158" s="32"/>
      <c r="AD158" s="146"/>
      <c r="AE158" s="32"/>
      <c r="AF158" s="146"/>
      <c r="AG158" s="32"/>
      <c r="AH158" s="146"/>
      <c r="AI158" s="32"/>
      <c r="AJ158" s="146"/>
      <c r="AK158" s="32"/>
      <c r="AL158" s="146"/>
      <c r="AM158" s="32"/>
      <c r="AN158" s="146"/>
      <c r="AO158" s="32"/>
      <c r="AP158" s="146"/>
      <c r="AQ158" s="32"/>
      <c r="AR158" s="146"/>
      <c r="AS158" s="32"/>
      <c r="AT158" s="146"/>
      <c r="AU158" s="32"/>
      <c r="AV158" s="146"/>
      <c r="AW158" s="32"/>
      <c r="AX158" s="146"/>
      <c r="AY158" s="32"/>
      <c r="AZ158" s="146"/>
      <c r="BA158" s="32"/>
      <c r="BB158" s="146"/>
      <c r="BC158" s="32"/>
      <c r="BD158" s="146"/>
      <c r="BE158" s="32"/>
      <c r="BF158" s="146"/>
      <c r="BG158" s="32"/>
      <c r="BH158" s="146"/>
      <c r="BI158" s="32"/>
      <c r="BJ158" s="146"/>
      <c r="BK158" s="32"/>
      <c r="BL158" s="146"/>
      <c r="BM158" s="32"/>
      <c r="BN158" s="146"/>
      <c r="BO158" s="32"/>
      <c r="BP158" s="146"/>
      <c r="BQ158" s="32"/>
      <c r="BR158" s="146"/>
      <c r="BS158" s="32"/>
      <c r="BT158" s="146">
        <v>194</v>
      </c>
      <c r="BU158" s="32">
        <v>44</v>
      </c>
      <c r="BV158" s="146">
        <v>199</v>
      </c>
      <c r="BW158" s="32">
        <v>39</v>
      </c>
    </row>
    <row r="159" spans="1:75" ht="13" x14ac:dyDescent="0.25">
      <c r="A159" s="186">
        <v>2406</v>
      </c>
      <c r="B159" s="187" t="s">
        <v>181</v>
      </c>
      <c r="C159" s="46">
        <v>892</v>
      </c>
      <c r="D159" s="142">
        <v>519</v>
      </c>
      <c r="E159" s="145">
        <f t="shared" si="2"/>
        <v>0.58183856502242148</v>
      </c>
      <c r="F159" s="146">
        <v>392</v>
      </c>
      <c r="G159" s="32">
        <v>97</v>
      </c>
      <c r="H159" s="146"/>
      <c r="I159" s="32"/>
      <c r="J159" s="146"/>
      <c r="K159" s="32"/>
      <c r="L159" s="146"/>
      <c r="M159" s="32"/>
      <c r="N159" s="146"/>
      <c r="O159" s="32"/>
      <c r="P159" s="146"/>
      <c r="Q159" s="32"/>
      <c r="R159" s="146"/>
      <c r="S159" s="32"/>
      <c r="T159" s="146"/>
      <c r="U159" s="32"/>
      <c r="V159" s="146"/>
      <c r="W159" s="32"/>
      <c r="X159" s="146"/>
      <c r="Y159" s="32"/>
      <c r="Z159" s="146"/>
      <c r="AA159" s="32"/>
      <c r="AB159" s="146"/>
      <c r="AC159" s="32"/>
      <c r="AD159" s="146"/>
      <c r="AE159" s="32"/>
      <c r="AF159" s="146"/>
      <c r="AG159" s="32"/>
      <c r="AH159" s="146"/>
      <c r="AI159" s="32"/>
      <c r="AJ159" s="146"/>
      <c r="AK159" s="32"/>
      <c r="AL159" s="146"/>
      <c r="AM159" s="32"/>
      <c r="AN159" s="146"/>
      <c r="AO159" s="32"/>
      <c r="AP159" s="146"/>
      <c r="AQ159" s="32"/>
      <c r="AR159" s="146"/>
      <c r="AS159" s="32"/>
      <c r="AT159" s="146"/>
      <c r="AU159" s="32"/>
      <c r="AV159" s="146"/>
      <c r="AW159" s="32"/>
      <c r="AX159" s="146"/>
      <c r="AY159" s="32"/>
      <c r="AZ159" s="146"/>
      <c r="BA159" s="32"/>
      <c r="BB159" s="146"/>
      <c r="BC159" s="32"/>
      <c r="BD159" s="146"/>
      <c r="BE159" s="32"/>
      <c r="BF159" s="146"/>
      <c r="BG159" s="32"/>
      <c r="BH159" s="146"/>
      <c r="BI159" s="32"/>
      <c r="BJ159" s="146"/>
      <c r="BK159" s="32"/>
      <c r="BL159" s="146"/>
      <c r="BM159" s="32"/>
      <c r="BN159" s="146"/>
      <c r="BO159" s="32"/>
      <c r="BP159" s="146"/>
      <c r="BQ159" s="32"/>
      <c r="BR159" s="146"/>
      <c r="BS159" s="32"/>
      <c r="BT159" s="146">
        <v>404</v>
      </c>
      <c r="BU159" s="32">
        <v>92</v>
      </c>
      <c r="BV159" s="146">
        <v>414</v>
      </c>
      <c r="BW159" s="32">
        <v>79</v>
      </c>
    </row>
    <row r="160" spans="1:75" ht="13" x14ac:dyDescent="0.25">
      <c r="A160" s="186">
        <v>2407</v>
      </c>
      <c r="B160" s="187" t="s">
        <v>182</v>
      </c>
      <c r="C160" s="46">
        <v>1366</v>
      </c>
      <c r="D160" s="142">
        <v>869</v>
      </c>
      <c r="E160" s="145">
        <f t="shared" si="2"/>
        <v>0.63616398243045391</v>
      </c>
      <c r="F160" s="146">
        <v>502</v>
      </c>
      <c r="G160" s="32">
        <v>336</v>
      </c>
      <c r="H160" s="146"/>
      <c r="I160" s="32"/>
      <c r="J160" s="146"/>
      <c r="K160" s="32"/>
      <c r="L160" s="146"/>
      <c r="M160" s="32"/>
      <c r="N160" s="146"/>
      <c r="O160" s="32"/>
      <c r="P160" s="146"/>
      <c r="Q160" s="32"/>
      <c r="R160" s="146"/>
      <c r="S160" s="32"/>
      <c r="T160" s="146"/>
      <c r="U160" s="32"/>
      <c r="V160" s="146"/>
      <c r="W160" s="32"/>
      <c r="X160" s="146"/>
      <c r="Y160" s="32"/>
      <c r="Z160" s="146"/>
      <c r="AA160" s="32"/>
      <c r="AB160" s="146"/>
      <c r="AC160" s="32"/>
      <c r="AD160" s="146"/>
      <c r="AE160" s="32"/>
      <c r="AF160" s="146"/>
      <c r="AG160" s="32"/>
      <c r="AH160" s="146"/>
      <c r="AI160" s="32"/>
      <c r="AJ160" s="146"/>
      <c r="AK160" s="32"/>
      <c r="AL160" s="146"/>
      <c r="AM160" s="32"/>
      <c r="AN160" s="146"/>
      <c r="AO160" s="32"/>
      <c r="AP160" s="146"/>
      <c r="AQ160" s="32"/>
      <c r="AR160" s="146"/>
      <c r="AS160" s="32"/>
      <c r="AT160" s="146"/>
      <c r="AU160" s="32"/>
      <c r="AV160" s="146"/>
      <c r="AW160" s="32"/>
      <c r="AX160" s="146"/>
      <c r="AY160" s="32"/>
      <c r="AZ160" s="146"/>
      <c r="BA160" s="32"/>
      <c r="BB160" s="146"/>
      <c r="BC160" s="32"/>
      <c r="BD160" s="146"/>
      <c r="BE160" s="32"/>
      <c r="BF160" s="146"/>
      <c r="BG160" s="32"/>
      <c r="BH160" s="146"/>
      <c r="BI160" s="32"/>
      <c r="BJ160" s="146"/>
      <c r="BK160" s="32"/>
      <c r="BL160" s="146"/>
      <c r="BM160" s="32"/>
      <c r="BN160" s="146"/>
      <c r="BO160" s="32"/>
      <c r="BP160" s="146"/>
      <c r="BQ160" s="32"/>
      <c r="BR160" s="146"/>
      <c r="BS160" s="32"/>
      <c r="BT160" s="146">
        <v>546</v>
      </c>
      <c r="BU160" s="32">
        <v>288</v>
      </c>
      <c r="BV160" s="146">
        <v>570</v>
      </c>
      <c r="BW160" s="32">
        <v>262</v>
      </c>
    </row>
    <row r="161" spans="1:75" ht="13" x14ac:dyDescent="0.25">
      <c r="A161" s="186">
        <v>2408</v>
      </c>
      <c r="B161" s="187" t="s">
        <v>183</v>
      </c>
      <c r="C161" s="46">
        <v>613</v>
      </c>
      <c r="D161" s="142">
        <v>114</v>
      </c>
      <c r="E161" s="145">
        <f t="shared" si="2"/>
        <v>0.18597063621533441</v>
      </c>
      <c r="F161" s="146">
        <v>87</v>
      </c>
      <c r="G161" s="32">
        <v>24</v>
      </c>
      <c r="H161" s="146"/>
      <c r="I161" s="32"/>
      <c r="J161" s="146"/>
      <c r="K161" s="32"/>
      <c r="L161" s="146"/>
      <c r="M161" s="32"/>
      <c r="N161" s="146"/>
      <c r="O161" s="32"/>
      <c r="P161" s="146"/>
      <c r="Q161" s="32"/>
      <c r="R161" s="146"/>
      <c r="S161" s="32"/>
      <c r="T161" s="146"/>
      <c r="U161" s="32"/>
      <c r="V161" s="146"/>
      <c r="W161" s="32"/>
      <c r="X161" s="146"/>
      <c r="Y161" s="32"/>
      <c r="Z161" s="146"/>
      <c r="AA161" s="32"/>
      <c r="AB161" s="146"/>
      <c r="AC161" s="32"/>
      <c r="AD161" s="146"/>
      <c r="AE161" s="32"/>
      <c r="AF161" s="146"/>
      <c r="AG161" s="32"/>
      <c r="AH161" s="146"/>
      <c r="AI161" s="32"/>
      <c r="AJ161" s="146"/>
      <c r="AK161" s="32"/>
      <c r="AL161" s="146"/>
      <c r="AM161" s="32"/>
      <c r="AN161" s="146"/>
      <c r="AO161" s="32"/>
      <c r="AP161" s="146"/>
      <c r="AQ161" s="32"/>
      <c r="AR161" s="146"/>
      <c r="AS161" s="32"/>
      <c r="AT161" s="146"/>
      <c r="AU161" s="32"/>
      <c r="AV161" s="146"/>
      <c r="AW161" s="32"/>
      <c r="AX161" s="146"/>
      <c r="AY161" s="32"/>
      <c r="AZ161" s="146"/>
      <c r="BA161" s="32"/>
      <c r="BB161" s="146"/>
      <c r="BC161" s="32"/>
      <c r="BD161" s="146"/>
      <c r="BE161" s="32"/>
      <c r="BF161" s="146"/>
      <c r="BG161" s="32"/>
      <c r="BH161" s="146"/>
      <c r="BI161" s="32"/>
      <c r="BJ161" s="146"/>
      <c r="BK161" s="32"/>
      <c r="BL161" s="146"/>
      <c r="BM161" s="32"/>
      <c r="BN161" s="146"/>
      <c r="BO161" s="32"/>
      <c r="BP161" s="146"/>
      <c r="BQ161" s="32"/>
      <c r="BR161" s="146"/>
      <c r="BS161" s="32"/>
      <c r="BT161" s="146">
        <v>95</v>
      </c>
      <c r="BU161" s="32">
        <v>18</v>
      </c>
      <c r="BV161" s="146">
        <v>102</v>
      </c>
      <c r="BW161" s="32">
        <v>10</v>
      </c>
    </row>
    <row r="162" spans="1:75" ht="13" x14ac:dyDescent="0.25">
      <c r="A162" s="186">
        <v>2409</v>
      </c>
      <c r="B162" s="187" t="s">
        <v>184</v>
      </c>
      <c r="C162" s="46">
        <v>723</v>
      </c>
      <c r="D162" s="142">
        <v>175</v>
      </c>
      <c r="E162" s="145">
        <f t="shared" si="2"/>
        <v>0.24204702627939143</v>
      </c>
      <c r="F162" s="146">
        <v>123</v>
      </c>
      <c r="G162" s="32">
        <v>35</v>
      </c>
      <c r="H162" s="146"/>
      <c r="I162" s="32"/>
      <c r="J162" s="146"/>
      <c r="K162" s="32"/>
      <c r="L162" s="146"/>
      <c r="M162" s="32"/>
      <c r="N162" s="146"/>
      <c r="O162" s="32"/>
      <c r="P162" s="146"/>
      <c r="Q162" s="32"/>
      <c r="R162" s="146"/>
      <c r="S162" s="32"/>
      <c r="T162" s="146"/>
      <c r="U162" s="32"/>
      <c r="V162" s="146"/>
      <c r="W162" s="32"/>
      <c r="X162" s="146"/>
      <c r="Y162" s="32"/>
      <c r="Z162" s="146"/>
      <c r="AA162" s="32"/>
      <c r="AB162" s="146"/>
      <c r="AC162" s="32"/>
      <c r="AD162" s="146"/>
      <c r="AE162" s="32"/>
      <c r="AF162" s="146"/>
      <c r="AG162" s="32"/>
      <c r="AH162" s="146"/>
      <c r="AI162" s="32"/>
      <c r="AJ162" s="146"/>
      <c r="AK162" s="32"/>
      <c r="AL162" s="146"/>
      <c r="AM162" s="32"/>
      <c r="AN162" s="146"/>
      <c r="AO162" s="32"/>
      <c r="AP162" s="146"/>
      <c r="AQ162" s="32"/>
      <c r="AR162" s="146"/>
      <c r="AS162" s="32"/>
      <c r="AT162" s="146"/>
      <c r="AU162" s="32"/>
      <c r="AV162" s="146"/>
      <c r="AW162" s="32"/>
      <c r="AX162" s="146"/>
      <c r="AY162" s="32"/>
      <c r="AZ162" s="146"/>
      <c r="BA162" s="32"/>
      <c r="BB162" s="146"/>
      <c r="BC162" s="32"/>
      <c r="BD162" s="146"/>
      <c r="BE162" s="32"/>
      <c r="BF162" s="146"/>
      <c r="BG162" s="32"/>
      <c r="BH162" s="146"/>
      <c r="BI162" s="32"/>
      <c r="BJ162" s="146"/>
      <c r="BK162" s="32"/>
      <c r="BL162" s="146"/>
      <c r="BM162" s="32"/>
      <c r="BN162" s="146"/>
      <c r="BO162" s="32"/>
      <c r="BP162" s="146"/>
      <c r="BQ162" s="32"/>
      <c r="BR162" s="146"/>
      <c r="BS162" s="32"/>
      <c r="BT162" s="146">
        <v>123</v>
      </c>
      <c r="BU162" s="32">
        <v>39</v>
      </c>
      <c r="BV162" s="146">
        <v>133</v>
      </c>
      <c r="BW162" s="32">
        <v>28</v>
      </c>
    </row>
    <row r="163" spans="1:75" ht="13" x14ac:dyDescent="0.25">
      <c r="A163" s="186">
        <v>2501</v>
      </c>
      <c r="B163" s="187" t="s">
        <v>185</v>
      </c>
      <c r="C163" s="46">
        <v>1093</v>
      </c>
      <c r="D163" s="142">
        <v>541</v>
      </c>
      <c r="E163" s="145">
        <f t="shared" si="2"/>
        <v>0.49496797804208598</v>
      </c>
      <c r="F163" s="146">
        <v>380</v>
      </c>
      <c r="G163" s="32">
        <v>119</v>
      </c>
      <c r="H163" s="146"/>
      <c r="I163" s="32"/>
      <c r="J163" s="146"/>
      <c r="K163" s="32"/>
      <c r="L163" s="146"/>
      <c r="M163" s="32"/>
      <c r="N163" s="146"/>
      <c r="O163" s="32"/>
      <c r="P163" s="146"/>
      <c r="Q163" s="32"/>
      <c r="R163" s="146"/>
      <c r="S163" s="32"/>
      <c r="T163" s="146"/>
      <c r="U163" s="32"/>
      <c r="V163" s="146"/>
      <c r="W163" s="32"/>
      <c r="X163" s="146"/>
      <c r="Y163" s="32"/>
      <c r="Z163" s="146"/>
      <c r="AA163" s="32"/>
      <c r="AB163" s="146"/>
      <c r="AC163" s="32"/>
      <c r="AD163" s="146"/>
      <c r="AE163" s="32"/>
      <c r="AF163" s="146"/>
      <c r="AG163" s="32"/>
      <c r="AH163" s="146"/>
      <c r="AI163" s="32"/>
      <c r="AJ163" s="146"/>
      <c r="AK163" s="32"/>
      <c r="AL163" s="146"/>
      <c r="AM163" s="32"/>
      <c r="AN163" s="146"/>
      <c r="AO163" s="32"/>
      <c r="AP163" s="146"/>
      <c r="AQ163" s="32"/>
      <c r="AR163" s="146"/>
      <c r="AS163" s="32"/>
      <c r="AT163" s="146"/>
      <c r="AU163" s="32"/>
      <c r="AV163" s="146"/>
      <c r="AW163" s="32"/>
      <c r="AX163" s="146"/>
      <c r="AY163" s="32"/>
      <c r="AZ163" s="146"/>
      <c r="BA163" s="32"/>
      <c r="BB163" s="146"/>
      <c r="BC163" s="32"/>
      <c r="BD163" s="146"/>
      <c r="BE163" s="32"/>
      <c r="BF163" s="146"/>
      <c r="BG163" s="32"/>
      <c r="BH163" s="146"/>
      <c r="BI163" s="32"/>
      <c r="BJ163" s="146"/>
      <c r="BK163" s="32"/>
      <c r="BL163" s="146"/>
      <c r="BM163" s="32"/>
      <c r="BN163" s="146"/>
      <c r="BO163" s="32"/>
      <c r="BP163" s="146"/>
      <c r="BQ163" s="32"/>
      <c r="BR163" s="146"/>
      <c r="BS163" s="32"/>
      <c r="BT163" s="146">
        <v>414</v>
      </c>
      <c r="BU163" s="32">
        <v>91</v>
      </c>
      <c r="BV163" s="146">
        <v>434</v>
      </c>
      <c r="BW163" s="32">
        <v>69</v>
      </c>
    </row>
    <row r="164" spans="1:75" ht="13" x14ac:dyDescent="0.25">
      <c r="A164" s="186">
        <v>2502</v>
      </c>
      <c r="B164" s="187" t="s">
        <v>186</v>
      </c>
      <c r="C164" s="46">
        <v>1144</v>
      </c>
      <c r="D164" s="142">
        <v>431</v>
      </c>
      <c r="E164" s="145">
        <f t="shared" si="2"/>
        <v>0.37674825174825177</v>
      </c>
      <c r="F164" s="146">
        <v>249</v>
      </c>
      <c r="G164" s="32">
        <v>154</v>
      </c>
      <c r="H164" s="146"/>
      <c r="I164" s="32"/>
      <c r="J164" s="146"/>
      <c r="K164" s="32"/>
      <c r="L164" s="146"/>
      <c r="M164" s="32"/>
      <c r="N164" s="146"/>
      <c r="O164" s="32"/>
      <c r="P164" s="146"/>
      <c r="Q164" s="32"/>
      <c r="R164" s="146"/>
      <c r="S164" s="32"/>
      <c r="T164" s="146"/>
      <c r="U164" s="32"/>
      <c r="V164" s="146"/>
      <c r="W164" s="32"/>
      <c r="X164" s="146"/>
      <c r="Y164" s="32"/>
      <c r="Z164" s="146"/>
      <c r="AA164" s="32"/>
      <c r="AB164" s="146"/>
      <c r="AC164" s="32"/>
      <c r="AD164" s="146"/>
      <c r="AE164" s="32"/>
      <c r="AF164" s="146"/>
      <c r="AG164" s="32"/>
      <c r="AH164" s="146"/>
      <c r="AI164" s="32"/>
      <c r="AJ164" s="146"/>
      <c r="AK164" s="32"/>
      <c r="AL164" s="146"/>
      <c r="AM164" s="32"/>
      <c r="AN164" s="146"/>
      <c r="AO164" s="32"/>
      <c r="AP164" s="146"/>
      <c r="AQ164" s="32"/>
      <c r="AR164" s="146"/>
      <c r="AS164" s="32"/>
      <c r="AT164" s="146"/>
      <c r="AU164" s="32"/>
      <c r="AV164" s="146"/>
      <c r="AW164" s="32"/>
      <c r="AX164" s="146"/>
      <c r="AY164" s="32"/>
      <c r="AZ164" s="146"/>
      <c r="BA164" s="32"/>
      <c r="BB164" s="146"/>
      <c r="BC164" s="32"/>
      <c r="BD164" s="146"/>
      <c r="BE164" s="32"/>
      <c r="BF164" s="146"/>
      <c r="BG164" s="32"/>
      <c r="BH164" s="146"/>
      <c r="BI164" s="32"/>
      <c r="BJ164" s="146"/>
      <c r="BK164" s="32"/>
      <c r="BL164" s="146"/>
      <c r="BM164" s="32"/>
      <c r="BN164" s="146"/>
      <c r="BO164" s="32"/>
      <c r="BP164" s="146"/>
      <c r="BQ164" s="32"/>
      <c r="BR164" s="146"/>
      <c r="BS164" s="32"/>
      <c r="BT164" s="146">
        <v>274</v>
      </c>
      <c r="BU164" s="32">
        <v>131</v>
      </c>
      <c r="BV164" s="146">
        <v>292</v>
      </c>
      <c r="BW164" s="32">
        <v>112</v>
      </c>
    </row>
    <row r="165" spans="1:75" ht="13" x14ac:dyDescent="0.25">
      <c r="A165" s="186">
        <v>2503</v>
      </c>
      <c r="B165" s="187" t="s">
        <v>187</v>
      </c>
      <c r="C165" s="46">
        <v>1133</v>
      </c>
      <c r="D165" s="142">
        <v>834</v>
      </c>
      <c r="E165" s="145">
        <f t="shared" si="2"/>
        <v>0.736098852603707</v>
      </c>
      <c r="F165" s="146">
        <v>458</v>
      </c>
      <c r="G165" s="32">
        <v>342</v>
      </c>
      <c r="H165" s="146"/>
      <c r="I165" s="32"/>
      <c r="J165" s="146"/>
      <c r="K165" s="32"/>
      <c r="L165" s="146"/>
      <c r="M165" s="32"/>
      <c r="N165" s="146"/>
      <c r="O165" s="32"/>
      <c r="P165" s="146"/>
      <c r="Q165" s="32"/>
      <c r="R165" s="146"/>
      <c r="S165" s="32"/>
      <c r="T165" s="146"/>
      <c r="U165" s="32"/>
      <c r="V165" s="146"/>
      <c r="W165" s="32"/>
      <c r="X165" s="146"/>
      <c r="Y165" s="32"/>
      <c r="Z165" s="146"/>
      <c r="AA165" s="32"/>
      <c r="AB165" s="146"/>
      <c r="AC165" s="32"/>
      <c r="AD165" s="146"/>
      <c r="AE165" s="32"/>
      <c r="AF165" s="146"/>
      <c r="AG165" s="32"/>
      <c r="AH165" s="146"/>
      <c r="AI165" s="32"/>
      <c r="AJ165" s="146"/>
      <c r="AK165" s="32"/>
      <c r="AL165" s="146"/>
      <c r="AM165" s="32"/>
      <c r="AN165" s="146"/>
      <c r="AO165" s="32"/>
      <c r="AP165" s="146"/>
      <c r="AQ165" s="32"/>
      <c r="AR165" s="146"/>
      <c r="AS165" s="32"/>
      <c r="AT165" s="146"/>
      <c r="AU165" s="32"/>
      <c r="AV165" s="146"/>
      <c r="AW165" s="32"/>
      <c r="AX165" s="146"/>
      <c r="AY165" s="32"/>
      <c r="AZ165" s="146"/>
      <c r="BA165" s="32"/>
      <c r="BB165" s="146"/>
      <c r="BC165" s="32"/>
      <c r="BD165" s="146"/>
      <c r="BE165" s="32"/>
      <c r="BF165" s="146"/>
      <c r="BG165" s="32"/>
      <c r="BH165" s="146"/>
      <c r="BI165" s="32"/>
      <c r="BJ165" s="146"/>
      <c r="BK165" s="32"/>
      <c r="BL165" s="146"/>
      <c r="BM165" s="32"/>
      <c r="BN165" s="146"/>
      <c r="BO165" s="32"/>
      <c r="BP165" s="146"/>
      <c r="BQ165" s="32"/>
      <c r="BR165" s="146"/>
      <c r="BS165" s="32"/>
      <c r="BT165" s="146">
        <v>470</v>
      </c>
      <c r="BU165" s="32">
        <v>327</v>
      </c>
      <c r="BV165" s="146">
        <v>522</v>
      </c>
      <c r="BW165" s="32">
        <v>276</v>
      </c>
    </row>
    <row r="166" spans="1:75" ht="13" x14ac:dyDescent="0.25">
      <c r="A166" s="186">
        <v>2504</v>
      </c>
      <c r="B166" s="187" t="s">
        <v>188</v>
      </c>
      <c r="C166" s="46">
        <v>1181</v>
      </c>
      <c r="D166" s="142">
        <v>624</v>
      </c>
      <c r="E166" s="145">
        <f t="shared" si="2"/>
        <v>0.52836579170194753</v>
      </c>
      <c r="F166" s="146">
        <v>337</v>
      </c>
      <c r="G166" s="32">
        <v>256</v>
      </c>
      <c r="H166" s="146"/>
      <c r="I166" s="32"/>
      <c r="J166" s="146"/>
      <c r="K166" s="32"/>
      <c r="L166" s="146"/>
      <c r="M166" s="32"/>
      <c r="N166" s="146"/>
      <c r="O166" s="32"/>
      <c r="P166" s="146"/>
      <c r="Q166" s="32"/>
      <c r="R166" s="146"/>
      <c r="S166" s="32"/>
      <c r="T166" s="146"/>
      <c r="U166" s="32"/>
      <c r="V166" s="146"/>
      <c r="W166" s="32"/>
      <c r="X166" s="146"/>
      <c r="Y166" s="32"/>
      <c r="Z166" s="146"/>
      <c r="AA166" s="32"/>
      <c r="AB166" s="146"/>
      <c r="AC166" s="32"/>
      <c r="AD166" s="146"/>
      <c r="AE166" s="32"/>
      <c r="AF166" s="146"/>
      <c r="AG166" s="32"/>
      <c r="AH166" s="146"/>
      <c r="AI166" s="32"/>
      <c r="AJ166" s="146"/>
      <c r="AK166" s="32"/>
      <c r="AL166" s="146"/>
      <c r="AM166" s="32"/>
      <c r="AN166" s="146"/>
      <c r="AO166" s="32"/>
      <c r="AP166" s="146"/>
      <c r="AQ166" s="32"/>
      <c r="AR166" s="146"/>
      <c r="AS166" s="32"/>
      <c r="AT166" s="146"/>
      <c r="AU166" s="32"/>
      <c r="AV166" s="146"/>
      <c r="AW166" s="32"/>
      <c r="AX166" s="146"/>
      <c r="AY166" s="32"/>
      <c r="AZ166" s="146"/>
      <c r="BA166" s="32"/>
      <c r="BB166" s="146"/>
      <c r="BC166" s="32"/>
      <c r="BD166" s="146"/>
      <c r="BE166" s="32"/>
      <c r="BF166" s="146"/>
      <c r="BG166" s="32"/>
      <c r="BH166" s="146"/>
      <c r="BI166" s="32"/>
      <c r="BJ166" s="146"/>
      <c r="BK166" s="32"/>
      <c r="BL166" s="146"/>
      <c r="BM166" s="32"/>
      <c r="BN166" s="146"/>
      <c r="BO166" s="32"/>
      <c r="BP166" s="146"/>
      <c r="BQ166" s="32"/>
      <c r="BR166" s="146"/>
      <c r="BS166" s="32"/>
      <c r="BT166" s="146">
        <v>347</v>
      </c>
      <c r="BU166" s="32">
        <v>241</v>
      </c>
      <c r="BV166" s="146">
        <v>369</v>
      </c>
      <c r="BW166" s="32">
        <v>220</v>
      </c>
    </row>
    <row r="167" spans="1:75" ht="13" x14ac:dyDescent="0.25">
      <c r="A167" s="186">
        <v>2505</v>
      </c>
      <c r="B167" s="187" t="s">
        <v>189</v>
      </c>
      <c r="C167" s="46">
        <v>1264</v>
      </c>
      <c r="D167" s="142">
        <v>870</v>
      </c>
      <c r="E167" s="145">
        <f t="shared" si="2"/>
        <v>0.68829113924050633</v>
      </c>
      <c r="F167" s="146">
        <v>450</v>
      </c>
      <c r="G167" s="32">
        <v>380</v>
      </c>
      <c r="H167" s="146"/>
      <c r="I167" s="32"/>
      <c r="J167" s="146"/>
      <c r="K167" s="32"/>
      <c r="L167" s="146"/>
      <c r="M167" s="32"/>
      <c r="N167" s="146"/>
      <c r="O167" s="32"/>
      <c r="P167" s="146"/>
      <c r="Q167" s="32"/>
      <c r="R167" s="146"/>
      <c r="S167" s="32"/>
      <c r="T167" s="146"/>
      <c r="U167" s="32"/>
      <c r="V167" s="146"/>
      <c r="W167" s="32"/>
      <c r="X167" s="146"/>
      <c r="Y167" s="32"/>
      <c r="Z167" s="146"/>
      <c r="AA167" s="32"/>
      <c r="AB167" s="146"/>
      <c r="AC167" s="32"/>
      <c r="AD167" s="146"/>
      <c r="AE167" s="32"/>
      <c r="AF167" s="146"/>
      <c r="AG167" s="32"/>
      <c r="AH167" s="146"/>
      <c r="AI167" s="32"/>
      <c r="AJ167" s="146"/>
      <c r="AK167" s="32"/>
      <c r="AL167" s="146"/>
      <c r="AM167" s="32"/>
      <c r="AN167" s="146"/>
      <c r="AO167" s="32"/>
      <c r="AP167" s="146"/>
      <c r="AQ167" s="32"/>
      <c r="AR167" s="146"/>
      <c r="AS167" s="32"/>
      <c r="AT167" s="146"/>
      <c r="AU167" s="32"/>
      <c r="AV167" s="146"/>
      <c r="AW167" s="32"/>
      <c r="AX167" s="146"/>
      <c r="AY167" s="32"/>
      <c r="AZ167" s="146"/>
      <c r="BA167" s="32"/>
      <c r="BB167" s="146"/>
      <c r="BC167" s="32"/>
      <c r="BD167" s="146"/>
      <c r="BE167" s="32"/>
      <c r="BF167" s="146"/>
      <c r="BG167" s="32"/>
      <c r="BH167" s="146"/>
      <c r="BI167" s="32"/>
      <c r="BJ167" s="146"/>
      <c r="BK167" s="32"/>
      <c r="BL167" s="146"/>
      <c r="BM167" s="32"/>
      <c r="BN167" s="146"/>
      <c r="BO167" s="32"/>
      <c r="BP167" s="146"/>
      <c r="BQ167" s="32"/>
      <c r="BR167" s="146"/>
      <c r="BS167" s="32"/>
      <c r="BT167" s="146">
        <v>486</v>
      </c>
      <c r="BU167" s="32">
        <v>349</v>
      </c>
      <c r="BV167" s="146">
        <v>522</v>
      </c>
      <c r="BW167" s="32">
        <v>311</v>
      </c>
    </row>
    <row r="168" spans="1:75" ht="13" x14ac:dyDescent="0.25">
      <c r="A168" s="186">
        <v>2506</v>
      </c>
      <c r="B168" s="187" t="s">
        <v>190</v>
      </c>
      <c r="C168" s="46">
        <v>1221</v>
      </c>
      <c r="D168" s="142">
        <v>680</v>
      </c>
      <c r="E168" s="145">
        <f t="shared" si="2"/>
        <v>0.55692055692055698</v>
      </c>
      <c r="F168" s="146">
        <v>387</v>
      </c>
      <c r="G168" s="32">
        <v>256</v>
      </c>
      <c r="H168" s="146"/>
      <c r="I168" s="32"/>
      <c r="J168" s="146"/>
      <c r="K168" s="32"/>
      <c r="L168" s="146"/>
      <c r="M168" s="32"/>
      <c r="N168" s="146"/>
      <c r="O168" s="32"/>
      <c r="P168" s="146"/>
      <c r="Q168" s="32"/>
      <c r="R168" s="146"/>
      <c r="S168" s="32"/>
      <c r="T168" s="146"/>
      <c r="U168" s="32"/>
      <c r="V168" s="146"/>
      <c r="W168" s="32"/>
      <c r="X168" s="146"/>
      <c r="Y168" s="32"/>
      <c r="Z168" s="146"/>
      <c r="AA168" s="32"/>
      <c r="AB168" s="146"/>
      <c r="AC168" s="32"/>
      <c r="AD168" s="146"/>
      <c r="AE168" s="32"/>
      <c r="AF168" s="146"/>
      <c r="AG168" s="32"/>
      <c r="AH168" s="146"/>
      <c r="AI168" s="32"/>
      <c r="AJ168" s="146"/>
      <c r="AK168" s="32"/>
      <c r="AL168" s="146"/>
      <c r="AM168" s="32"/>
      <c r="AN168" s="146"/>
      <c r="AO168" s="32"/>
      <c r="AP168" s="146"/>
      <c r="AQ168" s="32"/>
      <c r="AR168" s="146"/>
      <c r="AS168" s="32"/>
      <c r="AT168" s="146"/>
      <c r="AU168" s="32"/>
      <c r="AV168" s="146"/>
      <c r="AW168" s="32"/>
      <c r="AX168" s="146"/>
      <c r="AY168" s="32"/>
      <c r="AZ168" s="146"/>
      <c r="BA168" s="32"/>
      <c r="BB168" s="146"/>
      <c r="BC168" s="32"/>
      <c r="BD168" s="146"/>
      <c r="BE168" s="32"/>
      <c r="BF168" s="146"/>
      <c r="BG168" s="32"/>
      <c r="BH168" s="146"/>
      <c r="BI168" s="32"/>
      <c r="BJ168" s="146"/>
      <c r="BK168" s="32"/>
      <c r="BL168" s="146"/>
      <c r="BM168" s="32"/>
      <c r="BN168" s="146"/>
      <c r="BO168" s="32"/>
      <c r="BP168" s="146"/>
      <c r="BQ168" s="32"/>
      <c r="BR168" s="146"/>
      <c r="BS168" s="32"/>
      <c r="BT168" s="146">
        <v>428</v>
      </c>
      <c r="BU168" s="32">
        <v>221</v>
      </c>
      <c r="BV168" s="146">
        <v>464</v>
      </c>
      <c r="BW168" s="32">
        <v>189</v>
      </c>
    </row>
    <row r="169" spans="1:75" ht="13" x14ac:dyDescent="0.25">
      <c r="A169" s="186">
        <v>2507</v>
      </c>
      <c r="B169" s="187" t="s">
        <v>191</v>
      </c>
      <c r="C169" s="46">
        <v>617</v>
      </c>
      <c r="D169" s="142">
        <v>358</v>
      </c>
      <c r="E169" s="145">
        <f t="shared" si="2"/>
        <v>0.58022690437601299</v>
      </c>
      <c r="F169" s="146">
        <v>199</v>
      </c>
      <c r="G169" s="32">
        <v>148</v>
      </c>
      <c r="H169" s="146"/>
      <c r="I169" s="32"/>
      <c r="J169" s="146"/>
      <c r="K169" s="32"/>
      <c r="L169" s="146"/>
      <c r="M169" s="32"/>
      <c r="N169" s="146"/>
      <c r="O169" s="32"/>
      <c r="P169" s="146"/>
      <c r="Q169" s="32"/>
      <c r="R169" s="146"/>
      <c r="S169" s="32"/>
      <c r="T169" s="146"/>
      <c r="U169" s="32"/>
      <c r="V169" s="146"/>
      <c r="W169" s="32"/>
      <c r="X169" s="146"/>
      <c r="Y169" s="32"/>
      <c r="Z169" s="146"/>
      <c r="AA169" s="32"/>
      <c r="AB169" s="146"/>
      <c r="AC169" s="32"/>
      <c r="AD169" s="146"/>
      <c r="AE169" s="32"/>
      <c r="AF169" s="146"/>
      <c r="AG169" s="32"/>
      <c r="AH169" s="146"/>
      <c r="AI169" s="32"/>
      <c r="AJ169" s="146"/>
      <c r="AK169" s="32"/>
      <c r="AL169" s="146"/>
      <c r="AM169" s="32"/>
      <c r="AN169" s="146"/>
      <c r="AO169" s="32"/>
      <c r="AP169" s="146"/>
      <c r="AQ169" s="32"/>
      <c r="AR169" s="146"/>
      <c r="AS169" s="32"/>
      <c r="AT169" s="146"/>
      <c r="AU169" s="32"/>
      <c r="AV169" s="146"/>
      <c r="AW169" s="32"/>
      <c r="AX169" s="146"/>
      <c r="AY169" s="32"/>
      <c r="AZ169" s="146"/>
      <c r="BA169" s="32"/>
      <c r="BB169" s="146"/>
      <c r="BC169" s="32"/>
      <c r="BD169" s="146"/>
      <c r="BE169" s="32"/>
      <c r="BF169" s="146"/>
      <c r="BG169" s="32"/>
      <c r="BH169" s="146"/>
      <c r="BI169" s="32"/>
      <c r="BJ169" s="146"/>
      <c r="BK169" s="32"/>
      <c r="BL169" s="146"/>
      <c r="BM169" s="32"/>
      <c r="BN169" s="146"/>
      <c r="BO169" s="32"/>
      <c r="BP169" s="146"/>
      <c r="BQ169" s="32"/>
      <c r="BR169" s="146"/>
      <c r="BS169" s="32"/>
      <c r="BT169" s="146">
        <v>232</v>
      </c>
      <c r="BU169" s="32">
        <v>109</v>
      </c>
      <c r="BV169" s="146">
        <v>253</v>
      </c>
      <c r="BW169" s="32">
        <v>90</v>
      </c>
    </row>
    <row r="170" spans="1:75" ht="13" x14ac:dyDescent="0.25">
      <c r="A170" s="186">
        <v>2508</v>
      </c>
      <c r="B170" s="187" t="s">
        <v>192</v>
      </c>
      <c r="C170" s="46">
        <v>1416</v>
      </c>
      <c r="D170" s="142">
        <v>882</v>
      </c>
      <c r="E170" s="145">
        <f t="shared" si="2"/>
        <v>0.6228813559322034</v>
      </c>
      <c r="F170" s="146">
        <v>481</v>
      </c>
      <c r="G170" s="32">
        <v>347</v>
      </c>
      <c r="H170" s="146"/>
      <c r="I170" s="32"/>
      <c r="J170" s="146"/>
      <c r="K170" s="32"/>
      <c r="L170" s="146"/>
      <c r="M170" s="32"/>
      <c r="N170" s="146"/>
      <c r="O170" s="32"/>
      <c r="P170" s="146"/>
      <c r="Q170" s="32"/>
      <c r="R170" s="146"/>
      <c r="S170" s="32"/>
      <c r="T170" s="146"/>
      <c r="U170" s="32"/>
      <c r="V170" s="146"/>
      <c r="W170" s="32"/>
      <c r="X170" s="146"/>
      <c r="Y170" s="32"/>
      <c r="Z170" s="146"/>
      <c r="AA170" s="32"/>
      <c r="AB170" s="146"/>
      <c r="AC170" s="32"/>
      <c r="AD170" s="146"/>
      <c r="AE170" s="32"/>
      <c r="AF170" s="146"/>
      <c r="AG170" s="32"/>
      <c r="AH170" s="146"/>
      <c r="AI170" s="32"/>
      <c r="AJ170" s="146"/>
      <c r="AK170" s="32"/>
      <c r="AL170" s="146"/>
      <c r="AM170" s="32"/>
      <c r="AN170" s="146"/>
      <c r="AO170" s="32"/>
      <c r="AP170" s="146"/>
      <c r="AQ170" s="32"/>
      <c r="AR170" s="146"/>
      <c r="AS170" s="32"/>
      <c r="AT170" s="146"/>
      <c r="AU170" s="32"/>
      <c r="AV170" s="146"/>
      <c r="AW170" s="32"/>
      <c r="AX170" s="146"/>
      <c r="AY170" s="32"/>
      <c r="AZ170" s="146"/>
      <c r="BA170" s="32"/>
      <c r="BB170" s="146"/>
      <c r="BC170" s="32"/>
      <c r="BD170" s="146"/>
      <c r="BE170" s="32"/>
      <c r="BF170" s="146"/>
      <c r="BG170" s="32"/>
      <c r="BH170" s="146"/>
      <c r="BI170" s="32"/>
      <c r="BJ170" s="146"/>
      <c r="BK170" s="32"/>
      <c r="BL170" s="146"/>
      <c r="BM170" s="32"/>
      <c r="BN170" s="146"/>
      <c r="BO170" s="32"/>
      <c r="BP170" s="146"/>
      <c r="BQ170" s="32"/>
      <c r="BR170" s="146"/>
      <c r="BS170" s="32"/>
      <c r="BT170" s="146">
        <v>525</v>
      </c>
      <c r="BU170" s="32">
        <v>304</v>
      </c>
      <c r="BV170" s="146">
        <v>571</v>
      </c>
      <c r="BW170" s="32">
        <v>260</v>
      </c>
    </row>
    <row r="171" spans="1:75" ht="13" x14ac:dyDescent="0.25">
      <c r="A171" s="186">
        <v>2509</v>
      </c>
      <c r="B171" s="187" t="s">
        <v>193</v>
      </c>
      <c r="C171" s="46">
        <v>1214</v>
      </c>
      <c r="D171" s="142">
        <v>667</v>
      </c>
      <c r="E171" s="145">
        <f t="shared" si="2"/>
        <v>0.5494233937397035</v>
      </c>
      <c r="F171" s="146">
        <v>326</v>
      </c>
      <c r="G171" s="32">
        <v>309</v>
      </c>
      <c r="H171" s="146"/>
      <c r="I171" s="32"/>
      <c r="J171" s="146"/>
      <c r="K171" s="32"/>
      <c r="L171" s="146"/>
      <c r="M171" s="32"/>
      <c r="N171" s="146"/>
      <c r="O171" s="32"/>
      <c r="P171" s="146"/>
      <c r="Q171" s="32"/>
      <c r="R171" s="146"/>
      <c r="S171" s="32"/>
      <c r="T171" s="146"/>
      <c r="U171" s="32"/>
      <c r="V171" s="146"/>
      <c r="W171" s="32"/>
      <c r="X171" s="146"/>
      <c r="Y171" s="32"/>
      <c r="Z171" s="146"/>
      <c r="AA171" s="32"/>
      <c r="AB171" s="146"/>
      <c r="AC171" s="32"/>
      <c r="AD171" s="146"/>
      <c r="AE171" s="32"/>
      <c r="AF171" s="146"/>
      <c r="AG171" s="32"/>
      <c r="AH171" s="146"/>
      <c r="AI171" s="32"/>
      <c r="AJ171" s="146"/>
      <c r="AK171" s="32"/>
      <c r="AL171" s="146"/>
      <c r="AM171" s="32"/>
      <c r="AN171" s="146"/>
      <c r="AO171" s="32"/>
      <c r="AP171" s="146"/>
      <c r="AQ171" s="32"/>
      <c r="AR171" s="146"/>
      <c r="AS171" s="32"/>
      <c r="AT171" s="146"/>
      <c r="AU171" s="32"/>
      <c r="AV171" s="146"/>
      <c r="AW171" s="32"/>
      <c r="AX171" s="146"/>
      <c r="AY171" s="32"/>
      <c r="AZ171" s="146"/>
      <c r="BA171" s="32"/>
      <c r="BB171" s="146"/>
      <c r="BC171" s="32"/>
      <c r="BD171" s="146"/>
      <c r="BE171" s="32"/>
      <c r="BF171" s="146"/>
      <c r="BG171" s="32"/>
      <c r="BH171" s="146"/>
      <c r="BI171" s="32"/>
      <c r="BJ171" s="146"/>
      <c r="BK171" s="32"/>
      <c r="BL171" s="146"/>
      <c r="BM171" s="32"/>
      <c r="BN171" s="146"/>
      <c r="BO171" s="32"/>
      <c r="BP171" s="146"/>
      <c r="BQ171" s="32"/>
      <c r="BR171" s="146"/>
      <c r="BS171" s="32"/>
      <c r="BT171" s="146">
        <v>373</v>
      </c>
      <c r="BU171" s="32">
        <v>259</v>
      </c>
      <c r="BV171" s="146">
        <v>408</v>
      </c>
      <c r="BW171" s="32">
        <v>226</v>
      </c>
    </row>
    <row r="172" spans="1:75" ht="13" x14ac:dyDescent="0.25">
      <c r="A172" s="186">
        <v>2510</v>
      </c>
      <c r="B172" s="187" t="s">
        <v>194</v>
      </c>
      <c r="C172" s="46">
        <v>1175</v>
      </c>
      <c r="D172" s="142">
        <v>641</v>
      </c>
      <c r="E172" s="145">
        <f t="shared" si="2"/>
        <v>0.54553191489361708</v>
      </c>
      <c r="F172" s="146">
        <v>401</v>
      </c>
      <c r="G172" s="32">
        <v>177</v>
      </c>
      <c r="H172" s="146"/>
      <c r="I172" s="32"/>
      <c r="J172" s="146"/>
      <c r="K172" s="32"/>
      <c r="L172" s="146"/>
      <c r="M172" s="32"/>
      <c r="N172" s="146"/>
      <c r="O172" s="32"/>
      <c r="P172" s="146"/>
      <c r="Q172" s="32"/>
      <c r="R172" s="146"/>
      <c r="S172" s="32"/>
      <c r="T172" s="146"/>
      <c r="U172" s="32"/>
      <c r="V172" s="146"/>
      <c r="W172" s="32"/>
      <c r="X172" s="146"/>
      <c r="Y172" s="32"/>
      <c r="Z172" s="146"/>
      <c r="AA172" s="32"/>
      <c r="AB172" s="146"/>
      <c r="AC172" s="32"/>
      <c r="AD172" s="146"/>
      <c r="AE172" s="32"/>
      <c r="AF172" s="146"/>
      <c r="AG172" s="32"/>
      <c r="AH172" s="146"/>
      <c r="AI172" s="32"/>
      <c r="AJ172" s="146"/>
      <c r="AK172" s="32"/>
      <c r="AL172" s="146"/>
      <c r="AM172" s="32"/>
      <c r="AN172" s="146"/>
      <c r="AO172" s="32"/>
      <c r="AP172" s="146"/>
      <c r="AQ172" s="32"/>
      <c r="AR172" s="146"/>
      <c r="AS172" s="32"/>
      <c r="AT172" s="146"/>
      <c r="AU172" s="32"/>
      <c r="AV172" s="146"/>
      <c r="AW172" s="32"/>
      <c r="AX172" s="146"/>
      <c r="AY172" s="32"/>
      <c r="AZ172" s="146"/>
      <c r="BA172" s="32"/>
      <c r="BB172" s="146"/>
      <c r="BC172" s="32"/>
      <c r="BD172" s="146"/>
      <c r="BE172" s="32"/>
      <c r="BF172" s="146"/>
      <c r="BG172" s="32"/>
      <c r="BH172" s="146"/>
      <c r="BI172" s="32"/>
      <c r="BJ172" s="146"/>
      <c r="BK172" s="32"/>
      <c r="BL172" s="146"/>
      <c r="BM172" s="32"/>
      <c r="BN172" s="146"/>
      <c r="BO172" s="32"/>
      <c r="BP172" s="146"/>
      <c r="BQ172" s="32"/>
      <c r="BR172" s="146"/>
      <c r="BS172" s="32"/>
      <c r="BT172" s="146">
        <v>430</v>
      </c>
      <c r="BU172" s="32">
        <v>159</v>
      </c>
      <c r="BV172" s="146">
        <v>445</v>
      </c>
      <c r="BW172" s="32">
        <v>142</v>
      </c>
    </row>
    <row r="173" spans="1:75" ht="13" x14ac:dyDescent="0.25">
      <c r="A173" s="186">
        <v>2511</v>
      </c>
      <c r="B173" s="187" t="s">
        <v>195</v>
      </c>
      <c r="C173" s="46">
        <v>1449</v>
      </c>
      <c r="D173" s="142">
        <v>686</v>
      </c>
      <c r="E173" s="145">
        <f t="shared" si="2"/>
        <v>0.47342995169082125</v>
      </c>
      <c r="F173" s="146">
        <v>426</v>
      </c>
      <c r="G173" s="32">
        <v>229</v>
      </c>
      <c r="H173" s="146"/>
      <c r="I173" s="32"/>
      <c r="J173" s="146"/>
      <c r="K173" s="32"/>
      <c r="L173" s="146"/>
      <c r="M173" s="32"/>
      <c r="N173" s="146"/>
      <c r="O173" s="32"/>
      <c r="P173" s="146"/>
      <c r="Q173" s="32"/>
      <c r="R173" s="146"/>
      <c r="S173" s="32"/>
      <c r="T173" s="146"/>
      <c r="U173" s="32"/>
      <c r="V173" s="146"/>
      <c r="W173" s="32"/>
      <c r="X173" s="146"/>
      <c r="Y173" s="32"/>
      <c r="Z173" s="146"/>
      <c r="AA173" s="32"/>
      <c r="AB173" s="146"/>
      <c r="AC173" s="32"/>
      <c r="AD173" s="146"/>
      <c r="AE173" s="32"/>
      <c r="AF173" s="146"/>
      <c r="AG173" s="32"/>
      <c r="AH173" s="146"/>
      <c r="AI173" s="32"/>
      <c r="AJ173" s="146"/>
      <c r="AK173" s="32"/>
      <c r="AL173" s="146"/>
      <c r="AM173" s="32"/>
      <c r="AN173" s="146"/>
      <c r="AO173" s="32"/>
      <c r="AP173" s="146"/>
      <c r="AQ173" s="32"/>
      <c r="AR173" s="146"/>
      <c r="AS173" s="32"/>
      <c r="AT173" s="146"/>
      <c r="AU173" s="32"/>
      <c r="AV173" s="146"/>
      <c r="AW173" s="32"/>
      <c r="AX173" s="146"/>
      <c r="AY173" s="32"/>
      <c r="AZ173" s="146"/>
      <c r="BA173" s="32"/>
      <c r="BB173" s="146"/>
      <c r="BC173" s="32"/>
      <c r="BD173" s="146"/>
      <c r="BE173" s="32"/>
      <c r="BF173" s="146"/>
      <c r="BG173" s="32"/>
      <c r="BH173" s="146"/>
      <c r="BI173" s="32"/>
      <c r="BJ173" s="146"/>
      <c r="BK173" s="32"/>
      <c r="BL173" s="146"/>
      <c r="BM173" s="32"/>
      <c r="BN173" s="146"/>
      <c r="BO173" s="32"/>
      <c r="BP173" s="146"/>
      <c r="BQ173" s="32"/>
      <c r="BR173" s="146"/>
      <c r="BS173" s="32"/>
      <c r="BT173" s="146">
        <v>425</v>
      </c>
      <c r="BU173" s="32">
        <v>238</v>
      </c>
      <c r="BV173" s="146">
        <v>463</v>
      </c>
      <c r="BW173" s="32">
        <v>196</v>
      </c>
    </row>
    <row r="174" spans="1:75" ht="13" x14ac:dyDescent="0.25">
      <c r="A174" s="186">
        <v>2512</v>
      </c>
      <c r="B174" s="187" t="s">
        <v>196</v>
      </c>
      <c r="C174" s="46">
        <v>787</v>
      </c>
      <c r="D174" s="142">
        <v>343</v>
      </c>
      <c r="E174" s="145">
        <f t="shared" si="2"/>
        <v>0.43583227445997458</v>
      </c>
      <c r="F174" s="146">
        <v>215</v>
      </c>
      <c r="G174" s="32">
        <v>82</v>
      </c>
      <c r="H174" s="146"/>
      <c r="I174" s="32"/>
      <c r="J174" s="146"/>
      <c r="K174" s="32"/>
      <c r="L174" s="146"/>
      <c r="M174" s="32"/>
      <c r="N174" s="146"/>
      <c r="O174" s="32"/>
      <c r="P174" s="146"/>
      <c r="Q174" s="32"/>
      <c r="R174" s="146"/>
      <c r="S174" s="32"/>
      <c r="T174" s="146"/>
      <c r="U174" s="32"/>
      <c r="V174" s="146"/>
      <c r="W174" s="32"/>
      <c r="X174" s="146"/>
      <c r="Y174" s="32"/>
      <c r="Z174" s="146"/>
      <c r="AA174" s="32"/>
      <c r="AB174" s="146"/>
      <c r="AC174" s="32"/>
      <c r="AD174" s="146"/>
      <c r="AE174" s="32"/>
      <c r="AF174" s="146"/>
      <c r="AG174" s="32"/>
      <c r="AH174" s="146"/>
      <c r="AI174" s="32"/>
      <c r="AJ174" s="146"/>
      <c r="AK174" s="32"/>
      <c r="AL174" s="146"/>
      <c r="AM174" s="32"/>
      <c r="AN174" s="146"/>
      <c r="AO174" s="32"/>
      <c r="AP174" s="146"/>
      <c r="AQ174" s="32"/>
      <c r="AR174" s="146"/>
      <c r="AS174" s="32"/>
      <c r="AT174" s="146"/>
      <c r="AU174" s="32"/>
      <c r="AV174" s="146"/>
      <c r="AW174" s="32"/>
      <c r="AX174" s="146"/>
      <c r="AY174" s="32"/>
      <c r="AZ174" s="146"/>
      <c r="BA174" s="32"/>
      <c r="BB174" s="146"/>
      <c r="BC174" s="32"/>
      <c r="BD174" s="146"/>
      <c r="BE174" s="32"/>
      <c r="BF174" s="146"/>
      <c r="BG174" s="32"/>
      <c r="BH174" s="146"/>
      <c r="BI174" s="32"/>
      <c r="BJ174" s="146"/>
      <c r="BK174" s="32"/>
      <c r="BL174" s="146"/>
      <c r="BM174" s="32"/>
      <c r="BN174" s="146"/>
      <c r="BO174" s="32"/>
      <c r="BP174" s="146"/>
      <c r="BQ174" s="32"/>
      <c r="BR174" s="146"/>
      <c r="BS174" s="32"/>
      <c r="BT174" s="146">
        <v>223</v>
      </c>
      <c r="BU174" s="32">
        <v>77</v>
      </c>
      <c r="BV174" s="146">
        <v>231</v>
      </c>
      <c r="BW174" s="32">
        <v>66</v>
      </c>
    </row>
    <row r="175" spans="1:75" ht="13" x14ac:dyDescent="0.25">
      <c r="A175" s="186">
        <v>2601</v>
      </c>
      <c r="B175" s="187" t="s">
        <v>197</v>
      </c>
      <c r="C175" s="46">
        <v>1301</v>
      </c>
      <c r="D175" s="142">
        <v>921</v>
      </c>
      <c r="E175" s="145">
        <f t="shared" si="2"/>
        <v>0.70791698693312832</v>
      </c>
      <c r="F175" s="146">
        <v>537</v>
      </c>
      <c r="G175" s="32">
        <v>351</v>
      </c>
      <c r="H175" s="146"/>
      <c r="I175" s="32"/>
      <c r="J175" s="146"/>
      <c r="K175" s="32"/>
      <c r="L175" s="146"/>
      <c r="M175" s="32"/>
      <c r="N175" s="146"/>
      <c r="O175" s="32"/>
      <c r="P175" s="146"/>
      <c r="Q175" s="32"/>
      <c r="R175" s="146"/>
      <c r="S175" s="32"/>
      <c r="T175" s="146"/>
      <c r="U175" s="32"/>
      <c r="V175" s="146"/>
      <c r="W175" s="32"/>
      <c r="X175" s="146"/>
      <c r="Y175" s="32"/>
      <c r="Z175" s="146"/>
      <c r="AA175" s="32"/>
      <c r="AB175" s="146"/>
      <c r="AC175" s="32"/>
      <c r="AD175" s="146"/>
      <c r="AE175" s="32"/>
      <c r="AF175" s="146"/>
      <c r="AG175" s="32"/>
      <c r="AH175" s="146"/>
      <c r="AI175" s="32"/>
      <c r="AJ175" s="146"/>
      <c r="AK175" s="32"/>
      <c r="AL175" s="146"/>
      <c r="AM175" s="32"/>
      <c r="AN175" s="146"/>
      <c r="AO175" s="32"/>
      <c r="AP175" s="146"/>
      <c r="AQ175" s="32"/>
      <c r="AR175" s="146"/>
      <c r="AS175" s="32"/>
      <c r="AT175" s="146"/>
      <c r="AU175" s="32"/>
      <c r="AV175" s="146"/>
      <c r="AW175" s="32"/>
      <c r="AX175" s="146"/>
      <c r="AY175" s="32"/>
      <c r="AZ175" s="146"/>
      <c r="BA175" s="32"/>
      <c r="BB175" s="146"/>
      <c r="BC175" s="32"/>
      <c r="BD175" s="146"/>
      <c r="BE175" s="32"/>
      <c r="BF175" s="146"/>
      <c r="BG175" s="32"/>
      <c r="BH175" s="146"/>
      <c r="BI175" s="32"/>
      <c r="BJ175" s="146"/>
      <c r="BK175" s="32"/>
      <c r="BL175" s="146"/>
      <c r="BM175" s="32"/>
      <c r="BN175" s="146"/>
      <c r="BO175" s="32"/>
      <c r="BP175" s="146"/>
      <c r="BQ175" s="32"/>
      <c r="BR175" s="146"/>
      <c r="BS175" s="32"/>
      <c r="BT175" s="146">
        <v>568</v>
      </c>
      <c r="BU175" s="32">
        <v>317</v>
      </c>
      <c r="BV175" s="146">
        <v>591</v>
      </c>
      <c r="BW175" s="32">
        <v>296</v>
      </c>
    </row>
    <row r="176" spans="1:75" ht="13" x14ac:dyDescent="0.25">
      <c r="A176" s="186">
        <v>2602</v>
      </c>
      <c r="B176" s="187" t="s">
        <v>198</v>
      </c>
      <c r="C176" s="46">
        <v>1078</v>
      </c>
      <c r="D176" s="142">
        <v>603</v>
      </c>
      <c r="E176" s="145">
        <f t="shared" si="2"/>
        <v>0.55936920222634512</v>
      </c>
      <c r="F176" s="146">
        <v>443</v>
      </c>
      <c r="G176" s="32">
        <v>136</v>
      </c>
      <c r="H176" s="146"/>
      <c r="I176" s="32"/>
      <c r="J176" s="146"/>
      <c r="K176" s="32"/>
      <c r="L176" s="146"/>
      <c r="M176" s="32"/>
      <c r="N176" s="146"/>
      <c r="O176" s="32"/>
      <c r="P176" s="146"/>
      <c r="Q176" s="32"/>
      <c r="R176" s="146"/>
      <c r="S176" s="32"/>
      <c r="T176" s="146"/>
      <c r="U176" s="32"/>
      <c r="V176" s="146"/>
      <c r="W176" s="32"/>
      <c r="X176" s="146"/>
      <c r="Y176" s="32"/>
      <c r="Z176" s="146"/>
      <c r="AA176" s="32"/>
      <c r="AB176" s="146"/>
      <c r="AC176" s="32"/>
      <c r="AD176" s="146"/>
      <c r="AE176" s="32"/>
      <c r="AF176" s="146"/>
      <c r="AG176" s="32"/>
      <c r="AH176" s="146"/>
      <c r="AI176" s="32"/>
      <c r="AJ176" s="146"/>
      <c r="AK176" s="32"/>
      <c r="AL176" s="146"/>
      <c r="AM176" s="32"/>
      <c r="AN176" s="146"/>
      <c r="AO176" s="32"/>
      <c r="AP176" s="146"/>
      <c r="AQ176" s="32"/>
      <c r="AR176" s="146"/>
      <c r="AS176" s="32"/>
      <c r="AT176" s="146"/>
      <c r="AU176" s="32"/>
      <c r="AV176" s="146"/>
      <c r="AW176" s="32"/>
      <c r="AX176" s="146"/>
      <c r="AY176" s="32"/>
      <c r="AZ176" s="146"/>
      <c r="BA176" s="32"/>
      <c r="BB176" s="146"/>
      <c r="BC176" s="32"/>
      <c r="BD176" s="146"/>
      <c r="BE176" s="32"/>
      <c r="BF176" s="146"/>
      <c r="BG176" s="32"/>
      <c r="BH176" s="146"/>
      <c r="BI176" s="32"/>
      <c r="BJ176" s="146"/>
      <c r="BK176" s="32"/>
      <c r="BL176" s="146"/>
      <c r="BM176" s="32"/>
      <c r="BN176" s="146"/>
      <c r="BO176" s="32"/>
      <c r="BP176" s="146"/>
      <c r="BQ176" s="32"/>
      <c r="BR176" s="146"/>
      <c r="BS176" s="32"/>
      <c r="BT176" s="146">
        <v>424</v>
      </c>
      <c r="BU176" s="32">
        <v>154</v>
      </c>
      <c r="BV176" s="146">
        <v>437</v>
      </c>
      <c r="BW176" s="32">
        <v>138</v>
      </c>
    </row>
    <row r="177" spans="1:75" ht="13" x14ac:dyDescent="0.25">
      <c r="A177" s="186">
        <v>2603</v>
      </c>
      <c r="B177" s="187" t="s">
        <v>199</v>
      </c>
      <c r="C177" s="46">
        <v>690</v>
      </c>
      <c r="D177" s="142">
        <v>420</v>
      </c>
      <c r="E177" s="145">
        <f t="shared" si="2"/>
        <v>0.60869565217391308</v>
      </c>
      <c r="F177" s="146">
        <v>263</v>
      </c>
      <c r="G177" s="32">
        <v>135</v>
      </c>
      <c r="H177" s="146"/>
      <c r="I177" s="32"/>
      <c r="J177" s="146"/>
      <c r="K177" s="32"/>
      <c r="L177" s="146"/>
      <c r="M177" s="32"/>
      <c r="N177" s="146"/>
      <c r="O177" s="32"/>
      <c r="P177" s="146"/>
      <c r="Q177" s="32"/>
      <c r="R177" s="146"/>
      <c r="S177" s="32"/>
      <c r="T177" s="146"/>
      <c r="U177" s="32"/>
      <c r="V177" s="146"/>
      <c r="W177" s="32"/>
      <c r="X177" s="146"/>
      <c r="Y177" s="32"/>
      <c r="Z177" s="146"/>
      <c r="AA177" s="32"/>
      <c r="AB177" s="146"/>
      <c r="AC177" s="32"/>
      <c r="AD177" s="146"/>
      <c r="AE177" s="32"/>
      <c r="AF177" s="146"/>
      <c r="AG177" s="32"/>
      <c r="AH177" s="146"/>
      <c r="AI177" s="32"/>
      <c r="AJ177" s="146"/>
      <c r="AK177" s="32"/>
      <c r="AL177" s="146"/>
      <c r="AM177" s="32"/>
      <c r="AN177" s="146"/>
      <c r="AO177" s="32"/>
      <c r="AP177" s="146"/>
      <c r="AQ177" s="32"/>
      <c r="AR177" s="146"/>
      <c r="AS177" s="32"/>
      <c r="AT177" s="146"/>
      <c r="AU177" s="32"/>
      <c r="AV177" s="146"/>
      <c r="AW177" s="32"/>
      <c r="AX177" s="146"/>
      <c r="AY177" s="32"/>
      <c r="AZ177" s="146"/>
      <c r="BA177" s="32"/>
      <c r="BB177" s="146"/>
      <c r="BC177" s="32"/>
      <c r="BD177" s="146"/>
      <c r="BE177" s="32"/>
      <c r="BF177" s="146"/>
      <c r="BG177" s="32"/>
      <c r="BH177" s="146"/>
      <c r="BI177" s="32"/>
      <c r="BJ177" s="146"/>
      <c r="BK177" s="32"/>
      <c r="BL177" s="146"/>
      <c r="BM177" s="32"/>
      <c r="BN177" s="146"/>
      <c r="BO177" s="32"/>
      <c r="BP177" s="146"/>
      <c r="BQ177" s="32"/>
      <c r="BR177" s="146"/>
      <c r="BS177" s="32"/>
      <c r="BT177" s="146">
        <v>289</v>
      </c>
      <c r="BU177" s="32">
        <v>105</v>
      </c>
      <c r="BV177" s="146">
        <v>293</v>
      </c>
      <c r="BW177" s="32">
        <v>103</v>
      </c>
    </row>
    <row r="178" spans="1:75" ht="13" x14ac:dyDescent="0.25">
      <c r="A178" s="186">
        <v>2604</v>
      </c>
      <c r="B178" s="187" t="s">
        <v>200</v>
      </c>
      <c r="C178" s="46">
        <v>1093</v>
      </c>
      <c r="D178" s="142">
        <v>432</v>
      </c>
      <c r="E178" s="145">
        <f t="shared" si="2"/>
        <v>0.39524245196706315</v>
      </c>
      <c r="F178" s="146">
        <v>315</v>
      </c>
      <c r="G178" s="32">
        <v>85</v>
      </c>
      <c r="H178" s="146"/>
      <c r="I178" s="32"/>
      <c r="J178" s="146"/>
      <c r="K178" s="32"/>
      <c r="L178" s="146"/>
      <c r="M178" s="32"/>
      <c r="N178" s="146"/>
      <c r="O178" s="32"/>
      <c r="P178" s="146"/>
      <c r="Q178" s="32"/>
      <c r="R178" s="146"/>
      <c r="S178" s="32"/>
      <c r="T178" s="146"/>
      <c r="U178" s="32"/>
      <c r="V178" s="146"/>
      <c r="W178" s="32"/>
      <c r="X178" s="146"/>
      <c r="Y178" s="32"/>
      <c r="Z178" s="146"/>
      <c r="AA178" s="32"/>
      <c r="AB178" s="146"/>
      <c r="AC178" s="32"/>
      <c r="AD178" s="146"/>
      <c r="AE178" s="32"/>
      <c r="AF178" s="146"/>
      <c r="AG178" s="32"/>
      <c r="AH178" s="146"/>
      <c r="AI178" s="32"/>
      <c r="AJ178" s="146"/>
      <c r="AK178" s="32"/>
      <c r="AL178" s="146"/>
      <c r="AM178" s="32"/>
      <c r="AN178" s="146"/>
      <c r="AO178" s="32"/>
      <c r="AP178" s="146"/>
      <c r="AQ178" s="32"/>
      <c r="AR178" s="146"/>
      <c r="AS178" s="32"/>
      <c r="AT178" s="146"/>
      <c r="AU178" s="32"/>
      <c r="AV178" s="146"/>
      <c r="AW178" s="32"/>
      <c r="AX178" s="146"/>
      <c r="AY178" s="32"/>
      <c r="AZ178" s="146"/>
      <c r="BA178" s="32"/>
      <c r="BB178" s="146"/>
      <c r="BC178" s="32"/>
      <c r="BD178" s="146"/>
      <c r="BE178" s="32"/>
      <c r="BF178" s="146"/>
      <c r="BG178" s="32"/>
      <c r="BH178" s="146"/>
      <c r="BI178" s="32"/>
      <c r="BJ178" s="146"/>
      <c r="BK178" s="32"/>
      <c r="BL178" s="146"/>
      <c r="BM178" s="32"/>
      <c r="BN178" s="146"/>
      <c r="BO178" s="32"/>
      <c r="BP178" s="146"/>
      <c r="BQ178" s="32"/>
      <c r="BR178" s="146"/>
      <c r="BS178" s="32"/>
      <c r="BT178" s="146">
        <v>296</v>
      </c>
      <c r="BU178" s="32">
        <v>101</v>
      </c>
      <c r="BV178" s="146">
        <v>311</v>
      </c>
      <c r="BW178" s="32">
        <v>89</v>
      </c>
    </row>
    <row r="179" spans="1:75" ht="13" x14ac:dyDescent="0.25">
      <c r="A179" s="186">
        <v>2605</v>
      </c>
      <c r="B179" s="187" t="s">
        <v>201</v>
      </c>
      <c r="C179" s="46">
        <v>1264</v>
      </c>
      <c r="D179" s="142">
        <v>527</v>
      </c>
      <c r="E179" s="145">
        <f t="shared" si="2"/>
        <v>0.41693037974683544</v>
      </c>
      <c r="F179" s="146">
        <v>381</v>
      </c>
      <c r="G179" s="32">
        <v>110</v>
      </c>
      <c r="H179" s="146"/>
      <c r="I179" s="32"/>
      <c r="J179" s="146"/>
      <c r="K179" s="32"/>
      <c r="L179" s="146"/>
      <c r="M179" s="32"/>
      <c r="N179" s="146"/>
      <c r="O179" s="32"/>
      <c r="P179" s="146"/>
      <c r="Q179" s="32"/>
      <c r="R179" s="146"/>
      <c r="S179" s="32"/>
      <c r="T179" s="146"/>
      <c r="U179" s="32"/>
      <c r="V179" s="146"/>
      <c r="W179" s="32"/>
      <c r="X179" s="146"/>
      <c r="Y179" s="32"/>
      <c r="Z179" s="146"/>
      <c r="AA179" s="32"/>
      <c r="AB179" s="146"/>
      <c r="AC179" s="32"/>
      <c r="AD179" s="146"/>
      <c r="AE179" s="32"/>
      <c r="AF179" s="146"/>
      <c r="AG179" s="32"/>
      <c r="AH179" s="146"/>
      <c r="AI179" s="32"/>
      <c r="AJ179" s="146"/>
      <c r="AK179" s="32"/>
      <c r="AL179" s="146"/>
      <c r="AM179" s="32"/>
      <c r="AN179" s="146"/>
      <c r="AO179" s="32"/>
      <c r="AP179" s="146"/>
      <c r="AQ179" s="32"/>
      <c r="AR179" s="146"/>
      <c r="AS179" s="32"/>
      <c r="AT179" s="146"/>
      <c r="AU179" s="32"/>
      <c r="AV179" s="146"/>
      <c r="AW179" s="32"/>
      <c r="AX179" s="146"/>
      <c r="AY179" s="32"/>
      <c r="AZ179" s="146"/>
      <c r="BA179" s="32"/>
      <c r="BB179" s="146"/>
      <c r="BC179" s="32"/>
      <c r="BD179" s="146"/>
      <c r="BE179" s="32"/>
      <c r="BF179" s="146"/>
      <c r="BG179" s="32"/>
      <c r="BH179" s="146"/>
      <c r="BI179" s="32"/>
      <c r="BJ179" s="146"/>
      <c r="BK179" s="32"/>
      <c r="BL179" s="146"/>
      <c r="BM179" s="32"/>
      <c r="BN179" s="146"/>
      <c r="BO179" s="32"/>
      <c r="BP179" s="146"/>
      <c r="BQ179" s="32"/>
      <c r="BR179" s="146"/>
      <c r="BS179" s="32"/>
      <c r="BT179" s="146">
        <v>375</v>
      </c>
      <c r="BU179" s="32">
        <v>119</v>
      </c>
      <c r="BV179" s="146">
        <v>396</v>
      </c>
      <c r="BW179" s="32">
        <v>95</v>
      </c>
    </row>
    <row r="180" spans="1:75" ht="13" x14ac:dyDescent="0.25">
      <c r="A180" s="186">
        <v>2606</v>
      </c>
      <c r="B180" s="187" t="s">
        <v>202</v>
      </c>
      <c r="C180" s="46">
        <v>863</v>
      </c>
      <c r="D180" s="142">
        <v>415</v>
      </c>
      <c r="E180" s="145">
        <f t="shared" si="2"/>
        <v>0.48088064889918886</v>
      </c>
      <c r="F180" s="146">
        <v>303</v>
      </c>
      <c r="G180" s="32">
        <v>90</v>
      </c>
      <c r="H180" s="146"/>
      <c r="I180" s="32"/>
      <c r="J180" s="146"/>
      <c r="K180" s="32"/>
      <c r="L180" s="146"/>
      <c r="M180" s="32"/>
      <c r="N180" s="146"/>
      <c r="O180" s="32"/>
      <c r="P180" s="146"/>
      <c r="Q180" s="32"/>
      <c r="R180" s="146"/>
      <c r="S180" s="32"/>
      <c r="T180" s="146"/>
      <c r="U180" s="32"/>
      <c r="V180" s="146"/>
      <c r="W180" s="32"/>
      <c r="X180" s="146"/>
      <c r="Y180" s="32"/>
      <c r="Z180" s="146"/>
      <c r="AA180" s="32"/>
      <c r="AB180" s="146"/>
      <c r="AC180" s="32"/>
      <c r="AD180" s="146"/>
      <c r="AE180" s="32"/>
      <c r="AF180" s="146"/>
      <c r="AG180" s="32"/>
      <c r="AH180" s="146"/>
      <c r="AI180" s="32"/>
      <c r="AJ180" s="146"/>
      <c r="AK180" s="32"/>
      <c r="AL180" s="146"/>
      <c r="AM180" s="32"/>
      <c r="AN180" s="146"/>
      <c r="AO180" s="32"/>
      <c r="AP180" s="146"/>
      <c r="AQ180" s="32"/>
      <c r="AR180" s="146"/>
      <c r="AS180" s="32"/>
      <c r="AT180" s="146"/>
      <c r="AU180" s="32"/>
      <c r="AV180" s="146"/>
      <c r="AW180" s="32"/>
      <c r="AX180" s="146"/>
      <c r="AY180" s="32"/>
      <c r="AZ180" s="146"/>
      <c r="BA180" s="32"/>
      <c r="BB180" s="146"/>
      <c r="BC180" s="32"/>
      <c r="BD180" s="146"/>
      <c r="BE180" s="32"/>
      <c r="BF180" s="146"/>
      <c r="BG180" s="32"/>
      <c r="BH180" s="146"/>
      <c r="BI180" s="32"/>
      <c r="BJ180" s="146"/>
      <c r="BK180" s="32"/>
      <c r="BL180" s="146"/>
      <c r="BM180" s="32"/>
      <c r="BN180" s="146"/>
      <c r="BO180" s="32"/>
      <c r="BP180" s="146"/>
      <c r="BQ180" s="32"/>
      <c r="BR180" s="146"/>
      <c r="BS180" s="32"/>
      <c r="BT180" s="146">
        <v>325</v>
      </c>
      <c r="BU180" s="32">
        <v>74</v>
      </c>
      <c r="BV180" s="146">
        <v>344</v>
      </c>
      <c r="BW180" s="32">
        <v>51</v>
      </c>
    </row>
    <row r="181" spans="1:75" ht="13" x14ac:dyDescent="0.25">
      <c r="A181" s="186">
        <v>2607</v>
      </c>
      <c r="B181" s="187" t="s">
        <v>203</v>
      </c>
      <c r="C181" s="46">
        <v>1033</v>
      </c>
      <c r="D181" s="142">
        <v>587</v>
      </c>
      <c r="E181" s="145">
        <f t="shared" si="2"/>
        <v>0.56824782187802514</v>
      </c>
      <c r="F181" s="146">
        <v>328</v>
      </c>
      <c r="G181" s="32">
        <v>225</v>
      </c>
      <c r="H181" s="146"/>
      <c r="I181" s="32"/>
      <c r="J181" s="146"/>
      <c r="K181" s="32"/>
      <c r="L181" s="146"/>
      <c r="M181" s="32"/>
      <c r="N181" s="146"/>
      <c r="O181" s="32"/>
      <c r="P181" s="146"/>
      <c r="Q181" s="32"/>
      <c r="R181" s="146"/>
      <c r="S181" s="32"/>
      <c r="T181" s="146"/>
      <c r="U181" s="32"/>
      <c r="V181" s="146"/>
      <c r="W181" s="32"/>
      <c r="X181" s="146"/>
      <c r="Y181" s="32"/>
      <c r="Z181" s="146"/>
      <c r="AA181" s="32"/>
      <c r="AB181" s="146"/>
      <c r="AC181" s="32"/>
      <c r="AD181" s="146"/>
      <c r="AE181" s="32"/>
      <c r="AF181" s="146"/>
      <c r="AG181" s="32"/>
      <c r="AH181" s="146"/>
      <c r="AI181" s="32"/>
      <c r="AJ181" s="146"/>
      <c r="AK181" s="32"/>
      <c r="AL181" s="146"/>
      <c r="AM181" s="32"/>
      <c r="AN181" s="146"/>
      <c r="AO181" s="32"/>
      <c r="AP181" s="146"/>
      <c r="AQ181" s="32"/>
      <c r="AR181" s="146"/>
      <c r="AS181" s="32"/>
      <c r="AT181" s="146"/>
      <c r="AU181" s="32"/>
      <c r="AV181" s="146"/>
      <c r="AW181" s="32"/>
      <c r="AX181" s="146"/>
      <c r="AY181" s="32"/>
      <c r="AZ181" s="146"/>
      <c r="BA181" s="32"/>
      <c r="BB181" s="146"/>
      <c r="BC181" s="32"/>
      <c r="BD181" s="146"/>
      <c r="BE181" s="32"/>
      <c r="BF181" s="146"/>
      <c r="BG181" s="32"/>
      <c r="BH181" s="146"/>
      <c r="BI181" s="32"/>
      <c r="BJ181" s="146"/>
      <c r="BK181" s="32"/>
      <c r="BL181" s="146"/>
      <c r="BM181" s="32"/>
      <c r="BN181" s="146"/>
      <c r="BO181" s="32"/>
      <c r="BP181" s="146"/>
      <c r="BQ181" s="32"/>
      <c r="BR181" s="146"/>
      <c r="BS181" s="32"/>
      <c r="BT181" s="146">
        <v>348</v>
      </c>
      <c r="BU181" s="32">
        <v>201</v>
      </c>
      <c r="BV181" s="146">
        <v>370</v>
      </c>
      <c r="BW181" s="32">
        <v>180</v>
      </c>
    </row>
    <row r="182" spans="1:75" ht="13" x14ac:dyDescent="0.25">
      <c r="A182" s="186">
        <v>2608</v>
      </c>
      <c r="B182" s="187" t="s">
        <v>204</v>
      </c>
      <c r="C182" s="46">
        <v>945</v>
      </c>
      <c r="D182" s="142">
        <v>234</v>
      </c>
      <c r="E182" s="145">
        <f t="shared" si="2"/>
        <v>0.24761904761904763</v>
      </c>
      <c r="F182" s="146">
        <v>159</v>
      </c>
      <c r="G182" s="32">
        <v>58</v>
      </c>
      <c r="H182" s="146"/>
      <c r="I182" s="32"/>
      <c r="J182" s="146"/>
      <c r="K182" s="32"/>
      <c r="L182" s="146"/>
      <c r="M182" s="32"/>
      <c r="N182" s="146"/>
      <c r="O182" s="32"/>
      <c r="P182" s="146"/>
      <c r="Q182" s="32"/>
      <c r="R182" s="146"/>
      <c r="S182" s="32"/>
      <c r="T182" s="146"/>
      <c r="U182" s="32"/>
      <c r="V182" s="146"/>
      <c r="W182" s="32"/>
      <c r="X182" s="146"/>
      <c r="Y182" s="32"/>
      <c r="Z182" s="146"/>
      <c r="AA182" s="32"/>
      <c r="AB182" s="146"/>
      <c r="AC182" s="32"/>
      <c r="AD182" s="146"/>
      <c r="AE182" s="32"/>
      <c r="AF182" s="146"/>
      <c r="AG182" s="32"/>
      <c r="AH182" s="146"/>
      <c r="AI182" s="32"/>
      <c r="AJ182" s="146"/>
      <c r="AK182" s="32"/>
      <c r="AL182" s="146"/>
      <c r="AM182" s="32"/>
      <c r="AN182" s="146"/>
      <c r="AO182" s="32"/>
      <c r="AP182" s="146"/>
      <c r="AQ182" s="32"/>
      <c r="AR182" s="146"/>
      <c r="AS182" s="32"/>
      <c r="AT182" s="146"/>
      <c r="AU182" s="32"/>
      <c r="AV182" s="146"/>
      <c r="AW182" s="32"/>
      <c r="AX182" s="146"/>
      <c r="AY182" s="32"/>
      <c r="AZ182" s="146"/>
      <c r="BA182" s="32"/>
      <c r="BB182" s="146"/>
      <c r="BC182" s="32"/>
      <c r="BD182" s="146"/>
      <c r="BE182" s="32"/>
      <c r="BF182" s="146"/>
      <c r="BG182" s="32"/>
      <c r="BH182" s="146"/>
      <c r="BI182" s="32"/>
      <c r="BJ182" s="146"/>
      <c r="BK182" s="32"/>
      <c r="BL182" s="146"/>
      <c r="BM182" s="32"/>
      <c r="BN182" s="146"/>
      <c r="BO182" s="32"/>
      <c r="BP182" s="146"/>
      <c r="BQ182" s="32"/>
      <c r="BR182" s="146"/>
      <c r="BS182" s="32"/>
      <c r="BT182" s="146">
        <v>162</v>
      </c>
      <c r="BU182" s="32">
        <v>51</v>
      </c>
      <c r="BV182" s="146">
        <v>175</v>
      </c>
      <c r="BW182" s="32">
        <v>40</v>
      </c>
    </row>
    <row r="183" spans="1:75" ht="13" x14ac:dyDescent="0.25">
      <c r="A183" s="186">
        <v>2609</v>
      </c>
      <c r="B183" s="187" t="s">
        <v>205</v>
      </c>
      <c r="C183" s="46">
        <v>1141</v>
      </c>
      <c r="D183" s="142">
        <v>719</v>
      </c>
      <c r="E183" s="145">
        <f t="shared" si="2"/>
        <v>0.63014899211218234</v>
      </c>
      <c r="F183" s="146">
        <v>413</v>
      </c>
      <c r="G183" s="32">
        <v>275</v>
      </c>
      <c r="H183" s="146"/>
      <c r="I183" s="32"/>
      <c r="J183" s="146"/>
      <c r="K183" s="32"/>
      <c r="L183" s="146"/>
      <c r="M183" s="32"/>
      <c r="N183" s="146"/>
      <c r="O183" s="32"/>
      <c r="P183" s="146"/>
      <c r="Q183" s="32"/>
      <c r="R183" s="146"/>
      <c r="S183" s="32"/>
      <c r="T183" s="146"/>
      <c r="U183" s="32"/>
      <c r="V183" s="146"/>
      <c r="W183" s="32"/>
      <c r="X183" s="146"/>
      <c r="Y183" s="32"/>
      <c r="Z183" s="146"/>
      <c r="AA183" s="32"/>
      <c r="AB183" s="146"/>
      <c r="AC183" s="32"/>
      <c r="AD183" s="146"/>
      <c r="AE183" s="32"/>
      <c r="AF183" s="146"/>
      <c r="AG183" s="32"/>
      <c r="AH183" s="146"/>
      <c r="AI183" s="32"/>
      <c r="AJ183" s="146"/>
      <c r="AK183" s="32"/>
      <c r="AL183" s="146"/>
      <c r="AM183" s="32"/>
      <c r="AN183" s="146"/>
      <c r="AO183" s="32"/>
      <c r="AP183" s="146"/>
      <c r="AQ183" s="32"/>
      <c r="AR183" s="146"/>
      <c r="AS183" s="32"/>
      <c r="AT183" s="146"/>
      <c r="AU183" s="32"/>
      <c r="AV183" s="146"/>
      <c r="AW183" s="32"/>
      <c r="AX183" s="146"/>
      <c r="AY183" s="32"/>
      <c r="AZ183" s="146"/>
      <c r="BA183" s="32"/>
      <c r="BB183" s="146"/>
      <c r="BC183" s="32"/>
      <c r="BD183" s="146"/>
      <c r="BE183" s="32"/>
      <c r="BF183" s="146"/>
      <c r="BG183" s="32"/>
      <c r="BH183" s="146"/>
      <c r="BI183" s="32"/>
      <c r="BJ183" s="146"/>
      <c r="BK183" s="32"/>
      <c r="BL183" s="146"/>
      <c r="BM183" s="32"/>
      <c r="BN183" s="146"/>
      <c r="BO183" s="32"/>
      <c r="BP183" s="146"/>
      <c r="BQ183" s="32"/>
      <c r="BR183" s="146"/>
      <c r="BS183" s="32"/>
      <c r="BT183" s="146">
        <v>453</v>
      </c>
      <c r="BU183" s="32">
        <v>234</v>
      </c>
      <c r="BV183" s="146">
        <v>463</v>
      </c>
      <c r="BW183" s="32">
        <v>215</v>
      </c>
    </row>
    <row r="184" spans="1:75" ht="13" x14ac:dyDescent="0.25">
      <c r="A184" s="186">
        <v>2610</v>
      </c>
      <c r="B184" s="187" t="s">
        <v>206</v>
      </c>
      <c r="C184" s="46">
        <v>1312</v>
      </c>
      <c r="D184" s="142">
        <v>696</v>
      </c>
      <c r="E184" s="145">
        <f t="shared" si="2"/>
        <v>0.53048780487804881</v>
      </c>
      <c r="F184" s="146">
        <v>524</v>
      </c>
      <c r="G184" s="32">
        <v>131</v>
      </c>
      <c r="H184" s="146"/>
      <c r="I184" s="32"/>
      <c r="J184" s="146"/>
      <c r="K184" s="32"/>
      <c r="L184" s="146"/>
      <c r="M184" s="32"/>
      <c r="N184" s="146"/>
      <c r="O184" s="32"/>
      <c r="P184" s="146"/>
      <c r="Q184" s="32"/>
      <c r="R184" s="146"/>
      <c r="S184" s="32"/>
      <c r="T184" s="146"/>
      <c r="U184" s="32"/>
      <c r="V184" s="146"/>
      <c r="W184" s="32"/>
      <c r="X184" s="146"/>
      <c r="Y184" s="32"/>
      <c r="Z184" s="146"/>
      <c r="AA184" s="32"/>
      <c r="AB184" s="146"/>
      <c r="AC184" s="32"/>
      <c r="AD184" s="146"/>
      <c r="AE184" s="32"/>
      <c r="AF184" s="146"/>
      <c r="AG184" s="32"/>
      <c r="AH184" s="146"/>
      <c r="AI184" s="32"/>
      <c r="AJ184" s="146"/>
      <c r="AK184" s="32"/>
      <c r="AL184" s="146"/>
      <c r="AM184" s="32"/>
      <c r="AN184" s="146"/>
      <c r="AO184" s="32"/>
      <c r="AP184" s="146"/>
      <c r="AQ184" s="32"/>
      <c r="AR184" s="146"/>
      <c r="AS184" s="32"/>
      <c r="AT184" s="146"/>
      <c r="AU184" s="32"/>
      <c r="AV184" s="146"/>
      <c r="AW184" s="32"/>
      <c r="AX184" s="146"/>
      <c r="AY184" s="32"/>
      <c r="AZ184" s="146"/>
      <c r="BA184" s="32"/>
      <c r="BB184" s="146"/>
      <c r="BC184" s="32"/>
      <c r="BD184" s="146"/>
      <c r="BE184" s="32"/>
      <c r="BF184" s="146"/>
      <c r="BG184" s="32"/>
      <c r="BH184" s="146"/>
      <c r="BI184" s="32"/>
      <c r="BJ184" s="146"/>
      <c r="BK184" s="32"/>
      <c r="BL184" s="146"/>
      <c r="BM184" s="32"/>
      <c r="BN184" s="146"/>
      <c r="BO184" s="32"/>
      <c r="BP184" s="146"/>
      <c r="BQ184" s="32"/>
      <c r="BR184" s="146"/>
      <c r="BS184" s="32"/>
      <c r="BT184" s="146">
        <v>478</v>
      </c>
      <c r="BU184" s="32">
        <v>172</v>
      </c>
      <c r="BV184" s="146">
        <v>497</v>
      </c>
      <c r="BW184" s="32">
        <v>152</v>
      </c>
    </row>
    <row r="185" spans="1:75" ht="13" x14ac:dyDescent="0.25">
      <c r="A185" s="186">
        <v>2611</v>
      </c>
      <c r="B185" s="187" t="s">
        <v>207</v>
      </c>
      <c r="C185" s="46">
        <v>1290</v>
      </c>
      <c r="D185" s="142">
        <v>837</v>
      </c>
      <c r="E185" s="145">
        <f t="shared" si="2"/>
        <v>0.64883720930232558</v>
      </c>
      <c r="F185" s="146">
        <v>507</v>
      </c>
      <c r="G185" s="32">
        <v>294</v>
      </c>
      <c r="H185" s="146"/>
      <c r="I185" s="32"/>
      <c r="J185" s="146"/>
      <c r="K185" s="32"/>
      <c r="L185" s="146"/>
      <c r="M185" s="32"/>
      <c r="N185" s="146"/>
      <c r="O185" s="32"/>
      <c r="P185" s="146"/>
      <c r="Q185" s="32"/>
      <c r="R185" s="146"/>
      <c r="S185" s="32"/>
      <c r="T185" s="146"/>
      <c r="U185" s="32"/>
      <c r="V185" s="146"/>
      <c r="W185" s="32"/>
      <c r="X185" s="146"/>
      <c r="Y185" s="32"/>
      <c r="Z185" s="146"/>
      <c r="AA185" s="32"/>
      <c r="AB185" s="146"/>
      <c r="AC185" s="32"/>
      <c r="AD185" s="146"/>
      <c r="AE185" s="32"/>
      <c r="AF185" s="146"/>
      <c r="AG185" s="32"/>
      <c r="AH185" s="146"/>
      <c r="AI185" s="32"/>
      <c r="AJ185" s="146"/>
      <c r="AK185" s="32"/>
      <c r="AL185" s="146"/>
      <c r="AM185" s="32"/>
      <c r="AN185" s="146"/>
      <c r="AO185" s="32"/>
      <c r="AP185" s="146"/>
      <c r="AQ185" s="32"/>
      <c r="AR185" s="146"/>
      <c r="AS185" s="32"/>
      <c r="AT185" s="146"/>
      <c r="AU185" s="32"/>
      <c r="AV185" s="146"/>
      <c r="AW185" s="32"/>
      <c r="AX185" s="146"/>
      <c r="AY185" s="32"/>
      <c r="AZ185" s="146"/>
      <c r="BA185" s="32"/>
      <c r="BB185" s="146"/>
      <c r="BC185" s="32"/>
      <c r="BD185" s="146"/>
      <c r="BE185" s="32"/>
      <c r="BF185" s="146"/>
      <c r="BG185" s="32"/>
      <c r="BH185" s="146"/>
      <c r="BI185" s="32"/>
      <c r="BJ185" s="146"/>
      <c r="BK185" s="32"/>
      <c r="BL185" s="146"/>
      <c r="BM185" s="32"/>
      <c r="BN185" s="146"/>
      <c r="BO185" s="32"/>
      <c r="BP185" s="146"/>
      <c r="BQ185" s="32"/>
      <c r="BR185" s="146"/>
      <c r="BS185" s="32"/>
      <c r="BT185" s="146">
        <v>519</v>
      </c>
      <c r="BU185" s="32">
        <v>286</v>
      </c>
      <c r="BV185" s="146">
        <v>544</v>
      </c>
      <c r="BW185" s="32">
        <v>256</v>
      </c>
    </row>
    <row r="186" spans="1:75" ht="13" x14ac:dyDescent="0.25">
      <c r="A186" s="186">
        <v>2612</v>
      </c>
      <c r="B186" s="187" t="s">
        <v>208</v>
      </c>
      <c r="C186" s="46">
        <v>846</v>
      </c>
      <c r="D186" s="142">
        <v>465</v>
      </c>
      <c r="E186" s="145">
        <f t="shared" si="2"/>
        <v>0.54964539007092195</v>
      </c>
      <c r="F186" s="146">
        <v>283</v>
      </c>
      <c r="G186" s="32">
        <v>148</v>
      </c>
      <c r="H186" s="146"/>
      <c r="I186" s="32"/>
      <c r="J186" s="146"/>
      <c r="K186" s="32"/>
      <c r="L186" s="146"/>
      <c r="M186" s="32"/>
      <c r="N186" s="146"/>
      <c r="O186" s="32"/>
      <c r="P186" s="146"/>
      <c r="Q186" s="32"/>
      <c r="R186" s="146"/>
      <c r="S186" s="32"/>
      <c r="T186" s="146"/>
      <c r="U186" s="32"/>
      <c r="V186" s="146"/>
      <c r="W186" s="32"/>
      <c r="X186" s="146"/>
      <c r="Y186" s="32"/>
      <c r="Z186" s="146"/>
      <c r="AA186" s="32"/>
      <c r="AB186" s="146"/>
      <c r="AC186" s="32"/>
      <c r="AD186" s="146"/>
      <c r="AE186" s="32"/>
      <c r="AF186" s="146"/>
      <c r="AG186" s="32"/>
      <c r="AH186" s="146"/>
      <c r="AI186" s="32"/>
      <c r="AJ186" s="146"/>
      <c r="AK186" s="32"/>
      <c r="AL186" s="146"/>
      <c r="AM186" s="32"/>
      <c r="AN186" s="146"/>
      <c r="AO186" s="32"/>
      <c r="AP186" s="146"/>
      <c r="AQ186" s="32"/>
      <c r="AR186" s="146"/>
      <c r="AS186" s="32"/>
      <c r="AT186" s="146"/>
      <c r="AU186" s="32"/>
      <c r="AV186" s="146"/>
      <c r="AW186" s="32"/>
      <c r="AX186" s="146"/>
      <c r="AY186" s="32"/>
      <c r="AZ186" s="146"/>
      <c r="BA186" s="32"/>
      <c r="BB186" s="146"/>
      <c r="BC186" s="32"/>
      <c r="BD186" s="146"/>
      <c r="BE186" s="32"/>
      <c r="BF186" s="146"/>
      <c r="BG186" s="32"/>
      <c r="BH186" s="146"/>
      <c r="BI186" s="32"/>
      <c r="BJ186" s="146"/>
      <c r="BK186" s="32"/>
      <c r="BL186" s="146"/>
      <c r="BM186" s="32"/>
      <c r="BN186" s="146"/>
      <c r="BO186" s="32"/>
      <c r="BP186" s="146"/>
      <c r="BQ186" s="32"/>
      <c r="BR186" s="146"/>
      <c r="BS186" s="32"/>
      <c r="BT186" s="146">
        <v>288</v>
      </c>
      <c r="BU186" s="32">
        <v>146</v>
      </c>
      <c r="BV186" s="146">
        <v>304</v>
      </c>
      <c r="BW186" s="32">
        <v>132</v>
      </c>
    </row>
    <row r="187" spans="1:75" ht="13" x14ac:dyDescent="0.25">
      <c r="A187" s="186">
        <v>2613</v>
      </c>
      <c r="B187" s="187" t="s">
        <v>209</v>
      </c>
      <c r="C187" s="46">
        <v>669</v>
      </c>
      <c r="D187" s="142">
        <v>290</v>
      </c>
      <c r="E187" s="145">
        <f t="shared" si="2"/>
        <v>0.43348281016442453</v>
      </c>
      <c r="F187" s="146">
        <v>209</v>
      </c>
      <c r="G187" s="32">
        <v>69</v>
      </c>
      <c r="H187" s="146"/>
      <c r="I187" s="32"/>
      <c r="J187" s="146"/>
      <c r="K187" s="32"/>
      <c r="L187" s="146"/>
      <c r="M187" s="32"/>
      <c r="N187" s="146"/>
      <c r="O187" s="32"/>
      <c r="P187" s="146"/>
      <c r="Q187" s="32"/>
      <c r="R187" s="146"/>
      <c r="S187" s="32"/>
      <c r="T187" s="146"/>
      <c r="U187" s="32"/>
      <c r="V187" s="146"/>
      <c r="W187" s="32"/>
      <c r="X187" s="146"/>
      <c r="Y187" s="32"/>
      <c r="Z187" s="146"/>
      <c r="AA187" s="32"/>
      <c r="AB187" s="146"/>
      <c r="AC187" s="32"/>
      <c r="AD187" s="146"/>
      <c r="AE187" s="32"/>
      <c r="AF187" s="146"/>
      <c r="AG187" s="32"/>
      <c r="AH187" s="146"/>
      <c r="AI187" s="32"/>
      <c r="AJ187" s="146"/>
      <c r="AK187" s="32"/>
      <c r="AL187" s="146"/>
      <c r="AM187" s="32"/>
      <c r="AN187" s="146"/>
      <c r="AO187" s="32"/>
      <c r="AP187" s="146"/>
      <c r="AQ187" s="32"/>
      <c r="AR187" s="146"/>
      <c r="AS187" s="32"/>
      <c r="AT187" s="146"/>
      <c r="AU187" s="32"/>
      <c r="AV187" s="146"/>
      <c r="AW187" s="32"/>
      <c r="AX187" s="146"/>
      <c r="AY187" s="32"/>
      <c r="AZ187" s="146"/>
      <c r="BA187" s="32"/>
      <c r="BB187" s="146"/>
      <c r="BC187" s="32"/>
      <c r="BD187" s="146"/>
      <c r="BE187" s="32"/>
      <c r="BF187" s="146"/>
      <c r="BG187" s="32"/>
      <c r="BH187" s="146"/>
      <c r="BI187" s="32"/>
      <c r="BJ187" s="146"/>
      <c r="BK187" s="32"/>
      <c r="BL187" s="146"/>
      <c r="BM187" s="32"/>
      <c r="BN187" s="146"/>
      <c r="BO187" s="32"/>
      <c r="BP187" s="146"/>
      <c r="BQ187" s="32"/>
      <c r="BR187" s="146"/>
      <c r="BS187" s="32"/>
      <c r="BT187" s="146">
        <v>197</v>
      </c>
      <c r="BU187" s="32">
        <v>76</v>
      </c>
      <c r="BV187" s="146">
        <v>204</v>
      </c>
      <c r="BW187" s="32">
        <v>70</v>
      </c>
    </row>
    <row r="188" spans="1:75" ht="13" x14ac:dyDescent="0.25">
      <c r="A188" s="186">
        <v>2614</v>
      </c>
      <c r="B188" s="187" t="s">
        <v>210</v>
      </c>
      <c r="C188" s="46">
        <v>1161</v>
      </c>
      <c r="D188" s="142">
        <v>606</v>
      </c>
      <c r="E188" s="145">
        <f t="shared" si="2"/>
        <v>0.52196382428940569</v>
      </c>
      <c r="F188" s="146">
        <v>395</v>
      </c>
      <c r="G188" s="32">
        <v>175</v>
      </c>
      <c r="H188" s="146"/>
      <c r="I188" s="32"/>
      <c r="J188" s="146"/>
      <c r="K188" s="32"/>
      <c r="L188" s="146"/>
      <c r="M188" s="32"/>
      <c r="N188" s="146"/>
      <c r="O188" s="32"/>
      <c r="P188" s="146"/>
      <c r="Q188" s="32"/>
      <c r="R188" s="146"/>
      <c r="S188" s="32"/>
      <c r="T188" s="146"/>
      <c r="U188" s="32"/>
      <c r="V188" s="146"/>
      <c r="W188" s="32"/>
      <c r="X188" s="146"/>
      <c r="Y188" s="32"/>
      <c r="Z188" s="146"/>
      <c r="AA188" s="32"/>
      <c r="AB188" s="146"/>
      <c r="AC188" s="32"/>
      <c r="AD188" s="146"/>
      <c r="AE188" s="32"/>
      <c r="AF188" s="146"/>
      <c r="AG188" s="32"/>
      <c r="AH188" s="146"/>
      <c r="AI188" s="32"/>
      <c r="AJ188" s="146"/>
      <c r="AK188" s="32"/>
      <c r="AL188" s="146"/>
      <c r="AM188" s="32"/>
      <c r="AN188" s="146"/>
      <c r="AO188" s="32"/>
      <c r="AP188" s="146"/>
      <c r="AQ188" s="32"/>
      <c r="AR188" s="146"/>
      <c r="AS188" s="32"/>
      <c r="AT188" s="146"/>
      <c r="AU188" s="32"/>
      <c r="AV188" s="146"/>
      <c r="AW188" s="32"/>
      <c r="AX188" s="146"/>
      <c r="AY188" s="32"/>
      <c r="AZ188" s="146"/>
      <c r="BA188" s="32"/>
      <c r="BB188" s="146"/>
      <c r="BC188" s="32"/>
      <c r="BD188" s="146"/>
      <c r="BE188" s="32"/>
      <c r="BF188" s="146"/>
      <c r="BG188" s="32"/>
      <c r="BH188" s="146"/>
      <c r="BI188" s="32"/>
      <c r="BJ188" s="146"/>
      <c r="BK188" s="32"/>
      <c r="BL188" s="146"/>
      <c r="BM188" s="32"/>
      <c r="BN188" s="146"/>
      <c r="BO188" s="32"/>
      <c r="BP188" s="146"/>
      <c r="BQ188" s="32"/>
      <c r="BR188" s="146"/>
      <c r="BS188" s="32"/>
      <c r="BT188" s="146">
        <v>402</v>
      </c>
      <c r="BU188" s="32">
        <v>162</v>
      </c>
      <c r="BV188" s="146">
        <v>415</v>
      </c>
      <c r="BW188" s="32">
        <v>148</v>
      </c>
    </row>
    <row r="189" spans="1:75" ht="13" x14ac:dyDescent="0.25">
      <c r="A189" s="186">
        <v>2615</v>
      </c>
      <c r="B189" s="187" t="s">
        <v>211</v>
      </c>
      <c r="C189" s="46">
        <v>1147</v>
      </c>
      <c r="D189" s="142">
        <v>785</v>
      </c>
      <c r="E189" s="145">
        <f t="shared" si="2"/>
        <v>0.68439407149084563</v>
      </c>
      <c r="F189" s="146">
        <v>511</v>
      </c>
      <c r="G189" s="32">
        <v>246</v>
      </c>
      <c r="H189" s="146"/>
      <c r="I189" s="32"/>
      <c r="J189" s="146"/>
      <c r="K189" s="32"/>
      <c r="L189" s="146"/>
      <c r="M189" s="32"/>
      <c r="N189" s="146"/>
      <c r="O189" s="32"/>
      <c r="P189" s="146"/>
      <c r="Q189" s="32"/>
      <c r="R189" s="146"/>
      <c r="S189" s="32"/>
      <c r="T189" s="146"/>
      <c r="U189" s="32"/>
      <c r="V189" s="146"/>
      <c r="W189" s="32"/>
      <c r="X189" s="146"/>
      <c r="Y189" s="32"/>
      <c r="Z189" s="146"/>
      <c r="AA189" s="32"/>
      <c r="AB189" s="146"/>
      <c r="AC189" s="32"/>
      <c r="AD189" s="146"/>
      <c r="AE189" s="32"/>
      <c r="AF189" s="146"/>
      <c r="AG189" s="32"/>
      <c r="AH189" s="146"/>
      <c r="AI189" s="32"/>
      <c r="AJ189" s="146"/>
      <c r="AK189" s="32"/>
      <c r="AL189" s="146"/>
      <c r="AM189" s="32"/>
      <c r="AN189" s="146"/>
      <c r="AO189" s="32"/>
      <c r="AP189" s="146"/>
      <c r="AQ189" s="32"/>
      <c r="AR189" s="146"/>
      <c r="AS189" s="32"/>
      <c r="AT189" s="146"/>
      <c r="AU189" s="32"/>
      <c r="AV189" s="146"/>
      <c r="AW189" s="32"/>
      <c r="AX189" s="146"/>
      <c r="AY189" s="32"/>
      <c r="AZ189" s="146"/>
      <c r="BA189" s="32"/>
      <c r="BB189" s="146"/>
      <c r="BC189" s="32"/>
      <c r="BD189" s="146"/>
      <c r="BE189" s="32"/>
      <c r="BF189" s="146"/>
      <c r="BG189" s="32"/>
      <c r="BH189" s="146"/>
      <c r="BI189" s="32"/>
      <c r="BJ189" s="146"/>
      <c r="BK189" s="32"/>
      <c r="BL189" s="146"/>
      <c r="BM189" s="32"/>
      <c r="BN189" s="146"/>
      <c r="BO189" s="32"/>
      <c r="BP189" s="146"/>
      <c r="BQ189" s="32"/>
      <c r="BR189" s="146"/>
      <c r="BS189" s="32"/>
      <c r="BT189" s="146">
        <v>522</v>
      </c>
      <c r="BU189" s="32">
        <v>228</v>
      </c>
      <c r="BV189" s="146">
        <v>552</v>
      </c>
      <c r="BW189" s="32">
        <v>196</v>
      </c>
    </row>
    <row r="190" spans="1:75" ht="13" x14ac:dyDescent="0.25">
      <c r="A190" s="186">
        <v>2616</v>
      </c>
      <c r="B190" s="187" t="s">
        <v>212</v>
      </c>
      <c r="C190" s="46">
        <v>1291</v>
      </c>
      <c r="D190" s="142">
        <v>738</v>
      </c>
      <c r="E190" s="145">
        <f t="shared" si="2"/>
        <v>0.57164988381099924</v>
      </c>
      <c r="F190" s="146">
        <v>523</v>
      </c>
      <c r="G190" s="32">
        <v>169</v>
      </c>
      <c r="H190" s="146"/>
      <c r="I190" s="32"/>
      <c r="J190" s="146"/>
      <c r="K190" s="32"/>
      <c r="L190" s="146"/>
      <c r="M190" s="32"/>
      <c r="N190" s="146"/>
      <c r="O190" s="32"/>
      <c r="P190" s="146"/>
      <c r="Q190" s="32"/>
      <c r="R190" s="146"/>
      <c r="S190" s="32"/>
      <c r="T190" s="146"/>
      <c r="U190" s="32"/>
      <c r="V190" s="146"/>
      <c r="W190" s="32"/>
      <c r="X190" s="146"/>
      <c r="Y190" s="32"/>
      <c r="Z190" s="146"/>
      <c r="AA190" s="32"/>
      <c r="AB190" s="146"/>
      <c r="AC190" s="32"/>
      <c r="AD190" s="146"/>
      <c r="AE190" s="32"/>
      <c r="AF190" s="146"/>
      <c r="AG190" s="32"/>
      <c r="AH190" s="146"/>
      <c r="AI190" s="32"/>
      <c r="AJ190" s="146"/>
      <c r="AK190" s="32"/>
      <c r="AL190" s="146"/>
      <c r="AM190" s="32"/>
      <c r="AN190" s="146"/>
      <c r="AO190" s="32"/>
      <c r="AP190" s="146"/>
      <c r="AQ190" s="32"/>
      <c r="AR190" s="146"/>
      <c r="AS190" s="32"/>
      <c r="AT190" s="146"/>
      <c r="AU190" s="32"/>
      <c r="AV190" s="146"/>
      <c r="AW190" s="32"/>
      <c r="AX190" s="146"/>
      <c r="AY190" s="32"/>
      <c r="AZ190" s="146"/>
      <c r="BA190" s="32"/>
      <c r="BB190" s="146"/>
      <c r="BC190" s="32"/>
      <c r="BD190" s="146"/>
      <c r="BE190" s="32"/>
      <c r="BF190" s="146"/>
      <c r="BG190" s="32"/>
      <c r="BH190" s="146"/>
      <c r="BI190" s="32"/>
      <c r="BJ190" s="146"/>
      <c r="BK190" s="32"/>
      <c r="BL190" s="146"/>
      <c r="BM190" s="32"/>
      <c r="BN190" s="146"/>
      <c r="BO190" s="32"/>
      <c r="BP190" s="146"/>
      <c r="BQ190" s="32"/>
      <c r="BR190" s="146"/>
      <c r="BS190" s="32"/>
      <c r="BT190" s="146">
        <v>527</v>
      </c>
      <c r="BU190" s="32">
        <v>168</v>
      </c>
      <c r="BV190" s="146">
        <v>542</v>
      </c>
      <c r="BW190" s="32">
        <v>154</v>
      </c>
    </row>
    <row r="191" spans="1:75" ht="13" x14ac:dyDescent="0.25">
      <c r="A191" s="186">
        <v>2617</v>
      </c>
      <c r="B191" s="187" t="s">
        <v>213</v>
      </c>
      <c r="C191" s="46">
        <v>1165</v>
      </c>
      <c r="D191" s="142">
        <v>410</v>
      </c>
      <c r="E191" s="145">
        <f t="shared" si="2"/>
        <v>0.35193133047210301</v>
      </c>
      <c r="F191" s="146">
        <v>283</v>
      </c>
      <c r="G191" s="32">
        <v>95</v>
      </c>
      <c r="H191" s="146"/>
      <c r="I191" s="32"/>
      <c r="J191" s="146"/>
      <c r="K191" s="32"/>
      <c r="L191" s="146"/>
      <c r="M191" s="32"/>
      <c r="N191" s="146"/>
      <c r="O191" s="32"/>
      <c r="P191" s="146"/>
      <c r="Q191" s="32"/>
      <c r="R191" s="146"/>
      <c r="S191" s="32"/>
      <c r="T191" s="146"/>
      <c r="U191" s="32"/>
      <c r="V191" s="146"/>
      <c r="W191" s="32"/>
      <c r="X191" s="146"/>
      <c r="Y191" s="32"/>
      <c r="Z191" s="146"/>
      <c r="AA191" s="32"/>
      <c r="AB191" s="146"/>
      <c r="AC191" s="32"/>
      <c r="AD191" s="146"/>
      <c r="AE191" s="32"/>
      <c r="AF191" s="146"/>
      <c r="AG191" s="32"/>
      <c r="AH191" s="146"/>
      <c r="AI191" s="32"/>
      <c r="AJ191" s="146"/>
      <c r="AK191" s="32"/>
      <c r="AL191" s="146"/>
      <c r="AM191" s="32"/>
      <c r="AN191" s="146"/>
      <c r="AO191" s="32"/>
      <c r="AP191" s="146"/>
      <c r="AQ191" s="32"/>
      <c r="AR191" s="146"/>
      <c r="AS191" s="32"/>
      <c r="AT191" s="146"/>
      <c r="AU191" s="32"/>
      <c r="AV191" s="146"/>
      <c r="AW191" s="32"/>
      <c r="AX191" s="146"/>
      <c r="AY191" s="32"/>
      <c r="AZ191" s="146"/>
      <c r="BA191" s="32"/>
      <c r="BB191" s="146"/>
      <c r="BC191" s="32"/>
      <c r="BD191" s="146"/>
      <c r="BE191" s="32"/>
      <c r="BF191" s="146"/>
      <c r="BG191" s="32"/>
      <c r="BH191" s="146"/>
      <c r="BI191" s="32"/>
      <c r="BJ191" s="146"/>
      <c r="BK191" s="32"/>
      <c r="BL191" s="146"/>
      <c r="BM191" s="32"/>
      <c r="BN191" s="146"/>
      <c r="BO191" s="32"/>
      <c r="BP191" s="146"/>
      <c r="BQ191" s="32"/>
      <c r="BR191" s="146"/>
      <c r="BS191" s="32"/>
      <c r="BT191" s="146">
        <v>279</v>
      </c>
      <c r="BU191" s="32">
        <v>112</v>
      </c>
      <c r="BV191" s="146">
        <v>299</v>
      </c>
      <c r="BW191" s="32">
        <v>92</v>
      </c>
    </row>
    <row r="192" spans="1:75" ht="13" x14ac:dyDescent="0.25">
      <c r="A192" s="186">
        <v>2618</v>
      </c>
      <c r="B192" s="187" t="s">
        <v>214</v>
      </c>
      <c r="C192" s="46">
        <v>774</v>
      </c>
      <c r="D192" s="142">
        <v>306</v>
      </c>
      <c r="E192" s="145">
        <f t="shared" si="2"/>
        <v>0.39534883720930231</v>
      </c>
      <c r="F192" s="146">
        <v>219</v>
      </c>
      <c r="G192" s="32">
        <v>74</v>
      </c>
      <c r="H192" s="146"/>
      <c r="I192" s="32"/>
      <c r="J192" s="146"/>
      <c r="K192" s="32"/>
      <c r="L192" s="146"/>
      <c r="M192" s="32"/>
      <c r="N192" s="146"/>
      <c r="O192" s="32"/>
      <c r="P192" s="146"/>
      <c r="Q192" s="32"/>
      <c r="R192" s="146"/>
      <c r="S192" s="32"/>
      <c r="T192" s="146"/>
      <c r="U192" s="32"/>
      <c r="V192" s="146"/>
      <c r="W192" s="32"/>
      <c r="X192" s="146"/>
      <c r="Y192" s="32"/>
      <c r="Z192" s="146"/>
      <c r="AA192" s="32"/>
      <c r="AB192" s="146"/>
      <c r="AC192" s="32"/>
      <c r="AD192" s="146"/>
      <c r="AE192" s="32"/>
      <c r="AF192" s="146"/>
      <c r="AG192" s="32"/>
      <c r="AH192" s="146"/>
      <c r="AI192" s="32"/>
      <c r="AJ192" s="146"/>
      <c r="AK192" s="32"/>
      <c r="AL192" s="146"/>
      <c r="AM192" s="32"/>
      <c r="AN192" s="146"/>
      <c r="AO192" s="32"/>
      <c r="AP192" s="146"/>
      <c r="AQ192" s="32"/>
      <c r="AR192" s="146"/>
      <c r="AS192" s="32"/>
      <c r="AT192" s="146"/>
      <c r="AU192" s="32"/>
      <c r="AV192" s="146"/>
      <c r="AW192" s="32"/>
      <c r="AX192" s="146"/>
      <c r="AY192" s="32"/>
      <c r="AZ192" s="146"/>
      <c r="BA192" s="32"/>
      <c r="BB192" s="146"/>
      <c r="BC192" s="32"/>
      <c r="BD192" s="146"/>
      <c r="BE192" s="32"/>
      <c r="BF192" s="146"/>
      <c r="BG192" s="32"/>
      <c r="BH192" s="146"/>
      <c r="BI192" s="32"/>
      <c r="BJ192" s="146"/>
      <c r="BK192" s="32"/>
      <c r="BL192" s="146"/>
      <c r="BM192" s="32"/>
      <c r="BN192" s="146"/>
      <c r="BO192" s="32"/>
      <c r="BP192" s="146"/>
      <c r="BQ192" s="32"/>
      <c r="BR192" s="146"/>
      <c r="BS192" s="32"/>
      <c r="BT192" s="146">
        <v>219</v>
      </c>
      <c r="BU192" s="32">
        <v>72</v>
      </c>
      <c r="BV192" s="146">
        <v>226</v>
      </c>
      <c r="BW192" s="32">
        <v>63</v>
      </c>
    </row>
    <row r="193" spans="1:75" ht="13" x14ac:dyDescent="0.25">
      <c r="A193" s="186">
        <v>2619</v>
      </c>
      <c r="B193" s="187" t="s">
        <v>215</v>
      </c>
      <c r="C193" s="46">
        <v>1004</v>
      </c>
      <c r="D193" s="142">
        <v>599</v>
      </c>
      <c r="E193" s="145">
        <f t="shared" si="2"/>
        <v>0.59661354581673309</v>
      </c>
      <c r="F193" s="146">
        <v>342</v>
      </c>
      <c r="G193" s="32">
        <v>216</v>
      </c>
      <c r="H193" s="146"/>
      <c r="I193" s="32"/>
      <c r="J193" s="146"/>
      <c r="K193" s="32"/>
      <c r="L193" s="146"/>
      <c r="M193" s="32"/>
      <c r="N193" s="146"/>
      <c r="O193" s="32"/>
      <c r="P193" s="146"/>
      <c r="Q193" s="32"/>
      <c r="R193" s="146"/>
      <c r="S193" s="32"/>
      <c r="T193" s="146"/>
      <c r="U193" s="32"/>
      <c r="V193" s="146"/>
      <c r="W193" s="32"/>
      <c r="X193" s="146"/>
      <c r="Y193" s="32"/>
      <c r="Z193" s="146"/>
      <c r="AA193" s="32"/>
      <c r="AB193" s="146"/>
      <c r="AC193" s="32"/>
      <c r="AD193" s="146"/>
      <c r="AE193" s="32"/>
      <c r="AF193" s="146"/>
      <c r="AG193" s="32"/>
      <c r="AH193" s="146"/>
      <c r="AI193" s="32"/>
      <c r="AJ193" s="146"/>
      <c r="AK193" s="32"/>
      <c r="AL193" s="146"/>
      <c r="AM193" s="32"/>
      <c r="AN193" s="146"/>
      <c r="AO193" s="32"/>
      <c r="AP193" s="146"/>
      <c r="AQ193" s="32"/>
      <c r="AR193" s="146"/>
      <c r="AS193" s="32"/>
      <c r="AT193" s="146"/>
      <c r="AU193" s="32"/>
      <c r="AV193" s="146"/>
      <c r="AW193" s="32"/>
      <c r="AX193" s="146"/>
      <c r="AY193" s="32"/>
      <c r="AZ193" s="146"/>
      <c r="BA193" s="32"/>
      <c r="BB193" s="146"/>
      <c r="BC193" s="32"/>
      <c r="BD193" s="146"/>
      <c r="BE193" s="32"/>
      <c r="BF193" s="146"/>
      <c r="BG193" s="32"/>
      <c r="BH193" s="146"/>
      <c r="BI193" s="32"/>
      <c r="BJ193" s="146"/>
      <c r="BK193" s="32"/>
      <c r="BL193" s="146"/>
      <c r="BM193" s="32"/>
      <c r="BN193" s="146"/>
      <c r="BO193" s="32"/>
      <c r="BP193" s="146"/>
      <c r="BQ193" s="32"/>
      <c r="BR193" s="146"/>
      <c r="BS193" s="32"/>
      <c r="BT193" s="146">
        <v>366</v>
      </c>
      <c r="BU193" s="32">
        <v>202</v>
      </c>
      <c r="BV193" s="146">
        <v>376</v>
      </c>
      <c r="BW193" s="32">
        <v>190</v>
      </c>
    </row>
    <row r="194" spans="1:75" ht="13" x14ac:dyDescent="0.25">
      <c r="A194" s="186">
        <v>2811</v>
      </c>
      <c r="B194" s="187" t="s">
        <v>216</v>
      </c>
      <c r="C194" s="46">
        <v>883</v>
      </c>
      <c r="D194" s="142">
        <v>722</v>
      </c>
      <c r="E194" s="145">
        <f t="shared" si="2"/>
        <v>0.81766704416761038</v>
      </c>
      <c r="F194" s="146">
        <v>372</v>
      </c>
      <c r="G194" s="32">
        <v>326</v>
      </c>
      <c r="H194" s="146"/>
      <c r="I194" s="32"/>
      <c r="J194" s="146"/>
      <c r="K194" s="32"/>
      <c r="L194" s="146"/>
      <c r="M194" s="32"/>
      <c r="N194" s="146"/>
      <c r="O194" s="32"/>
      <c r="P194" s="146"/>
      <c r="Q194" s="32"/>
      <c r="R194" s="146"/>
      <c r="S194" s="32"/>
      <c r="T194" s="146"/>
      <c r="U194" s="32"/>
      <c r="V194" s="146"/>
      <c r="W194" s="32"/>
      <c r="X194" s="146"/>
      <c r="Y194" s="32"/>
      <c r="Z194" s="146"/>
      <c r="AA194" s="32"/>
      <c r="AB194" s="146"/>
      <c r="AC194" s="32"/>
      <c r="AD194" s="146"/>
      <c r="AE194" s="32"/>
      <c r="AF194" s="146"/>
      <c r="AG194" s="32"/>
      <c r="AH194" s="146"/>
      <c r="AI194" s="32"/>
      <c r="AJ194" s="146"/>
      <c r="AK194" s="32"/>
      <c r="AL194" s="146"/>
      <c r="AM194" s="32"/>
      <c r="AN194" s="146"/>
      <c r="AO194" s="32"/>
      <c r="AP194" s="146"/>
      <c r="AQ194" s="32"/>
      <c r="AR194" s="146"/>
      <c r="AS194" s="32"/>
      <c r="AT194" s="146"/>
      <c r="AU194" s="32"/>
      <c r="AV194" s="146"/>
      <c r="AW194" s="32"/>
      <c r="AX194" s="146"/>
      <c r="AY194" s="32"/>
      <c r="AZ194" s="146"/>
      <c r="BA194" s="32"/>
      <c r="BB194" s="146"/>
      <c r="BC194" s="32"/>
      <c r="BD194" s="146"/>
      <c r="BE194" s="32"/>
      <c r="BF194" s="146"/>
      <c r="BG194" s="32"/>
      <c r="BH194" s="146"/>
      <c r="BI194" s="32"/>
      <c r="BJ194" s="146"/>
      <c r="BK194" s="32"/>
      <c r="BL194" s="146"/>
      <c r="BM194" s="32"/>
      <c r="BN194" s="146"/>
      <c r="BO194" s="32"/>
      <c r="BP194" s="146"/>
      <c r="BQ194" s="32"/>
      <c r="BR194" s="146"/>
      <c r="BS194" s="32"/>
      <c r="BT194" s="146">
        <v>446</v>
      </c>
      <c r="BU194" s="32">
        <v>248</v>
      </c>
      <c r="BV194" s="146">
        <v>473</v>
      </c>
      <c r="BW194" s="32">
        <v>220</v>
      </c>
    </row>
    <row r="195" spans="1:75" ht="13" x14ac:dyDescent="0.25">
      <c r="A195" s="186">
        <v>2812</v>
      </c>
      <c r="B195" s="187" t="s">
        <v>217</v>
      </c>
      <c r="C195" s="46">
        <v>1086</v>
      </c>
      <c r="D195" s="142">
        <v>766</v>
      </c>
      <c r="E195" s="145">
        <f t="shared" si="2"/>
        <v>0.70534069981583791</v>
      </c>
      <c r="F195" s="146">
        <v>405</v>
      </c>
      <c r="G195" s="32">
        <v>328</v>
      </c>
      <c r="H195" s="146"/>
      <c r="I195" s="32"/>
      <c r="J195" s="146"/>
      <c r="K195" s="32"/>
      <c r="L195" s="146"/>
      <c r="M195" s="32"/>
      <c r="N195" s="146"/>
      <c r="O195" s="32"/>
      <c r="P195" s="146"/>
      <c r="Q195" s="32"/>
      <c r="R195" s="146"/>
      <c r="S195" s="32"/>
      <c r="T195" s="146"/>
      <c r="U195" s="32"/>
      <c r="V195" s="146"/>
      <c r="W195" s="32"/>
      <c r="X195" s="146"/>
      <c r="Y195" s="32"/>
      <c r="Z195" s="146"/>
      <c r="AA195" s="32"/>
      <c r="AB195" s="146"/>
      <c r="AC195" s="32"/>
      <c r="AD195" s="146"/>
      <c r="AE195" s="32"/>
      <c r="AF195" s="146"/>
      <c r="AG195" s="32"/>
      <c r="AH195" s="146"/>
      <c r="AI195" s="32"/>
      <c r="AJ195" s="146"/>
      <c r="AK195" s="32"/>
      <c r="AL195" s="146"/>
      <c r="AM195" s="32"/>
      <c r="AN195" s="146"/>
      <c r="AO195" s="32"/>
      <c r="AP195" s="146"/>
      <c r="AQ195" s="32"/>
      <c r="AR195" s="146"/>
      <c r="AS195" s="32"/>
      <c r="AT195" s="146"/>
      <c r="AU195" s="32"/>
      <c r="AV195" s="146"/>
      <c r="AW195" s="32"/>
      <c r="AX195" s="146"/>
      <c r="AY195" s="32"/>
      <c r="AZ195" s="146"/>
      <c r="BA195" s="32"/>
      <c r="BB195" s="146"/>
      <c r="BC195" s="32"/>
      <c r="BD195" s="146"/>
      <c r="BE195" s="32"/>
      <c r="BF195" s="146"/>
      <c r="BG195" s="32"/>
      <c r="BH195" s="146"/>
      <c r="BI195" s="32"/>
      <c r="BJ195" s="146"/>
      <c r="BK195" s="32"/>
      <c r="BL195" s="146"/>
      <c r="BM195" s="32"/>
      <c r="BN195" s="146"/>
      <c r="BO195" s="32"/>
      <c r="BP195" s="146"/>
      <c r="BQ195" s="32"/>
      <c r="BR195" s="146"/>
      <c r="BS195" s="32"/>
      <c r="BT195" s="146">
        <v>509</v>
      </c>
      <c r="BU195" s="32">
        <v>213</v>
      </c>
      <c r="BV195" s="146">
        <v>533</v>
      </c>
      <c r="BW195" s="32">
        <v>190</v>
      </c>
    </row>
    <row r="196" spans="1:75" ht="13" x14ac:dyDescent="0.25">
      <c r="A196" s="186">
        <v>2821</v>
      </c>
      <c r="B196" s="187" t="s">
        <v>218</v>
      </c>
      <c r="C196" s="46">
        <v>721</v>
      </c>
      <c r="D196" s="142">
        <v>588</v>
      </c>
      <c r="E196" s="145">
        <f t="shared" si="2"/>
        <v>0.81553398058252424</v>
      </c>
      <c r="F196" s="146">
        <v>284</v>
      </c>
      <c r="G196" s="32">
        <v>277</v>
      </c>
      <c r="H196" s="146"/>
      <c r="I196" s="32"/>
      <c r="J196" s="146"/>
      <c r="K196" s="32"/>
      <c r="L196" s="146"/>
      <c r="M196" s="32"/>
      <c r="N196" s="146"/>
      <c r="O196" s="32"/>
      <c r="P196" s="146"/>
      <c r="Q196" s="32"/>
      <c r="R196" s="146"/>
      <c r="S196" s="32"/>
      <c r="T196" s="146"/>
      <c r="U196" s="32"/>
      <c r="V196" s="146"/>
      <c r="W196" s="32"/>
      <c r="X196" s="146"/>
      <c r="Y196" s="32"/>
      <c r="Z196" s="146"/>
      <c r="AA196" s="32"/>
      <c r="AB196" s="146"/>
      <c r="AC196" s="32"/>
      <c r="AD196" s="146"/>
      <c r="AE196" s="32"/>
      <c r="AF196" s="146"/>
      <c r="AG196" s="32"/>
      <c r="AH196" s="146"/>
      <c r="AI196" s="32"/>
      <c r="AJ196" s="146"/>
      <c r="AK196" s="32"/>
      <c r="AL196" s="146"/>
      <c r="AM196" s="32"/>
      <c r="AN196" s="146"/>
      <c r="AO196" s="32"/>
      <c r="AP196" s="146"/>
      <c r="AQ196" s="32"/>
      <c r="AR196" s="146"/>
      <c r="AS196" s="32"/>
      <c r="AT196" s="146"/>
      <c r="AU196" s="32"/>
      <c r="AV196" s="146"/>
      <c r="AW196" s="32"/>
      <c r="AX196" s="146"/>
      <c r="AY196" s="32"/>
      <c r="AZ196" s="146"/>
      <c r="BA196" s="32"/>
      <c r="BB196" s="146"/>
      <c r="BC196" s="32"/>
      <c r="BD196" s="146"/>
      <c r="BE196" s="32"/>
      <c r="BF196" s="146"/>
      <c r="BG196" s="32"/>
      <c r="BH196" s="146"/>
      <c r="BI196" s="32"/>
      <c r="BJ196" s="146"/>
      <c r="BK196" s="32"/>
      <c r="BL196" s="146"/>
      <c r="BM196" s="32"/>
      <c r="BN196" s="146"/>
      <c r="BO196" s="32"/>
      <c r="BP196" s="146"/>
      <c r="BQ196" s="32"/>
      <c r="BR196" s="146"/>
      <c r="BS196" s="32"/>
      <c r="BT196" s="146">
        <v>339</v>
      </c>
      <c r="BU196" s="32">
        <v>211</v>
      </c>
      <c r="BV196" s="146">
        <v>356</v>
      </c>
      <c r="BW196" s="32">
        <v>195</v>
      </c>
    </row>
    <row r="197" spans="1:75" ht="13" x14ac:dyDescent="0.25">
      <c r="A197" s="186">
        <v>2822</v>
      </c>
      <c r="B197" s="187" t="s">
        <v>219</v>
      </c>
      <c r="C197" s="46">
        <v>715</v>
      </c>
      <c r="D197" s="142">
        <v>578</v>
      </c>
      <c r="E197" s="145">
        <f t="shared" si="2"/>
        <v>0.8083916083916084</v>
      </c>
      <c r="F197" s="146">
        <v>288</v>
      </c>
      <c r="G197" s="32">
        <v>266</v>
      </c>
      <c r="H197" s="146"/>
      <c r="I197" s="32"/>
      <c r="J197" s="146"/>
      <c r="K197" s="32"/>
      <c r="L197" s="146"/>
      <c r="M197" s="32"/>
      <c r="N197" s="146"/>
      <c r="O197" s="32"/>
      <c r="P197" s="146"/>
      <c r="Q197" s="32"/>
      <c r="R197" s="146"/>
      <c r="S197" s="32"/>
      <c r="T197" s="146"/>
      <c r="U197" s="32"/>
      <c r="V197" s="146"/>
      <c r="W197" s="32"/>
      <c r="X197" s="146"/>
      <c r="Y197" s="32"/>
      <c r="Z197" s="146"/>
      <c r="AA197" s="32"/>
      <c r="AB197" s="146"/>
      <c r="AC197" s="32"/>
      <c r="AD197" s="146"/>
      <c r="AE197" s="32"/>
      <c r="AF197" s="146"/>
      <c r="AG197" s="32"/>
      <c r="AH197" s="146"/>
      <c r="AI197" s="32"/>
      <c r="AJ197" s="146"/>
      <c r="AK197" s="32"/>
      <c r="AL197" s="146"/>
      <c r="AM197" s="32"/>
      <c r="AN197" s="146"/>
      <c r="AO197" s="32"/>
      <c r="AP197" s="146"/>
      <c r="AQ197" s="32"/>
      <c r="AR197" s="146"/>
      <c r="AS197" s="32"/>
      <c r="AT197" s="146"/>
      <c r="AU197" s="32"/>
      <c r="AV197" s="146"/>
      <c r="AW197" s="32"/>
      <c r="AX197" s="146"/>
      <c r="AY197" s="32"/>
      <c r="AZ197" s="146"/>
      <c r="BA197" s="32"/>
      <c r="BB197" s="146"/>
      <c r="BC197" s="32"/>
      <c r="BD197" s="146"/>
      <c r="BE197" s="32"/>
      <c r="BF197" s="146"/>
      <c r="BG197" s="32"/>
      <c r="BH197" s="146"/>
      <c r="BI197" s="32"/>
      <c r="BJ197" s="146"/>
      <c r="BK197" s="32"/>
      <c r="BL197" s="146"/>
      <c r="BM197" s="32"/>
      <c r="BN197" s="146"/>
      <c r="BO197" s="32"/>
      <c r="BP197" s="146"/>
      <c r="BQ197" s="32"/>
      <c r="BR197" s="146"/>
      <c r="BS197" s="32"/>
      <c r="BT197" s="146">
        <v>362</v>
      </c>
      <c r="BU197" s="32">
        <v>184</v>
      </c>
      <c r="BV197" s="146">
        <v>384</v>
      </c>
      <c r="BW197" s="32">
        <v>166</v>
      </c>
    </row>
    <row r="198" spans="1:75" ht="13" x14ac:dyDescent="0.25">
      <c r="A198" s="186">
        <v>2823</v>
      </c>
      <c r="B198" s="187" t="s">
        <v>220</v>
      </c>
      <c r="C198" s="46">
        <v>1377</v>
      </c>
      <c r="D198" s="142">
        <v>1000</v>
      </c>
      <c r="E198" s="145">
        <f t="shared" si="2"/>
        <v>0.72621641249092228</v>
      </c>
      <c r="F198" s="146">
        <v>564</v>
      </c>
      <c r="G198" s="32">
        <v>392</v>
      </c>
      <c r="H198" s="146"/>
      <c r="I198" s="32"/>
      <c r="J198" s="146"/>
      <c r="K198" s="32"/>
      <c r="L198" s="146"/>
      <c r="M198" s="32"/>
      <c r="N198" s="146"/>
      <c r="O198" s="32"/>
      <c r="P198" s="146"/>
      <c r="Q198" s="32"/>
      <c r="R198" s="146"/>
      <c r="S198" s="32"/>
      <c r="T198" s="146"/>
      <c r="U198" s="32"/>
      <c r="V198" s="146"/>
      <c r="W198" s="32"/>
      <c r="X198" s="146"/>
      <c r="Y198" s="32"/>
      <c r="Z198" s="146"/>
      <c r="AA198" s="32"/>
      <c r="AB198" s="146"/>
      <c r="AC198" s="32"/>
      <c r="AD198" s="146"/>
      <c r="AE198" s="32"/>
      <c r="AF198" s="146"/>
      <c r="AG198" s="32"/>
      <c r="AH198" s="146"/>
      <c r="AI198" s="32"/>
      <c r="AJ198" s="146"/>
      <c r="AK198" s="32"/>
      <c r="AL198" s="146"/>
      <c r="AM198" s="32"/>
      <c r="AN198" s="146"/>
      <c r="AO198" s="32"/>
      <c r="AP198" s="146"/>
      <c r="AQ198" s="32"/>
      <c r="AR198" s="146"/>
      <c r="AS198" s="32"/>
      <c r="AT198" s="146"/>
      <c r="AU198" s="32"/>
      <c r="AV198" s="146"/>
      <c r="AW198" s="32"/>
      <c r="AX198" s="146"/>
      <c r="AY198" s="32"/>
      <c r="AZ198" s="146"/>
      <c r="BA198" s="32"/>
      <c r="BB198" s="146"/>
      <c r="BC198" s="32"/>
      <c r="BD198" s="146"/>
      <c r="BE198" s="32"/>
      <c r="BF198" s="146"/>
      <c r="BG198" s="32"/>
      <c r="BH198" s="146"/>
      <c r="BI198" s="32"/>
      <c r="BJ198" s="146"/>
      <c r="BK198" s="32"/>
      <c r="BL198" s="146">
        <v>7</v>
      </c>
      <c r="BM198" s="32">
        <v>17</v>
      </c>
      <c r="BN198" s="146"/>
      <c r="BO198" s="32"/>
      <c r="BP198" s="146"/>
      <c r="BQ198" s="32"/>
      <c r="BR198" s="146"/>
      <c r="BS198" s="32"/>
      <c r="BT198" s="146">
        <v>639</v>
      </c>
      <c r="BU198" s="32">
        <v>312</v>
      </c>
      <c r="BV198" s="146">
        <v>657</v>
      </c>
      <c r="BW198" s="32">
        <v>299</v>
      </c>
    </row>
    <row r="199" spans="1:75" ht="13" x14ac:dyDescent="0.25">
      <c r="A199" s="186">
        <v>2831</v>
      </c>
      <c r="B199" s="187" t="s">
        <v>221</v>
      </c>
      <c r="C199" s="46">
        <v>1027</v>
      </c>
      <c r="D199" s="142">
        <v>778</v>
      </c>
      <c r="E199" s="145">
        <f t="shared" si="2"/>
        <v>0.75754625121713726</v>
      </c>
      <c r="F199" s="146">
        <v>420</v>
      </c>
      <c r="G199" s="32">
        <v>326</v>
      </c>
      <c r="H199" s="146"/>
      <c r="I199" s="32"/>
      <c r="J199" s="146"/>
      <c r="K199" s="32"/>
      <c r="L199" s="146"/>
      <c r="M199" s="32"/>
      <c r="N199" s="146"/>
      <c r="O199" s="32"/>
      <c r="P199" s="146"/>
      <c r="Q199" s="32"/>
      <c r="R199" s="146"/>
      <c r="S199" s="32"/>
      <c r="T199" s="146"/>
      <c r="U199" s="32"/>
      <c r="V199" s="146"/>
      <c r="W199" s="32"/>
      <c r="X199" s="146"/>
      <c r="Y199" s="32"/>
      <c r="Z199" s="146"/>
      <c r="AA199" s="32"/>
      <c r="AB199" s="146"/>
      <c r="AC199" s="32"/>
      <c r="AD199" s="146"/>
      <c r="AE199" s="32"/>
      <c r="AF199" s="146"/>
      <c r="AG199" s="32"/>
      <c r="AH199" s="146"/>
      <c r="AI199" s="32"/>
      <c r="AJ199" s="146"/>
      <c r="AK199" s="32"/>
      <c r="AL199" s="146"/>
      <c r="AM199" s="32"/>
      <c r="AN199" s="146"/>
      <c r="AO199" s="32"/>
      <c r="AP199" s="146"/>
      <c r="AQ199" s="32"/>
      <c r="AR199" s="146"/>
      <c r="AS199" s="32"/>
      <c r="AT199" s="146"/>
      <c r="AU199" s="32"/>
      <c r="AV199" s="146"/>
      <c r="AW199" s="32"/>
      <c r="AX199" s="146"/>
      <c r="AY199" s="32"/>
      <c r="AZ199" s="146"/>
      <c r="BA199" s="32"/>
      <c r="BB199" s="146"/>
      <c r="BC199" s="32"/>
      <c r="BD199" s="146"/>
      <c r="BE199" s="32"/>
      <c r="BF199" s="146"/>
      <c r="BG199" s="32"/>
      <c r="BH199" s="146"/>
      <c r="BI199" s="32"/>
      <c r="BJ199" s="146"/>
      <c r="BK199" s="32"/>
      <c r="BL199" s="146"/>
      <c r="BM199" s="32"/>
      <c r="BN199" s="146"/>
      <c r="BO199" s="32"/>
      <c r="BP199" s="146"/>
      <c r="BQ199" s="32"/>
      <c r="BR199" s="146"/>
      <c r="BS199" s="32"/>
      <c r="BT199" s="146">
        <v>522</v>
      </c>
      <c r="BU199" s="32">
        <v>220</v>
      </c>
      <c r="BV199" s="146">
        <v>550</v>
      </c>
      <c r="BW199" s="32">
        <v>193</v>
      </c>
    </row>
    <row r="200" spans="1:75" ht="13" x14ac:dyDescent="0.25">
      <c r="A200" s="186">
        <v>2832</v>
      </c>
      <c r="B200" s="187" t="s">
        <v>222</v>
      </c>
      <c r="C200" s="46">
        <v>790</v>
      </c>
      <c r="D200" s="142">
        <v>639</v>
      </c>
      <c r="E200" s="145">
        <f t="shared" si="2"/>
        <v>0.80886075949367087</v>
      </c>
      <c r="F200" s="146">
        <v>395</v>
      </c>
      <c r="G200" s="32">
        <v>221</v>
      </c>
      <c r="H200" s="146"/>
      <c r="I200" s="32"/>
      <c r="J200" s="146"/>
      <c r="K200" s="32"/>
      <c r="L200" s="146"/>
      <c r="M200" s="32"/>
      <c r="N200" s="146"/>
      <c r="O200" s="32"/>
      <c r="P200" s="146"/>
      <c r="Q200" s="32"/>
      <c r="R200" s="146"/>
      <c r="S200" s="32"/>
      <c r="T200" s="146"/>
      <c r="U200" s="32"/>
      <c r="V200" s="146"/>
      <c r="W200" s="32"/>
      <c r="X200" s="146"/>
      <c r="Y200" s="32"/>
      <c r="Z200" s="146"/>
      <c r="AA200" s="32"/>
      <c r="AB200" s="146"/>
      <c r="AC200" s="32"/>
      <c r="AD200" s="146"/>
      <c r="AE200" s="32"/>
      <c r="AF200" s="146"/>
      <c r="AG200" s="32"/>
      <c r="AH200" s="146"/>
      <c r="AI200" s="32"/>
      <c r="AJ200" s="146"/>
      <c r="AK200" s="32"/>
      <c r="AL200" s="146"/>
      <c r="AM200" s="32"/>
      <c r="AN200" s="146"/>
      <c r="AO200" s="32"/>
      <c r="AP200" s="146"/>
      <c r="AQ200" s="32"/>
      <c r="AR200" s="146"/>
      <c r="AS200" s="32"/>
      <c r="AT200" s="146"/>
      <c r="AU200" s="32"/>
      <c r="AV200" s="146"/>
      <c r="AW200" s="32"/>
      <c r="AX200" s="146"/>
      <c r="AY200" s="32"/>
      <c r="AZ200" s="146"/>
      <c r="BA200" s="32"/>
      <c r="BB200" s="146"/>
      <c r="BC200" s="32"/>
      <c r="BD200" s="146"/>
      <c r="BE200" s="32"/>
      <c r="BF200" s="146"/>
      <c r="BG200" s="32"/>
      <c r="BH200" s="146"/>
      <c r="BI200" s="32"/>
      <c r="BJ200" s="146"/>
      <c r="BK200" s="32"/>
      <c r="BL200" s="146"/>
      <c r="BM200" s="32"/>
      <c r="BN200" s="146"/>
      <c r="BO200" s="32"/>
      <c r="BP200" s="146"/>
      <c r="BQ200" s="32"/>
      <c r="BR200" s="146"/>
      <c r="BS200" s="32"/>
      <c r="BT200" s="146">
        <v>452</v>
      </c>
      <c r="BU200" s="32">
        <v>158</v>
      </c>
      <c r="BV200" s="146">
        <v>465</v>
      </c>
      <c r="BW200" s="32">
        <v>146</v>
      </c>
    </row>
    <row r="201" spans="1:75" ht="13" x14ac:dyDescent="0.25">
      <c r="A201" s="186">
        <v>2841</v>
      </c>
      <c r="B201" s="187" t="s">
        <v>223</v>
      </c>
      <c r="C201" s="46">
        <v>1033</v>
      </c>
      <c r="D201" s="142">
        <v>714</v>
      </c>
      <c r="E201" s="145">
        <f t="shared" si="2"/>
        <v>0.69119070667957405</v>
      </c>
      <c r="F201" s="146">
        <v>399</v>
      </c>
      <c r="G201" s="32">
        <v>290</v>
      </c>
      <c r="H201" s="146"/>
      <c r="I201" s="32"/>
      <c r="J201" s="146"/>
      <c r="K201" s="32"/>
      <c r="L201" s="146"/>
      <c r="M201" s="32"/>
      <c r="N201" s="146"/>
      <c r="O201" s="32"/>
      <c r="P201" s="146"/>
      <c r="Q201" s="32"/>
      <c r="R201" s="146"/>
      <c r="S201" s="32"/>
      <c r="T201" s="146"/>
      <c r="U201" s="32"/>
      <c r="V201" s="146"/>
      <c r="W201" s="32"/>
      <c r="X201" s="146"/>
      <c r="Y201" s="32"/>
      <c r="Z201" s="146"/>
      <c r="AA201" s="32"/>
      <c r="AB201" s="146"/>
      <c r="AC201" s="32"/>
      <c r="AD201" s="146"/>
      <c r="AE201" s="32"/>
      <c r="AF201" s="146"/>
      <c r="AG201" s="32"/>
      <c r="AH201" s="146"/>
      <c r="AI201" s="32"/>
      <c r="AJ201" s="146"/>
      <c r="AK201" s="32"/>
      <c r="AL201" s="146"/>
      <c r="AM201" s="32"/>
      <c r="AN201" s="146"/>
      <c r="AO201" s="32"/>
      <c r="AP201" s="146"/>
      <c r="AQ201" s="32"/>
      <c r="AR201" s="146"/>
      <c r="AS201" s="32"/>
      <c r="AT201" s="146"/>
      <c r="AU201" s="32"/>
      <c r="AV201" s="146"/>
      <c r="AW201" s="32"/>
      <c r="AX201" s="146"/>
      <c r="AY201" s="32"/>
      <c r="AZ201" s="146"/>
      <c r="BA201" s="32"/>
      <c r="BB201" s="146"/>
      <c r="BC201" s="32"/>
      <c r="BD201" s="146"/>
      <c r="BE201" s="32"/>
      <c r="BF201" s="146"/>
      <c r="BG201" s="32"/>
      <c r="BH201" s="146"/>
      <c r="BI201" s="32"/>
      <c r="BJ201" s="146"/>
      <c r="BK201" s="32"/>
      <c r="BL201" s="146"/>
      <c r="BM201" s="32"/>
      <c r="BN201" s="146"/>
      <c r="BO201" s="32"/>
      <c r="BP201" s="146"/>
      <c r="BQ201" s="32"/>
      <c r="BR201" s="146"/>
      <c r="BS201" s="32"/>
      <c r="BT201" s="146">
        <v>468</v>
      </c>
      <c r="BU201" s="32">
        <v>211</v>
      </c>
      <c r="BV201" s="146">
        <v>483</v>
      </c>
      <c r="BW201" s="32">
        <v>197</v>
      </c>
    </row>
    <row r="202" spans="1:75" ht="13" x14ac:dyDescent="0.25">
      <c r="A202" s="186">
        <v>2842</v>
      </c>
      <c r="B202" s="187" t="s">
        <v>224</v>
      </c>
      <c r="C202" s="46">
        <v>992</v>
      </c>
      <c r="D202" s="142">
        <v>822</v>
      </c>
      <c r="E202" s="145">
        <f t="shared" si="2"/>
        <v>0.8286290322580645</v>
      </c>
      <c r="F202" s="146">
        <v>429</v>
      </c>
      <c r="G202" s="32">
        <v>358</v>
      </c>
      <c r="H202" s="146"/>
      <c r="I202" s="32"/>
      <c r="J202" s="146"/>
      <c r="K202" s="32"/>
      <c r="L202" s="146"/>
      <c r="M202" s="32"/>
      <c r="N202" s="146"/>
      <c r="O202" s="32"/>
      <c r="P202" s="146"/>
      <c r="Q202" s="32"/>
      <c r="R202" s="146"/>
      <c r="S202" s="32"/>
      <c r="T202" s="146"/>
      <c r="U202" s="32"/>
      <c r="V202" s="146"/>
      <c r="W202" s="32"/>
      <c r="X202" s="146"/>
      <c r="Y202" s="32"/>
      <c r="Z202" s="146"/>
      <c r="AA202" s="32"/>
      <c r="AB202" s="146"/>
      <c r="AC202" s="32"/>
      <c r="AD202" s="146"/>
      <c r="AE202" s="32"/>
      <c r="AF202" s="146"/>
      <c r="AG202" s="32"/>
      <c r="AH202" s="146"/>
      <c r="AI202" s="32"/>
      <c r="AJ202" s="146"/>
      <c r="AK202" s="32"/>
      <c r="AL202" s="146"/>
      <c r="AM202" s="32"/>
      <c r="AN202" s="146"/>
      <c r="AO202" s="32"/>
      <c r="AP202" s="146"/>
      <c r="AQ202" s="32"/>
      <c r="AR202" s="146"/>
      <c r="AS202" s="32"/>
      <c r="AT202" s="146"/>
      <c r="AU202" s="32"/>
      <c r="AV202" s="146"/>
      <c r="AW202" s="32"/>
      <c r="AX202" s="146"/>
      <c r="AY202" s="32"/>
      <c r="AZ202" s="146"/>
      <c r="BA202" s="32"/>
      <c r="BB202" s="146"/>
      <c r="BC202" s="32"/>
      <c r="BD202" s="146"/>
      <c r="BE202" s="32"/>
      <c r="BF202" s="146"/>
      <c r="BG202" s="32"/>
      <c r="BH202" s="146"/>
      <c r="BI202" s="32"/>
      <c r="BJ202" s="146"/>
      <c r="BK202" s="32"/>
      <c r="BL202" s="146"/>
      <c r="BM202" s="32"/>
      <c r="BN202" s="146"/>
      <c r="BO202" s="32"/>
      <c r="BP202" s="146"/>
      <c r="BQ202" s="32"/>
      <c r="BR202" s="146"/>
      <c r="BS202" s="32"/>
      <c r="BT202" s="146">
        <v>523</v>
      </c>
      <c r="BU202" s="32">
        <v>266</v>
      </c>
      <c r="BV202" s="146">
        <v>544</v>
      </c>
      <c r="BW202" s="32">
        <v>244</v>
      </c>
    </row>
    <row r="203" spans="1:75" ht="13" x14ac:dyDescent="0.25">
      <c r="A203" s="186">
        <v>2851</v>
      </c>
      <c r="B203" s="187" t="s">
        <v>225</v>
      </c>
      <c r="C203" s="46">
        <v>1081</v>
      </c>
      <c r="D203" s="142">
        <v>885</v>
      </c>
      <c r="E203" s="145">
        <f t="shared" si="2"/>
        <v>0.81868640148011096</v>
      </c>
      <c r="F203" s="146">
        <v>521</v>
      </c>
      <c r="G203" s="32">
        <v>329</v>
      </c>
      <c r="H203" s="146"/>
      <c r="I203" s="32"/>
      <c r="J203" s="146"/>
      <c r="K203" s="32"/>
      <c r="L203" s="146"/>
      <c r="M203" s="32"/>
      <c r="N203" s="146"/>
      <c r="O203" s="32"/>
      <c r="P203" s="146"/>
      <c r="Q203" s="32"/>
      <c r="R203" s="146"/>
      <c r="S203" s="32"/>
      <c r="T203" s="146"/>
      <c r="U203" s="32"/>
      <c r="V203" s="146"/>
      <c r="W203" s="32"/>
      <c r="X203" s="146"/>
      <c r="Y203" s="32"/>
      <c r="Z203" s="146"/>
      <c r="AA203" s="32"/>
      <c r="AB203" s="146"/>
      <c r="AC203" s="32"/>
      <c r="AD203" s="146"/>
      <c r="AE203" s="32"/>
      <c r="AF203" s="146"/>
      <c r="AG203" s="32"/>
      <c r="AH203" s="146"/>
      <c r="AI203" s="32"/>
      <c r="AJ203" s="146"/>
      <c r="AK203" s="32"/>
      <c r="AL203" s="146"/>
      <c r="AM203" s="32"/>
      <c r="AN203" s="146"/>
      <c r="AO203" s="32"/>
      <c r="AP203" s="146"/>
      <c r="AQ203" s="32"/>
      <c r="AR203" s="146"/>
      <c r="AS203" s="32"/>
      <c r="AT203" s="146"/>
      <c r="AU203" s="32"/>
      <c r="AV203" s="146"/>
      <c r="AW203" s="32"/>
      <c r="AX203" s="146"/>
      <c r="AY203" s="32"/>
      <c r="AZ203" s="146"/>
      <c r="BA203" s="32"/>
      <c r="BB203" s="146"/>
      <c r="BC203" s="32"/>
      <c r="BD203" s="146"/>
      <c r="BE203" s="32"/>
      <c r="BF203" s="146"/>
      <c r="BG203" s="32"/>
      <c r="BH203" s="146"/>
      <c r="BI203" s="32"/>
      <c r="BJ203" s="146"/>
      <c r="BK203" s="32"/>
      <c r="BL203" s="146"/>
      <c r="BM203" s="32"/>
      <c r="BN203" s="146"/>
      <c r="BO203" s="32"/>
      <c r="BP203" s="146"/>
      <c r="BQ203" s="32"/>
      <c r="BR203" s="146"/>
      <c r="BS203" s="32"/>
      <c r="BT203" s="146">
        <v>613</v>
      </c>
      <c r="BU203" s="32">
        <v>222</v>
      </c>
      <c r="BV203" s="146">
        <v>618</v>
      </c>
      <c r="BW203" s="32">
        <v>218</v>
      </c>
    </row>
    <row r="204" spans="1:75" ht="13" x14ac:dyDescent="0.25">
      <c r="A204" s="186">
        <v>2852</v>
      </c>
      <c r="B204" s="187" t="s">
        <v>226</v>
      </c>
      <c r="C204" s="46">
        <v>920</v>
      </c>
      <c r="D204" s="142">
        <v>697</v>
      </c>
      <c r="E204" s="145">
        <f t="shared" si="2"/>
        <v>0.75760869565217392</v>
      </c>
      <c r="F204" s="146">
        <v>415</v>
      </c>
      <c r="G204" s="32">
        <v>253</v>
      </c>
      <c r="H204" s="146"/>
      <c r="I204" s="32"/>
      <c r="J204" s="146"/>
      <c r="K204" s="32"/>
      <c r="L204" s="146"/>
      <c r="M204" s="32"/>
      <c r="N204" s="146"/>
      <c r="O204" s="32"/>
      <c r="P204" s="146"/>
      <c r="Q204" s="32"/>
      <c r="R204" s="146"/>
      <c r="S204" s="32"/>
      <c r="T204" s="146"/>
      <c r="U204" s="32"/>
      <c r="V204" s="146"/>
      <c r="W204" s="32"/>
      <c r="X204" s="146"/>
      <c r="Y204" s="32"/>
      <c r="Z204" s="146"/>
      <c r="AA204" s="32"/>
      <c r="AB204" s="146"/>
      <c r="AC204" s="32"/>
      <c r="AD204" s="146"/>
      <c r="AE204" s="32"/>
      <c r="AF204" s="146"/>
      <c r="AG204" s="32"/>
      <c r="AH204" s="146"/>
      <c r="AI204" s="32"/>
      <c r="AJ204" s="146"/>
      <c r="AK204" s="32"/>
      <c r="AL204" s="146"/>
      <c r="AM204" s="32"/>
      <c r="AN204" s="146"/>
      <c r="AO204" s="32"/>
      <c r="AP204" s="146"/>
      <c r="AQ204" s="32"/>
      <c r="AR204" s="146"/>
      <c r="AS204" s="32"/>
      <c r="AT204" s="146"/>
      <c r="AU204" s="32"/>
      <c r="AV204" s="146"/>
      <c r="AW204" s="32"/>
      <c r="AX204" s="146"/>
      <c r="AY204" s="32"/>
      <c r="AZ204" s="146"/>
      <c r="BA204" s="32"/>
      <c r="BB204" s="146"/>
      <c r="BC204" s="32"/>
      <c r="BD204" s="146"/>
      <c r="BE204" s="32"/>
      <c r="BF204" s="146"/>
      <c r="BG204" s="32"/>
      <c r="BH204" s="146"/>
      <c r="BI204" s="32"/>
      <c r="BJ204" s="146"/>
      <c r="BK204" s="32"/>
      <c r="BL204" s="146"/>
      <c r="BM204" s="32"/>
      <c r="BN204" s="146"/>
      <c r="BO204" s="32"/>
      <c r="BP204" s="146"/>
      <c r="BQ204" s="32"/>
      <c r="BR204" s="146"/>
      <c r="BS204" s="32"/>
      <c r="BT204" s="146">
        <v>481</v>
      </c>
      <c r="BU204" s="32">
        <v>181</v>
      </c>
      <c r="BV204" s="146">
        <v>509</v>
      </c>
      <c r="BW204" s="32">
        <v>155</v>
      </c>
    </row>
    <row r="205" spans="1:75" ht="13" x14ac:dyDescent="0.25">
      <c r="A205" s="186">
        <v>2911</v>
      </c>
      <c r="B205" s="187" t="s">
        <v>227</v>
      </c>
      <c r="C205" s="46">
        <v>1586</v>
      </c>
      <c r="D205" s="142">
        <v>965</v>
      </c>
      <c r="E205" s="145">
        <f t="shared" si="2"/>
        <v>0.60844892812105922</v>
      </c>
      <c r="F205" s="146">
        <v>479</v>
      </c>
      <c r="G205" s="32">
        <v>427</v>
      </c>
      <c r="H205" s="146">
        <v>474</v>
      </c>
      <c r="I205" s="32">
        <v>429</v>
      </c>
      <c r="J205" s="146"/>
      <c r="K205" s="32"/>
      <c r="L205" s="146"/>
      <c r="M205" s="32"/>
      <c r="N205" s="146"/>
      <c r="O205" s="32"/>
      <c r="P205" s="146"/>
      <c r="Q205" s="32"/>
      <c r="R205" s="146"/>
      <c r="S205" s="32"/>
      <c r="T205" s="146"/>
      <c r="U205" s="32"/>
      <c r="V205" s="146"/>
      <c r="W205" s="32"/>
      <c r="X205" s="146"/>
      <c r="Y205" s="32"/>
      <c r="Z205" s="146"/>
      <c r="AA205" s="32"/>
      <c r="AB205" s="146"/>
      <c r="AC205" s="32"/>
      <c r="AD205" s="146"/>
      <c r="AE205" s="32"/>
      <c r="AF205" s="146"/>
      <c r="AG205" s="32"/>
      <c r="AH205" s="146"/>
      <c r="AI205" s="32"/>
      <c r="AJ205" s="146"/>
      <c r="AK205" s="32"/>
      <c r="AL205" s="146"/>
      <c r="AM205" s="32"/>
      <c r="AN205" s="146"/>
      <c r="AO205" s="32"/>
      <c r="AP205" s="146"/>
      <c r="AQ205" s="32"/>
      <c r="AR205" s="146"/>
      <c r="AS205" s="32"/>
      <c r="AT205" s="146"/>
      <c r="AU205" s="32"/>
      <c r="AV205" s="146"/>
      <c r="AW205" s="32"/>
      <c r="AX205" s="146"/>
      <c r="AY205" s="32"/>
      <c r="AZ205" s="146"/>
      <c r="BA205" s="32"/>
      <c r="BB205" s="146"/>
      <c r="BC205" s="32"/>
      <c r="BD205" s="146"/>
      <c r="BE205" s="32"/>
      <c r="BF205" s="146"/>
      <c r="BG205" s="32"/>
      <c r="BH205" s="146"/>
      <c r="BI205" s="32"/>
      <c r="BJ205" s="146"/>
      <c r="BK205" s="32"/>
      <c r="BL205" s="146"/>
      <c r="BM205" s="32"/>
      <c r="BN205" s="146"/>
      <c r="BO205" s="32"/>
      <c r="BP205" s="146"/>
      <c r="BQ205" s="32"/>
      <c r="BR205" s="146"/>
      <c r="BS205" s="32"/>
      <c r="BT205" s="146">
        <v>504</v>
      </c>
      <c r="BU205" s="32">
        <v>405</v>
      </c>
      <c r="BV205" s="146">
        <v>520</v>
      </c>
      <c r="BW205" s="32">
        <v>387</v>
      </c>
    </row>
    <row r="206" spans="1:75" ht="13" x14ac:dyDescent="0.25">
      <c r="A206" s="186">
        <v>2921</v>
      </c>
      <c r="B206" s="187" t="s">
        <v>228</v>
      </c>
      <c r="C206" s="46">
        <v>1517</v>
      </c>
      <c r="D206" s="142">
        <v>991</v>
      </c>
      <c r="E206" s="145">
        <f t="shared" si="2"/>
        <v>0.65326301911667761</v>
      </c>
      <c r="F206" s="146">
        <v>464</v>
      </c>
      <c r="G206" s="32">
        <v>486</v>
      </c>
      <c r="H206" s="146">
        <v>442</v>
      </c>
      <c r="I206" s="32">
        <v>504</v>
      </c>
      <c r="J206" s="146"/>
      <c r="K206" s="32"/>
      <c r="L206" s="146"/>
      <c r="M206" s="32"/>
      <c r="N206" s="146"/>
      <c r="O206" s="32"/>
      <c r="P206" s="146"/>
      <c r="Q206" s="32"/>
      <c r="R206" s="146"/>
      <c r="S206" s="32"/>
      <c r="T206" s="146"/>
      <c r="U206" s="32"/>
      <c r="V206" s="146"/>
      <c r="W206" s="32"/>
      <c r="X206" s="146"/>
      <c r="Y206" s="32"/>
      <c r="Z206" s="146"/>
      <c r="AA206" s="32"/>
      <c r="AB206" s="146"/>
      <c r="AC206" s="32"/>
      <c r="AD206" s="146"/>
      <c r="AE206" s="32"/>
      <c r="AF206" s="146"/>
      <c r="AG206" s="32"/>
      <c r="AH206" s="146"/>
      <c r="AI206" s="32"/>
      <c r="AJ206" s="146"/>
      <c r="AK206" s="32"/>
      <c r="AL206" s="146"/>
      <c r="AM206" s="32"/>
      <c r="AN206" s="146"/>
      <c r="AO206" s="32"/>
      <c r="AP206" s="146"/>
      <c r="AQ206" s="32"/>
      <c r="AR206" s="146"/>
      <c r="AS206" s="32"/>
      <c r="AT206" s="146"/>
      <c r="AU206" s="32"/>
      <c r="AV206" s="146"/>
      <c r="AW206" s="32"/>
      <c r="AX206" s="146"/>
      <c r="AY206" s="32"/>
      <c r="AZ206" s="146"/>
      <c r="BA206" s="32"/>
      <c r="BB206" s="146"/>
      <c r="BC206" s="32"/>
      <c r="BD206" s="146"/>
      <c r="BE206" s="32"/>
      <c r="BF206" s="146"/>
      <c r="BG206" s="32"/>
      <c r="BH206" s="146"/>
      <c r="BI206" s="32"/>
      <c r="BJ206" s="146"/>
      <c r="BK206" s="32"/>
      <c r="BL206" s="146"/>
      <c r="BM206" s="32"/>
      <c r="BN206" s="146"/>
      <c r="BO206" s="32"/>
      <c r="BP206" s="146"/>
      <c r="BQ206" s="32"/>
      <c r="BR206" s="146"/>
      <c r="BS206" s="32"/>
      <c r="BT206" s="146">
        <v>521</v>
      </c>
      <c r="BU206" s="32">
        <v>429</v>
      </c>
      <c r="BV206" s="146">
        <v>553</v>
      </c>
      <c r="BW206" s="32">
        <v>403</v>
      </c>
    </row>
    <row r="207" spans="1:75" ht="13" x14ac:dyDescent="0.25">
      <c r="A207" s="186">
        <v>2931</v>
      </c>
      <c r="B207" s="187" t="s">
        <v>229</v>
      </c>
      <c r="C207" s="46">
        <v>1429</v>
      </c>
      <c r="D207" s="142">
        <v>822</v>
      </c>
      <c r="E207" s="145">
        <f t="shared" si="2"/>
        <v>0.57522743177046887</v>
      </c>
      <c r="F207" s="146">
        <v>430</v>
      </c>
      <c r="G207" s="32">
        <v>352</v>
      </c>
      <c r="H207" s="146">
        <v>385</v>
      </c>
      <c r="I207" s="32">
        <v>405</v>
      </c>
      <c r="J207" s="146"/>
      <c r="K207" s="32"/>
      <c r="L207" s="146"/>
      <c r="M207" s="32"/>
      <c r="N207" s="146"/>
      <c r="O207" s="32"/>
      <c r="P207" s="146"/>
      <c r="Q207" s="32"/>
      <c r="R207" s="146"/>
      <c r="S207" s="32"/>
      <c r="T207" s="146"/>
      <c r="U207" s="32"/>
      <c r="V207" s="146"/>
      <c r="W207" s="32"/>
      <c r="X207" s="146"/>
      <c r="Y207" s="32"/>
      <c r="Z207" s="146"/>
      <c r="AA207" s="32"/>
      <c r="AB207" s="146"/>
      <c r="AC207" s="32"/>
      <c r="AD207" s="146"/>
      <c r="AE207" s="32"/>
      <c r="AF207" s="146"/>
      <c r="AG207" s="32"/>
      <c r="AH207" s="146"/>
      <c r="AI207" s="32"/>
      <c r="AJ207" s="146"/>
      <c r="AK207" s="32"/>
      <c r="AL207" s="146"/>
      <c r="AM207" s="32"/>
      <c r="AN207" s="146"/>
      <c r="AO207" s="32"/>
      <c r="AP207" s="146"/>
      <c r="AQ207" s="32"/>
      <c r="AR207" s="146"/>
      <c r="AS207" s="32"/>
      <c r="AT207" s="146"/>
      <c r="AU207" s="32"/>
      <c r="AV207" s="146"/>
      <c r="AW207" s="32"/>
      <c r="AX207" s="146"/>
      <c r="AY207" s="32"/>
      <c r="AZ207" s="146"/>
      <c r="BA207" s="32"/>
      <c r="BB207" s="146"/>
      <c r="BC207" s="32"/>
      <c r="BD207" s="146"/>
      <c r="BE207" s="32"/>
      <c r="BF207" s="146"/>
      <c r="BG207" s="32"/>
      <c r="BH207" s="146"/>
      <c r="BI207" s="32"/>
      <c r="BJ207" s="146"/>
      <c r="BK207" s="32"/>
      <c r="BL207" s="146"/>
      <c r="BM207" s="32"/>
      <c r="BN207" s="146"/>
      <c r="BO207" s="32"/>
      <c r="BP207" s="146"/>
      <c r="BQ207" s="32"/>
      <c r="BR207" s="146"/>
      <c r="BS207" s="32"/>
      <c r="BT207" s="146">
        <v>461</v>
      </c>
      <c r="BU207" s="32">
        <v>325</v>
      </c>
      <c r="BV207" s="146">
        <v>490</v>
      </c>
      <c r="BW207" s="32">
        <v>299</v>
      </c>
    </row>
    <row r="208" spans="1:75" ht="13" x14ac:dyDescent="0.25">
      <c r="A208" s="186">
        <v>2941</v>
      </c>
      <c r="B208" s="187" t="s">
        <v>230</v>
      </c>
      <c r="C208" s="46">
        <v>1527</v>
      </c>
      <c r="D208" s="142">
        <v>1034</v>
      </c>
      <c r="E208" s="145">
        <f t="shared" si="2"/>
        <v>0.67714472822527827</v>
      </c>
      <c r="F208" s="146">
        <v>530</v>
      </c>
      <c r="G208" s="32">
        <v>455</v>
      </c>
      <c r="H208" s="146">
        <v>516</v>
      </c>
      <c r="I208" s="32">
        <v>465</v>
      </c>
      <c r="J208" s="146"/>
      <c r="K208" s="32"/>
      <c r="L208" s="146"/>
      <c r="M208" s="32"/>
      <c r="N208" s="146"/>
      <c r="O208" s="32"/>
      <c r="P208" s="146"/>
      <c r="Q208" s="32"/>
      <c r="R208" s="146"/>
      <c r="S208" s="32"/>
      <c r="T208" s="146"/>
      <c r="U208" s="32"/>
      <c r="V208" s="146"/>
      <c r="W208" s="32"/>
      <c r="X208" s="146"/>
      <c r="Y208" s="32"/>
      <c r="Z208" s="146"/>
      <c r="AA208" s="32"/>
      <c r="AB208" s="146"/>
      <c r="AC208" s="32"/>
      <c r="AD208" s="146"/>
      <c r="AE208" s="32"/>
      <c r="AF208" s="146"/>
      <c r="AG208" s="32"/>
      <c r="AH208" s="146"/>
      <c r="AI208" s="32"/>
      <c r="AJ208" s="146"/>
      <c r="AK208" s="32"/>
      <c r="AL208" s="146"/>
      <c r="AM208" s="32"/>
      <c r="AN208" s="146"/>
      <c r="AO208" s="32"/>
      <c r="AP208" s="146"/>
      <c r="AQ208" s="32"/>
      <c r="AR208" s="146"/>
      <c r="AS208" s="32"/>
      <c r="AT208" s="146"/>
      <c r="AU208" s="32"/>
      <c r="AV208" s="146"/>
      <c r="AW208" s="32"/>
      <c r="AX208" s="146"/>
      <c r="AY208" s="32"/>
      <c r="AZ208" s="146"/>
      <c r="BA208" s="32"/>
      <c r="BB208" s="146"/>
      <c r="BC208" s="32"/>
      <c r="BD208" s="146"/>
      <c r="BE208" s="32"/>
      <c r="BF208" s="146"/>
      <c r="BG208" s="32"/>
      <c r="BH208" s="146"/>
      <c r="BI208" s="32"/>
      <c r="BJ208" s="146"/>
      <c r="BK208" s="32"/>
      <c r="BL208" s="146"/>
      <c r="BM208" s="32"/>
      <c r="BN208" s="146"/>
      <c r="BO208" s="32"/>
      <c r="BP208" s="146"/>
      <c r="BQ208" s="32"/>
      <c r="BR208" s="146"/>
      <c r="BS208" s="32"/>
      <c r="BT208" s="146">
        <v>589</v>
      </c>
      <c r="BU208" s="32">
        <v>396</v>
      </c>
      <c r="BV208" s="146">
        <v>619</v>
      </c>
      <c r="BW208" s="32">
        <v>368</v>
      </c>
    </row>
    <row r="209" spans="1:75" ht="13" x14ac:dyDescent="0.25">
      <c r="A209" s="186">
        <v>3111</v>
      </c>
      <c r="B209" s="187" t="s">
        <v>231</v>
      </c>
      <c r="C209" s="46">
        <v>985</v>
      </c>
      <c r="D209" s="142">
        <v>734</v>
      </c>
      <c r="E209" s="145">
        <f t="shared" si="2"/>
        <v>0.74517766497461924</v>
      </c>
      <c r="F209" s="146">
        <v>369</v>
      </c>
      <c r="G209" s="32">
        <v>328</v>
      </c>
      <c r="H209" s="146"/>
      <c r="I209" s="32"/>
      <c r="J209" s="146"/>
      <c r="K209" s="32"/>
      <c r="L209" s="146"/>
      <c r="M209" s="32"/>
      <c r="N209" s="146"/>
      <c r="O209" s="32"/>
      <c r="P209" s="146"/>
      <c r="Q209" s="32"/>
      <c r="R209" s="146"/>
      <c r="S209" s="32"/>
      <c r="T209" s="146"/>
      <c r="U209" s="32"/>
      <c r="V209" s="146"/>
      <c r="W209" s="32"/>
      <c r="X209" s="146"/>
      <c r="Y209" s="32"/>
      <c r="Z209" s="146"/>
      <c r="AA209" s="32"/>
      <c r="AB209" s="146"/>
      <c r="AC209" s="32"/>
      <c r="AD209" s="146"/>
      <c r="AE209" s="32"/>
      <c r="AF209" s="146"/>
      <c r="AG209" s="32"/>
      <c r="AH209" s="146"/>
      <c r="AI209" s="32"/>
      <c r="AJ209" s="146"/>
      <c r="AK209" s="32"/>
      <c r="AL209" s="146"/>
      <c r="AM209" s="32"/>
      <c r="AN209" s="146"/>
      <c r="AO209" s="32"/>
      <c r="AP209" s="146"/>
      <c r="AQ209" s="32"/>
      <c r="AR209" s="146"/>
      <c r="AS209" s="32"/>
      <c r="AT209" s="146"/>
      <c r="AU209" s="32"/>
      <c r="AV209" s="146"/>
      <c r="AW209" s="32"/>
      <c r="AX209" s="146"/>
      <c r="AY209" s="32"/>
      <c r="AZ209" s="146"/>
      <c r="BA209" s="32"/>
      <c r="BB209" s="146"/>
      <c r="BC209" s="32"/>
      <c r="BD209" s="146"/>
      <c r="BE209" s="32"/>
      <c r="BF209" s="146"/>
      <c r="BG209" s="32"/>
      <c r="BH209" s="146"/>
      <c r="BI209" s="32"/>
      <c r="BJ209" s="146"/>
      <c r="BK209" s="32"/>
      <c r="BL209" s="146"/>
      <c r="BM209" s="32"/>
      <c r="BN209" s="146"/>
      <c r="BO209" s="32"/>
      <c r="BP209" s="146"/>
      <c r="BQ209" s="32"/>
      <c r="BR209" s="146"/>
      <c r="BS209" s="32"/>
      <c r="BT209" s="146">
        <v>442</v>
      </c>
      <c r="BU209" s="32">
        <v>255</v>
      </c>
      <c r="BV209" s="146">
        <v>450</v>
      </c>
      <c r="BW209" s="32">
        <v>242</v>
      </c>
    </row>
    <row r="210" spans="1:75" ht="13" x14ac:dyDescent="0.25">
      <c r="A210" s="186">
        <v>3121</v>
      </c>
      <c r="B210" s="187" t="s">
        <v>232</v>
      </c>
      <c r="C210" s="46">
        <v>982</v>
      </c>
      <c r="D210" s="142">
        <v>789</v>
      </c>
      <c r="E210" s="145">
        <f t="shared" si="2"/>
        <v>0.80346232179226074</v>
      </c>
      <c r="F210" s="146">
        <v>393</v>
      </c>
      <c r="G210" s="32">
        <v>357</v>
      </c>
      <c r="H210" s="146"/>
      <c r="I210" s="32"/>
      <c r="J210" s="146"/>
      <c r="K210" s="32"/>
      <c r="L210" s="146"/>
      <c r="M210" s="32"/>
      <c r="N210" s="146"/>
      <c r="O210" s="32"/>
      <c r="P210" s="146"/>
      <c r="Q210" s="32"/>
      <c r="R210" s="146"/>
      <c r="S210" s="32"/>
      <c r="T210" s="146"/>
      <c r="U210" s="32"/>
      <c r="V210" s="146"/>
      <c r="W210" s="32"/>
      <c r="X210" s="146"/>
      <c r="Y210" s="32"/>
      <c r="Z210" s="146"/>
      <c r="AA210" s="32"/>
      <c r="AB210" s="146"/>
      <c r="AC210" s="32"/>
      <c r="AD210" s="146"/>
      <c r="AE210" s="32"/>
      <c r="AF210" s="146"/>
      <c r="AG210" s="32"/>
      <c r="AH210" s="146"/>
      <c r="AI210" s="32"/>
      <c r="AJ210" s="146"/>
      <c r="AK210" s="32"/>
      <c r="AL210" s="146"/>
      <c r="AM210" s="32"/>
      <c r="AN210" s="146"/>
      <c r="AO210" s="32"/>
      <c r="AP210" s="146"/>
      <c r="AQ210" s="32"/>
      <c r="AR210" s="146"/>
      <c r="AS210" s="32"/>
      <c r="AT210" s="146"/>
      <c r="AU210" s="32"/>
      <c r="AV210" s="146"/>
      <c r="AW210" s="32"/>
      <c r="AX210" s="146"/>
      <c r="AY210" s="32"/>
      <c r="AZ210" s="146"/>
      <c r="BA210" s="32"/>
      <c r="BB210" s="146"/>
      <c r="BC210" s="32"/>
      <c r="BD210" s="146"/>
      <c r="BE210" s="32"/>
      <c r="BF210" s="146"/>
      <c r="BG210" s="32"/>
      <c r="BH210" s="146"/>
      <c r="BI210" s="32"/>
      <c r="BJ210" s="146"/>
      <c r="BK210" s="32"/>
      <c r="BL210" s="146"/>
      <c r="BM210" s="32"/>
      <c r="BN210" s="146"/>
      <c r="BO210" s="32"/>
      <c r="BP210" s="146"/>
      <c r="BQ210" s="32"/>
      <c r="BR210" s="146"/>
      <c r="BS210" s="32"/>
      <c r="BT210" s="146">
        <v>468</v>
      </c>
      <c r="BU210" s="32">
        <v>283</v>
      </c>
      <c r="BV210" s="146">
        <v>491</v>
      </c>
      <c r="BW210" s="32">
        <v>261</v>
      </c>
    </row>
    <row r="211" spans="1:75" ht="13" x14ac:dyDescent="0.25">
      <c r="A211" s="186">
        <v>3131</v>
      </c>
      <c r="B211" s="187" t="s">
        <v>233</v>
      </c>
      <c r="C211" s="46">
        <v>979</v>
      </c>
      <c r="D211" s="142">
        <v>738</v>
      </c>
      <c r="E211" s="145">
        <f t="shared" si="2"/>
        <v>0.75383043922369763</v>
      </c>
      <c r="F211" s="146">
        <v>373</v>
      </c>
      <c r="G211" s="32">
        <v>330</v>
      </c>
      <c r="H211" s="146"/>
      <c r="I211" s="32"/>
      <c r="J211" s="146"/>
      <c r="K211" s="32"/>
      <c r="L211" s="146"/>
      <c r="M211" s="32"/>
      <c r="N211" s="146"/>
      <c r="O211" s="32"/>
      <c r="P211" s="146"/>
      <c r="Q211" s="32"/>
      <c r="R211" s="146"/>
      <c r="S211" s="32"/>
      <c r="T211" s="146"/>
      <c r="U211" s="32"/>
      <c r="V211" s="146"/>
      <c r="W211" s="32"/>
      <c r="X211" s="146"/>
      <c r="Y211" s="32"/>
      <c r="Z211" s="146"/>
      <c r="AA211" s="32"/>
      <c r="AB211" s="146"/>
      <c r="AC211" s="32"/>
      <c r="AD211" s="146"/>
      <c r="AE211" s="32"/>
      <c r="AF211" s="146"/>
      <c r="AG211" s="32"/>
      <c r="AH211" s="146"/>
      <c r="AI211" s="32"/>
      <c r="AJ211" s="146"/>
      <c r="AK211" s="32"/>
      <c r="AL211" s="146"/>
      <c r="AM211" s="32"/>
      <c r="AN211" s="146"/>
      <c r="AO211" s="32"/>
      <c r="AP211" s="146"/>
      <c r="AQ211" s="32"/>
      <c r="AR211" s="146"/>
      <c r="AS211" s="32"/>
      <c r="AT211" s="146"/>
      <c r="AU211" s="32"/>
      <c r="AV211" s="146"/>
      <c r="AW211" s="32"/>
      <c r="AX211" s="146"/>
      <c r="AY211" s="32"/>
      <c r="AZ211" s="146"/>
      <c r="BA211" s="32"/>
      <c r="BB211" s="146"/>
      <c r="BC211" s="32"/>
      <c r="BD211" s="146"/>
      <c r="BE211" s="32"/>
      <c r="BF211" s="146"/>
      <c r="BG211" s="32"/>
      <c r="BH211" s="146"/>
      <c r="BI211" s="32"/>
      <c r="BJ211" s="146"/>
      <c r="BK211" s="32"/>
      <c r="BL211" s="146"/>
      <c r="BM211" s="32"/>
      <c r="BN211" s="146"/>
      <c r="BO211" s="32"/>
      <c r="BP211" s="146"/>
      <c r="BQ211" s="32"/>
      <c r="BR211" s="146"/>
      <c r="BS211" s="32"/>
      <c r="BT211" s="146">
        <v>436</v>
      </c>
      <c r="BU211" s="32">
        <v>254</v>
      </c>
      <c r="BV211" s="146">
        <v>472</v>
      </c>
      <c r="BW211" s="32">
        <v>218</v>
      </c>
    </row>
    <row r="212" spans="1:75" ht="13" x14ac:dyDescent="0.25">
      <c r="A212" s="186">
        <v>3141</v>
      </c>
      <c r="B212" s="187" t="s">
        <v>234</v>
      </c>
      <c r="C212" s="46">
        <v>1143</v>
      </c>
      <c r="D212" s="142">
        <v>829</v>
      </c>
      <c r="E212" s="145">
        <f t="shared" si="2"/>
        <v>0.72528433945756776</v>
      </c>
      <c r="F212" s="146">
        <v>415</v>
      </c>
      <c r="G212" s="32">
        <v>364</v>
      </c>
      <c r="H212" s="146"/>
      <c r="I212" s="32"/>
      <c r="J212" s="146"/>
      <c r="K212" s="32"/>
      <c r="L212" s="146"/>
      <c r="M212" s="32"/>
      <c r="N212" s="146"/>
      <c r="O212" s="32"/>
      <c r="P212" s="146"/>
      <c r="Q212" s="32"/>
      <c r="R212" s="146"/>
      <c r="S212" s="32"/>
      <c r="T212" s="146"/>
      <c r="U212" s="32"/>
      <c r="V212" s="146"/>
      <c r="W212" s="32"/>
      <c r="X212" s="146"/>
      <c r="Y212" s="32"/>
      <c r="Z212" s="146"/>
      <c r="AA212" s="32"/>
      <c r="AB212" s="146"/>
      <c r="AC212" s="32"/>
      <c r="AD212" s="146"/>
      <c r="AE212" s="32"/>
      <c r="AF212" s="146"/>
      <c r="AG212" s="32"/>
      <c r="AH212" s="146"/>
      <c r="AI212" s="32"/>
      <c r="AJ212" s="146"/>
      <c r="AK212" s="32"/>
      <c r="AL212" s="146"/>
      <c r="AM212" s="32"/>
      <c r="AN212" s="146"/>
      <c r="AO212" s="32"/>
      <c r="AP212" s="146"/>
      <c r="AQ212" s="32"/>
      <c r="AR212" s="146"/>
      <c r="AS212" s="32"/>
      <c r="AT212" s="146"/>
      <c r="AU212" s="32"/>
      <c r="AV212" s="146"/>
      <c r="AW212" s="32"/>
      <c r="AX212" s="146"/>
      <c r="AY212" s="32"/>
      <c r="AZ212" s="146"/>
      <c r="BA212" s="32"/>
      <c r="BB212" s="146"/>
      <c r="BC212" s="32"/>
      <c r="BD212" s="146"/>
      <c r="BE212" s="32"/>
      <c r="BF212" s="146"/>
      <c r="BG212" s="32"/>
      <c r="BH212" s="146"/>
      <c r="BI212" s="32"/>
      <c r="BJ212" s="146"/>
      <c r="BK212" s="32"/>
      <c r="BL212" s="146"/>
      <c r="BM212" s="32"/>
      <c r="BN212" s="146"/>
      <c r="BO212" s="32"/>
      <c r="BP212" s="146"/>
      <c r="BQ212" s="32"/>
      <c r="BR212" s="146"/>
      <c r="BS212" s="32"/>
      <c r="BT212" s="146">
        <v>488</v>
      </c>
      <c r="BU212" s="32">
        <v>296</v>
      </c>
      <c r="BV212" s="146">
        <v>525</v>
      </c>
      <c r="BW212" s="32">
        <v>258</v>
      </c>
    </row>
    <row r="213" spans="1:75" ht="13" x14ac:dyDescent="0.25">
      <c r="A213" s="186">
        <v>3201</v>
      </c>
      <c r="B213" s="187" t="s">
        <v>235</v>
      </c>
      <c r="C213" s="46">
        <v>984</v>
      </c>
      <c r="D213" s="142">
        <v>640</v>
      </c>
      <c r="E213" s="145">
        <f t="shared" ref="E213:E280" si="3">SUM(D213/C213)</f>
        <v>0.65040650406504064</v>
      </c>
      <c r="F213" s="146">
        <v>453</v>
      </c>
      <c r="G213" s="32">
        <v>143</v>
      </c>
      <c r="H213" s="146"/>
      <c r="I213" s="32"/>
      <c r="J213" s="146"/>
      <c r="K213" s="32"/>
      <c r="L213" s="146"/>
      <c r="M213" s="32"/>
      <c r="N213" s="146"/>
      <c r="O213" s="32"/>
      <c r="P213" s="146"/>
      <c r="Q213" s="32"/>
      <c r="R213" s="146"/>
      <c r="S213" s="32"/>
      <c r="T213" s="146"/>
      <c r="U213" s="32"/>
      <c r="V213" s="146"/>
      <c r="W213" s="32"/>
      <c r="X213" s="146"/>
      <c r="Y213" s="32"/>
      <c r="Z213" s="146"/>
      <c r="AA213" s="32"/>
      <c r="AB213" s="146"/>
      <c r="AC213" s="32"/>
      <c r="AD213" s="146"/>
      <c r="AE213" s="32"/>
      <c r="AF213" s="146"/>
      <c r="AG213" s="32"/>
      <c r="AH213" s="146"/>
      <c r="AI213" s="32"/>
      <c r="AJ213" s="146"/>
      <c r="AK213" s="32"/>
      <c r="AL213" s="146"/>
      <c r="AM213" s="32"/>
      <c r="AN213" s="146"/>
      <c r="AO213" s="32"/>
      <c r="AP213" s="146"/>
      <c r="AQ213" s="32"/>
      <c r="AR213" s="146"/>
      <c r="AS213" s="32"/>
      <c r="AT213" s="146"/>
      <c r="AU213" s="32"/>
      <c r="AV213" s="146"/>
      <c r="AW213" s="32"/>
      <c r="AX213" s="146"/>
      <c r="AY213" s="32"/>
      <c r="AZ213" s="146"/>
      <c r="BA213" s="32"/>
      <c r="BB213" s="146"/>
      <c r="BC213" s="32"/>
      <c r="BD213" s="146"/>
      <c r="BE213" s="32"/>
      <c r="BF213" s="146"/>
      <c r="BG213" s="32"/>
      <c r="BH213" s="146"/>
      <c r="BI213" s="32"/>
      <c r="BJ213" s="146"/>
      <c r="BK213" s="32"/>
      <c r="BL213" s="146"/>
      <c r="BM213" s="32"/>
      <c r="BN213" s="146"/>
      <c r="BO213" s="32"/>
      <c r="BP213" s="146"/>
      <c r="BQ213" s="32"/>
      <c r="BR213" s="146"/>
      <c r="BS213" s="32"/>
      <c r="BT213" s="146">
        <v>409</v>
      </c>
      <c r="BU213" s="32">
        <v>180</v>
      </c>
      <c r="BV213" s="146">
        <v>419</v>
      </c>
      <c r="BW213" s="32">
        <v>160</v>
      </c>
    </row>
    <row r="214" spans="1:75" ht="13" x14ac:dyDescent="0.25">
      <c r="A214" s="186">
        <v>3202</v>
      </c>
      <c r="B214" s="187" t="s">
        <v>236</v>
      </c>
      <c r="C214" s="46">
        <v>977</v>
      </c>
      <c r="D214" s="142">
        <v>698</v>
      </c>
      <c r="E214" s="145">
        <f t="shared" si="3"/>
        <v>0.71443193449334697</v>
      </c>
      <c r="F214" s="146">
        <v>446</v>
      </c>
      <c r="G214" s="32">
        <v>215</v>
      </c>
      <c r="H214" s="146"/>
      <c r="I214" s="32"/>
      <c r="J214" s="146"/>
      <c r="K214" s="32"/>
      <c r="L214" s="146"/>
      <c r="M214" s="32"/>
      <c r="N214" s="146"/>
      <c r="O214" s="32"/>
      <c r="P214" s="146"/>
      <c r="Q214" s="32"/>
      <c r="R214" s="146"/>
      <c r="S214" s="32"/>
      <c r="T214" s="146"/>
      <c r="U214" s="32"/>
      <c r="V214" s="146"/>
      <c r="W214" s="32"/>
      <c r="X214" s="146"/>
      <c r="Y214" s="32"/>
      <c r="Z214" s="146"/>
      <c r="AA214" s="32"/>
      <c r="AB214" s="146"/>
      <c r="AC214" s="32"/>
      <c r="AD214" s="146"/>
      <c r="AE214" s="32"/>
      <c r="AF214" s="146"/>
      <c r="AG214" s="32"/>
      <c r="AH214" s="146"/>
      <c r="AI214" s="32"/>
      <c r="AJ214" s="146"/>
      <c r="AK214" s="32"/>
      <c r="AL214" s="146"/>
      <c r="AM214" s="32"/>
      <c r="AN214" s="146"/>
      <c r="AO214" s="32"/>
      <c r="AP214" s="146"/>
      <c r="AQ214" s="32"/>
      <c r="AR214" s="146"/>
      <c r="AS214" s="32"/>
      <c r="AT214" s="146"/>
      <c r="AU214" s="32"/>
      <c r="AV214" s="146"/>
      <c r="AW214" s="32"/>
      <c r="AX214" s="146"/>
      <c r="AY214" s="32"/>
      <c r="AZ214" s="146"/>
      <c r="BA214" s="32"/>
      <c r="BB214" s="146"/>
      <c r="BC214" s="32"/>
      <c r="BD214" s="146"/>
      <c r="BE214" s="32"/>
      <c r="BF214" s="146"/>
      <c r="BG214" s="32"/>
      <c r="BH214" s="146"/>
      <c r="BI214" s="32"/>
      <c r="BJ214" s="146"/>
      <c r="BK214" s="32"/>
      <c r="BL214" s="146"/>
      <c r="BM214" s="32"/>
      <c r="BN214" s="146"/>
      <c r="BO214" s="32"/>
      <c r="BP214" s="146"/>
      <c r="BQ214" s="32"/>
      <c r="BR214" s="146"/>
      <c r="BS214" s="32"/>
      <c r="BT214" s="146">
        <v>427</v>
      </c>
      <c r="BU214" s="32">
        <v>234</v>
      </c>
      <c r="BV214" s="146">
        <v>442</v>
      </c>
      <c r="BW214" s="32">
        <v>224</v>
      </c>
    </row>
    <row r="215" spans="1:75" ht="13" x14ac:dyDescent="0.25">
      <c r="A215" s="186">
        <v>3203</v>
      </c>
      <c r="B215" s="187" t="s">
        <v>237</v>
      </c>
      <c r="C215" s="46">
        <v>1030</v>
      </c>
      <c r="D215" s="142">
        <v>675</v>
      </c>
      <c r="E215" s="145">
        <f t="shared" si="3"/>
        <v>0.65533980582524276</v>
      </c>
      <c r="F215" s="146">
        <v>479</v>
      </c>
      <c r="G215" s="32">
        <v>160</v>
      </c>
      <c r="H215" s="146"/>
      <c r="I215" s="32"/>
      <c r="J215" s="146"/>
      <c r="K215" s="32"/>
      <c r="L215" s="146"/>
      <c r="M215" s="32"/>
      <c r="N215" s="146"/>
      <c r="O215" s="32"/>
      <c r="P215" s="146"/>
      <c r="Q215" s="32"/>
      <c r="R215" s="146"/>
      <c r="S215" s="32"/>
      <c r="T215" s="146"/>
      <c r="U215" s="32"/>
      <c r="V215" s="146"/>
      <c r="W215" s="32"/>
      <c r="X215" s="146"/>
      <c r="Y215" s="32"/>
      <c r="Z215" s="146"/>
      <c r="AA215" s="32"/>
      <c r="AB215" s="146"/>
      <c r="AC215" s="32"/>
      <c r="AD215" s="146"/>
      <c r="AE215" s="32"/>
      <c r="AF215" s="146"/>
      <c r="AG215" s="32"/>
      <c r="AH215" s="146"/>
      <c r="AI215" s="32"/>
      <c r="AJ215" s="146"/>
      <c r="AK215" s="32"/>
      <c r="AL215" s="146"/>
      <c r="AM215" s="32"/>
      <c r="AN215" s="146"/>
      <c r="AO215" s="32"/>
      <c r="AP215" s="146"/>
      <c r="AQ215" s="32"/>
      <c r="AR215" s="146"/>
      <c r="AS215" s="32"/>
      <c r="AT215" s="146"/>
      <c r="AU215" s="32"/>
      <c r="AV215" s="146"/>
      <c r="AW215" s="32"/>
      <c r="AX215" s="146"/>
      <c r="AY215" s="32"/>
      <c r="AZ215" s="146"/>
      <c r="BA215" s="32"/>
      <c r="BB215" s="146"/>
      <c r="BC215" s="32"/>
      <c r="BD215" s="146"/>
      <c r="BE215" s="32"/>
      <c r="BF215" s="146"/>
      <c r="BG215" s="32"/>
      <c r="BH215" s="146"/>
      <c r="BI215" s="32"/>
      <c r="BJ215" s="146"/>
      <c r="BK215" s="32"/>
      <c r="BL215" s="146"/>
      <c r="BM215" s="32"/>
      <c r="BN215" s="146"/>
      <c r="BO215" s="32"/>
      <c r="BP215" s="146"/>
      <c r="BQ215" s="32"/>
      <c r="BR215" s="146"/>
      <c r="BS215" s="32"/>
      <c r="BT215" s="146">
        <v>466</v>
      </c>
      <c r="BU215" s="32">
        <v>177</v>
      </c>
      <c r="BV215" s="146">
        <v>479</v>
      </c>
      <c r="BW215" s="32">
        <v>160</v>
      </c>
    </row>
    <row r="216" spans="1:75" ht="13" x14ac:dyDescent="0.25">
      <c r="A216" s="186">
        <v>3204</v>
      </c>
      <c r="B216" s="187" t="s">
        <v>238</v>
      </c>
      <c r="C216" s="46">
        <v>984</v>
      </c>
      <c r="D216" s="142">
        <v>611</v>
      </c>
      <c r="E216" s="145">
        <f t="shared" si="3"/>
        <v>0.62093495934959353</v>
      </c>
      <c r="F216" s="146">
        <v>395</v>
      </c>
      <c r="G216" s="32">
        <v>177</v>
      </c>
      <c r="H216" s="146"/>
      <c r="I216" s="32"/>
      <c r="J216" s="146"/>
      <c r="K216" s="32"/>
      <c r="L216" s="146"/>
      <c r="M216" s="32"/>
      <c r="N216" s="146"/>
      <c r="O216" s="32"/>
      <c r="P216" s="146"/>
      <c r="Q216" s="32"/>
      <c r="R216" s="146"/>
      <c r="S216" s="32"/>
      <c r="T216" s="146"/>
      <c r="U216" s="32"/>
      <c r="V216" s="146"/>
      <c r="W216" s="32"/>
      <c r="X216" s="146"/>
      <c r="Y216" s="32"/>
      <c r="Z216" s="146"/>
      <c r="AA216" s="32"/>
      <c r="AB216" s="146"/>
      <c r="AC216" s="32"/>
      <c r="AD216" s="146"/>
      <c r="AE216" s="32"/>
      <c r="AF216" s="146"/>
      <c r="AG216" s="32"/>
      <c r="AH216" s="146"/>
      <c r="AI216" s="32"/>
      <c r="AJ216" s="146"/>
      <c r="AK216" s="32"/>
      <c r="AL216" s="146"/>
      <c r="AM216" s="32"/>
      <c r="AN216" s="146"/>
      <c r="AO216" s="32"/>
      <c r="AP216" s="146"/>
      <c r="AQ216" s="32"/>
      <c r="AR216" s="146"/>
      <c r="AS216" s="32"/>
      <c r="AT216" s="146"/>
      <c r="AU216" s="32"/>
      <c r="AV216" s="146"/>
      <c r="AW216" s="32"/>
      <c r="AX216" s="146"/>
      <c r="AY216" s="32"/>
      <c r="AZ216" s="146"/>
      <c r="BA216" s="32"/>
      <c r="BB216" s="146"/>
      <c r="BC216" s="32"/>
      <c r="BD216" s="146"/>
      <c r="BE216" s="32"/>
      <c r="BF216" s="146"/>
      <c r="BG216" s="32"/>
      <c r="BH216" s="146"/>
      <c r="BI216" s="32"/>
      <c r="BJ216" s="146"/>
      <c r="BK216" s="32"/>
      <c r="BL216" s="146"/>
      <c r="BM216" s="32"/>
      <c r="BN216" s="146"/>
      <c r="BO216" s="32"/>
      <c r="BP216" s="146"/>
      <c r="BQ216" s="32"/>
      <c r="BR216" s="146"/>
      <c r="BS216" s="32"/>
      <c r="BT216" s="146">
        <v>375</v>
      </c>
      <c r="BU216" s="32">
        <v>201</v>
      </c>
      <c r="BV216" s="146">
        <v>397</v>
      </c>
      <c r="BW216" s="32">
        <v>179</v>
      </c>
    </row>
    <row r="217" spans="1:75" ht="13" x14ac:dyDescent="0.25">
      <c r="A217" s="186">
        <v>3205</v>
      </c>
      <c r="B217" s="187" t="s">
        <v>239</v>
      </c>
      <c r="C217" s="46">
        <v>920</v>
      </c>
      <c r="D217" s="142">
        <v>615</v>
      </c>
      <c r="E217" s="145">
        <f t="shared" si="3"/>
        <v>0.66847826086956519</v>
      </c>
      <c r="F217" s="146">
        <v>416</v>
      </c>
      <c r="G217" s="32">
        <v>161</v>
      </c>
      <c r="H217" s="146"/>
      <c r="I217" s="32"/>
      <c r="J217" s="146"/>
      <c r="K217" s="32"/>
      <c r="L217" s="146"/>
      <c r="M217" s="32"/>
      <c r="N217" s="146"/>
      <c r="O217" s="32"/>
      <c r="P217" s="146"/>
      <c r="Q217" s="32"/>
      <c r="R217" s="146"/>
      <c r="S217" s="32"/>
      <c r="T217" s="146"/>
      <c r="U217" s="32"/>
      <c r="V217" s="146"/>
      <c r="W217" s="32"/>
      <c r="X217" s="146"/>
      <c r="Y217" s="32"/>
      <c r="Z217" s="146"/>
      <c r="AA217" s="32"/>
      <c r="AB217" s="146"/>
      <c r="AC217" s="32"/>
      <c r="AD217" s="146"/>
      <c r="AE217" s="32"/>
      <c r="AF217" s="146"/>
      <c r="AG217" s="32"/>
      <c r="AH217" s="146"/>
      <c r="AI217" s="32"/>
      <c r="AJ217" s="146"/>
      <c r="AK217" s="32"/>
      <c r="AL217" s="146"/>
      <c r="AM217" s="32"/>
      <c r="AN217" s="146"/>
      <c r="AO217" s="32"/>
      <c r="AP217" s="146"/>
      <c r="AQ217" s="32"/>
      <c r="AR217" s="146"/>
      <c r="AS217" s="32"/>
      <c r="AT217" s="146"/>
      <c r="AU217" s="32"/>
      <c r="AV217" s="146"/>
      <c r="AW217" s="32"/>
      <c r="AX217" s="146"/>
      <c r="AY217" s="32"/>
      <c r="AZ217" s="146"/>
      <c r="BA217" s="32"/>
      <c r="BB217" s="146"/>
      <c r="BC217" s="32"/>
      <c r="BD217" s="146"/>
      <c r="BE217" s="32"/>
      <c r="BF217" s="146"/>
      <c r="BG217" s="32"/>
      <c r="BH217" s="146"/>
      <c r="BI217" s="32"/>
      <c r="BJ217" s="146"/>
      <c r="BK217" s="32"/>
      <c r="BL217" s="146"/>
      <c r="BM217" s="32"/>
      <c r="BN217" s="146"/>
      <c r="BO217" s="32"/>
      <c r="BP217" s="146"/>
      <c r="BQ217" s="32"/>
      <c r="BR217" s="146"/>
      <c r="BS217" s="32"/>
      <c r="BT217" s="146">
        <v>384</v>
      </c>
      <c r="BU217" s="32">
        <v>195</v>
      </c>
      <c r="BV217" s="146">
        <v>401</v>
      </c>
      <c r="BW217" s="32">
        <v>179</v>
      </c>
    </row>
    <row r="218" spans="1:75" ht="13" x14ac:dyDescent="0.25">
      <c r="A218" s="186">
        <v>3206</v>
      </c>
      <c r="B218" s="187" t="s">
        <v>240</v>
      </c>
      <c r="C218" s="46">
        <v>568</v>
      </c>
      <c r="D218" s="142">
        <v>376</v>
      </c>
      <c r="E218" s="145">
        <f t="shared" si="3"/>
        <v>0.6619718309859155</v>
      </c>
      <c r="F218" s="146">
        <v>281</v>
      </c>
      <c r="G218" s="32">
        <v>77</v>
      </c>
      <c r="H218" s="146"/>
      <c r="I218" s="32"/>
      <c r="J218" s="146"/>
      <c r="K218" s="32"/>
      <c r="L218" s="146"/>
      <c r="M218" s="32"/>
      <c r="N218" s="146"/>
      <c r="O218" s="32"/>
      <c r="P218" s="146"/>
      <c r="Q218" s="32"/>
      <c r="R218" s="146"/>
      <c r="S218" s="32"/>
      <c r="T218" s="146"/>
      <c r="U218" s="32"/>
      <c r="V218" s="146"/>
      <c r="W218" s="32"/>
      <c r="X218" s="146"/>
      <c r="Y218" s="32"/>
      <c r="Z218" s="146"/>
      <c r="AA218" s="32"/>
      <c r="AB218" s="146"/>
      <c r="AC218" s="32"/>
      <c r="AD218" s="146"/>
      <c r="AE218" s="32"/>
      <c r="AF218" s="146"/>
      <c r="AG218" s="32"/>
      <c r="AH218" s="146"/>
      <c r="AI218" s="32"/>
      <c r="AJ218" s="146"/>
      <c r="AK218" s="32"/>
      <c r="AL218" s="146"/>
      <c r="AM218" s="32"/>
      <c r="AN218" s="146"/>
      <c r="AO218" s="32"/>
      <c r="AP218" s="146"/>
      <c r="AQ218" s="32"/>
      <c r="AR218" s="146"/>
      <c r="AS218" s="32"/>
      <c r="AT218" s="146"/>
      <c r="AU218" s="32"/>
      <c r="AV218" s="146"/>
      <c r="AW218" s="32"/>
      <c r="AX218" s="146"/>
      <c r="AY218" s="32"/>
      <c r="AZ218" s="146"/>
      <c r="BA218" s="32"/>
      <c r="BB218" s="146"/>
      <c r="BC218" s="32"/>
      <c r="BD218" s="146"/>
      <c r="BE218" s="32"/>
      <c r="BF218" s="146"/>
      <c r="BG218" s="32"/>
      <c r="BH218" s="146"/>
      <c r="BI218" s="32"/>
      <c r="BJ218" s="146"/>
      <c r="BK218" s="32"/>
      <c r="BL218" s="146"/>
      <c r="BM218" s="32"/>
      <c r="BN218" s="146"/>
      <c r="BO218" s="32"/>
      <c r="BP218" s="146"/>
      <c r="BQ218" s="32"/>
      <c r="BR218" s="146"/>
      <c r="BS218" s="32"/>
      <c r="BT218" s="146">
        <v>264</v>
      </c>
      <c r="BU218" s="32">
        <v>99</v>
      </c>
      <c r="BV218" s="146">
        <v>273</v>
      </c>
      <c r="BW218" s="32">
        <v>87</v>
      </c>
    </row>
    <row r="219" spans="1:75" ht="13" x14ac:dyDescent="0.25">
      <c r="A219" s="186">
        <v>3207</v>
      </c>
      <c r="B219" s="187" t="s">
        <v>241</v>
      </c>
      <c r="C219" s="46">
        <v>903</v>
      </c>
      <c r="D219" s="142">
        <v>564</v>
      </c>
      <c r="E219" s="145">
        <f t="shared" si="3"/>
        <v>0.62458471760797341</v>
      </c>
      <c r="F219" s="146">
        <v>406</v>
      </c>
      <c r="G219" s="32">
        <v>125</v>
      </c>
      <c r="H219" s="146"/>
      <c r="I219" s="32"/>
      <c r="J219" s="146"/>
      <c r="K219" s="32"/>
      <c r="L219" s="146"/>
      <c r="M219" s="32"/>
      <c r="N219" s="146"/>
      <c r="O219" s="32"/>
      <c r="P219" s="146"/>
      <c r="Q219" s="32"/>
      <c r="R219" s="146"/>
      <c r="S219" s="32"/>
      <c r="T219" s="146"/>
      <c r="U219" s="32"/>
      <c r="V219" s="146"/>
      <c r="W219" s="32"/>
      <c r="X219" s="146"/>
      <c r="Y219" s="32"/>
      <c r="Z219" s="146"/>
      <c r="AA219" s="32"/>
      <c r="AB219" s="146"/>
      <c r="AC219" s="32"/>
      <c r="AD219" s="146"/>
      <c r="AE219" s="32"/>
      <c r="AF219" s="146"/>
      <c r="AG219" s="32"/>
      <c r="AH219" s="146"/>
      <c r="AI219" s="32"/>
      <c r="AJ219" s="146"/>
      <c r="AK219" s="32"/>
      <c r="AL219" s="146"/>
      <c r="AM219" s="32"/>
      <c r="AN219" s="146"/>
      <c r="AO219" s="32"/>
      <c r="AP219" s="146"/>
      <c r="AQ219" s="32"/>
      <c r="AR219" s="146"/>
      <c r="AS219" s="32"/>
      <c r="AT219" s="146"/>
      <c r="AU219" s="32"/>
      <c r="AV219" s="146"/>
      <c r="AW219" s="32"/>
      <c r="AX219" s="146"/>
      <c r="AY219" s="32"/>
      <c r="AZ219" s="146"/>
      <c r="BA219" s="32"/>
      <c r="BB219" s="146"/>
      <c r="BC219" s="32"/>
      <c r="BD219" s="146"/>
      <c r="BE219" s="32"/>
      <c r="BF219" s="146"/>
      <c r="BG219" s="32"/>
      <c r="BH219" s="146"/>
      <c r="BI219" s="32"/>
      <c r="BJ219" s="146"/>
      <c r="BK219" s="32"/>
      <c r="BL219" s="146"/>
      <c r="BM219" s="32"/>
      <c r="BN219" s="146"/>
      <c r="BO219" s="32"/>
      <c r="BP219" s="146"/>
      <c r="BQ219" s="32"/>
      <c r="BR219" s="146"/>
      <c r="BS219" s="32"/>
      <c r="BT219" s="146">
        <v>385</v>
      </c>
      <c r="BU219" s="32">
        <v>149</v>
      </c>
      <c r="BV219" s="146">
        <v>397</v>
      </c>
      <c r="BW219" s="32">
        <v>138</v>
      </c>
    </row>
    <row r="220" spans="1:75" ht="13" x14ac:dyDescent="0.25">
      <c r="A220" s="186">
        <v>3208</v>
      </c>
      <c r="B220" s="187" t="s">
        <v>242</v>
      </c>
      <c r="C220" s="46">
        <v>760</v>
      </c>
      <c r="D220" s="142">
        <v>508</v>
      </c>
      <c r="E220" s="145">
        <f t="shared" si="3"/>
        <v>0.66842105263157892</v>
      </c>
      <c r="F220" s="146">
        <v>352</v>
      </c>
      <c r="G220" s="32">
        <v>120</v>
      </c>
      <c r="H220" s="146"/>
      <c r="I220" s="32"/>
      <c r="J220" s="146"/>
      <c r="K220" s="32"/>
      <c r="L220" s="146"/>
      <c r="M220" s="32"/>
      <c r="N220" s="146"/>
      <c r="O220" s="32"/>
      <c r="P220" s="146"/>
      <c r="Q220" s="32"/>
      <c r="R220" s="146"/>
      <c r="S220" s="32"/>
      <c r="T220" s="146"/>
      <c r="U220" s="32"/>
      <c r="V220" s="146"/>
      <c r="W220" s="32"/>
      <c r="X220" s="146"/>
      <c r="Y220" s="32"/>
      <c r="Z220" s="146"/>
      <c r="AA220" s="32"/>
      <c r="AB220" s="146"/>
      <c r="AC220" s="32"/>
      <c r="AD220" s="146"/>
      <c r="AE220" s="32"/>
      <c r="AF220" s="146"/>
      <c r="AG220" s="32"/>
      <c r="AH220" s="146"/>
      <c r="AI220" s="32"/>
      <c r="AJ220" s="146"/>
      <c r="AK220" s="32"/>
      <c r="AL220" s="146"/>
      <c r="AM220" s="32"/>
      <c r="AN220" s="146"/>
      <c r="AO220" s="32"/>
      <c r="AP220" s="146"/>
      <c r="AQ220" s="32"/>
      <c r="AR220" s="146"/>
      <c r="AS220" s="32"/>
      <c r="AT220" s="146"/>
      <c r="AU220" s="32"/>
      <c r="AV220" s="146"/>
      <c r="AW220" s="32"/>
      <c r="AX220" s="146"/>
      <c r="AY220" s="32"/>
      <c r="AZ220" s="146"/>
      <c r="BA220" s="32"/>
      <c r="BB220" s="146"/>
      <c r="BC220" s="32"/>
      <c r="BD220" s="146"/>
      <c r="BE220" s="32"/>
      <c r="BF220" s="146"/>
      <c r="BG220" s="32"/>
      <c r="BH220" s="146"/>
      <c r="BI220" s="32"/>
      <c r="BJ220" s="146"/>
      <c r="BK220" s="32"/>
      <c r="BL220" s="146"/>
      <c r="BM220" s="32"/>
      <c r="BN220" s="146"/>
      <c r="BO220" s="32"/>
      <c r="BP220" s="146"/>
      <c r="BQ220" s="32"/>
      <c r="BR220" s="146"/>
      <c r="BS220" s="32"/>
      <c r="BT220" s="146">
        <v>298</v>
      </c>
      <c r="BU220" s="32">
        <v>184</v>
      </c>
      <c r="BV220" s="146">
        <v>322</v>
      </c>
      <c r="BW220" s="32">
        <v>164</v>
      </c>
    </row>
    <row r="221" spans="1:75" ht="13" x14ac:dyDescent="0.25">
      <c r="A221" s="186">
        <v>3209</v>
      </c>
      <c r="B221" s="187" t="s">
        <v>243</v>
      </c>
      <c r="C221" s="46">
        <v>996</v>
      </c>
      <c r="D221" s="142">
        <v>738</v>
      </c>
      <c r="E221" s="145">
        <f t="shared" si="3"/>
        <v>0.74096385542168675</v>
      </c>
      <c r="F221" s="146">
        <v>500</v>
      </c>
      <c r="G221" s="32">
        <v>207</v>
      </c>
      <c r="H221" s="146"/>
      <c r="I221" s="32"/>
      <c r="J221" s="146"/>
      <c r="K221" s="32"/>
      <c r="L221" s="146"/>
      <c r="M221" s="32"/>
      <c r="N221" s="146"/>
      <c r="O221" s="32"/>
      <c r="P221" s="146"/>
      <c r="Q221" s="32"/>
      <c r="R221" s="146"/>
      <c r="S221" s="32"/>
      <c r="T221" s="146"/>
      <c r="U221" s="32"/>
      <c r="V221" s="146"/>
      <c r="W221" s="32"/>
      <c r="X221" s="146"/>
      <c r="Y221" s="32"/>
      <c r="Z221" s="146"/>
      <c r="AA221" s="32"/>
      <c r="AB221" s="146"/>
      <c r="AC221" s="32"/>
      <c r="AD221" s="146"/>
      <c r="AE221" s="32"/>
      <c r="AF221" s="146"/>
      <c r="AG221" s="32"/>
      <c r="AH221" s="146"/>
      <c r="AI221" s="32"/>
      <c r="AJ221" s="146"/>
      <c r="AK221" s="32"/>
      <c r="AL221" s="146"/>
      <c r="AM221" s="32"/>
      <c r="AN221" s="146"/>
      <c r="AO221" s="32"/>
      <c r="AP221" s="146"/>
      <c r="AQ221" s="32"/>
      <c r="AR221" s="146"/>
      <c r="AS221" s="32"/>
      <c r="AT221" s="146"/>
      <c r="AU221" s="32"/>
      <c r="AV221" s="146"/>
      <c r="AW221" s="32"/>
      <c r="AX221" s="146"/>
      <c r="AY221" s="32"/>
      <c r="AZ221" s="146"/>
      <c r="BA221" s="32"/>
      <c r="BB221" s="146"/>
      <c r="BC221" s="32"/>
      <c r="BD221" s="146"/>
      <c r="BE221" s="32"/>
      <c r="BF221" s="146"/>
      <c r="BG221" s="32"/>
      <c r="BH221" s="146"/>
      <c r="BI221" s="32"/>
      <c r="BJ221" s="146"/>
      <c r="BK221" s="32"/>
      <c r="BL221" s="146"/>
      <c r="BM221" s="32"/>
      <c r="BN221" s="146"/>
      <c r="BO221" s="32"/>
      <c r="BP221" s="146"/>
      <c r="BQ221" s="32"/>
      <c r="BR221" s="146"/>
      <c r="BS221" s="32"/>
      <c r="BT221" s="146">
        <v>486</v>
      </c>
      <c r="BU221" s="32">
        <v>210</v>
      </c>
      <c r="BV221" s="146">
        <v>490</v>
      </c>
      <c r="BW221" s="32">
        <v>205</v>
      </c>
    </row>
    <row r="222" spans="1:75" ht="13" x14ac:dyDescent="0.25">
      <c r="A222" s="186">
        <v>3210</v>
      </c>
      <c r="B222" s="187" t="s">
        <v>244</v>
      </c>
      <c r="C222" s="46">
        <v>866</v>
      </c>
      <c r="D222" s="142">
        <v>632</v>
      </c>
      <c r="E222" s="145">
        <f t="shared" si="3"/>
        <v>0.72979214780600465</v>
      </c>
      <c r="F222" s="146">
        <v>457</v>
      </c>
      <c r="G222" s="32">
        <v>151</v>
      </c>
      <c r="H222" s="146"/>
      <c r="I222" s="32"/>
      <c r="J222" s="146"/>
      <c r="K222" s="32"/>
      <c r="L222" s="146"/>
      <c r="M222" s="32"/>
      <c r="N222" s="146"/>
      <c r="O222" s="32"/>
      <c r="P222" s="146"/>
      <c r="Q222" s="32"/>
      <c r="R222" s="146"/>
      <c r="S222" s="32"/>
      <c r="T222" s="146"/>
      <c r="U222" s="32"/>
      <c r="V222" s="146"/>
      <c r="W222" s="32"/>
      <c r="X222" s="146"/>
      <c r="Y222" s="32"/>
      <c r="Z222" s="146"/>
      <c r="AA222" s="32"/>
      <c r="AB222" s="146"/>
      <c r="AC222" s="32"/>
      <c r="AD222" s="146"/>
      <c r="AE222" s="32"/>
      <c r="AF222" s="146"/>
      <c r="AG222" s="32"/>
      <c r="AH222" s="146"/>
      <c r="AI222" s="32"/>
      <c r="AJ222" s="146"/>
      <c r="AK222" s="32"/>
      <c r="AL222" s="146"/>
      <c r="AM222" s="32"/>
      <c r="AN222" s="146"/>
      <c r="AO222" s="32"/>
      <c r="AP222" s="146"/>
      <c r="AQ222" s="32"/>
      <c r="AR222" s="146"/>
      <c r="AS222" s="32"/>
      <c r="AT222" s="146"/>
      <c r="AU222" s="32"/>
      <c r="AV222" s="146"/>
      <c r="AW222" s="32"/>
      <c r="AX222" s="146"/>
      <c r="AY222" s="32"/>
      <c r="AZ222" s="146"/>
      <c r="BA222" s="32"/>
      <c r="BB222" s="146"/>
      <c r="BC222" s="32"/>
      <c r="BD222" s="146"/>
      <c r="BE222" s="32"/>
      <c r="BF222" s="146"/>
      <c r="BG222" s="32"/>
      <c r="BH222" s="146"/>
      <c r="BI222" s="32"/>
      <c r="BJ222" s="146"/>
      <c r="BK222" s="32"/>
      <c r="BL222" s="146"/>
      <c r="BM222" s="32"/>
      <c r="BN222" s="146"/>
      <c r="BO222" s="32"/>
      <c r="BP222" s="146"/>
      <c r="BQ222" s="32"/>
      <c r="BR222" s="146"/>
      <c r="BS222" s="32"/>
      <c r="BT222" s="146">
        <v>440</v>
      </c>
      <c r="BU222" s="32">
        <v>170</v>
      </c>
      <c r="BV222" s="146">
        <v>452</v>
      </c>
      <c r="BW222" s="32">
        <v>159</v>
      </c>
    </row>
    <row r="223" spans="1:75" ht="13" x14ac:dyDescent="0.25">
      <c r="A223" s="186">
        <v>3211</v>
      </c>
      <c r="B223" s="187" t="s">
        <v>245</v>
      </c>
      <c r="C223" s="46">
        <v>1180</v>
      </c>
      <c r="D223" s="142">
        <v>628</v>
      </c>
      <c r="E223" s="145">
        <f t="shared" si="3"/>
        <v>0.53220338983050852</v>
      </c>
      <c r="F223" s="146">
        <v>436</v>
      </c>
      <c r="G223" s="32">
        <v>156</v>
      </c>
      <c r="H223" s="146"/>
      <c r="I223" s="32"/>
      <c r="J223" s="146"/>
      <c r="K223" s="32"/>
      <c r="L223" s="146"/>
      <c r="M223" s="32"/>
      <c r="N223" s="146"/>
      <c r="O223" s="32"/>
      <c r="P223" s="146"/>
      <c r="Q223" s="32"/>
      <c r="R223" s="146"/>
      <c r="S223" s="32"/>
      <c r="T223" s="146"/>
      <c r="U223" s="32"/>
      <c r="V223" s="146"/>
      <c r="W223" s="32"/>
      <c r="X223" s="146"/>
      <c r="Y223" s="32"/>
      <c r="Z223" s="146"/>
      <c r="AA223" s="32"/>
      <c r="AB223" s="146"/>
      <c r="AC223" s="32"/>
      <c r="AD223" s="146"/>
      <c r="AE223" s="32"/>
      <c r="AF223" s="146"/>
      <c r="AG223" s="32"/>
      <c r="AH223" s="146"/>
      <c r="AI223" s="32"/>
      <c r="AJ223" s="146"/>
      <c r="AK223" s="32"/>
      <c r="AL223" s="146"/>
      <c r="AM223" s="32"/>
      <c r="AN223" s="146"/>
      <c r="AO223" s="32"/>
      <c r="AP223" s="146"/>
      <c r="AQ223" s="32"/>
      <c r="AR223" s="146"/>
      <c r="AS223" s="32"/>
      <c r="AT223" s="146"/>
      <c r="AU223" s="32"/>
      <c r="AV223" s="146"/>
      <c r="AW223" s="32"/>
      <c r="AX223" s="146"/>
      <c r="AY223" s="32"/>
      <c r="AZ223" s="146"/>
      <c r="BA223" s="32"/>
      <c r="BB223" s="146"/>
      <c r="BC223" s="32"/>
      <c r="BD223" s="146"/>
      <c r="BE223" s="32"/>
      <c r="BF223" s="146"/>
      <c r="BG223" s="32"/>
      <c r="BH223" s="146"/>
      <c r="BI223" s="32"/>
      <c r="BJ223" s="146"/>
      <c r="BK223" s="32"/>
      <c r="BL223" s="146"/>
      <c r="BM223" s="32"/>
      <c r="BN223" s="146"/>
      <c r="BO223" s="32"/>
      <c r="BP223" s="146"/>
      <c r="BQ223" s="32"/>
      <c r="BR223" s="146"/>
      <c r="BS223" s="32"/>
      <c r="BT223" s="146">
        <v>426</v>
      </c>
      <c r="BU223" s="32">
        <v>172</v>
      </c>
      <c r="BV223" s="146">
        <v>446</v>
      </c>
      <c r="BW223" s="32">
        <v>154</v>
      </c>
    </row>
    <row r="224" spans="1:75" ht="13" x14ac:dyDescent="0.25">
      <c r="A224" s="186">
        <v>3212</v>
      </c>
      <c r="B224" s="187" t="s">
        <v>246</v>
      </c>
      <c r="C224" s="46">
        <v>1073</v>
      </c>
      <c r="D224" s="142">
        <v>686</v>
      </c>
      <c r="E224" s="145">
        <f t="shared" si="3"/>
        <v>0.63932898415657036</v>
      </c>
      <c r="F224" s="146">
        <v>462</v>
      </c>
      <c r="G224" s="32">
        <v>188</v>
      </c>
      <c r="H224" s="146"/>
      <c r="I224" s="32"/>
      <c r="J224" s="146"/>
      <c r="K224" s="32"/>
      <c r="L224" s="146"/>
      <c r="M224" s="32"/>
      <c r="N224" s="146"/>
      <c r="O224" s="32"/>
      <c r="P224" s="146"/>
      <c r="Q224" s="32"/>
      <c r="R224" s="146"/>
      <c r="S224" s="32"/>
      <c r="T224" s="146"/>
      <c r="U224" s="32"/>
      <c r="V224" s="146"/>
      <c r="W224" s="32"/>
      <c r="X224" s="146"/>
      <c r="Y224" s="32"/>
      <c r="Z224" s="146"/>
      <c r="AA224" s="32"/>
      <c r="AB224" s="146"/>
      <c r="AC224" s="32"/>
      <c r="AD224" s="146"/>
      <c r="AE224" s="32"/>
      <c r="AF224" s="146"/>
      <c r="AG224" s="32"/>
      <c r="AH224" s="146"/>
      <c r="AI224" s="32"/>
      <c r="AJ224" s="146"/>
      <c r="AK224" s="32"/>
      <c r="AL224" s="146"/>
      <c r="AM224" s="32"/>
      <c r="AN224" s="146"/>
      <c r="AO224" s="32"/>
      <c r="AP224" s="146"/>
      <c r="AQ224" s="32"/>
      <c r="AR224" s="146"/>
      <c r="AS224" s="32"/>
      <c r="AT224" s="146"/>
      <c r="AU224" s="32"/>
      <c r="AV224" s="146"/>
      <c r="AW224" s="32"/>
      <c r="AX224" s="146"/>
      <c r="AY224" s="32"/>
      <c r="AZ224" s="146"/>
      <c r="BA224" s="32"/>
      <c r="BB224" s="146"/>
      <c r="BC224" s="32"/>
      <c r="BD224" s="146"/>
      <c r="BE224" s="32"/>
      <c r="BF224" s="146"/>
      <c r="BG224" s="32"/>
      <c r="BH224" s="146"/>
      <c r="BI224" s="32"/>
      <c r="BJ224" s="146"/>
      <c r="BK224" s="32"/>
      <c r="BL224" s="146"/>
      <c r="BM224" s="32"/>
      <c r="BN224" s="146"/>
      <c r="BO224" s="32"/>
      <c r="BP224" s="146"/>
      <c r="BQ224" s="32"/>
      <c r="BR224" s="146"/>
      <c r="BS224" s="32"/>
      <c r="BT224" s="146">
        <v>469</v>
      </c>
      <c r="BU224" s="32">
        <v>190</v>
      </c>
      <c r="BV224" s="146">
        <v>481</v>
      </c>
      <c r="BW224" s="32">
        <v>178</v>
      </c>
    </row>
    <row r="225" spans="1:75" ht="13" x14ac:dyDescent="0.25">
      <c r="A225" s="186">
        <v>3213</v>
      </c>
      <c r="B225" s="187" t="s">
        <v>247</v>
      </c>
      <c r="C225" s="46">
        <v>1089</v>
      </c>
      <c r="D225" s="142">
        <v>679</v>
      </c>
      <c r="E225" s="145">
        <f t="shared" si="3"/>
        <v>0.62350780532598715</v>
      </c>
      <c r="F225" s="146">
        <v>482</v>
      </c>
      <c r="G225" s="32">
        <v>162</v>
      </c>
      <c r="H225" s="146"/>
      <c r="I225" s="32"/>
      <c r="J225" s="146"/>
      <c r="K225" s="32"/>
      <c r="L225" s="146"/>
      <c r="M225" s="32"/>
      <c r="N225" s="146"/>
      <c r="O225" s="32"/>
      <c r="P225" s="146"/>
      <c r="Q225" s="32"/>
      <c r="R225" s="146"/>
      <c r="S225" s="32"/>
      <c r="T225" s="146"/>
      <c r="U225" s="32"/>
      <c r="V225" s="146"/>
      <c r="W225" s="32"/>
      <c r="X225" s="146"/>
      <c r="Y225" s="32"/>
      <c r="Z225" s="146"/>
      <c r="AA225" s="32"/>
      <c r="AB225" s="146"/>
      <c r="AC225" s="32"/>
      <c r="AD225" s="146"/>
      <c r="AE225" s="32"/>
      <c r="AF225" s="146"/>
      <c r="AG225" s="32"/>
      <c r="AH225" s="146"/>
      <c r="AI225" s="32"/>
      <c r="AJ225" s="146"/>
      <c r="AK225" s="32"/>
      <c r="AL225" s="146"/>
      <c r="AM225" s="32"/>
      <c r="AN225" s="146"/>
      <c r="AO225" s="32"/>
      <c r="AP225" s="146"/>
      <c r="AQ225" s="32"/>
      <c r="AR225" s="146"/>
      <c r="AS225" s="32"/>
      <c r="AT225" s="146"/>
      <c r="AU225" s="32"/>
      <c r="AV225" s="146"/>
      <c r="AW225" s="32"/>
      <c r="AX225" s="146"/>
      <c r="AY225" s="32"/>
      <c r="AZ225" s="146"/>
      <c r="BA225" s="32"/>
      <c r="BB225" s="146"/>
      <c r="BC225" s="32"/>
      <c r="BD225" s="146"/>
      <c r="BE225" s="32"/>
      <c r="BF225" s="146"/>
      <c r="BG225" s="32"/>
      <c r="BH225" s="146"/>
      <c r="BI225" s="32"/>
      <c r="BJ225" s="146"/>
      <c r="BK225" s="32"/>
      <c r="BL225" s="146"/>
      <c r="BM225" s="32"/>
      <c r="BN225" s="146"/>
      <c r="BO225" s="32"/>
      <c r="BP225" s="146"/>
      <c r="BQ225" s="32"/>
      <c r="BR225" s="146"/>
      <c r="BS225" s="32"/>
      <c r="BT225" s="146">
        <v>465</v>
      </c>
      <c r="BU225" s="32">
        <v>182</v>
      </c>
      <c r="BV225" s="146">
        <v>479</v>
      </c>
      <c r="BW225" s="32">
        <v>169</v>
      </c>
    </row>
    <row r="226" spans="1:75" ht="13" x14ac:dyDescent="0.25">
      <c r="A226" s="186">
        <v>3401</v>
      </c>
      <c r="B226" s="187" t="s">
        <v>248</v>
      </c>
      <c r="C226" s="46">
        <v>1472</v>
      </c>
      <c r="D226" s="142">
        <v>931</v>
      </c>
      <c r="E226" s="145">
        <f t="shared" si="3"/>
        <v>0.63247282608695654</v>
      </c>
      <c r="F226" s="146">
        <v>255</v>
      </c>
      <c r="G226" s="32">
        <v>604</v>
      </c>
      <c r="H226" s="146"/>
      <c r="I226" s="32"/>
      <c r="J226" s="146"/>
      <c r="K226" s="32"/>
      <c r="L226" s="146"/>
      <c r="M226" s="32"/>
      <c r="N226" s="146"/>
      <c r="O226" s="32"/>
      <c r="P226" s="146"/>
      <c r="Q226" s="32"/>
      <c r="R226" s="146"/>
      <c r="S226" s="32"/>
      <c r="T226" s="146"/>
      <c r="U226" s="32"/>
      <c r="V226" s="146"/>
      <c r="W226" s="32"/>
      <c r="X226" s="146"/>
      <c r="Y226" s="32"/>
      <c r="Z226" s="146"/>
      <c r="AA226" s="32"/>
      <c r="AB226" s="146"/>
      <c r="AC226" s="32"/>
      <c r="AD226" s="146"/>
      <c r="AE226" s="32"/>
      <c r="AF226" s="146"/>
      <c r="AG226" s="32"/>
      <c r="AH226" s="146"/>
      <c r="AI226" s="32"/>
      <c r="AJ226" s="146"/>
      <c r="AK226" s="32"/>
      <c r="AL226" s="146"/>
      <c r="AM226" s="32"/>
      <c r="AN226" s="146"/>
      <c r="AO226" s="32"/>
      <c r="AP226" s="146"/>
      <c r="AQ226" s="32"/>
      <c r="AR226" s="146"/>
      <c r="AS226" s="32"/>
      <c r="AT226" s="146"/>
      <c r="AU226" s="32"/>
      <c r="AV226" s="146"/>
      <c r="AW226" s="32"/>
      <c r="AX226" s="146"/>
      <c r="AY226" s="32"/>
      <c r="AZ226" s="146"/>
      <c r="BA226" s="32"/>
      <c r="BB226" s="146"/>
      <c r="BC226" s="32"/>
      <c r="BD226" s="146"/>
      <c r="BE226" s="32"/>
      <c r="BF226" s="146"/>
      <c r="BG226" s="32"/>
      <c r="BH226" s="146"/>
      <c r="BI226" s="32"/>
      <c r="BJ226" s="146"/>
      <c r="BK226" s="32"/>
      <c r="BL226" s="146"/>
      <c r="BM226" s="32"/>
      <c r="BN226" s="146"/>
      <c r="BO226" s="32"/>
      <c r="BP226" s="146"/>
      <c r="BQ226" s="32"/>
      <c r="BR226" s="146"/>
      <c r="BS226" s="32"/>
      <c r="BT226" s="146">
        <v>348</v>
      </c>
      <c r="BU226" s="32">
        <v>514</v>
      </c>
      <c r="BV226" s="146">
        <v>417</v>
      </c>
      <c r="BW226" s="32">
        <v>445</v>
      </c>
    </row>
    <row r="227" spans="1:75" ht="13" x14ac:dyDescent="0.25">
      <c r="A227" s="186">
        <v>3402</v>
      </c>
      <c r="B227" s="187" t="s">
        <v>249</v>
      </c>
      <c r="C227" s="46">
        <v>1483</v>
      </c>
      <c r="D227" s="142">
        <v>967</v>
      </c>
      <c r="E227" s="145">
        <f t="shared" si="3"/>
        <v>0.65205664194200941</v>
      </c>
      <c r="F227" s="146">
        <v>267</v>
      </c>
      <c r="G227" s="32">
        <v>632</v>
      </c>
      <c r="H227" s="146"/>
      <c r="I227" s="32"/>
      <c r="J227" s="146"/>
      <c r="K227" s="32"/>
      <c r="L227" s="146"/>
      <c r="M227" s="32"/>
      <c r="N227" s="146"/>
      <c r="O227" s="32"/>
      <c r="P227" s="146"/>
      <c r="Q227" s="32"/>
      <c r="R227" s="146"/>
      <c r="S227" s="32"/>
      <c r="T227" s="146"/>
      <c r="U227" s="32"/>
      <c r="V227" s="146"/>
      <c r="W227" s="32"/>
      <c r="X227" s="146"/>
      <c r="Y227" s="32"/>
      <c r="Z227" s="146"/>
      <c r="AA227" s="32"/>
      <c r="AB227" s="146"/>
      <c r="AC227" s="32"/>
      <c r="AD227" s="146"/>
      <c r="AE227" s="32"/>
      <c r="AF227" s="146"/>
      <c r="AG227" s="32"/>
      <c r="AH227" s="146"/>
      <c r="AI227" s="32"/>
      <c r="AJ227" s="146"/>
      <c r="AK227" s="32"/>
      <c r="AL227" s="146"/>
      <c r="AM227" s="32"/>
      <c r="AN227" s="146"/>
      <c r="AO227" s="32"/>
      <c r="AP227" s="146"/>
      <c r="AQ227" s="32"/>
      <c r="AR227" s="146"/>
      <c r="AS227" s="32"/>
      <c r="AT227" s="146"/>
      <c r="AU227" s="32"/>
      <c r="AV227" s="146"/>
      <c r="AW227" s="32"/>
      <c r="AX227" s="146"/>
      <c r="AY227" s="32"/>
      <c r="AZ227" s="146"/>
      <c r="BA227" s="32"/>
      <c r="BB227" s="146"/>
      <c r="BC227" s="32"/>
      <c r="BD227" s="146"/>
      <c r="BE227" s="32"/>
      <c r="BF227" s="146"/>
      <c r="BG227" s="32"/>
      <c r="BH227" s="146"/>
      <c r="BI227" s="32"/>
      <c r="BJ227" s="146"/>
      <c r="BK227" s="32"/>
      <c r="BL227" s="146"/>
      <c r="BM227" s="32"/>
      <c r="BN227" s="146"/>
      <c r="BO227" s="32"/>
      <c r="BP227" s="146"/>
      <c r="BQ227" s="32"/>
      <c r="BR227" s="146"/>
      <c r="BS227" s="32"/>
      <c r="BT227" s="146">
        <v>358</v>
      </c>
      <c r="BU227" s="32">
        <v>535</v>
      </c>
      <c r="BV227" s="146">
        <v>433</v>
      </c>
      <c r="BW227" s="32">
        <v>461</v>
      </c>
    </row>
    <row r="228" spans="1:75" ht="13" x14ac:dyDescent="0.25">
      <c r="A228" s="186">
        <v>3403</v>
      </c>
      <c r="B228" s="187" t="s">
        <v>250</v>
      </c>
      <c r="C228" s="46">
        <v>1681</v>
      </c>
      <c r="D228" s="142">
        <v>1184</v>
      </c>
      <c r="E228" s="145">
        <f t="shared" si="3"/>
        <v>0.70434265318262934</v>
      </c>
      <c r="F228" s="146">
        <v>347</v>
      </c>
      <c r="G228" s="32">
        <v>758</v>
      </c>
      <c r="H228" s="146"/>
      <c r="I228" s="32"/>
      <c r="J228" s="146"/>
      <c r="K228" s="32"/>
      <c r="L228" s="146"/>
      <c r="M228" s="32"/>
      <c r="N228" s="146"/>
      <c r="O228" s="32"/>
      <c r="P228" s="146"/>
      <c r="Q228" s="32"/>
      <c r="R228" s="146"/>
      <c r="S228" s="32"/>
      <c r="T228" s="146"/>
      <c r="U228" s="32"/>
      <c r="V228" s="146"/>
      <c r="W228" s="32"/>
      <c r="X228" s="146"/>
      <c r="Y228" s="32"/>
      <c r="Z228" s="146"/>
      <c r="AA228" s="32"/>
      <c r="AB228" s="146"/>
      <c r="AC228" s="32"/>
      <c r="AD228" s="146"/>
      <c r="AE228" s="32"/>
      <c r="AF228" s="146"/>
      <c r="AG228" s="32"/>
      <c r="AH228" s="146"/>
      <c r="AI228" s="32"/>
      <c r="AJ228" s="146"/>
      <c r="AK228" s="32"/>
      <c r="AL228" s="146"/>
      <c r="AM228" s="32"/>
      <c r="AN228" s="146"/>
      <c r="AO228" s="32"/>
      <c r="AP228" s="146"/>
      <c r="AQ228" s="32"/>
      <c r="AR228" s="146"/>
      <c r="AS228" s="32"/>
      <c r="AT228" s="146"/>
      <c r="AU228" s="32"/>
      <c r="AV228" s="146"/>
      <c r="AW228" s="32"/>
      <c r="AX228" s="146"/>
      <c r="AY228" s="32"/>
      <c r="AZ228" s="146"/>
      <c r="BA228" s="32"/>
      <c r="BB228" s="146"/>
      <c r="BC228" s="32"/>
      <c r="BD228" s="146"/>
      <c r="BE228" s="32"/>
      <c r="BF228" s="146"/>
      <c r="BG228" s="32"/>
      <c r="BH228" s="146"/>
      <c r="BI228" s="32"/>
      <c r="BJ228" s="146"/>
      <c r="BK228" s="32"/>
      <c r="BL228" s="146"/>
      <c r="BM228" s="32"/>
      <c r="BN228" s="146"/>
      <c r="BO228" s="32"/>
      <c r="BP228" s="146"/>
      <c r="BQ228" s="32"/>
      <c r="BR228" s="146"/>
      <c r="BS228" s="32"/>
      <c r="BT228" s="146">
        <v>490</v>
      </c>
      <c r="BU228" s="32">
        <v>616</v>
      </c>
      <c r="BV228" s="146">
        <v>542</v>
      </c>
      <c r="BW228" s="32">
        <v>564</v>
      </c>
    </row>
    <row r="229" spans="1:75" ht="13" x14ac:dyDescent="0.25">
      <c r="A229" s="186">
        <v>3404</v>
      </c>
      <c r="B229" s="187" t="s">
        <v>251</v>
      </c>
      <c r="C229" s="46">
        <v>1401</v>
      </c>
      <c r="D229" s="142">
        <v>1107</v>
      </c>
      <c r="E229" s="145">
        <f t="shared" si="3"/>
        <v>0.79014989293361881</v>
      </c>
      <c r="F229" s="146">
        <v>305</v>
      </c>
      <c r="G229" s="32">
        <v>774</v>
      </c>
      <c r="H229" s="146"/>
      <c r="I229" s="32"/>
      <c r="J229" s="146"/>
      <c r="K229" s="32"/>
      <c r="L229" s="146"/>
      <c r="M229" s="32"/>
      <c r="N229" s="146"/>
      <c r="O229" s="32"/>
      <c r="P229" s="146"/>
      <c r="Q229" s="32"/>
      <c r="R229" s="146"/>
      <c r="S229" s="32"/>
      <c r="T229" s="146"/>
      <c r="U229" s="32"/>
      <c r="V229" s="146"/>
      <c r="W229" s="32"/>
      <c r="X229" s="146"/>
      <c r="Y229" s="32"/>
      <c r="Z229" s="146"/>
      <c r="AA229" s="32"/>
      <c r="AB229" s="146"/>
      <c r="AC229" s="32"/>
      <c r="AD229" s="146"/>
      <c r="AE229" s="32"/>
      <c r="AF229" s="146"/>
      <c r="AG229" s="32"/>
      <c r="AH229" s="146"/>
      <c r="AI229" s="32"/>
      <c r="AJ229" s="146"/>
      <c r="AK229" s="32"/>
      <c r="AL229" s="146"/>
      <c r="AM229" s="32"/>
      <c r="AN229" s="146"/>
      <c r="AO229" s="32"/>
      <c r="AP229" s="146"/>
      <c r="AQ229" s="32"/>
      <c r="AR229" s="146"/>
      <c r="AS229" s="32"/>
      <c r="AT229" s="146"/>
      <c r="AU229" s="32"/>
      <c r="AV229" s="146"/>
      <c r="AW229" s="32"/>
      <c r="AX229" s="146"/>
      <c r="AY229" s="32"/>
      <c r="AZ229" s="146"/>
      <c r="BA229" s="32"/>
      <c r="BB229" s="146"/>
      <c r="BC229" s="32"/>
      <c r="BD229" s="146"/>
      <c r="BE229" s="32"/>
      <c r="BF229" s="146"/>
      <c r="BG229" s="32"/>
      <c r="BH229" s="146"/>
      <c r="BI229" s="32"/>
      <c r="BJ229" s="146"/>
      <c r="BK229" s="32"/>
      <c r="BL229" s="146"/>
      <c r="BM229" s="32"/>
      <c r="BN229" s="146"/>
      <c r="BO229" s="32"/>
      <c r="BP229" s="146"/>
      <c r="BQ229" s="32"/>
      <c r="BR229" s="146"/>
      <c r="BS229" s="32"/>
      <c r="BT229" s="146">
        <v>418</v>
      </c>
      <c r="BU229" s="32">
        <v>645</v>
      </c>
      <c r="BV229" s="146">
        <v>498</v>
      </c>
      <c r="BW229" s="32">
        <v>565</v>
      </c>
    </row>
    <row r="230" spans="1:75" ht="13" x14ac:dyDescent="0.25">
      <c r="A230" s="186">
        <v>3405</v>
      </c>
      <c r="B230" s="187" t="s">
        <v>252</v>
      </c>
      <c r="C230" s="46">
        <v>1461</v>
      </c>
      <c r="D230" s="142">
        <v>1169</v>
      </c>
      <c r="E230" s="145">
        <f t="shared" si="3"/>
        <v>0.8001368925393566</v>
      </c>
      <c r="F230" s="146">
        <v>290</v>
      </c>
      <c r="G230" s="32">
        <v>814</v>
      </c>
      <c r="H230" s="146"/>
      <c r="I230" s="32"/>
      <c r="J230" s="146"/>
      <c r="K230" s="32"/>
      <c r="L230" s="146"/>
      <c r="M230" s="32"/>
      <c r="N230" s="146"/>
      <c r="O230" s="32"/>
      <c r="P230" s="146"/>
      <c r="Q230" s="32"/>
      <c r="R230" s="146"/>
      <c r="S230" s="32"/>
      <c r="T230" s="146"/>
      <c r="U230" s="32"/>
      <c r="V230" s="146"/>
      <c r="W230" s="32"/>
      <c r="X230" s="146"/>
      <c r="Y230" s="32"/>
      <c r="Z230" s="146"/>
      <c r="AA230" s="32"/>
      <c r="AB230" s="146"/>
      <c r="AC230" s="32"/>
      <c r="AD230" s="146"/>
      <c r="AE230" s="32"/>
      <c r="AF230" s="146"/>
      <c r="AG230" s="32"/>
      <c r="AH230" s="146"/>
      <c r="AI230" s="32"/>
      <c r="AJ230" s="146"/>
      <c r="AK230" s="32"/>
      <c r="AL230" s="146"/>
      <c r="AM230" s="32"/>
      <c r="AN230" s="146"/>
      <c r="AO230" s="32"/>
      <c r="AP230" s="146"/>
      <c r="AQ230" s="32"/>
      <c r="AR230" s="146"/>
      <c r="AS230" s="32"/>
      <c r="AT230" s="146"/>
      <c r="AU230" s="32"/>
      <c r="AV230" s="146"/>
      <c r="AW230" s="32"/>
      <c r="AX230" s="146"/>
      <c r="AY230" s="32"/>
      <c r="AZ230" s="146"/>
      <c r="BA230" s="32"/>
      <c r="BB230" s="146"/>
      <c r="BC230" s="32"/>
      <c r="BD230" s="146"/>
      <c r="BE230" s="32"/>
      <c r="BF230" s="146"/>
      <c r="BG230" s="32"/>
      <c r="BH230" s="146"/>
      <c r="BI230" s="32"/>
      <c r="BJ230" s="146"/>
      <c r="BK230" s="32"/>
      <c r="BL230" s="146"/>
      <c r="BM230" s="32"/>
      <c r="BN230" s="146"/>
      <c r="BO230" s="32"/>
      <c r="BP230" s="146"/>
      <c r="BQ230" s="32"/>
      <c r="BR230" s="146"/>
      <c r="BS230" s="32"/>
      <c r="BT230" s="146">
        <v>425</v>
      </c>
      <c r="BU230" s="32">
        <v>653</v>
      </c>
      <c r="BV230" s="146">
        <v>508</v>
      </c>
      <c r="BW230" s="32">
        <v>573</v>
      </c>
    </row>
    <row r="231" spans="1:75" ht="13" x14ac:dyDescent="0.25">
      <c r="A231" s="186">
        <v>3406</v>
      </c>
      <c r="B231" s="187" t="s">
        <v>253</v>
      </c>
      <c r="C231" s="46">
        <v>1554</v>
      </c>
      <c r="D231" s="142">
        <v>1307</v>
      </c>
      <c r="E231" s="145">
        <f t="shared" si="3"/>
        <v>0.84105534105534108</v>
      </c>
      <c r="F231" s="146">
        <v>382</v>
      </c>
      <c r="G231" s="32">
        <v>825</v>
      </c>
      <c r="H231" s="146"/>
      <c r="I231" s="32"/>
      <c r="J231" s="146"/>
      <c r="K231" s="32"/>
      <c r="L231" s="146"/>
      <c r="M231" s="32"/>
      <c r="N231" s="146"/>
      <c r="O231" s="32"/>
      <c r="P231" s="146"/>
      <c r="Q231" s="32"/>
      <c r="R231" s="146"/>
      <c r="S231" s="32"/>
      <c r="T231" s="146"/>
      <c r="U231" s="32"/>
      <c r="V231" s="146"/>
      <c r="W231" s="32"/>
      <c r="X231" s="146"/>
      <c r="Y231" s="32"/>
      <c r="Z231" s="146"/>
      <c r="AA231" s="32"/>
      <c r="AB231" s="146"/>
      <c r="AC231" s="32"/>
      <c r="AD231" s="146"/>
      <c r="AE231" s="32"/>
      <c r="AF231" s="146"/>
      <c r="AG231" s="32"/>
      <c r="AH231" s="146"/>
      <c r="AI231" s="32"/>
      <c r="AJ231" s="146"/>
      <c r="AK231" s="32"/>
      <c r="AL231" s="146"/>
      <c r="AM231" s="32"/>
      <c r="AN231" s="146"/>
      <c r="AO231" s="32"/>
      <c r="AP231" s="146"/>
      <c r="AQ231" s="32"/>
      <c r="AR231" s="146"/>
      <c r="AS231" s="32"/>
      <c r="AT231" s="146"/>
      <c r="AU231" s="32"/>
      <c r="AV231" s="146"/>
      <c r="AW231" s="32"/>
      <c r="AX231" s="146"/>
      <c r="AY231" s="32"/>
      <c r="AZ231" s="146"/>
      <c r="BA231" s="32"/>
      <c r="BB231" s="146"/>
      <c r="BC231" s="32"/>
      <c r="BD231" s="146"/>
      <c r="BE231" s="32"/>
      <c r="BF231" s="146"/>
      <c r="BG231" s="32"/>
      <c r="BH231" s="146"/>
      <c r="BI231" s="32"/>
      <c r="BJ231" s="146"/>
      <c r="BK231" s="32"/>
      <c r="BL231" s="146"/>
      <c r="BM231" s="32"/>
      <c r="BN231" s="146"/>
      <c r="BO231" s="32"/>
      <c r="BP231" s="146"/>
      <c r="BQ231" s="32"/>
      <c r="BR231" s="146"/>
      <c r="BS231" s="32"/>
      <c r="BT231" s="146">
        <v>542</v>
      </c>
      <c r="BU231" s="32">
        <v>671</v>
      </c>
      <c r="BV231" s="146">
        <v>630</v>
      </c>
      <c r="BW231" s="32">
        <v>585</v>
      </c>
    </row>
    <row r="232" spans="1:75" ht="13" x14ac:dyDescent="0.25">
      <c r="A232" s="186">
        <v>3407</v>
      </c>
      <c r="B232" s="187" t="s">
        <v>254</v>
      </c>
      <c r="C232" s="46">
        <v>634</v>
      </c>
      <c r="D232" s="142">
        <v>553</v>
      </c>
      <c r="E232" s="145">
        <f t="shared" si="3"/>
        <v>0.87223974763406942</v>
      </c>
      <c r="F232" s="146">
        <v>147</v>
      </c>
      <c r="G232" s="32">
        <v>358</v>
      </c>
      <c r="H232" s="146"/>
      <c r="I232" s="32"/>
      <c r="J232" s="146"/>
      <c r="K232" s="32"/>
      <c r="L232" s="146"/>
      <c r="M232" s="32"/>
      <c r="N232" s="146"/>
      <c r="O232" s="32"/>
      <c r="P232" s="146"/>
      <c r="Q232" s="32"/>
      <c r="R232" s="146"/>
      <c r="S232" s="32"/>
      <c r="T232" s="146"/>
      <c r="U232" s="32"/>
      <c r="V232" s="146"/>
      <c r="W232" s="32"/>
      <c r="X232" s="146"/>
      <c r="Y232" s="32"/>
      <c r="Z232" s="146"/>
      <c r="AA232" s="32"/>
      <c r="AB232" s="146"/>
      <c r="AC232" s="32"/>
      <c r="AD232" s="146"/>
      <c r="AE232" s="32"/>
      <c r="AF232" s="146"/>
      <c r="AG232" s="32"/>
      <c r="AH232" s="146"/>
      <c r="AI232" s="32"/>
      <c r="AJ232" s="146"/>
      <c r="AK232" s="32"/>
      <c r="AL232" s="146"/>
      <c r="AM232" s="32"/>
      <c r="AN232" s="146"/>
      <c r="AO232" s="32"/>
      <c r="AP232" s="146"/>
      <c r="AQ232" s="32"/>
      <c r="AR232" s="146"/>
      <c r="AS232" s="32"/>
      <c r="AT232" s="146"/>
      <c r="AU232" s="32"/>
      <c r="AV232" s="146"/>
      <c r="AW232" s="32"/>
      <c r="AX232" s="146"/>
      <c r="AY232" s="32"/>
      <c r="AZ232" s="146"/>
      <c r="BA232" s="32"/>
      <c r="BB232" s="146"/>
      <c r="BC232" s="32"/>
      <c r="BD232" s="146"/>
      <c r="BE232" s="32"/>
      <c r="BF232" s="146"/>
      <c r="BG232" s="32"/>
      <c r="BH232" s="146"/>
      <c r="BI232" s="32"/>
      <c r="BJ232" s="146"/>
      <c r="BK232" s="32"/>
      <c r="BL232" s="146"/>
      <c r="BM232" s="32"/>
      <c r="BN232" s="146"/>
      <c r="BO232" s="32"/>
      <c r="BP232" s="146"/>
      <c r="BQ232" s="32"/>
      <c r="BR232" s="146"/>
      <c r="BS232" s="32"/>
      <c r="BT232" s="146">
        <v>235</v>
      </c>
      <c r="BU232" s="32">
        <v>287</v>
      </c>
      <c r="BV232" s="146">
        <v>294</v>
      </c>
      <c r="BW232" s="32">
        <v>233</v>
      </c>
    </row>
    <row r="233" spans="1:75" ht="13" x14ac:dyDescent="0.25">
      <c r="A233" s="186">
        <v>3501</v>
      </c>
      <c r="B233" s="187" t="s">
        <v>255</v>
      </c>
      <c r="C233" s="46">
        <v>708</v>
      </c>
      <c r="D233" s="142">
        <v>579</v>
      </c>
      <c r="E233" s="145">
        <f t="shared" si="3"/>
        <v>0.81779661016949157</v>
      </c>
      <c r="F233" s="146">
        <v>248</v>
      </c>
      <c r="G233" s="32">
        <v>304</v>
      </c>
      <c r="H233" s="146"/>
      <c r="I233" s="32"/>
      <c r="J233" s="146"/>
      <c r="K233" s="32"/>
      <c r="L233" s="146"/>
      <c r="M233" s="32"/>
      <c r="N233" s="146"/>
      <c r="O233" s="32"/>
      <c r="P233" s="146"/>
      <c r="Q233" s="32"/>
      <c r="R233" s="146"/>
      <c r="S233" s="32"/>
      <c r="T233" s="146">
        <v>397</v>
      </c>
      <c r="U233" s="32">
        <v>111</v>
      </c>
      <c r="V233" s="146"/>
      <c r="W233" s="32"/>
      <c r="X233" s="146"/>
      <c r="Y233" s="32"/>
      <c r="Z233" s="146"/>
      <c r="AA233" s="32"/>
      <c r="AB233" s="146"/>
      <c r="AC233" s="32"/>
      <c r="AD233" s="146"/>
      <c r="AE233" s="32"/>
      <c r="AF233" s="146"/>
      <c r="AG233" s="32"/>
      <c r="AH233" s="146"/>
      <c r="AI233" s="32"/>
      <c r="AJ233" s="146"/>
      <c r="AK233" s="32"/>
      <c r="AL233" s="146"/>
      <c r="AM233" s="32"/>
      <c r="AN233" s="146"/>
      <c r="AO233" s="32"/>
      <c r="AP233" s="146"/>
      <c r="AQ233" s="32"/>
      <c r="AR233" s="146"/>
      <c r="AS233" s="32"/>
      <c r="AT233" s="146"/>
      <c r="AU233" s="32"/>
      <c r="AV233" s="146"/>
      <c r="AW233" s="32"/>
      <c r="AX233" s="146"/>
      <c r="AY233" s="32"/>
      <c r="AZ233" s="146"/>
      <c r="BA233" s="32"/>
      <c r="BB233" s="146"/>
      <c r="BC233" s="32"/>
      <c r="BD233" s="146"/>
      <c r="BE233" s="32"/>
      <c r="BF233" s="146"/>
      <c r="BG233" s="32"/>
      <c r="BH233" s="146"/>
      <c r="BI233" s="32"/>
      <c r="BJ233" s="146"/>
      <c r="BK233" s="32"/>
      <c r="BL233" s="146"/>
      <c r="BM233" s="32"/>
      <c r="BN233" s="146"/>
      <c r="BO233" s="32"/>
      <c r="BP233" s="146"/>
      <c r="BQ233" s="32"/>
      <c r="BR233" s="146"/>
      <c r="BS233" s="32"/>
      <c r="BT233" s="146">
        <v>333</v>
      </c>
      <c r="BU233" s="32">
        <v>208</v>
      </c>
      <c r="BV233" s="146">
        <v>343</v>
      </c>
      <c r="BW233" s="32">
        <v>200</v>
      </c>
    </row>
    <row r="234" spans="1:75" ht="13" x14ac:dyDescent="0.25">
      <c r="A234" s="186">
        <v>3502</v>
      </c>
      <c r="B234" s="187" t="s">
        <v>256</v>
      </c>
      <c r="C234" s="46">
        <v>1202</v>
      </c>
      <c r="D234" s="142">
        <v>957</v>
      </c>
      <c r="E234" s="145">
        <f t="shared" si="3"/>
        <v>0.79617304492512475</v>
      </c>
      <c r="F234" s="146">
        <v>325</v>
      </c>
      <c r="G234" s="32">
        <v>584</v>
      </c>
      <c r="H234" s="146"/>
      <c r="I234" s="32"/>
      <c r="J234" s="146"/>
      <c r="K234" s="32"/>
      <c r="L234" s="146"/>
      <c r="M234" s="32"/>
      <c r="N234" s="146"/>
      <c r="O234" s="32"/>
      <c r="P234" s="146"/>
      <c r="Q234" s="32"/>
      <c r="R234" s="146"/>
      <c r="S234" s="32"/>
      <c r="T234" s="146">
        <v>634</v>
      </c>
      <c r="U234" s="32">
        <v>227</v>
      </c>
      <c r="V234" s="146"/>
      <c r="W234" s="32"/>
      <c r="X234" s="146"/>
      <c r="Y234" s="32"/>
      <c r="Z234" s="146"/>
      <c r="AA234" s="32"/>
      <c r="AB234" s="146"/>
      <c r="AC234" s="32"/>
      <c r="AD234" s="146"/>
      <c r="AE234" s="32"/>
      <c r="AF234" s="146"/>
      <c r="AG234" s="32"/>
      <c r="AH234" s="146"/>
      <c r="AI234" s="32"/>
      <c r="AJ234" s="146"/>
      <c r="AK234" s="32"/>
      <c r="AL234" s="146"/>
      <c r="AM234" s="32"/>
      <c r="AN234" s="146"/>
      <c r="AO234" s="32"/>
      <c r="AP234" s="146"/>
      <c r="AQ234" s="32"/>
      <c r="AR234" s="146"/>
      <c r="AS234" s="32"/>
      <c r="AT234" s="146"/>
      <c r="AU234" s="32"/>
      <c r="AV234" s="146"/>
      <c r="AW234" s="32"/>
      <c r="AX234" s="146"/>
      <c r="AY234" s="32"/>
      <c r="AZ234" s="146"/>
      <c r="BA234" s="32"/>
      <c r="BB234" s="146"/>
      <c r="BC234" s="32"/>
      <c r="BD234" s="146"/>
      <c r="BE234" s="32"/>
      <c r="BF234" s="146"/>
      <c r="BG234" s="32"/>
      <c r="BH234" s="146"/>
      <c r="BI234" s="32"/>
      <c r="BJ234" s="146"/>
      <c r="BK234" s="32"/>
      <c r="BL234" s="146"/>
      <c r="BM234" s="32"/>
      <c r="BN234" s="146"/>
      <c r="BO234" s="32"/>
      <c r="BP234" s="146"/>
      <c r="BQ234" s="32"/>
      <c r="BR234" s="146"/>
      <c r="BS234" s="32"/>
      <c r="BT234" s="146">
        <v>488</v>
      </c>
      <c r="BU234" s="32">
        <v>415</v>
      </c>
      <c r="BV234" s="146">
        <v>507</v>
      </c>
      <c r="BW234" s="32">
        <v>392</v>
      </c>
    </row>
    <row r="235" spans="1:75" ht="13" x14ac:dyDescent="0.25">
      <c r="A235" s="186">
        <v>3503</v>
      </c>
      <c r="B235" s="187" t="s">
        <v>257</v>
      </c>
      <c r="C235" s="46">
        <v>890</v>
      </c>
      <c r="D235" s="142">
        <v>694</v>
      </c>
      <c r="E235" s="145">
        <f t="shared" si="3"/>
        <v>0.77977528089887638</v>
      </c>
      <c r="F235" s="146">
        <v>302</v>
      </c>
      <c r="G235" s="32">
        <v>359</v>
      </c>
      <c r="H235" s="146"/>
      <c r="I235" s="32"/>
      <c r="J235" s="146"/>
      <c r="K235" s="32"/>
      <c r="L235" s="146"/>
      <c r="M235" s="32"/>
      <c r="N235" s="146"/>
      <c r="O235" s="32"/>
      <c r="P235" s="146"/>
      <c r="Q235" s="32"/>
      <c r="R235" s="146"/>
      <c r="S235" s="32"/>
      <c r="T235" s="146">
        <v>472</v>
      </c>
      <c r="U235" s="32">
        <v>129</v>
      </c>
      <c r="V235" s="146"/>
      <c r="W235" s="32"/>
      <c r="X235" s="146"/>
      <c r="Y235" s="32"/>
      <c r="Z235" s="146"/>
      <c r="AA235" s="32"/>
      <c r="AB235" s="146"/>
      <c r="AC235" s="32"/>
      <c r="AD235" s="146"/>
      <c r="AE235" s="32"/>
      <c r="AF235" s="146"/>
      <c r="AG235" s="32"/>
      <c r="AH235" s="146"/>
      <c r="AI235" s="32"/>
      <c r="AJ235" s="146"/>
      <c r="AK235" s="32"/>
      <c r="AL235" s="146"/>
      <c r="AM235" s="32"/>
      <c r="AN235" s="146"/>
      <c r="AO235" s="32"/>
      <c r="AP235" s="146"/>
      <c r="AQ235" s="32"/>
      <c r="AR235" s="146"/>
      <c r="AS235" s="32"/>
      <c r="AT235" s="146"/>
      <c r="AU235" s="32"/>
      <c r="AV235" s="146"/>
      <c r="AW235" s="32"/>
      <c r="AX235" s="146"/>
      <c r="AY235" s="32"/>
      <c r="AZ235" s="146"/>
      <c r="BA235" s="32"/>
      <c r="BB235" s="146"/>
      <c r="BC235" s="32"/>
      <c r="BD235" s="146"/>
      <c r="BE235" s="32"/>
      <c r="BF235" s="146">
        <v>3</v>
      </c>
      <c r="BG235" s="32">
        <v>1</v>
      </c>
      <c r="BH235" s="146"/>
      <c r="BI235" s="32"/>
      <c r="BJ235" s="146"/>
      <c r="BK235" s="32"/>
      <c r="BL235" s="146"/>
      <c r="BM235" s="32"/>
      <c r="BN235" s="146"/>
      <c r="BO235" s="32"/>
      <c r="BP235" s="146"/>
      <c r="BQ235" s="32"/>
      <c r="BR235" s="146"/>
      <c r="BS235" s="32"/>
      <c r="BT235" s="146">
        <v>380</v>
      </c>
      <c r="BU235" s="32">
        <v>265</v>
      </c>
      <c r="BV235" s="146">
        <v>384</v>
      </c>
      <c r="BW235" s="32">
        <v>265</v>
      </c>
    </row>
    <row r="236" spans="1:75" ht="13" x14ac:dyDescent="0.25">
      <c r="A236" s="186">
        <v>3504</v>
      </c>
      <c r="B236" s="187" t="s">
        <v>258</v>
      </c>
      <c r="C236" s="46">
        <v>728</v>
      </c>
      <c r="D236" s="142">
        <v>575</v>
      </c>
      <c r="E236" s="145">
        <f t="shared" si="3"/>
        <v>0.7898351648351648</v>
      </c>
      <c r="F236" s="146">
        <v>197</v>
      </c>
      <c r="G236" s="32">
        <v>359</v>
      </c>
      <c r="H236" s="146"/>
      <c r="I236" s="32"/>
      <c r="J236" s="146"/>
      <c r="K236" s="32"/>
      <c r="L236" s="146"/>
      <c r="M236" s="32"/>
      <c r="N236" s="146"/>
      <c r="O236" s="32"/>
      <c r="P236" s="146"/>
      <c r="Q236" s="32"/>
      <c r="R236" s="146"/>
      <c r="S236" s="32"/>
      <c r="T236" s="146">
        <v>387</v>
      </c>
      <c r="U236" s="32">
        <v>130</v>
      </c>
      <c r="V236" s="146"/>
      <c r="W236" s="32"/>
      <c r="X236" s="146"/>
      <c r="Y236" s="32"/>
      <c r="Z236" s="146"/>
      <c r="AA236" s="32"/>
      <c r="AB236" s="146"/>
      <c r="AC236" s="32"/>
      <c r="AD236" s="146"/>
      <c r="AE236" s="32"/>
      <c r="AF236" s="146"/>
      <c r="AG236" s="32"/>
      <c r="AH236" s="146"/>
      <c r="AI236" s="32"/>
      <c r="AJ236" s="146"/>
      <c r="AK236" s="32"/>
      <c r="AL236" s="146"/>
      <c r="AM236" s="32"/>
      <c r="AN236" s="146"/>
      <c r="AO236" s="32"/>
      <c r="AP236" s="146"/>
      <c r="AQ236" s="32"/>
      <c r="AR236" s="146"/>
      <c r="AS236" s="32"/>
      <c r="AT236" s="146"/>
      <c r="AU236" s="32"/>
      <c r="AV236" s="146"/>
      <c r="AW236" s="32"/>
      <c r="AX236" s="146"/>
      <c r="AY236" s="32"/>
      <c r="AZ236" s="146"/>
      <c r="BA236" s="32"/>
      <c r="BB236" s="146"/>
      <c r="BC236" s="32"/>
      <c r="BD236" s="146"/>
      <c r="BE236" s="32"/>
      <c r="BF236" s="146"/>
      <c r="BG236" s="32"/>
      <c r="BH236" s="146"/>
      <c r="BI236" s="32"/>
      <c r="BJ236" s="146"/>
      <c r="BK236" s="32"/>
      <c r="BL236" s="146"/>
      <c r="BM236" s="32"/>
      <c r="BN236" s="146"/>
      <c r="BO236" s="32"/>
      <c r="BP236" s="146"/>
      <c r="BQ236" s="32"/>
      <c r="BR236" s="146"/>
      <c r="BS236" s="32"/>
      <c r="BT236" s="146">
        <v>277</v>
      </c>
      <c r="BU236" s="32">
        <v>263</v>
      </c>
      <c r="BV236" s="146">
        <v>287</v>
      </c>
      <c r="BW236" s="32">
        <v>252</v>
      </c>
    </row>
    <row r="237" spans="1:75" ht="13" x14ac:dyDescent="0.25">
      <c r="A237" s="186">
        <v>3505</v>
      </c>
      <c r="B237" s="187" t="s">
        <v>259</v>
      </c>
      <c r="C237" s="46">
        <v>1087</v>
      </c>
      <c r="D237" s="142">
        <v>864</v>
      </c>
      <c r="E237" s="145">
        <f t="shared" si="3"/>
        <v>0.7948482060717571</v>
      </c>
      <c r="F237" s="146">
        <v>341</v>
      </c>
      <c r="G237" s="32">
        <v>480</v>
      </c>
      <c r="H237" s="146"/>
      <c r="I237" s="32"/>
      <c r="J237" s="146"/>
      <c r="K237" s="32"/>
      <c r="L237" s="146"/>
      <c r="M237" s="32"/>
      <c r="N237" s="146"/>
      <c r="O237" s="32"/>
      <c r="P237" s="146"/>
      <c r="Q237" s="32"/>
      <c r="R237" s="146"/>
      <c r="S237" s="32"/>
      <c r="T237" s="146">
        <v>641</v>
      </c>
      <c r="U237" s="32">
        <v>141</v>
      </c>
      <c r="V237" s="146"/>
      <c r="W237" s="32"/>
      <c r="X237" s="146"/>
      <c r="Y237" s="32"/>
      <c r="Z237" s="146"/>
      <c r="AA237" s="32"/>
      <c r="AB237" s="146"/>
      <c r="AC237" s="32"/>
      <c r="AD237" s="146"/>
      <c r="AE237" s="32"/>
      <c r="AF237" s="146"/>
      <c r="AG237" s="32"/>
      <c r="AH237" s="146"/>
      <c r="AI237" s="32"/>
      <c r="AJ237" s="146"/>
      <c r="AK237" s="32"/>
      <c r="AL237" s="146"/>
      <c r="AM237" s="32"/>
      <c r="AN237" s="146"/>
      <c r="AO237" s="32"/>
      <c r="AP237" s="146"/>
      <c r="AQ237" s="32"/>
      <c r="AR237" s="146"/>
      <c r="AS237" s="32"/>
      <c r="AT237" s="146"/>
      <c r="AU237" s="32"/>
      <c r="AV237" s="146"/>
      <c r="AW237" s="32"/>
      <c r="AX237" s="146"/>
      <c r="AY237" s="32"/>
      <c r="AZ237" s="146"/>
      <c r="BA237" s="32"/>
      <c r="BB237" s="146"/>
      <c r="BC237" s="32"/>
      <c r="BD237" s="146"/>
      <c r="BE237" s="32"/>
      <c r="BF237" s="146"/>
      <c r="BG237" s="32"/>
      <c r="BH237" s="146"/>
      <c r="BI237" s="32"/>
      <c r="BJ237" s="146"/>
      <c r="BK237" s="32"/>
      <c r="BL237" s="146"/>
      <c r="BM237" s="32"/>
      <c r="BN237" s="146"/>
      <c r="BO237" s="32"/>
      <c r="BP237" s="146"/>
      <c r="BQ237" s="32"/>
      <c r="BR237" s="146"/>
      <c r="BS237" s="32"/>
      <c r="BT237" s="146">
        <v>464</v>
      </c>
      <c r="BU237" s="32">
        <v>353</v>
      </c>
      <c r="BV237" s="146">
        <v>464</v>
      </c>
      <c r="BW237" s="32">
        <v>352</v>
      </c>
    </row>
    <row r="238" spans="1:75" ht="13" x14ac:dyDescent="0.25">
      <c r="A238" s="186">
        <v>3506</v>
      </c>
      <c r="B238" s="187" t="s">
        <v>260</v>
      </c>
      <c r="C238" s="46">
        <v>712</v>
      </c>
      <c r="D238" s="142">
        <v>568</v>
      </c>
      <c r="E238" s="145">
        <f t="shared" si="3"/>
        <v>0.797752808988764</v>
      </c>
      <c r="F238" s="146">
        <v>239</v>
      </c>
      <c r="G238" s="32">
        <v>303</v>
      </c>
      <c r="H238" s="146"/>
      <c r="I238" s="32"/>
      <c r="J238" s="146"/>
      <c r="K238" s="32"/>
      <c r="L238" s="146"/>
      <c r="M238" s="32"/>
      <c r="N238" s="146"/>
      <c r="O238" s="32"/>
      <c r="P238" s="146"/>
      <c r="Q238" s="32"/>
      <c r="R238" s="146"/>
      <c r="S238" s="32"/>
      <c r="T238" s="146">
        <v>394</v>
      </c>
      <c r="U238" s="32">
        <v>102</v>
      </c>
      <c r="V238" s="146"/>
      <c r="W238" s="32"/>
      <c r="X238" s="146"/>
      <c r="Y238" s="32"/>
      <c r="Z238" s="146"/>
      <c r="AA238" s="32"/>
      <c r="AB238" s="146"/>
      <c r="AC238" s="32"/>
      <c r="AD238" s="146"/>
      <c r="AE238" s="32"/>
      <c r="AF238" s="146"/>
      <c r="AG238" s="32"/>
      <c r="AH238" s="146"/>
      <c r="AI238" s="32"/>
      <c r="AJ238" s="146"/>
      <c r="AK238" s="32"/>
      <c r="AL238" s="146"/>
      <c r="AM238" s="32"/>
      <c r="AN238" s="146"/>
      <c r="AO238" s="32"/>
      <c r="AP238" s="146"/>
      <c r="AQ238" s="32"/>
      <c r="AR238" s="146"/>
      <c r="AS238" s="32"/>
      <c r="AT238" s="146"/>
      <c r="AU238" s="32"/>
      <c r="AV238" s="146"/>
      <c r="AW238" s="32"/>
      <c r="AX238" s="146"/>
      <c r="AY238" s="32"/>
      <c r="AZ238" s="146"/>
      <c r="BA238" s="32"/>
      <c r="BB238" s="146"/>
      <c r="BC238" s="32"/>
      <c r="BD238" s="146"/>
      <c r="BE238" s="32"/>
      <c r="BF238" s="146"/>
      <c r="BG238" s="32"/>
      <c r="BH238" s="146"/>
      <c r="BI238" s="32"/>
      <c r="BJ238" s="146"/>
      <c r="BK238" s="32"/>
      <c r="BL238" s="146"/>
      <c r="BM238" s="32"/>
      <c r="BN238" s="146"/>
      <c r="BO238" s="32"/>
      <c r="BP238" s="146"/>
      <c r="BQ238" s="32"/>
      <c r="BR238" s="146"/>
      <c r="BS238" s="32"/>
      <c r="BT238" s="146">
        <v>313</v>
      </c>
      <c r="BU238" s="32">
        <v>210</v>
      </c>
      <c r="BV238" s="146">
        <v>331</v>
      </c>
      <c r="BW238" s="32">
        <v>191</v>
      </c>
    </row>
    <row r="239" spans="1:75" ht="13" x14ac:dyDescent="0.25">
      <c r="A239" s="186">
        <v>3701</v>
      </c>
      <c r="B239" s="187" t="s">
        <v>261</v>
      </c>
      <c r="C239" s="46">
        <v>754</v>
      </c>
      <c r="D239" s="142">
        <v>657</v>
      </c>
      <c r="E239" s="145">
        <f t="shared" si="3"/>
        <v>0.87135278514588854</v>
      </c>
      <c r="F239" s="146">
        <v>261</v>
      </c>
      <c r="G239" s="32">
        <v>380</v>
      </c>
      <c r="H239" s="146"/>
      <c r="I239" s="32"/>
      <c r="J239" s="146"/>
      <c r="K239" s="32"/>
      <c r="L239" s="146"/>
      <c r="M239" s="32"/>
      <c r="N239" s="146"/>
      <c r="O239" s="32"/>
      <c r="P239" s="146"/>
      <c r="Q239" s="32"/>
      <c r="R239" s="146"/>
      <c r="S239" s="32"/>
      <c r="T239" s="146"/>
      <c r="U239" s="32"/>
      <c r="V239" s="146"/>
      <c r="W239" s="32"/>
      <c r="X239" s="146"/>
      <c r="Y239" s="32"/>
      <c r="Z239" s="146"/>
      <c r="AA239" s="32"/>
      <c r="AB239" s="146"/>
      <c r="AC239" s="32"/>
      <c r="AD239" s="146"/>
      <c r="AE239" s="32"/>
      <c r="AF239" s="146"/>
      <c r="AG239" s="32"/>
      <c r="AH239" s="146"/>
      <c r="AI239" s="32"/>
      <c r="AJ239" s="146"/>
      <c r="AK239" s="32"/>
      <c r="AL239" s="146"/>
      <c r="AM239" s="32"/>
      <c r="AN239" s="146"/>
      <c r="AO239" s="32"/>
      <c r="AP239" s="146"/>
      <c r="AQ239" s="32"/>
      <c r="AR239" s="146"/>
      <c r="AS239" s="32"/>
      <c r="AT239" s="146"/>
      <c r="AU239" s="32"/>
      <c r="AV239" s="146"/>
      <c r="AW239" s="32"/>
      <c r="AX239" s="146"/>
      <c r="AY239" s="32"/>
      <c r="AZ239" s="146"/>
      <c r="BA239" s="32"/>
      <c r="BB239" s="146"/>
      <c r="BC239" s="32"/>
      <c r="BD239" s="146"/>
      <c r="BE239" s="32"/>
      <c r="BF239" s="146"/>
      <c r="BG239" s="32"/>
      <c r="BH239" s="146"/>
      <c r="BI239" s="32"/>
      <c r="BJ239" s="146"/>
      <c r="BK239" s="32"/>
      <c r="BL239" s="146"/>
      <c r="BM239" s="32"/>
      <c r="BN239" s="146"/>
      <c r="BO239" s="32"/>
      <c r="BP239" s="146"/>
      <c r="BQ239" s="32"/>
      <c r="BR239" s="146"/>
      <c r="BS239" s="32"/>
      <c r="BT239" s="146">
        <v>362</v>
      </c>
      <c r="BU239" s="32">
        <v>259</v>
      </c>
      <c r="BV239" s="146">
        <v>372</v>
      </c>
      <c r="BW239" s="32">
        <v>249</v>
      </c>
    </row>
    <row r="240" spans="1:75" ht="13" x14ac:dyDescent="0.25">
      <c r="A240" s="186">
        <v>3702</v>
      </c>
      <c r="B240" s="187" t="s">
        <v>262</v>
      </c>
      <c r="C240" s="46">
        <v>1472</v>
      </c>
      <c r="D240" s="142">
        <v>1054</v>
      </c>
      <c r="E240" s="145">
        <f t="shared" si="3"/>
        <v>0.71603260869565222</v>
      </c>
      <c r="F240" s="146">
        <v>489</v>
      </c>
      <c r="G240" s="32">
        <v>514</v>
      </c>
      <c r="H240" s="146"/>
      <c r="I240" s="32"/>
      <c r="J240" s="146"/>
      <c r="K240" s="32"/>
      <c r="L240" s="146"/>
      <c r="M240" s="32"/>
      <c r="N240" s="146"/>
      <c r="O240" s="32"/>
      <c r="P240" s="146"/>
      <c r="Q240" s="32"/>
      <c r="R240" s="146"/>
      <c r="S240" s="32"/>
      <c r="T240" s="146"/>
      <c r="U240" s="32"/>
      <c r="V240" s="146"/>
      <c r="W240" s="32"/>
      <c r="X240" s="146"/>
      <c r="Y240" s="32"/>
      <c r="Z240" s="146"/>
      <c r="AA240" s="32"/>
      <c r="AB240" s="146"/>
      <c r="AC240" s="32"/>
      <c r="AD240" s="146"/>
      <c r="AE240" s="32"/>
      <c r="AF240" s="146"/>
      <c r="AG240" s="32"/>
      <c r="AH240" s="146"/>
      <c r="AI240" s="32"/>
      <c r="AJ240" s="146"/>
      <c r="AK240" s="32"/>
      <c r="AL240" s="146"/>
      <c r="AM240" s="32"/>
      <c r="AN240" s="146"/>
      <c r="AO240" s="32"/>
      <c r="AP240" s="146"/>
      <c r="AQ240" s="32"/>
      <c r="AR240" s="146"/>
      <c r="AS240" s="32"/>
      <c r="AT240" s="146"/>
      <c r="AU240" s="32"/>
      <c r="AV240" s="146"/>
      <c r="AW240" s="32"/>
      <c r="AX240" s="146"/>
      <c r="AY240" s="32"/>
      <c r="AZ240" s="146"/>
      <c r="BA240" s="32"/>
      <c r="BB240" s="146"/>
      <c r="BC240" s="32"/>
      <c r="BD240" s="146"/>
      <c r="BE240" s="32"/>
      <c r="BF240" s="146"/>
      <c r="BG240" s="32"/>
      <c r="BH240" s="146"/>
      <c r="BI240" s="32"/>
      <c r="BJ240" s="146"/>
      <c r="BK240" s="32"/>
      <c r="BL240" s="146"/>
      <c r="BM240" s="32"/>
      <c r="BN240" s="146"/>
      <c r="BO240" s="32"/>
      <c r="BP240" s="146"/>
      <c r="BQ240" s="32"/>
      <c r="BR240" s="146"/>
      <c r="BS240" s="32"/>
      <c r="BT240" s="146">
        <v>566</v>
      </c>
      <c r="BU240" s="32">
        <v>417</v>
      </c>
      <c r="BV240" s="146">
        <v>609</v>
      </c>
      <c r="BW240" s="32">
        <v>374</v>
      </c>
    </row>
    <row r="241" spans="1:75" ht="13" x14ac:dyDescent="0.25">
      <c r="A241" s="186">
        <v>3703</v>
      </c>
      <c r="B241" s="187" t="s">
        <v>263</v>
      </c>
      <c r="C241" s="46">
        <v>1129</v>
      </c>
      <c r="D241" s="142">
        <v>864</v>
      </c>
      <c r="E241" s="145">
        <f t="shared" si="3"/>
        <v>0.76527900797165638</v>
      </c>
      <c r="F241" s="146">
        <v>400</v>
      </c>
      <c r="G241" s="32">
        <v>421</v>
      </c>
      <c r="H241" s="146"/>
      <c r="I241" s="32"/>
      <c r="J241" s="146"/>
      <c r="K241" s="32"/>
      <c r="L241" s="146"/>
      <c r="M241" s="32"/>
      <c r="N241" s="146"/>
      <c r="O241" s="32"/>
      <c r="P241" s="146"/>
      <c r="Q241" s="32"/>
      <c r="R241" s="146"/>
      <c r="S241" s="32"/>
      <c r="T241" s="146"/>
      <c r="U241" s="32"/>
      <c r="V241" s="146"/>
      <c r="W241" s="32"/>
      <c r="X241" s="146"/>
      <c r="Y241" s="32"/>
      <c r="Z241" s="146"/>
      <c r="AA241" s="32"/>
      <c r="AB241" s="146"/>
      <c r="AC241" s="32"/>
      <c r="AD241" s="146"/>
      <c r="AE241" s="32"/>
      <c r="AF241" s="146"/>
      <c r="AG241" s="32"/>
      <c r="AH241" s="146"/>
      <c r="AI241" s="32"/>
      <c r="AJ241" s="146"/>
      <c r="AK241" s="32"/>
      <c r="AL241" s="146"/>
      <c r="AM241" s="32"/>
      <c r="AN241" s="146"/>
      <c r="AO241" s="32"/>
      <c r="AP241" s="146"/>
      <c r="AQ241" s="32"/>
      <c r="AR241" s="146"/>
      <c r="AS241" s="32"/>
      <c r="AT241" s="146"/>
      <c r="AU241" s="32"/>
      <c r="AV241" s="146"/>
      <c r="AW241" s="32"/>
      <c r="AX241" s="146"/>
      <c r="AY241" s="32"/>
      <c r="AZ241" s="146"/>
      <c r="BA241" s="32"/>
      <c r="BB241" s="146"/>
      <c r="BC241" s="32"/>
      <c r="BD241" s="146"/>
      <c r="BE241" s="32"/>
      <c r="BF241" s="146"/>
      <c r="BG241" s="32"/>
      <c r="BH241" s="146"/>
      <c r="BI241" s="32"/>
      <c r="BJ241" s="146"/>
      <c r="BK241" s="32"/>
      <c r="BL241" s="146"/>
      <c r="BM241" s="32"/>
      <c r="BN241" s="146"/>
      <c r="BO241" s="32"/>
      <c r="BP241" s="146"/>
      <c r="BQ241" s="32"/>
      <c r="BR241" s="146"/>
      <c r="BS241" s="32"/>
      <c r="BT241" s="146">
        <v>492</v>
      </c>
      <c r="BU241" s="32">
        <v>333</v>
      </c>
      <c r="BV241" s="146">
        <v>510</v>
      </c>
      <c r="BW241" s="32">
        <v>316</v>
      </c>
    </row>
    <row r="242" spans="1:75" ht="13" x14ac:dyDescent="0.25">
      <c r="A242" s="186">
        <v>3704</v>
      </c>
      <c r="B242" s="187" t="s">
        <v>264</v>
      </c>
      <c r="C242" s="46">
        <v>1031</v>
      </c>
      <c r="D242" s="142">
        <v>720</v>
      </c>
      <c r="E242" s="145">
        <f t="shared" si="3"/>
        <v>0.69835111542192052</v>
      </c>
      <c r="F242" s="146">
        <v>323</v>
      </c>
      <c r="G242" s="32">
        <v>371</v>
      </c>
      <c r="H242" s="146"/>
      <c r="I242" s="32"/>
      <c r="J242" s="146"/>
      <c r="K242" s="32"/>
      <c r="L242" s="146"/>
      <c r="M242" s="32"/>
      <c r="N242" s="146"/>
      <c r="O242" s="32"/>
      <c r="P242" s="146"/>
      <c r="Q242" s="32"/>
      <c r="R242" s="146"/>
      <c r="S242" s="32"/>
      <c r="T242" s="146"/>
      <c r="U242" s="32"/>
      <c r="V242" s="146"/>
      <c r="W242" s="32"/>
      <c r="X242" s="146"/>
      <c r="Y242" s="32"/>
      <c r="Z242" s="146"/>
      <c r="AA242" s="32"/>
      <c r="AB242" s="146"/>
      <c r="AC242" s="32"/>
      <c r="AD242" s="146"/>
      <c r="AE242" s="32"/>
      <c r="AF242" s="146"/>
      <c r="AG242" s="32"/>
      <c r="AH242" s="146"/>
      <c r="AI242" s="32"/>
      <c r="AJ242" s="146"/>
      <c r="AK242" s="32"/>
      <c r="AL242" s="146"/>
      <c r="AM242" s="32"/>
      <c r="AN242" s="146"/>
      <c r="AO242" s="32"/>
      <c r="AP242" s="146"/>
      <c r="AQ242" s="32"/>
      <c r="AR242" s="146"/>
      <c r="AS242" s="32"/>
      <c r="AT242" s="146"/>
      <c r="AU242" s="32"/>
      <c r="AV242" s="146"/>
      <c r="AW242" s="32"/>
      <c r="AX242" s="146"/>
      <c r="AY242" s="32"/>
      <c r="AZ242" s="146"/>
      <c r="BA242" s="32"/>
      <c r="BB242" s="146"/>
      <c r="BC242" s="32"/>
      <c r="BD242" s="146"/>
      <c r="BE242" s="32"/>
      <c r="BF242" s="146"/>
      <c r="BG242" s="32"/>
      <c r="BH242" s="146"/>
      <c r="BI242" s="32"/>
      <c r="BJ242" s="146"/>
      <c r="BK242" s="32"/>
      <c r="BL242" s="146"/>
      <c r="BM242" s="32"/>
      <c r="BN242" s="146"/>
      <c r="BO242" s="32"/>
      <c r="BP242" s="146"/>
      <c r="BQ242" s="32"/>
      <c r="BR242" s="146"/>
      <c r="BS242" s="32"/>
      <c r="BT242" s="146">
        <v>345</v>
      </c>
      <c r="BU242" s="32">
        <v>348</v>
      </c>
      <c r="BV242" s="146">
        <v>367</v>
      </c>
      <c r="BW242" s="32">
        <v>322</v>
      </c>
    </row>
    <row r="243" spans="1:75" ht="13" x14ac:dyDescent="0.25">
      <c r="A243" s="186">
        <v>3705</v>
      </c>
      <c r="B243" s="187" t="s">
        <v>265</v>
      </c>
      <c r="C243" s="46">
        <v>995</v>
      </c>
      <c r="D243" s="142">
        <v>824</v>
      </c>
      <c r="E243" s="145">
        <f t="shared" si="3"/>
        <v>0.82814070351758795</v>
      </c>
      <c r="F243" s="146">
        <v>349</v>
      </c>
      <c r="G243" s="32">
        <v>439</v>
      </c>
      <c r="H243" s="146"/>
      <c r="I243" s="32"/>
      <c r="J243" s="146"/>
      <c r="K243" s="32"/>
      <c r="L243" s="146"/>
      <c r="M243" s="32"/>
      <c r="N243" s="146"/>
      <c r="O243" s="32"/>
      <c r="P243" s="146"/>
      <c r="Q243" s="32"/>
      <c r="R243" s="146"/>
      <c r="S243" s="32"/>
      <c r="T243" s="146"/>
      <c r="U243" s="32"/>
      <c r="V243" s="146"/>
      <c r="W243" s="32"/>
      <c r="X243" s="146"/>
      <c r="Y243" s="32"/>
      <c r="Z243" s="146"/>
      <c r="AA243" s="32"/>
      <c r="AB243" s="146"/>
      <c r="AC243" s="32"/>
      <c r="AD243" s="146"/>
      <c r="AE243" s="32"/>
      <c r="AF243" s="146"/>
      <c r="AG243" s="32"/>
      <c r="AH243" s="146"/>
      <c r="AI243" s="32"/>
      <c r="AJ243" s="146"/>
      <c r="AK243" s="32"/>
      <c r="AL243" s="146"/>
      <c r="AM243" s="32"/>
      <c r="AN243" s="146"/>
      <c r="AO243" s="32"/>
      <c r="AP243" s="146"/>
      <c r="AQ243" s="32"/>
      <c r="AR243" s="146"/>
      <c r="AS243" s="32"/>
      <c r="AT243" s="146"/>
      <c r="AU243" s="32"/>
      <c r="AV243" s="146"/>
      <c r="AW243" s="32"/>
      <c r="AX243" s="146"/>
      <c r="AY243" s="32"/>
      <c r="AZ243" s="146"/>
      <c r="BA243" s="32"/>
      <c r="BB243" s="146"/>
      <c r="BC243" s="32"/>
      <c r="BD243" s="146"/>
      <c r="BE243" s="32"/>
      <c r="BF243" s="146"/>
      <c r="BG243" s="32"/>
      <c r="BH243" s="146"/>
      <c r="BI243" s="32"/>
      <c r="BJ243" s="146"/>
      <c r="BK243" s="32"/>
      <c r="BL243" s="146"/>
      <c r="BM243" s="32"/>
      <c r="BN243" s="146"/>
      <c r="BO243" s="32"/>
      <c r="BP243" s="146"/>
      <c r="BQ243" s="32"/>
      <c r="BR243" s="146"/>
      <c r="BS243" s="32"/>
      <c r="BT243" s="146">
        <v>419</v>
      </c>
      <c r="BU243" s="32">
        <v>356</v>
      </c>
      <c r="BV243" s="146">
        <v>460</v>
      </c>
      <c r="BW243" s="32">
        <v>319</v>
      </c>
    </row>
    <row r="244" spans="1:75" ht="13" x14ac:dyDescent="0.25">
      <c r="A244" s="186">
        <v>3706</v>
      </c>
      <c r="B244" s="187" t="s">
        <v>266</v>
      </c>
      <c r="C244" s="46">
        <v>799</v>
      </c>
      <c r="D244" s="142">
        <v>641</v>
      </c>
      <c r="E244" s="145">
        <f t="shared" si="3"/>
        <v>0.80225281602002507</v>
      </c>
      <c r="F244" s="146">
        <v>279</v>
      </c>
      <c r="G244" s="32">
        <v>331</v>
      </c>
      <c r="H244" s="146"/>
      <c r="I244" s="32"/>
      <c r="J244" s="146"/>
      <c r="K244" s="32"/>
      <c r="L244" s="146"/>
      <c r="M244" s="32"/>
      <c r="N244" s="146"/>
      <c r="O244" s="32"/>
      <c r="P244" s="146"/>
      <c r="Q244" s="32"/>
      <c r="R244" s="146"/>
      <c r="S244" s="32"/>
      <c r="T244" s="146"/>
      <c r="U244" s="32"/>
      <c r="V244" s="146"/>
      <c r="W244" s="32"/>
      <c r="X244" s="146"/>
      <c r="Y244" s="32"/>
      <c r="Z244" s="146"/>
      <c r="AA244" s="32"/>
      <c r="AB244" s="146"/>
      <c r="AC244" s="32"/>
      <c r="AD244" s="146"/>
      <c r="AE244" s="32"/>
      <c r="AF244" s="146"/>
      <c r="AG244" s="32"/>
      <c r="AH244" s="146"/>
      <c r="AI244" s="32"/>
      <c r="AJ244" s="146"/>
      <c r="AK244" s="32"/>
      <c r="AL244" s="146"/>
      <c r="AM244" s="32"/>
      <c r="AN244" s="146"/>
      <c r="AO244" s="32"/>
      <c r="AP244" s="146"/>
      <c r="AQ244" s="32"/>
      <c r="AR244" s="146"/>
      <c r="AS244" s="32"/>
      <c r="AT244" s="146"/>
      <c r="AU244" s="32"/>
      <c r="AV244" s="146"/>
      <c r="AW244" s="32"/>
      <c r="AX244" s="146"/>
      <c r="AY244" s="32"/>
      <c r="AZ244" s="146"/>
      <c r="BA244" s="32"/>
      <c r="BB244" s="146"/>
      <c r="BC244" s="32"/>
      <c r="BD244" s="146"/>
      <c r="BE244" s="32"/>
      <c r="BF244" s="146"/>
      <c r="BG244" s="32"/>
      <c r="BH244" s="146"/>
      <c r="BI244" s="32"/>
      <c r="BJ244" s="146"/>
      <c r="BK244" s="32"/>
      <c r="BL244" s="146"/>
      <c r="BM244" s="32"/>
      <c r="BN244" s="146"/>
      <c r="BO244" s="32"/>
      <c r="BP244" s="146"/>
      <c r="BQ244" s="32"/>
      <c r="BR244" s="146"/>
      <c r="BS244" s="32"/>
      <c r="BT244" s="146">
        <v>342</v>
      </c>
      <c r="BU244" s="32">
        <v>259</v>
      </c>
      <c r="BV244" s="146">
        <v>357</v>
      </c>
      <c r="BW244" s="32">
        <v>247</v>
      </c>
    </row>
    <row r="245" spans="1:75" ht="13" x14ac:dyDescent="0.25">
      <c r="A245" s="186">
        <v>3707</v>
      </c>
      <c r="B245" s="187" t="s">
        <v>267</v>
      </c>
      <c r="C245" s="46">
        <v>658</v>
      </c>
      <c r="D245" s="142">
        <v>550</v>
      </c>
      <c r="E245" s="145">
        <f t="shared" si="3"/>
        <v>0.83586626139817632</v>
      </c>
      <c r="F245" s="146">
        <v>250</v>
      </c>
      <c r="G245" s="32">
        <v>276</v>
      </c>
      <c r="H245" s="146"/>
      <c r="I245" s="32"/>
      <c r="J245" s="146"/>
      <c r="K245" s="32"/>
      <c r="L245" s="146"/>
      <c r="M245" s="32"/>
      <c r="N245" s="146"/>
      <c r="O245" s="32"/>
      <c r="P245" s="146"/>
      <c r="Q245" s="32"/>
      <c r="R245" s="146"/>
      <c r="S245" s="32"/>
      <c r="T245" s="146"/>
      <c r="U245" s="32"/>
      <c r="V245" s="146"/>
      <c r="W245" s="32"/>
      <c r="X245" s="146"/>
      <c r="Y245" s="32"/>
      <c r="Z245" s="146"/>
      <c r="AA245" s="32"/>
      <c r="AB245" s="146"/>
      <c r="AC245" s="32"/>
      <c r="AD245" s="146"/>
      <c r="AE245" s="32"/>
      <c r="AF245" s="146"/>
      <c r="AG245" s="32"/>
      <c r="AH245" s="146"/>
      <c r="AI245" s="32"/>
      <c r="AJ245" s="146"/>
      <c r="AK245" s="32"/>
      <c r="AL245" s="146"/>
      <c r="AM245" s="32"/>
      <c r="AN245" s="146"/>
      <c r="AO245" s="32"/>
      <c r="AP245" s="146"/>
      <c r="AQ245" s="32"/>
      <c r="AR245" s="146"/>
      <c r="AS245" s="32"/>
      <c r="AT245" s="146"/>
      <c r="AU245" s="32"/>
      <c r="AV245" s="146"/>
      <c r="AW245" s="32"/>
      <c r="AX245" s="146"/>
      <c r="AY245" s="32"/>
      <c r="AZ245" s="146"/>
      <c r="BA245" s="32"/>
      <c r="BB245" s="146"/>
      <c r="BC245" s="32"/>
      <c r="BD245" s="146"/>
      <c r="BE245" s="32"/>
      <c r="BF245" s="146"/>
      <c r="BG245" s="32"/>
      <c r="BH245" s="146"/>
      <c r="BI245" s="32"/>
      <c r="BJ245" s="146"/>
      <c r="BK245" s="32"/>
      <c r="BL245" s="146"/>
      <c r="BM245" s="32"/>
      <c r="BN245" s="146"/>
      <c r="BO245" s="32"/>
      <c r="BP245" s="146"/>
      <c r="BQ245" s="32"/>
      <c r="BR245" s="146"/>
      <c r="BS245" s="32"/>
      <c r="BT245" s="146">
        <v>331</v>
      </c>
      <c r="BU245" s="32">
        <v>178</v>
      </c>
      <c r="BV245" s="146">
        <v>342</v>
      </c>
      <c r="BW245" s="32">
        <v>172</v>
      </c>
    </row>
    <row r="246" spans="1:75" ht="13" x14ac:dyDescent="0.25">
      <c r="A246" s="186">
        <v>3801</v>
      </c>
      <c r="B246" s="187" t="s">
        <v>268</v>
      </c>
      <c r="C246" s="46">
        <v>1143</v>
      </c>
      <c r="D246" s="142">
        <v>965</v>
      </c>
      <c r="E246" s="145">
        <f t="shared" si="3"/>
        <v>0.8442694663167104</v>
      </c>
      <c r="F246" s="146">
        <v>535</v>
      </c>
      <c r="G246" s="32">
        <v>384</v>
      </c>
      <c r="H246" s="146"/>
      <c r="I246" s="32"/>
      <c r="J246" s="146"/>
      <c r="K246" s="32"/>
      <c r="L246" s="146"/>
      <c r="M246" s="32"/>
      <c r="N246" s="146"/>
      <c r="O246" s="32"/>
      <c r="P246" s="146"/>
      <c r="Q246" s="32"/>
      <c r="R246" s="146"/>
      <c r="S246" s="32"/>
      <c r="T246" s="146"/>
      <c r="U246" s="32"/>
      <c r="V246" s="146"/>
      <c r="W246" s="32"/>
      <c r="X246" s="146"/>
      <c r="Y246" s="32"/>
      <c r="Z246" s="146"/>
      <c r="AA246" s="32"/>
      <c r="AB246" s="146"/>
      <c r="AC246" s="32"/>
      <c r="AD246" s="146"/>
      <c r="AE246" s="32"/>
      <c r="AF246" s="146"/>
      <c r="AG246" s="32"/>
      <c r="AH246" s="146"/>
      <c r="AI246" s="32"/>
      <c r="AJ246" s="146"/>
      <c r="AK246" s="32"/>
      <c r="AL246" s="146"/>
      <c r="AM246" s="32"/>
      <c r="AN246" s="146"/>
      <c r="AO246" s="32"/>
      <c r="AP246" s="146"/>
      <c r="AQ246" s="32"/>
      <c r="AR246" s="146"/>
      <c r="AS246" s="32"/>
      <c r="AT246" s="146"/>
      <c r="AU246" s="32"/>
      <c r="AV246" s="146"/>
      <c r="AW246" s="32"/>
      <c r="AX246" s="146"/>
      <c r="AY246" s="32"/>
      <c r="AZ246" s="146"/>
      <c r="BA246" s="32"/>
      <c r="BB246" s="146"/>
      <c r="BC246" s="32"/>
      <c r="BD246" s="146"/>
      <c r="BE246" s="32"/>
      <c r="BF246" s="146"/>
      <c r="BG246" s="32"/>
      <c r="BH246" s="146"/>
      <c r="BI246" s="32"/>
      <c r="BJ246" s="146"/>
      <c r="BK246" s="32"/>
      <c r="BL246" s="146"/>
      <c r="BM246" s="32"/>
      <c r="BN246" s="146"/>
      <c r="BO246" s="32"/>
      <c r="BP246" s="146"/>
      <c r="BQ246" s="32"/>
      <c r="BR246" s="146"/>
      <c r="BS246" s="32"/>
      <c r="BT246" s="146">
        <v>615</v>
      </c>
      <c r="BU246" s="32">
        <v>301</v>
      </c>
      <c r="BV246" s="146">
        <v>627</v>
      </c>
      <c r="BW246" s="32">
        <v>291</v>
      </c>
    </row>
    <row r="247" spans="1:75" ht="13" x14ac:dyDescent="0.25">
      <c r="A247" s="186">
        <v>3802</v>
      </c>
      <c r="B247" s="187" t="s">
        <v>269</v>
      </c>
      <c r="C247" s="46">
        <v>853</v>
      </c>
      <c r="D247" s="142">
        <v>669</v>
      </c>
      <c r="E247" s="145">
        <f t="shared" si="3"/>
        <v>0.78429073856975384</v>
      </c>
      <c r="F247" s="146">
        <v>310</v>
      </c>
      <c r="G247" s="32">
        <v>324</v>
      </c>
      <c r="H247" s="146"/>
      <c r="I247" s="32"/>
      <c r="J247" s="146"/>
      <c r="K247" s="32"/>
      <c r="L247" s="146"/>
      <c r="M247" s="32"/>
      <c r="N247" s="146"/>
      <c r="O247" s="32"/>
      <c r="P247" s="146"/>
      <c r="Q247" s="32"/>
      <c r="R247" s="146"/>
      <c r="S247" s="32"/>
      <c r="T247" s="146"/>
      <c r="U247" s="32"/>
      <c r="V247" s="146"/>
      <c r="W247" s="32"/>
      <c r="X247" s="146"/>
      <c r="Y247" s="32"/>
      <c r="Z247" s="146"/>
      <c r="AA247" s="32"/>
      <c r="AB247" s="146"/>
      <c r="AC247" s="32"/>
      <c r="AD247" s="146"/>
      <c r="AE247" s="32"/>
      <c r="AF247" s="146"/>
      <c r="AG247" s="32"/>
      <c r="AH247" s="146"/>
      <c r="AI247" s="32"/>
      <c r="AJ247" s="146"/>
      <c r="AK247" s="32"/>
      <c r="AL247" s="146"/>
      <c r="AM247" s="32"/>
      <c r="AN247" s="146"/>
      <c r="AO247" s="32"/>
      <c r="AP247" s="146"/>
      <c r="AQ247" s="32"/>
      <c r="AR247" s="146"/>
      <c r="AS247" s="32"/>
      <c r="AT247" s="146"/>
      <c r="AU247" s="32"/>
      <c r="AV247" s="146"/>
      <c r="AW247" s="32"/>
      <c r="AX247" s="146"/>
      <c r="AY247" s="32"/>
      <c r="AZ247" s="146"/>
      <c r="BA247" s="32"/>
      <c r="BB247" s="146"/>
      <c r="BC247" s="32"/>
      <c r="BD247" s="146"/>
      <c r="BE247" s="32"/>
      <c r="BF247" s="146"/>
      <c r="BG247" s="32"/>
      <c r="BH247" s="146"/>
      <c r="BI247" s="32"/>
      <c r="BJ247" s="146"/>
      <c r="BK247" s="32"/>
      <c r="BL247" s="146"/>
      <c r="BM247" s="32"/>
      <c r="BN247" s="146"/>
      <c r="BO247" s="32"/>
      <c r="BP247" s="146"/>
      <c r="BQ247" s="32"/>
      <c r="BR247" s="146"/>
      <c r="BS247" s="32"/>
      <c r="BT247" s="146">
        <v>399</v>
      </c>
      <c r="BU247" s="32">
        <v>224</v>
      </c>
      <c r="BV247" s="146">
        <v>417</v>
      </c>
      <c r="BW247" s="32">
        <v>204</v>
      </c>
    </row>
    <row r="248" spans="1:75" ht="13" x14ac:dyDescent="0.25">
      <c r="A248" s="186">
        <v>3803</v>
      </c>
      <c r="B248" s="187" t="s">
        <v>270</v>
      </c>
      <c r="C248" s="46">
        <v>835</v>
      </c>
      <c r="D248" s="142">
        <v>719</v>
      </c>
      <c r="E248" s="145">
        <f t="shared" si="3"/>
        <v>0.86107784431137724</v>
      </c>
      <c r="F248" s="146">
        <v>349</v>
      </c>
      <c r="G248" s="32">
        <v>341</v>
      </c>
      <c r="H248" s="146"/>
      <c r="I248" s="32"/>
      <c r="J248" s="146"/>
      <c r="K248" s="32"/>
      <c r="L248" s="146"/>
      <c r="M248" s="32"/>
      <c r="N248" s="146"/>
      <c r="O248" s="32"/>
      <c r="P248" s="146"/>
      <c r="Q248" s="32"/>
      <c r="R248" s="146"/>
      <c r="S248" s="32"/>
      <c r="T248" s="146"/>
      <c r="U248" s="32"/>
      <c r="V248" s="146"/>
      <c r="W248" s="32"/>
      <c r="X248" s="146"/>
      <c r="Y248" s="32"/>
      <c r="Z248" s="146"/>
      <c r="AA248" s="32"/>
      <c r="AB248" s="146"/>
      <c r="AC248" s="32"/>
      <c r="AD248" s="146"/>
      <c r="AE248" s="32"/>
      <c r="AF248" s="146"/>
      <c r="AG248" s="32"/>
      <c r="AH248" s="146"/>
      <c r="AI248" s="32"/>
      <c r="AJ248" s="146"/>
      <c r="AK248" s="32"/>
      <c r="AL248" s="146"/>
      <c r="AM248" s="32"/>
      <c r="AN248" s="146"/>
      <c r="AO248" s="32"/>
      <c r="AP248" s="146"/>
      <c r="AQ248" s="32"/>
      <c r="AR248" s="146"/>
      <c r="AS248" s="32"/>
      <c r="AT248" s="146"/>
      <c r="AU248" s="32"/>
      <c r="AV248" s="146"/>
      <c r="AW248" s="32"/>
      <c r="AX248" s="146"/>
      <c r="AY248" s="32"/>
      <c r="AZ248" s="146"/>
      <c r="BA248" s="32"/>
      <c r="BB248" s="146"/>
      <c r="BC248" s="32"/>
      <c r="BD248" s="146"/>
      <c r="BE248" s="32"/>
      <c r="BF248" s="146"/>
      <c r="BG248" s="32"/>
      <c r="BH248" s="146"/>
      <c r="BI248" s="32"/>
      <c r="BJ248" s="146"/>
      <c r="BK248" s="32"/>
      <c r="BL248" s="146"/>
      <c r="BM248" s="32"/>
      <c r="BN248" s="146"/>
      <c r="BO248" s="32"/>
      <c r="BP248" s="146"/>
      <c r="BQ248" s="32"/>
      <c r="BR248" s="146"/>
      <c r="BS248" s="32"/>
      <c r="BT248" s="146">
        <v>478</v>
      </c>
      <c r="BU248" s="32">
        <v>197</v>
      </c>
      <c r="BV248" s="146">
        <v>471</v>
      </c>
      <c r="BW248" s="32">
        <v>203</v>
      </c>
    </row>
    <row r="249" spans="1:75" ht="13" x14ac:dyDescent="0.25">
      <c r="A249" s="186">
        <v>3804</v>
      </c>
      <c r="B249" s="187" t="s">
        <v>271</v>
      </c>
      <c r="C249" s="46">
        <v>1224</v>
      </c>
      <c r="D249" s="142">
        <v>1034</v>
      </c>
      <c r="E249" s="145">
        <f t="shared" si="3"/>
        <v>0.84477124183006536</v>
      </c>
      <c r="F249" s="146">
        <v>532</v>
      </c>
      <c r="G249" s="32">
        <v>467</v>
      </c>
      <c r="H249" s="146"/>
      <c r="I249" s="32"/>
      <c r="J249" s="146"/>
      <c r="K249" s="32"/>
      <c r="L249" s="146"/>
      <c r="M249" s="32"/>
      <c r="N249" s="146"/>
      <c r="O249" s="32"/>
      <c r="P249" s="146"/>
      <c r="Q249" s="32"/>
      <c r="R249" s="146"/>
      <c r="S249" s="32"/>
      <c r="T249" s="146"/>
      <c r="U249" s="32"/>
      <c r="V249" s="146"/>
      <c r="W249" s="32"/>
      <c r="X249" s="146"/>
      <c r="Y249" s="32"/>
      <c r="Z249" s="146"/>
      <c r="AA249" s="32"/>
      <c r="AB249" s="146"/>
      <c r="AC249" s="32"/>
      <c r="AD249" s="146"/>
      <c r="AE249" s="32"/>
      <c r="AF249" s="146"/>
      <c r="AG249" s="32"/>
      <c r="AH249" s="146"/>
      <c r="AI249" s="32"/>
      <c r="AJ249" s="146"/>
      <c r="AK249" s="32"/>
      <c r="AL249" s="146"/>
      <c r="AM249" s="32"/>
      <c r="AN249" s="146"/>
      <c r="AO249" s="32"/>
      <c r="AP249" s="146"/>
      <c r="AQ249" s="32"/>
      <c r="AR249" s="146"/>
      <c r="AS249" s="32"/>
      <c r="AT249" s="146"/>
      <c r="AU249" s="32"/>
      <c r="AV249" s="146"/>
      <c r="AW249" s="32"/>
      <c r="AX249" s="146"/>
      <c r="AY249" s="32"/>
      <c r="AZ249" s="146"/>
      <c r="BA249" s="32"/>
      <c r="BB249" s="146"/>
      <c r="BC249" s="32"/>
      <c r="BD249" s="146"/>
      <c r="BE249" s="32"/>
      <c r="BF249" s="146"/>
      <c r="BG249" s="32"/>
      <c r="BH249" s="146"/>
      <c r="BI249" s="32"/>
      <c r="BJ249" s="146"/>
      <c r="BK249" s="32"/>
      <c r="BL249" s="146"/>
      <c r="BM249" s="32"/>
      <c r="BN249" s="146"/>
      <c r="BO249" s="32"/>
      <c r="BP249" s="146"/>
      <c r="BQ249" s="32"/>
      <c r="BR249" s="146"/>
      <c r="BS249" s="32"/>
      <c r="BT249" s="146">
        <v>654</v>
      </c>
      <c r="BU249" s="32">
        <v>324</v>
      </c>
      <c r="BV249" s="146">
        <v>670</v>
      </c>
      <c r="BW249" s="32">
        <v>307</v>
      </c>
    </row>
    <row r="250" spans="1:75" ht="13" x14ac:dyDescent="0.25">
      <c r="A250" s="186">
        <v>3805</v>
      </c>
      <c r="B250" s="187" t="s">
        <v>272</v>
      </c>
      <c r="C250" s="46">
        <v>655</v>
      </c>
      <c r="D250" s="142">
        <v>529</v>
      </c>
      <c r="E250" s="145">
        <f t="shared" si="3"/>
        <v>0.80763358778625949</v>
      </c>
      <c r="F250" s="146">
        <v>258</v>
      </c>
      <c r="G250" s="32">
        <v>258</v>
      </c>
      <c r="H250" s="146"/>
      <c r="I250" s="32"/>
      <c r="J250" s="146"/>
      <c r="K250" s="32"/>
      <c r="L250" s="146"/>
      <c r="M250" s="32"/>
      <c r="N250" s="146"/>
      <c r="O250" s="32"/>
      <c r="P250" s="146"/>
      <c r="Q250" s="32"/>
      <c r="R250" s="146"/>
      <c r="S250" s="32"/>
      <c r="T250" s="146"/>
      <c r="U250" s="32"/>
      <c r="V250" s="146"/>
      <c r="W250" s="32"/>
      <c r="X250" s="146"/>
      <c r="Y250" s="32"/>
      <c r="Z250" s="146"/>
      <c r="AA250" s="32"/>
      <c r="AB250" s="146"/>
      <c r="AC250" s="32"/>
      <c r="AD250" s="146"/>
      <c r="AE250" s="32"/>
      <c r="AF250" s="146"/>
      <c r="AG250" s="32"/>
      <c r="AH250" s="146"/>
      <c r="AI250" s="32"/>
      <c r="AJ250" s="146"/>
      <c r="AK250" s="32"/>
      <c r="AL250" s="146"/>
      <c r="AM250" s="32"/>
      <c r="AN250" s="146"/>
      <c r="AO250" s="32"/>
      <c r="AP250" s="146"/>
      <c r="AQ250" s="32"/>
      <c r="AR250" s="146"/>
      <c r="AS250" s="32"/>
      <c r="AT250" s="146"/>
      <c r="AU250" s="32"/>
      <c r="AV250" s="146"/>
      <c r="AW250" s="32"/>
      <c r="AX250" s="146"/>
      <c r="AY250" s="32"/>
      <c r="AZ250" s="146"/>
      <c r="BA250" s="32"/>
      <c r="BB250" s="146"/>
      <c r="BC250" s="32"/>
      <c r="BD250" s="146"/>
      <c r="BE250" s="32"/>
      <c r="BF250" s="146"/>
      <c r="BG250" s="32"/>
      <c r="BH250" s="146"/>
      <c r="BI250" s="32"/>
      <c r="BJ250" s="146"/>
      <c r="BK250" s="32"/>
      <c r="BL250" s="146"/>
      <c r="BM250" s="32"/>
      <c r="BN250" s="146"/>
      <c r="BO250" s="32"/>
      <c r="BP250" s="146"/>
      <c r="BQ250" s="32"/>
      <c r="BR250" s="146"/>
      <c r="BS250" s="32"/>
      <c r="BT250" s="146">
        <v>328</v>
      </c>
      <c r="BU250" s="32">
        <v>181</v>
      </c>
      <c r="BV250" s="146">
        <v>335</v>
      </c>
      <c r="BW250" s="32">
        <v>174</v>
      </c>
    </row>
    <row r="251" spans="1:75" ht="13" x14ac:dyDescent="0.25">
      <c r="A251" s="186">
        <v>3806</v>
      </c>
      <c r="B251" s="187" t="s">
        <v>273</v>
      </c>
      <c r="C251" s="46">
        <v>1188</v>
      </c>
      <c r="D251" s="142">
        <v>975</v>
      </c>
      <c r="E251" s="145">
        <f t="shared" si="3"/>
        <v>0.82070707070707072</v>
      </c>
      <c r="F251" s="146">
        <v>474</v>
      </c>
      <c r="G251" s="32">
        <v>449</v>
      </c>
      <c r="H251" s="146"/>
      <c r="I251" s="32"/>
      <c r="J251" s="146"/>
      <c r="K251" s="32"/>
      <c r="L251" s="146"/>
      <c r="M251" s="32"/>
      <c r="N251" s="146"/>
      <c r="O251" s="32"/>
      <c r="P251" s="146"/>
      <c r="Q251" s="32"/>
      <c r="R251" s="146"/>
      <c r="S251" s="32"/>
      <c r="T251" s="146"/>
      <c r="U251" s="32"/>
      <c r="V251" s="146"/>
      <c r="W251" s="32"/>
      <c r="X251" s="146"/>
      <c r="Y251" s="32"/>
      <c r="Z251" s="146"/>
      <c r="AA251" s="32"/>
      <c r="AB251" s="146"/>
      <c r="AC251" s="32"/>
      <c r="AD251" s="146"/>
      <c r="AE251" s="32"/>
      <c r="AF251" s="146"/>
      <c r="AG251" s="32"/>
      <c r="AH251" s="146"/>
      <c r="AI251" s="32"/>
      <c r="AJ251" s="146"/>
      <c r="AK251" s="32"/>
      <c r="AL251" s="146"/>
      <c r="AM251" s="32"/>
      <c r="AN251" s="146"/>
      <c r="AO251" s="32"/>
      <c r="AP251" s="146"/>
      <c r="AQ251" s="32"/>
      <c r="AR251" s="146"/>
      <c r="AS251" s="32"/>
      <c r="AT251" s="146"/>
      <c r="AU251" s="32"/>
      <c r="AV251" s="146"/>
      <c r="AW251" s="32"/>
      <c r="AX251" s="146"/>
      <c r="AY251" s="32"/>
      <c r="AZ251" s="146"/>
      <c r="BA251" s="32"/>
      <c r="BB251" s="146"/>
      <c r="BC251" s="32"/>
      <c r="BD251" s="146"/>
      <c r="BE251" s="32"/>
      <c r="BF251" s="146"/>
      <c r="BG251" s="32"/>
      <c r="BH251" s="146"/>
      <c r="BI251" s="32"/>
      <c r="BJ251" s="146"/>
      <c r="BK251" s="32"/>
      <c r="BL251" s="146"/>
      <c r="BM251" s="32"/>
      <c r="BN251" s="146"/>
      <c r="BO251" s="32"/>
      <c r="BP251" s="146"/>
      <c r="BQ251" s="32"/>
      <c r="BR251" s="146"/>
      <c r="BS251" s="32"/>
      <c r="BT251" s="146">
        <v>607</v>
      </c>
      <c r="BU251" s="32">
        <v>309</v>
      </c>
      <c r="BV251" s="146">
        <v>638</v>
      </c>
      <c r="BW251" s="32">
        <v>282</v>
      </c>
    </row>
    <row r="252" spans="1:75" ht="13" x14ac:dyDescent="0.25">
      <c r="A252" s="186">
        <v>3807</v>
      </c>
      <c r="B252" s="187" t="s">
        <v>274</v>
      </c>
      <c r="C252" s="46">
        <v>701</v>
      </c>
      <c r="D252" s="142">
        <v>579</v>
      </c>
      <c r="E252" s="145">
        <f t="shared" si="3"/>
        <v>0.82596291012838807</v>
      </c>
      <c r="F252" s="146">
        <v>289</v>
      </c>
      <c r="G252" s="32">
        <v>261</v>
      </c>
      <c r="H252" s="146"/>
      <c r="I252" s="32"/>
      <c r="J252" s="146"/>
      <c r="K252" s="32"/>
      <c r="L252" s="146"/>
      <c r="M252" s="32"/>
      <c r="N252" s="146"/>
      <c r="O252" s="32"/>
      <c r="P252" s="146"/>
      <c r="Q252" s="32"/>
      <c r="R252" s="146"/>
      <c r="S252" s="32"/>
      <c r="T252" s="146"/>
      <c r="U252" s="32"/>
      <c r="V252" s="146"/>
      <c r="W252" s="32"/>
      <c r="X252" s="146"/>
      <c r="Y252" s="32"/>
      <c r="Z252" s="146"/>
      <c r="AA252" s="32"/>
      <c r="AB252" s="146"/>
      <c r="AC252" s="32"/>
      <c r="AD252" s="146"/>
      <c r="AE252" s="32"/>
      <c r="AF252" s="146"/>
      <c r="AG252" s="32"/>
      <c r="AH252" s="146"/>
      <c r="AI252" s="32"/>
      <c r="AJ252" s="146"/>
      <c r="AK252" s="32"/>
      <c r="AL252" s="146"/>
      <c r="AM252" s="32"/>
      <c r="AN252" s="146"/>
      <c r="AO252" s="32"/>
      <c r="AP252" s="146"/>
      <c r="AQ252" s="32"/>
      <c r="AR252" s="146"/>
      <c r="AS252" s="32"/>
      <c r="AT252" s="146"/>
      <c r="AU252" s="32"/>
      <c r="AV252" s="146"/>
      <c r="AW252" s="32"/>
      <c r="AX252" s="146"/>
      <c r="AY252" s="32"/>
      <c r="AZ252" s="146"/>
      <c r="BA252" s="32"/>
      <c r="BB252" s="146"/>
      <c r="BC252" s="32"/>
      <c r="BD252" s="146"/>
      <c r="BE252" s="32"/>
      <c r="BF252" s="146"/>
      <c r="BG252" s="32"/>
      <c r="BH252" s="146"/>
      <c r="BI252" s="32"/>
      <c r="BJ252" s="146"/>
      <c r="BK252" s="32"/>
      <c r="BL252" s="146"/>
      <c r="BM252" s="32"/>
      <c r="BN252" s="146"/>
      <c r="BO252" s="32"/>
      <c r="BP252" s="146"/>
      <c r="BQ252" s="32"/>
      <c r="BR252" s="146"/>
      <c r="BS252" s="32"/>
      <c r="BT252" s="146">
        <v>365</v>
      </c>
      <c r="BU252" s="32">
        <v>165</v>
      </c>
      <c r="BV252" s="146">
        <v>381</v>
      </c>
      <c r="BW252" s="32">
        <v>151</v>
      </c>
    </row>
    <row r="253" spans="1:75" ht="13" x14ac:dyDescent="0.25">
      <c r="A253" s="186">
        <v>3808</v>
      </c>
      <c r="B253" s="187" t="s">
        <v>275</v>
      </c>
      <c r="C253" s="46">
        <v>828</v>
      </c>
      <c r="D253" s="142">
        <v>700</v>
      </c>
      <c r="E253" s="145">
        <f t="shared" si="3"/>
        <v>0.84541062801932365</v>
      </c>
      <c r="F253" s="146">
        <v>376</v>
      </c>
      <c r="G253" s="32">
        <v>295</v>
      </c>
      <c r="H253" s="146"/>
      <c r="I253" s="32"/>
      <c r="J253" s="146"/>
      <c r="K253" s="32"/>
      <c r="L253" s="146"/>
      <c r="M253" s="32"/>
      <c r="N253" s="146"/>
      <c r="O253" s="32"/>
      <c r="P253" s="146"/>
      <c r="Q253" s="32"/>
      <c r="R253" s="146"/>
      <c r="S253" s="32"/>
      <c r="T253" s="146"/>
      <c r="U253" s="32"/>
      <c r="V253" s="146"/>
      <c r="W253" s="32"/>
      <c r="X253" s="146"/>
      <c r="Y253" s="32"/>
      <c r="Z253" s="146"/>
      <c r="AA253" s="32"/>
      <c r="AB253" s="146"/>
      <c r="AC253" s="32"/>
      <c r="AD253" s="146"/>
      <c r="AE253" s="32"/>
      <c r="AF253" s="146"/>
      <c r="AG253" s="32"/>
      <c r="AH253" s="146"/>
      <c r="AI253" s="32"/>
      <c r="AJ253" s="146"/>
      <c r="AK253" s="32"/>
      <c r="AL253" s="146"/>
      <c r="AM253" s="32"/>
      <c r="AN253" s="146"/>
      <c r="AO253" s="32"/>
      <c r="AP253" s="146"/>
      <c r="AQ253" s="32"/>
      <c r="AR253" s="146"/>
      <c r="AS253" s="32"/>
      <c r="AT253" s="146"/>
      <c r="AU253" s="32"/>
      <c r="AV253" s="146"/>
      <c r="AW253" s="32"/>
      <c r="AX253" s="146"/>
      <c r="AY253" s="32"/>
      <c r="AZ253" s="146"/>
      <c r="BA253" s="32"/>
      <c r="BB253" s="146"/>
      <c r="BC253" s="32"/>
      <c r="BD253" s="146"/>
      <c r="BE253" s="32"/>
      <c r="BF253" s="146"/>
      <c r="BG253" s="32"/>
      <c r="BH253" s="146"/>
      <c r="BI253" s="32"/>
      <c r="BJ253" s="146"/>
      <c r="BK253" s="32"/>
      <c r="BL253" s="146"/>
      <c r="BM253" s="32"/>
      <c r="BN253" s="146"/>
      <c r="BO253" s="32"/>
      <c r="BP253" s="146"/>
      <c r="BQ253" s="32"/>
      <c r="BR253" s="146"/>
      <c r="BS253" s="32"/>
      <c r="BT253" s="146">
        <v>442</v>
      </c>
      <c r="BU253" s="32">
        <v>221</v>
      </c>
      <c r="BV253" s="146">
        <v>467</v>
      </c>
      <c r="BW253" s="32">
        <v>196</v>
      </c>
    </row>
    <row r="254" spans="1:75" ht="13" x14ac:dyDescent="0.25">
      <c r="A254" s="186">
        <v>3901</v>
      </c>
      <c r="B254" s="187" t="s">
        <v>276</v>
      </c>
      <c r="C254" s="46">
        <v>24</v>
      </c>
      <c r="D254" s="142">
        <v>19</v>
      </c>
      <c r="E254" s="145">
        <f t="shared" si="3"/>
        <v>0.79166666666666663</v>
      </c>
      <c r="F254" s="146">
        <v>4</v>
      </c>
      <c r="G254" s="32">
        <v>15</v>
      </c>
      <c r="H254" s="146"/>
      <c r="I254" s="32"/>
      <c r="J254" s="146"/>
      <c r="K254" s="32"/>
      <c r="L254" s="146"/>
      <c r="M254" s="32"/>
      <c r="N254" s="146"/>
      <c r="O254" s="32"/>
      <c r="P254" s="146"/>
      <c r="Q254" s="32"/>
      <c r="R254" s="146"/>
      <c r="S254" s="32"/>
      <c r="T254" s="146"/>
      <c r="U254" s="32"/>
      <c r="V254" s="146">
        <v>9</v>
      </c>
      <c r="W254" s="32">
        <v>10</v>
      </c>
      <c r="X254" s="146"/>
      <c r="Y254" s="32"/>
      <c r="Z254" s="146"/>
      <c r="AA254" s="32"/>
      <c r="AB254" s="146"/>
      <c r="AC254" s="32"/>
      <c r="AD254" s="146"/>
      <c r="AE254" s="32"/>
      <c r="AF254" s="146"/>
      <c r="AG254" s="32"/>
      <c r="AH254" s="146"/>
      <c r="AI254" s="32"/>
      <c r="AJ254" s="146"/>
      <c r="AK254" s="32"/>
      <c r="AL254" s="146"/>
      <c r="AM254" s="32"/>
      <c r="AN254" s="146"/>
      <c r="AO254" s="32"/>
      <c r="AP254" s="146"/>
      <c r="AQ254" s="32"/>
      <c r="AR254" s="146"/>
      <c r="AS254" s="32"/>
      <c r="AT254" s="146"/>
      <c r="AU254" s="32"/>
      <c r="AV254" s="146"/>
      <c r="AW254" s="32"/>
      <c r="AX254" s="146"/>
      <c r="AY254" s="32"/>
      <c r="AZ254" s="146"/>
      <c r="BA254" s="32"/>
      <c r="BB254" s="146"/>
      <c r="BC254" s="32"/>
      <c r="BD254" s="146"/>
      <c r="BE254" s="32"/>
      <c r="BF254" s="146">
        <v>2</v>
      </c>
      <c r="BG254" s="32">
        <v>1</v>
      </c>
      <c r="BH254" s="146">
        <v>1</v>
      </c>
      <c r="BI254" s="32">
        <v>6</v>
      </c>
      <c r="BJ254" s="146"/>
      <c r="BK254" s="32"/>
      <c r="BL254" s="146"/>
      <c r="BM254" s="32"/>
      <c r="BN254" s="146"/>
      <c r="BO254" s="32"/>
      <c r="BP254" s="146"/>
      <c r="BQ254" s="32"/>
      <c r="BR254" s="146"/>
      <c r="BS254" s="32"/>
      <c r="BT254" s="146">
        <v>9</v>
      </c>
      <c r="BU254" s="32">
        <v>10</v>
      </c>
      <c r="BV254" s="146">
        <v>9</v>
      </c>
      <c r="BW254" s="32">
        <v>10</v>
      </c>
    </row>
    <row r="255" spans="1:75" ht="13" x14ac:dyDescent="0.25">
      <c r="A255" s="186">
        <v>4001</v>
      </c>
      <c r="B255" s="187" t="s">
        <v>277</v>
      </c>
      <c r="C255" s="46">
        <v>1380</v>
      </c>
      <c r="D255" s="142">
        <v>1127</v>
      </c>
      <c r="E255" s="145">
        <f t="shared" si="3"/>
        <v>0.81666666666666665</v>
      </c>
      <c r="F255" s="146">
        <v>544</v>
      </c>
      <c r="G255" s="32">
        <v>536</v>
      </c>
      <c r="H255" s="146"/>
      <c r="I255" s="32"/>
      <c r="J255" s="146"/>
      <c r="K255" s="32"/>
      <c r="L255" s="146"/>
      <c r="M255" s="32"/>
      <c r="N255" s="146"/>
      <c r="O255" s="32"/>
      <c r="P255" s="146"/>
      <c r="Q255" s="32"/>
      <c r="R255" s="146"/>
      <c r="S255" s="32"/>
      <c r="T255" s="146"/>
      <c r="U255" s="32"/>
      <c r="V255" s="146"/>
      <c r="W255" s="32"/>
      <c r="X255" s="146"/>
      <c r="Y255" s="32"/>
      <c r="Z255" s="146"/>
      <c r="AA255" s="32"/>
      <c r="AB255" s="146"/>
      <c r="AC255" s="32"/>
      <c r="AD255" s="146"/>
      <c r="AE255" s="32"/>
      <c r="AF255" s="146"/>
      <c r="AG255" s="32"/>
      <c r="AH255" s="146"/>
      <c r="AI255" s="32"/>
      <c r="AJ255" s="146"/>
      <c r="AK255" s="32"/>
      <c r="AL255" s="146"/>
      <c r="AM255" s="32"/>
      <c r="AN255" s="146"/>
      <c r="AO255" s="32"/>
      <c r="AP255" s="146"/>
      <c r="AQ255" s="32"/>
      <c r="AR255" s="146"/>
      <c r="AS255" s="32"/>
      <c r="AT255" s="146"/>
      <c r="AU255" s="32"/>
      <c r="AV255" s="146"/>
      <c r="AW255" s="32"/>
      <c r="AX255" s="146"/>
      <c r="AY255" s="32"/>
      <c r="AZ255" s="146"/>
      <c r="BA255" s="32"/>
      <c r="BB255" s="146"/>
      <c r="BC255" s="32"/>
      <c r="BD255" s="146"/>
      <c r="BE255" s="32"/>
      <c r="BF255" s="146"/>
      <c r="BG255" s="32"/>
      <c r="BH255" s="146"/>
      <c r="BI255" s="32"/>
      <c r="BJ255" s="146"/>
      <c r="BK255" s="32"/>
      <c r="BL255" s="146"/>
      <c r="BM255" s="32"/>
      <c r="BN255" s="146"/>
      <c r="BO255" s="32"/>
      <c r="BP255" s="146"/>
      <c r="BQ255" s="32"/>
      <c r="BR255" s="146"/>
      <c r="BS255" s="32"/>
      <c r="BT255" s="146">
        <v>673</v>
      </c>
      <c r="BU255" s="32">
        <v>389</v>
      </c>
      <c r="BV255" s="146">
        <v>701</v>
      </c>
      <c r="BW255" s="32">
        <v>363</v>
      </c>
    </row>
    <row r="256" spans="1:75" ht="13" x14ac:dyDescent="0.25">
      <c r="A256" s="186">
        <v>4002</v>
      </c>
      <c r="B256" s="187" t="s">
        <v>278</v>
      </c>
      <c r="C256" s="46">
        <v>1201</v>
      </c>
      <c r="D256" s="142">
        <v>1015</v>
      </c>
      <c r="E256" s="145">
        <f t="shared" si="3"/>
        <v>0.84512905911740221</v>
      </c>
      <c r="F256" s="146">
        <v>490</v>
      </c>
      <c r="G256" s="32">
        <v>489</v>
      </c>
      <c r="H256" s="146"/>
      <c r="I256" s="32"/>
      <c r="J256" s="146"/>
      <c r="K256" s="32"/>
      <c r="L256" s="146"/>
      <c r="M256" s="32"/>
      <c r="N256" s="146"/>
      <c r="O256" s="32"/>
      <c r="P256" s="146"/>
      <c r="Q256" s="32"/>
      <c r="R256" s="146"/>
      <c r="S256" s="32"/>
      <c r="T256" s="146"/>
      <c r="U256" s="32"/>
      <c r="V256" s="146"/>
      <c r="W256" s="32"/>
      <c r="X256" s="146"/>
      <c r="Y256" s="32"/>
      <c r="Z256" s="146"/>
      <c r="AA256" s="32"/>
      <c r="AB256" s="146"/>
      <c r="AC256" s="32"/>
      <c r="AD256" s="146"/>
      <c r="AE256" s="32"/>
      <c r="AF256" s="146"/>
      <c r="AG256" s="32"/>
      <c r="AH256" s="146"/>
      <c r="AI256" s="32"/>
      <c r="AJ256" s="146"/>
      <c r="AK256" s="32"/>
      <c r="AL256" s="146"/>
      <c r="AM256" s="32"/>
      <c r="AN256" s="146"/>
      <c r="AO256" s="32"/>
      <c r="AP256" s="146"/>
      <c r="AQ256" s="32"/>
      <c r="AR256" s="146"/>
      <c r="AS256" s="32"/>
      <c r="AT256" s="146"/>
      <c r="AU256" s="32"/>
      <c r="AV256" s="146"/>
      <c r="AW256" s="32"/>
      <c r="AX256" s="146"/>
      <c r="AY256" s="32"/>
      <c r="AZ256" s="146"/>
      <c r="BA256" s="32"/>
      <c r="BB256" s="146"/>
      <c r="BC256" s="32"/>
      <c r="BD256" s="146"/>
      <c r="BE256" s="32"/>
      <c r="BF256" s="146"/>
      <c r="BG256" s="32"/>
      <c r="BH256" s="146"/>
      <c r="BI256" s="32"/>
      <c r="BJ256" s="146"/>
      <c r="BK256" s="32"/>
      <c r="BL256" s="146"/>
      <c r="BM256" s="32"/>
      <c r="BN256" s="146"/>
      <c r="BO256" s="32"/>
      <c r="BP256" s="146"/>
      <c r="BQ256" s="32"/>
      <c r="BR256" s="146"/>
      <c r="BS256" s="32"/>
      <c r="BT256" s="146">
        <v>618</v>
      </c>
      <c r="BU256" s="32">
        <v>341</v>
      </c>
      <c r="BV256" s="146">
        <v>658</v>
      </c>
      <c r="BW256" s="32">
        <v>300</v>
      </c>
    </row>
    <row r="257" spans="1:75" ht="13" x14ac:dyDescent="0.25">
      <c r="A257" s="186">
        <v>4003</v>
      </c>
      <c r="B257" s="187" t="s">
        <v>279</v>
      </c>
      <c r="C257" s="46">
        <v>1324</v>
      </c>
      <c r="D257" s="142">
        <v>1112</v>
      </c>
      <c r="E257" s="145">
        <f t="shared" si="3"/>
        <v>0.83987915407854985</v>
      </c>
      <c r="F257" s="146">
        <v>602</v>
      </c>
      <c r="G257" s="32">
        <v>463</v>
      </c>
      <c r="H257" s="146"/>
      <c r="I257" s="32"/>
      <c r="J257" s="146"/>
      <c r="K257" s="32"/>
      <c r="L257" s="146"/>
      <c r="M257" s="32"/>
      <c r="N257" s="146"/>
      <c r="O257" s="32"/>
      <c r="P257" s="146"/>
      <c r="Q257" s="32"/>
      <c r="R257" s="146"/>
      <c r="S257" s="32"/>
      <c r="T257" s="146"/>
      <c r="U257" s="32"/>
      <c r="V257" s="146"/>
      <c r="W257" s="32"/>
      <c r="X257" s="146"/>
      <c r="Y257" s="32"/>
      <c r="Z257" s="146"/>
      <c r="AA257" s="32"/>
      <c r="AB257" s="146"/>
      <c r="AC257" s="32"/>
      <c r="AD257" s="146"/>
      <c r="AE257" s="32"/>
      <c r="AF257" s="146"/>
      <c r="AG257" s="32"/>
      <c r="AH257" s="146"/>
      <c r="AI257" s="32"/>
      <c r="AJ257" s="146"/>
      <c r="AK257" s="32"/>
      <c r="AL257" s="146"/>
      <c r="AM257" s="32"/>
      <c r="AN257" s="146"/>
      <c r="AO257" s="32"/>
      <c r="AP257" s="146"/>
      <c r="AQ257" s="32"/>
      <c r="AR257" s="146"/>
      <c r="AS257" s="32"/>
      <c r="AT257" s="146"/>
      <c r="AU257" s="32"/>
      <c r="AV257" s="146"/>
      <c r="AW257" s="32"/>
      <c r="AX257" s="146"/>
      <c r="AY257" s="32"/>
      <c r="AZ257" s="146"/>
      <c r="BA257" s="32"/>
      <c r="BB257" s="146"/>
      <c r="BC257" s="32"/>
      <c r="BD257" s="146"/>
      <c r="BE257" s="32"/>
      <c r="BF257" s="146"/>
      <c r="BG257" s="32"/>
      <c r="BH257" s="146"/>
      <c r="BI257" s="32"/>
      <c r="BJ257" s="146"/>
      <c r="BK257" s="32"/>
      <c r="BL257" s="146"/>
      <c r="BM257" s="32"/>
      <c r="BN257" s="146"/>
      <c r="BO257" s="32"/>
      <c r="BP257" s="146"/>
      <c r="BQ257" s="32"/>
      <c r="BR257" s="146"/>
      <c r="BS257" s="32"/>
      <c r="BT257" s="146">
        <v>720</v>
      </c>
      <c r="BU257" s="32">
        <v>325</v>
      </c>
      <c r="BV257" s="146">
        <v>745</v>
      </c>
      <c r="BW257" s="32">
        <v>302</v>
      </c>
    </row>
    <row r="258" spans="1:75" ht="13" x14ac:dyDescent="0.25">
      <c r="A258" s="186">
        <v>4004</v>
      </c>
      <c r="B258" s="187" t="s">
        <v>280</v>
      </c>
      <c r="C258" s="46">
        <v>644</v>
      </c>
      <c r="D258" s="142">
        <v>541</v>
      </c>
      <c r="E258" s="145">
        <f t="shared" si="3"/>
        <v>0.84006211180124224</v>
      </c>
      <c r="F258" s="146">
        <v>331</v>
      </c>
      <c r="G258" s="32">
        <v>191</v>
      </c>
      <c r="H258" s="146"/>
      <c r="I258" s="32"/>
      <c r="J258" s="146"/>
      <c r="K258" s="32"/>
      <c r="L258" s="146"/>
      <c r="M258" s="32"/>
      <c r="N258" s="146"/>
      <c r="O258" s="32"/>
      <c r="P258" s="146"/>
      <c r="Q258" s="32"/>
      <c r="R258" s="146"/>
      <c r="S258" s="32"/>
      <c r="T258" s="146"/>
      <c r="U258" s="32"/>
      <c r="V258" s="146"/>
      <c r="W258" s="32"/>
      <c r="X258" s="146"/>
      <c r="Y258" s="32"/>
      <c r="Z258" s="146"/>
      <c r="AA258" s="32"/>
      <c r="AB258" s="146"/>
      <c r="AC258" s="32"/>
      <c r="AD258" s="146"/>
      <c r="AE258" s="32"/>
      <c r="AF258" s="146"/>
      <c r="AG258" s="32"/>
      <c r="AH258" s="146"/>
      <c r="AI258" s="32"/>
      <c r="AJ258" s="146"/>
      <c r="AK258" s="32"/>
      <c r="AL258" s="146"/>
      <c r="AM258" s="32"/>
      <c r="AN258" s="146"/>
      <c r="AO258" s="32"/>
      <c r="AP258" s="146"/>
      <c r="AQ258" s="32"/>
      <c r="AR258" s="146"/>
      <c r="AS258" s="32"/>
      <c r="AT258" s="146"/>
      <c r="AU258" s="32"/>
      <c r="AV258" s="146"/>
      <c r="AW258" s="32"/>
      <c r="AX258" s="146"/>
      <c r="AY258" s="32"/>
      <c r="AZ258" s="146"/>
      <c r="BA258" s="32"/>
      <c r="BB258" s="146"/>
      <c r="BC258" s="32"/>
      <c r="BD258" s="146"/>
      <c r="BE258" s="32"/>
      <c r="BF258" s="146"/>
      <c r="BG258" s="32"/>
      <c r="BH258" s="146"/>
      <c r="BI258" s="32"/>
      <c r="BJ258" s="146"/>
      <c r="BK258" s="32"/>
      <c r="BL258" s="146"/>
      <c r="BM258" s="32"/>
      <c r="BN258" s="146"/>
      <c r="BO258" s="32"/>
      <c r="BP258" s="146"/>
      <c r="BQ258" s="32"/>
      <c r="BR258" s="146"/>
      <c r="BS258" s="32"/>
      <c r="BT258" s="146">
        <v>365</v>
      </c>
      <c r="BU258" s="32">
        <v>152</v>
      </c>
      <c r="BV258" s="146">
        <v>379</v>
      </c>
      <c r="BW258" s="32">
        <v>141</v>
      </c>
    </row>
    <row r="259" spans="1:75" ht="13" x14ac:dyDescent="0.25">
      <c r="A259" s="186">
        <v>4005</v>
      </c>
      <c r="B259" s="187" t="s">
        <v>281</v>
      </c>
      <c r="C259" s="46">
        <v>693</v>
      </c>
      <c r="D259" s="142">
        <v>561</v>
      </c>
      <c r="E259" s="145">
        <f t="shared" si="3"/>
        <v>0.80952380952380953</v>
      </c>
      <c r="F259" s="146">
        <v>310</v>
      </c>
      <c r="G259" s="32">
        <v>228</v>
      </c>
      <c r="H259" s="146"/>
      <c r="I259" s="32"/>
      <c r="J259" s="146"/>
      <c r="K259" s="32"/>
      <c r="L259" s="146"/>
      <c r="M259" s="32"/>
      <c r="N259" s="146"/>
      <c r="O259" s="32"/>
      <c r="P259" s="146"/>
      <c r="Q259" s="32"/>
      <c r="R259" s="146"/>
      <c r="S259" s="32"/>
      <c r="T259" s="146"/>
      <c r="U259" s="32"/>
      <c r="V259" s="146"/>
      <c r="W259" s="32"/>
      <c r="X259" s="146"/>
      <c r="Y259" s="32"/>
      <c r="Z259" s="146"/>
      <c r="AA259" s="32"/>
      <c r="AB259" s="146"/>
      <c r="AC259" s="32"/>
      <c r="AD259" s="146"/>
      <c r="AE259" s="32"/>
      <c r="AF259" s="146"/>
      <c r="AG259" s="32"/>
      <c r="AH259" s="146"/>
      <c r="AI259" s="32"/>
      <c r="AJ259" s="146"/>
      <c r="AK259" s="32"/>
      <c r="AL259" s="146"/>
      <c r="AM259" s="32"/>
      <c r="AN259" s="146"/>
      <c r="AO259" s="32"/>
      <c r="AP259" s="146"/>
      <c r="AQ259" s="32"/>
      <c r="AR259" s="146"/>
      <c r="AS259" s="32"/>
      <c r="AT259" s="146"/>
      <c r="AU259" s="32"/>
      <c r="AV259" s="146"/>
      <c r="AW259" s="32"/>
      <c r="AX259" s="146"/>
      <c r="AY259" s="32"/>
      <c r="AZ259" s="146"/>
      <c r="BA259" s="32"/>
      <c r="BB259" s="146"/>
      <c r="BC259" s="32"/>
      <c r="BD259" s="146"/>
      <c r="BE259" s="32"/>
      <c r="BF259" s="146"/>
      <c r="BG259" s="32"/>
      <c r="BH259" s="146"/>
      <c r="BI259" s="32"/>
      <c r="BJ259" s="146"/>
      <c r="BK259" s="32"/>
      <c r="BL259" s="146"/>
      <c r="BM259" s="32"/>
      <c r="BN259" s="146"/>
      <c r="BO259" s="32"/>
      <c r="BP259" s="146"/>
      <c r="BQ259" s="32"/>
      <c r="BR259" s="146"/>
      <c r="BS259" s="32"/>
      <c r="BT259" s="146">
        <v>365</v>
      </c>
      <c r="BU259" s="32">
        <v>161</v>
      </c>
      <c r="BV259" s="146">
        <v>375</v>
      </c>
      <c r="BW259" s="32">
        <v>154</v>
      </c>
    </row>
    <row r="260" spans="1:75" ht="13" x14ac:dyDescent="0.25">
      <c r="A260" s="186">
        <v>4006</v>
      </c>
      <c r="B260" s="187" t="s">
        <v>282</v>
      </c>
      <c r="C260" s="46">
        <v>1047</v>
      </c>
      <c r="D260" s="142">
        <v>851</v>
      </c>
      <c r="E260" s="145">
        <f t="shared" si="3"/>
        <v>0.81279847182425979</v>
      </c>
      <c r="F260" s="146">
        <v>432</v>
      </c>
      <c r="G260" s="32">
        <v>398</v>
      </c>
      <c r="H260" s="146"/>
      <c r="I260" s="32"/>
      <c r="J260" s="146"/>
      <c r="K260" s="32"/>
      <c r="L260" s="146"/>
      <c r="M260" s="32"/>
      <c r="N260" s="146"/>
      <c r="O260" s="32"/>
      <c r="P260" s="146"/>
      <c r="Q260" s="32"/>
      <c r="R260" s="146"/>
      <c r="S260" s="32"/>
      <c r="T260" s="146"/>
      <c r="U260" s="32"/>
      <c r="V260" s="146"/>
      <c r="W260" s="32"/>
      <c r="X260" s="146"/>
      <c r="Y260" s="32"/>
      <c r="Z260" s="146"/>
      <c r="AA260" s="32"/>
      <c r="AB260" s="146"/>
      <c r="AC260" s="32"/>
      <c r="AD260" s="146"/>
      <c r="AE260" s="32"/>
      <c r="AF260" s="146"/>
      <c r="AG260" s="32"/>
      <c r="AH260" s="146"/>
      <c r="AI260" s="32"/>
      <c r="AJ260" s="146"/>
      <c r="AK260" s="32"/>
      <c r="AL260" s="146"/>
      <c r="AM260" s="32"/>
      <c r="AN260" s="146"/>
      <c r="AO260" s="32"/>
      <c r="AP260" s="146"/>
      <c r="AQ260" s="32"/>
      <c r="AR260" s="146"/>
      <c r="AS260" s="32"/>
      <c r="AT260" s="146"/>
      <c r="AU260" s="32"/>
      <c r="AV260" s="146"/>
      <c r="AW260" s="32"/>
      <c r="AX260" s="146"/>
      <c r="AY260" s="32"/>
      <c r="AZ260" s="146"/>
      <c r="BA260" s="32"/>
      <c r="BB260" s="146"/>
      <c r="BC260" s="32"/>
      <c r="BD260" s="146"/>
      <c r="BE260" s="32"/>
      <c r="BF260" s="146"/>
      <c r="BG260" s="32"/>
      <c r="BH260" s="146"/>
      <c r="BI260" s="32"/>
      <c r="BJ260" s="146"/>
      <c r="BK260" s="32"/>
      <c r="BL260" s="146"/>
      <c r="BM260" s="32"/>
      <c r="BN260" s="146"/>
      <c r="BO260" s="32"/>
      <c r="BP260" s="146"/>
      <c r="BQ260" s="32"/>
      <c r="BR260" s="146"/>
      <c r="BS260" s="32"/>
      <c r="BT260" s="146">
        <v>559</v>
      </c>
      <c r="BU260" s="32">
        <v>262</v>
      </c>
      <c r="BV260" s="146">
        <v>572</v>
      </c>
      <c r="BW260" s="32">
        <v>249</v>
      </c>
    </row>
    <row r="261" spans="1:75" ht="13" x14ac:dyDescent="0.25">
      <c r="A261" s="186">
        <v>4007</v>
      </c>
      <c r="B261" s="187" t="s">
        <v>283</v>
      </c>
      <c r="C261" s="46">
        <v>639</v>
      </c>
      <c r="D261" s="142">
        <v>551</v>
      </c>
      <c r="E261" s="145">
        <f t="shared" si="3"/>
        <v>0.86228482003129892</v>
      </c>
      <c r="F261" s="146">
        <v>317</v>
      </c>
      <c r="G261" s="32">
        <v>218</v>
      </c>
      <c r="H261" s="146"/>
      <c r="I261" s="32"/>
      <c r="J261" s="146"/>
      <c r="K261" s="32"/>
      <c r="L261" s="146"/>
      <c r="M261" s="32"/>
      <c r="N261" s="146"/>
      <c r="O261" s="32"/>
      <c r="P261" s="146"/>
      <c r="Q261" s="32"/>
      <c r="R261" s="146"/>
      <c r="S261" s="32"/>
      <c r="T261" s="146"/>
      <c r="U261" s="32"/>
      <c r="V261" s="146"/>
      <c r="W261" s="32"/>
      <c r="X261" s="146"/>
      <c r="Y261" s="32"/>
      <c r="Z261" s="146"/>
      <c r="AA261" s="32"/>
      <c r="AB261" s="146"/>
      <c r="AC261" s="32"/>
      <c r="AD261" s="146"/>
      <c r="AE261" s="32"/>
      <c r="AF261" s="146"/>
      <c r="AG261" s="32"/>
      <c r="AH261" s="146"/>
      <c r="AI261" s="32"/>
      <c r="AJ261" s="146"/>
      <c r="AK261" s="32"/>
      <c r="AL261" s="146"/>
      <c r="AM261" s="32"/>
      <c r="AN261" s="146"/>
      <c r="AO261" s="32"/>
      <c r="AP261" s="146"/>
      <c r="AQ261" s="32"/>
      <c r="AR261" s="146"/>
      <c r="AS261" s="32"/>
      <c r="AT261" s="146"/>
      <c r="AU261" s="32"/>
      <c r="AV261" s="146"/>
      <c r="AW261" s="32"/>
      <c r="AX261" s="146"/>
      <c r="AY261" s="32"/>
      <c r="AZ261" s="146"/>
      <c r="BA261" s="32"/>
      <c r="BB261" s="146"/>
      <c r="BC261" s="32"/>
      <c r="BD261" s="146"/>
      <c r="BE261" s="32"/>
      <c r="BF261" s="146"/>
      <c r="BG261" s="32"/>
      <c r="BH261" s="146"/>
      <c r="BI261" s="32"/>
      <c r="BJ261" s="146"/>
      <c r="BK261" s="32"/>
      <c r="BL261" s="146"/>
      <c r="BM261" s="32"/>
      <c r="BN261" s="146"/>
      <c r="BO261" s="32"/>
      <c r="BP261" s="146"/>
      <c r="BQ261" s="32"/>
      <c r="BR261" s="146"/>
      <c r="BS261" s="32"/>
      <c r="BT261" s="146">
        <v>366</v>
      </c>
      <c r="BU261" s="32">
        <v>166</v>
      </c>
      <c r="BV261" s="146">
        <v>385</v>
      </c>
      <c r="BW261" s="32">
        <v>147</v>
      </c>
    </row>
    <row r="262" spans="1:75" ht="13" x14ac:dyDescent="0.25">
      <c r="A262" s="186">
        <v>4008</v>
      </c>
      <c r="B262" s="187" t="s">
        <v>284</v>
      </c>
      <c r="C262" s="46">
        <v>1088</v>
      </c>
      <c r="D262" s="142">
        <v>864</v>
      </c>
      <c r="E262" s="145">
        <f t="shared" si="3"/>
        <v>0.79411764705882348</v>
      </c>
      <c r="F262" s="146">
        <v>440</v>
      </c>
      <c r="G262" s="32">
        <v>394</v>
      </c>
      <c r="H262" s="146"/>
      <c r="I262" s="32"/>
      <c r="J262" s="146"/>
      <c r="K262" s="32"/>
      <c r="L262" s="146"/>
      <c r="M262" s="32"/>
      <c r="N262" s="146"/>
      <c r="O262" s="32"/>
      <c r="P262" s="146"/>
      <c r="Q262" s="32"/>
      <c r="R262" s="146"/>
      <c r="S262" s="32"/>
      <c r="T262" s="146"/>
      <c r="U262" s="32"/>
      <c r="V262" s="146"/>
      <c r="W262" s="32"/>
      <c r="X262" s="146"/>
      <c r="Y262" s="32"/>
      <c r="Z262" s="146"/>
      <c r="AA262" s="32"/>
      <c r="AB262" s="146"/>
      <c r="AC262" s="32"/>
      <c r="AD262" s="146"/>
      <c r="AE262" s="32"/>
      <c r="AF262" s="146"/>
      <c r="AG262" s="32"/>
      <c r="AH262" s="146"/>
      <c r="AI262" s="32"/>
      <c r="AJ262" s="146"/>
      <c r="AK262" s="32"/>
      <c r="AL262" s="146"/>
      <c r="AM262" s="32"/>
      <c r="AN262" s="146"/>
      <c r="AO262" s="32"/>
      <c r="AP262" s="146"/>
      <c r="AQ262" s="32"/>
      <c r="AR262" s="146"/>
      <c r="AS262" s="32"/>
      <c r="AT262" s="146"/>
      <c r="AU262" s="32"/>
      <c r="AV262" s="146"/>
      <c r="AW262" s="32"/>
      <c r="AX262" s="146"/>
      <c r="AY262" s="32"/>
      <c r="AZ262" s="146"/>
      <c r="BA262" s="32"/>
      <c r="BB262" s="146"/>
      <c r="BC262" s="32"/>
      <c r="BD262" s="146"/>
      <c r="BE262" s="32"/>
      <c r="BF262" s="146"/>
      <c r="BG262" s="32"/>
      <c r="BH262" s="146"/>
      <c r="BI262" s="32"/>
      <c r="BJ262" s="146"/>
      <c r="BK262" s="32"/>
      <c r="BL262" s="146"/>
      <c r="BM262" s="32"/>
      <c r="BN262" s="146"/>
      <c r="BO262" s="32"/>
      <c r="BP262" s="146"/>
      <c r="BQ262" s="32"/>
      <c r="BR262" s="146"/>
      <c r="BS262" s="32"/>
      <c r="BT262" s="146">
        <v>563</v>
      </c>
      <c r="BU262" s="32">
        <v>258</v>
      </c>
      <c r="BV262" s="146">
        <v>592</v>
      </c>
      <c r="BW262" s="32">
        <v>237</v>
      </c>
    </row>
    <row r="263" spans="1:75" ht="13" x14ac:dyDescent="0.25">
      <c r="A263" s="186">
        <v>4009</v>
      </c>
      <c r="B263" s="187" t="s">
        <v>285</v>
      </c>
      <c r="C263" s="46">
        <v>1120</v>
      </c>
      <c r="D263" s="142">
        <v>898</v>
      </c>
      <c r="E263" s="145">
        <f t="shared" si="3"/>
        <v>0.80178571428571432</v>
      </c>
      <c r="F263" s="146">
        <v>471</v>
      </c>
      <c r="G263" s="32">
        <v>384</v>
      </c>
      <c r="H263" s="146"/>
      <c r="I263" s="32"/>
      <c r="J263" s="146"/>
      <c r="K263" s="32"/>
      <c r="L263" s="146"/>
      <c r="M263" s="32"/>
      <c r="N263" s="146"/>
      <c r="O263" s="32"/>
      <c r="P263" s="146"/>
      <c r="Q263" s="32"/>
      <c r="R263" s="146"/>
      <c r="S263" s="32"/>
      <c r="T263" s="146"/>
      <c r="U263" s="32"/>
      <c r="V263" s="146"/>
      <c r="W263" s="32"/>
      <c r="X263" s="146"/>
      <c r="Y263" s="32"/>
      <c r="Z263" s="146"/>
      <c r="AA263" s="32"/>
      <c r="AB263" s="146"/>
      <c r="AC263" s="32"/>
      <c r="AD263" s="146"/>
      <c r="AE263" s="32"/>
      <c r="AF263" s="146"/>
      <c r="AG263" s="32"/>
      <c r="AH263" s="146"/>
      <c r="AI263" s="32"/>
      <c r="AJ263" s="146"/>
      <c r="AK263" s="32"/>
      <c r="AL263" s="146"/>
      <c r="AM263" s="32"/>
      <c r="AN263" s="146"/>
      <c r="AO263" s="32"/>
      <c r="AP263" s="146"/>
      <c r="AQ263" s="32"/>
      <c r="AR263" s="146"/>
      <c r="AS263" s="32"/>
      <c r="AT263" s="146"/>
      <c r="AU263" s="32"/>
      <c r="AV263" s="146"/>
      <c r="AW263" s="32"/>
      <c r="AX263" s="146"/>
      <c r="AY263" s="32"/>
      <c r="AZ263" s="146"/>
      <c r="BA263" s="32"/>
      <c r="BB263" s="146"/>
      <c r="BC263" s="32"/>
      <c r="BD263" s="146"/>
      <c r="BE263" s="32"/>
      <c r="BF263" s="146"/>
      <c r="BG263" s="32"/>
      <c r="BH263" s="146"/>
      <c r="BI263" s="32"/>
      <c r="BJ263" s="146"/>
      <c r="BK263" s="32"/>
      <c r="BL263" s="146"/>
      <c r="BM263" s="32"/>
      <c r="BN263" s="146"/>
      <c r="BO263" s="32"/>
      <c r="BP263" s="146"/>
      <c r="BQ263" s="32"/>
      <c r="BR263" s="146"/>
      <c r="BS263" s="32"/>
      <c r="BT263" s="146">
        <v>602</v>
      </c>
      <c r="BU263" s="32">
        <v>244</v>
      </c>
      <c r="BV263" s="146">
        <v>614</v>
      </c>
      <c r="BW263" s="32">
        <v>235</v>
      </c>
    </row>
    <row r="264" spans="1:75" ht="13" x14ac:dyDescent="0.25">
      <c r="A264" s="186">
        <v>4111</v>
      </c>
      <c r="B264" s="187" t="s">
        <v>286</v>
      </c>
      <c r="C264" s="46">
        <v>1406</v>
      </c>
      <c r="D264" s="142">
        <v>845</v>
      </c>
      <c r="E264" s="145">
        <f t="shared" si="3"/>
        <v>0.60099573257467998</v>
      </c>
      <c r="F264" s="146">
        <v>513</v>
      </c>
      <c r="G264" s="32">
        <v>271</v>
      </c>
      <c r="H264" s="146"/>
      <c r="I264" s="32"/>
      <c r="J264" s="146"/>
      <c r="K264" s="32"/>
      <c r="L264" s="146"/>
      <c r="M264" s="32"/>
      <c r="N264" s="146"/>
      <c r="O264" s="32"/>
      <c r="P264" s="146"/>
      <c r="Q264" s="32"/>
      <c r="R264" s="146"/>
      <c r="S264" s="32"/>
      <c r="T264" s="146"/>
      <c r="U264" s="32"/>
      <c r="V264" s="146"/>
      <c r="W264" s="32"/>
      <c r="X264" s="146"/>
      <c r="Y264" s="32"/>
      <c r="Z264" s="146"/>
      <c r="AA264" s="32"/>
      <c r="AB264" s="146"/>
      <c r="AC264" s="32"/>
      <c r="AD264" s="146"/>
      <c r="AE264" s="32"/>
      <c r="AF264" s="146"/>
      <c r="AG264" s="32"/>
      <c r="AH264" s="146"/>
      <c r="AI264" s="32"/>
      <c r="AJ264" s="146"/>
      <c r="AK264" s="32"/>
      <c r="AL264" s="146"/>
      <c r="AM264" s="32"/>
      <c r="AN264" s="146"/>
      <c r="AO264" s="32"/>
      <c r="AP264" s="146"/>
      <c r="AQ264" s="32"/>
      <c r="AR264" s="146"/>
      <c r="AS264" s="32"/>
      <c r="AT264" s="146"/>
      <c r="AU264" s="32"/>
      <c r="AV264" s="146"/>
      <c r="AW264" s="32"/>
      <c r="AX264" s="146"/>
      <c r="AY264" s="32"/>
      <c r="AZ264" s="146"/>
      <c r="BA264" s="32"/>
      <c r="BB264" s="146"/>
      <c r="BC264" s="32"/>
      <c r="BD264" s="146"/>
      <c r="BE264" s="32"/>
      <c r="BF264" s="146"/>
      <c r="BG264" s="32"/>
      <c r="BH264" s="146"/>
      <c r="BI264" s="32"/>
      <c r="BJ264" s="146">
        <v>385</v>
      </c>
      <c r="BK264" s="32">
        <v>405</v>
      </c>
      <c r="BL264" s="146"/>
      <c r="BM264" s="32"/>
      <c r="BN264" s="146"/>
      <c r="BO264" s="32"/>
      <c r="BP264" s="146"/>
      <c r="BQ264" s="32"/>
      <c r="BR264" s="146"/>
      <c r="BS264" s="32"/>
      <c r="BT264" s="146">
        <v>519</v>
      </c>
      <c r="BU264" s="32">
        <v>274</v>
      </c>
      <c r="BV264" s="146">
        <v>537</v>
      </c>
      <c r="BW264" s="32">
        <v>256</v>
      </c>
    </row>
    <row r="265" spans="1:75" ht="13" x14ac:dyDescent="0.25">
      <c r="A265" s="186">
        <v>4121</v>
      </c>
      <c r="B265" s="187" t="s">
        <v>287</v>
      </c>
      <c r="C265" s="46">
        <v>1045</v>
      </c>
      <c r="D265" s="142">
        <v>703</v>
      </c>
      <c r="E265" s="145">
        <f t="shared" si="3"/>
        <v>0.67272727272727273</v>
      </c>
      <c r="F265" s="146">
        <v>366</v>
      </c>
      <c r="G265" s="32">
        <v>301</v>
      </c>
      <c r="H265" s="146"/>
      <c r="I265" s="32"/>
      <c r="J265" s="146"/>
      <c r="K265" s="32"/>
      <c r="L265" s="146"/>
      <c r="M265" s="32"/>
      <c r="N265" s="146"/>
      <c r="O265" s="32"/>
      <c r="P265" s="146"/>
      <c r="Q265" s="32"/>
      <c r="R265" s="146"/>
      <c r="S265" s="32"/>
      <c r="T265" s="146"/>
      <c r="U265" s="32"/>
      <c r="V265" s="146"/>
      <c r="W265" s="32"/>
      <c r="X265" s="146"/>
      <c r="Y265" s="32"/>
      <c r="Z265" s="146"/>
      <c r="AA265" s="32"/>
      <c r="AB265" s="146"/>
      <c r="AC265" s="32"/>
      <c r="AD265" s="146"/>
      <c r="AE265" s="32"/>
      <c r="AF265" s="146"/>
      <c r="AG265" s="32"/>
      <c r="AH265" s="146"/>
      <c r="AI265" s="32"/>
      <c r="AJ265" s="146"/>
      <c r="AK265" s="32"/>
      <c r="AL265" s="146"/>
      <c r="AM265" s="32"/>
      <c r="AN265" s="146"/>
      <c r="AO265" s="32"/>
      <c r="AP265" s="146"/>
      <c r="AQ265" s="32"/>
      <c r="AR265" s="146"/>
      <c r="AS265" s="32"/>
      <c r="AT265" s="146"/>
      <c r="AU265" s="32"/>
      <c r="AV265" s="146"/>
      <c r="AW265" s="32"/>
      <c r="AX265" s="146"/>
      <c r="AY265" s="32"/>
      <c r="AZ265" s="146"/>
      <c r="BA265" s="32"/>
      <c r="BB265" s="146"/>
      <c r="BC265" s="32"/>
      <c r="BD265" s="146"/>
      <c r="BE265" s="32"/>
      <c r="BF265" s="146"/>
      <c r="BG265" s="32"/>
      <c r="BH265" s="146"/>
      <c r="BI265" s="32"/>
      <c r="BJ265" s="146">
        <v>276</v>
      </c>
      <c r="BK265" s="32">
        <v>384</v>
      </c>
      <c r="BL265" s="146"/>
      <c r="BM265" s="32"/>
      <c r="BN265" s="146"/>
      <c r="BO265" s="32"/>
      <c r="BP265" s="146"/>
      <c r="BQ265" s="32"/>
      <c r="BR265" s="146"/>
      <c r="BS265" s="32"/>
      <c r="BT265" s="146">
        <v>381</v>
      </c>
      <c r="BU265" s="32">
        <v>282</v>
      </c>
      <c r="BV265" s="146">
        <v>403</v>
      </c>
      <c r="BW265" s="32">
        <v>261</v>
      </c>
    </row>
    <row r="266" spans="1:75" ht="13" x14ac:dyDescent="0.25">
      <c r="A266" s="186">
        <v>4131</v>
      </c>
      <c r="B266" s="187" t="s">
        <v>288</v>
      </c>
      <c r="C266" s="46">
        <v>1055</v>
      </c>
      <c r="D266" s="142">
        <v>666</v>
      </c>
      <c r="E266" s="145">
        <f t="shared" si="3"/>
        <v>0.63127962085308054</v>
      </c>
      <c r="F266" s="146">
        <v>399</v>
      </c>
      <c r="G266" s="32">
        <v>231</v>
      </c>
      <c r="H266" s="146"/>
      <c r="I266" s="32"/>
      <c r="J266" s="146"/>
      <c r="K266" s="32"/>
      <c r="L266" s="146"/>
      <c r="M266" s="32"/>
      <c r="N266" s="146"/>
      <c r="O266" s="32"/>
      <c r="P266" s="146"/>
      <c r="Q266" s="32"/>
      <c r="R266" s="146"/>
      <c r="S266" s="32"/>
      <c r="T266" s="146"/>
      <c r="U266" s="32"/>
      <c r="V266" s="146"/>
      <c r="W266" s="32"/>
      <c r="X266" s="146"/>
      <c r="Y266" s="32"/>
      <c r="Z266" s="146"/>
      <c r="AA266" s="32"/>
      <c r="AB266" s="146"/>
      <c r="AC266" s="32"/>
      <c r="AD266" s="146"/>
      <c r="AE266" s="32"/>
      <c r="AF266" s="146"/>
      <c r="AG266" s="32"/>
      <c r="AH266" s="146"/>
      <c r="AI266" s="32"/>
      <c r="AJ266" s="146"/>
      <c r="AK266" s="32"/>
      <c r="AL266" s="146"/>
      <c r="AM266" s="32"/>
      <c r="AN266" s="146"/>
      <c r="AO266" s="32"/>
      <c r="AP266" s="146"/>
      <c r="AQ266" s="32"/>
      <c r="AR266" s="146"/>
      <c r="AS266" s="32"/>
      <c r="AT266" s="146"/>
      <c r="AU266" s="32"/>
      <c r="AV266" s="146"/>
      <c r="AW266" s="32"/>
      <c r="AX266" s="146"/>
      <c r="AY266" s="32"/>
      <c r="AZ266" s="146"/>
      <c r="BA266" s="32"/>
      <c r="BB266" s="146"/>
      <c r="BC266" s="32"/>
      <c r="BD266" s="146"/>
      <c r="BE266" s="32"/>
      <c r="BF266" s="146"/>
      <c r="BG266" s="32"/>
      <c r="BH266" s="146"/>
      <c r="BI266" s="32"/>
      <c r="BJ266" s="146">
        <v>295</v>
      </c>
      <c r="BK266" s="32">
        <v>337</v>
      </c>
      <c r="BL266" s="146"/>
      <c r="BM266" s="32"/>
      <c r="BN266" s="146"/>
      <c r="BO266" s="32"/>
      <c r="BP266" s="146"/>
      <c r="BQ266" s="32"/>
      <c r="BR266" s="146"/>
      <c r="BS266" s="32"/>
      <c r="BT266" s="146">
        <v>420</v>
      </c>
      <c r="BU266" s="32">
        <v>214</v>
      </c>
      <c r="BV266" s="146">
        <v>422</v>
      </c>
      <c r="BW266" s="32">
        <v>207</v>
      </c>
    </row>
    <row r="267" spans="1:75" ht="13" x14ac:dyDescent="0.25">
      <c r="A267" s="186">
        <v>4141</v>
      </c>
      <c r="B267" s="187" t="s">
        <v>289</v>
      </c>
      <c r="C267" s="46">
        <v>921</v>
      </c>
      <c r="D267" s="142">
        <v>603</v>
      </c>
      <c r="E267" s="145">
        <f t="shared" si="3"/>
        <v>0.65472312703583058</v>
      </c>
      <c r="F267" s="146">
        <v>344</v>
      </c>
      <c r="G267" s="32">
        <v>231</v>
      </c>
      <c r="H267" s="146"/>
      <c r="I267" s="32"/>
      <c r="J267" s="146"/>
      <c r="K267" s="32"/>
      <c r="L267" s="146"/>
      <c r="M267" s="32"/>
      <c r="N267" s="146"/>
      <c r="O267" s="32"/>
      <c r="P267" s="146"/>
      <c r="Q267" s="32"/>
      <c r="R267" s="146"/>
      <c r="S267" s="32"/>
      <c r="T267" s="146"/>
      <c r="U267" s="32"/>
      <c r="V267" s="146"/>
      <c r="W267" s="32"/>
      <c r="X267" s="146"/>
      <c r="Y267" s="32"/>
      <c r="Z267" s="146"/>
      <c r="AA267" s="32"/>
      <c r="AB267" s="146"/>
      <c r="AC267" s="32"/>
      <c r="AD267" s="146"/>
      <c r="AE267" s="32"/>
      <c r="AF267" s="146"/>
      <c r="AG267" s="32"/>
      <c r="AH267" s="146"/>
      <c r="AI267" s="32"/>
      <c r="AJ267" s="146"/>
      <c r="AK267" s="32"/>
      <c r="AL267" s="146"/>
      <c r="AM267" s="32"/>
      <c r="AN267" s="146"/>
      <c r="AO267" s="32"/>
      <c r="AP267" s="146"/>
      <c r="AQ267" s="32"/>
      <c r="AR267" s="146"/>
      <c r="AS267" s="32"/>
      <c r="AT267" s="146"/>
      <c r="AU267" s="32"/>
      <c r="AV267" s="146"/>
      <c r="AW267" s="32"/>
      <c r="AX267" s="146"/>
      <c r="AY267" s="32"/>
      <c r="AZ267" s="146"/>
      <c r="BA267" s="32"/>
      <c r="BB267" s="146"/>
      <c r="BC267" s="32"/>
      <c r="BD267" s="146"/>
      <c r="BE267" s="32"/>
      <c r="BF267" s="146"/>
      <c r="BG267" s="32"/>
      <c r="BH267" s="146"/>
      <c r="BI267" s="32"/>
      <c r="BJ267" s="146">
        <v>247</v>
      </c>
      <c r="BK267" s="32">
        <v>325</v>
      </c>
      <c r="BL267" s="146"/>
      <c r="BM267" s="32"/>
      <c r="BN267" s="146"/>
      <c r="BO267" s="32"/>
      <c r="BP267" s="146"/>
      <c r="BQ267" s="32"/>
      <c r="BR267" s="146"/>
      <c r="BS267" s="32"/>
      <c r="BT267" s="146">
        <v>338</v>
      </c>
      <c r="BU267" s="32">
        <v>229</v>
      </c>
      <c r="BV267" s="146">
        <v>365</v>
      </c>
      <c r="BW267" s="32">
        <v>200</v>
      </c>
    </row>
    <row r="268" spans="1:75" ht="13" x14ac:dyDescent="0.25">
      <c r="A268" s="186">
        <v>4311</v>
      </c>
      <c r="B268" s="187" t="s">
        <v>290</v>
      </c>
      <c r="C268" s="46">
        <v>590</v>
      </c>
      <c r="D268" s="142">
        <v>380</v>
      </c>
      <c r="E268" s="145">
        <f t="shared" si="3"/>
        <v>0.64406779661016944</v>
      </c>
      <c r="F268" s="146">
        <v>241</v>
      </c>
      <c r="G268" s="32">
        <v>119</v>
      </c>
      <c r="H268" s="146"/>
      <c r="I268" s="32"/>
      <c r="J268" s="146"/>
      <c r="K268" s="32"/>
      <c r="L268" s="146"/>
      <c r="M268" s="32"/>
      <c r="N268" s="146"/>
      <c r="O268" s="32"/>
      <c r="P268" s="146"/>
      <c r="Q268" s="32"/>
      <c r="R268" s="146"/>
      <c r="S268" s="32"/>
      <c r="T268" s="146"/>
      <c r="U268" s="32"/>
      <c r="V268" s="146"/>
      <c r="W268" s="32"/>
      <c r="X268" s="146"/>
      <c r="Y268" s="32"/>
      <c r="Z268" s="146"/>
      <c r="AA268" s="32"/>
      <c r="AB268" s="146"/>
      <c r="AC268" s="32"/>
      <c r="AD268" s="146"/>
      <c r="AE268" s="32"/>
      <c r="AF268" s="146"/>
      <c r="AG268" s="32"/>
      <c r="AH268" s="146"/>
      <c r="AI268" s="32"/>
      <c r="AJ268" s="146"/>
      <c r="AK268" s="32"/>
      <c r="AL268" s="146"/>
      <c r="AM268" s="32"/>
      <c r="AN268" s="146"/>
      <c r="AO268" s="32"/>
      <c r="AP268" s="146"/>
      <c r="AQ268" s="32"/>
      <c r="AR268" s="146"/>
      <c r="AS268" s="32"/>
      <c r="AT268" s="146"/>
      <c r="AU268" s="32"/>
      <c r="AV268" s="146"/>
      <c r="AW268" s="32"/>
      <c r="AX268" s="146"/>
      <c r="AY268" s="32"/>
      <c r="AZ268" s="146"/>
      <c r="BA268" s="32"/>
      <c r="BB268" s="146"/>
      <c r="BC268" s="32"/>
      <c r="BD268" s="146"/>
      <c r="BE268" s="32"/>
      <c r="BF268" s="146"/>
      <c r="BG268" s="32"/>
      <c r="BH268" s="146"/>
      <c r="BI268" s="32"/>
      <c r="BJ268" s="146"/>
      <c r="BK268" s="32"/>
      <c r="BL268" s="146"/>
      <c r="BM268" s="32"/>
      <c r="BN268" s="146"/>
      <c r="BO268" s="32"/>
      <c r="BP268" s="146"/>
      <c r="BQ268" s="32"/>
      <c r="BR268" s="146"/>
      <c r="BS268" s="32"/>
      <c r="BT268" s="146">
        <v>252</v>
      </c>
      <c r="BU268" s="32">
        <v>101</v>
      </c>
      <c r="BV268" s="146">
        <v>269</v>
      </c>
      <c r="BW268" s="32">
        <v>83</v>
      </c>
    </row>
    <row r="269" spans="1:75" ht="13" x14ac:dyDescent="0.25">
      <c r="A269" s="186">
        <v>4312</v>
      </c>
      <c r="B269" s="187" t="s">
        <v>291</v>
      </c>
      <c r="C269" s="46">
        <v>1208</v>
      </c>
      <c r="D269" s="142">
        <v>710</v>
      </c>
      <c r="E269" s="145">
        <f t="shared" si="3"/>
        <v>0.58774834437086088</v>
      </c>
      <c r="F269" s="146">
        <v>428</v>
      </c>
      <c r="G269" s="32">
        <v>247</v>
      </c>
      <c r="H269" s="146"/>
      <c r="I269" s="32"/>
      <c r="J269" s="146"/>
      <c r="K269" s="32"/>
      <c r="L269" s="146"/>
      <c r="M269" s="32"/>
      <c r="N269" s="146"/>
      <c r="O269" s="32"/>
      <c r="P269" s="146"/>
      <c r="Q269" s="32"/>
      <c r="R269" s="146"/>
      <c r="S269" s="32"/>
      <c r="T269" s="146"/>
      <c r="U269" s="32"/>
      <c r="V269" s="146"/>
      <c r="W269" s="32"/>
      <c r="X269" s="146"/>
      <c r="Y269" s="32"/>
      <c r="Z269" s="146"/>
      <c r="AA269" s="32"/>
      <c r="AB269" s="146"/>
      <c r="AC269" s="32"/>
      <c r="AD269" s="146"/>
      <c r="AE269" s="32"/>
      <c r="AF269" s="146"/>
      <c r="AG269" s="32"/>
      <c r="AH269" s="146"/>
      <c r="AI269" s="32"/>
      <c r="AJ269" s="146"/>
      <c r="AK269" s="32"/>
      <c r="AL269" s="146"/>
      <c r="AM269" s="32"/>
      <c r="AN269" s="146"/>
      <c r="AO269" s="32"/>
      <c r="AP269" s="146"/>
      <c r="AQ269" s="32"/>
      <c r="AR269" s="146"/>
      <c r="AS269" s="32"/>
      <c r="AT269" s="146"/>
      <c r="AU269" s="32"/>
      <c r="AV269" s="146"/>
      <c r="AW269" s="32"/>
      <c r="AX269" s="146"/>
      <c r="AY269" s="32"/>
      <c r="AZ269" s="146"/>
      <c r="BA269" s="32"/>
      <c r="BB269" s="146"/>
      <c r="BC269" s="32"/>
      <c r="BD269" s="146"/>
      <c r="BE269" s="32"/>
      <c r="BF269" s="146"/>
      <c r="BG269" s="32"/>
      <c r="BH269" s="146"/>
      <c r="BI269" s="32"/>
      <c r="BJ269" s="146"/>
      <c r="BK269" s="32"/>
      <c r="BL269" s="146"/>
      <c r="BM269" s="32"/>
      <c r="BN269" s="146"/>
      <c r="BO269" s="32"/>
      <c r="BP269" s="146"/>
      <c r="BQ269" s="32"/>
      <c r="BR269" s="146"/>
      <c r="BS269" s="32"/>
      <c r="BT269" s="146">
        <v>455</v>
      </c>
      <c r="BU269" s="32">
        <v>215</v>
      </c>
      <c r="BV269" s="146">
        <v>479</v>
      </c>
      <c r="BW269" s="32">
        <v>191</v>
      </c>
    </row>
    <row r="270" spans="1:75" ht="13" x14ac:dyDescent="0.25">
      <c r="A270" s="186">
        <v>4321</v>
      </c>
      <c r="B270" s="187" t="s">
        <v>292</v>
      </c>
      <c r="C270" s="46">
        <v>1063</v>
      </c>
      <c r="D270" s="142">
        <v>555</v>
      </c>
      <c r="E270" s="145">
        <f t="shared" si="3"/>
        <v>0.52210724365004701</v>
      </c>
      <c r="F270" s="146">
        <v>384</v>
      </c>
      <c r="G270" s="32">
        <v>149</v>
      </c>
      <c r="H270" s="146"/>
      <c r="I270" s="32"/>
      <c r="J270" s="146"/>
      <c r="K270" s="32"/>
      <c r="L270" s="146"/>
      <c r="M270" s="32"/>
      <c r="N270" s="146"/>
      <c r="O270" s="32"/>
      <c r="P270" s="146"/>
      <c r="Q270" s="32"/>
      <c r="R270" s="146"/>
      <c r="S270" s="32"/>
      <c r="T270" s="146"/>
      <c r="U270" s="32"/>
      <c r="V270" s="146"/>
      <c r="W270" s="32"/>
      <c r="X270" s="146"/>
      <c r="Y270" s="32"/>
      <c r="Z270" s="146"/>
      <c r="AA270" s="32"/>
      <c r="AB270" s="146"/>
      <c r="AC270" s="32"/>
      <c r="AD270" s="146"/>
      <c r="AE270" s="32"/>
      <c r="AF270" s="146"/>
      <c r="AG270" s="32"/>
      <c r="AH270" s="146"/>
      <c r="AI270" s="32"/>
      <c r="AJ270" s="146"/>
      <c r="AK270" s="32"/>
      <c r="AL270" s="146"/>
      <c r="AM270" s="32"/>
      <c r="AN270" s="146"/>
      <c r="AO270" s="32"/>
      <c r="AP270" s="146"/>
      <c r="AQ270" s="32"/>
      <c r="AR270" s="146"/>
      <c r="AS270" s="32"/>
      <c r="AT270" s="146"/>
      <c r="AU270" s="32"/>
      <c r="AV270" s="146"/>
      <c r="AW270" s="32"/>
      <c r="AX270" s="146"/>
      <c r="AY270" s="32"/>
      <c r="AZ270" s="146"/>
      <c r="BA270" s="32"/>
      <c r="BB270" s="146"/>
      <c r="BC270" s="32"/>
      <c r="BD270" s="146"/>
      <c r="BE270" s="32"/>
      <c r="BF270" s="146"/>
      <c r="BG270" s="32"/>
      <c r="BH270" s="146"/>
      <c r="BI270" s="32"/>
      <c r="BJ270" s="146"/>
      <c r="BK270" s="32"/>
      <c r="BL270" s="146"/>
      <c r="BM270" s="32"/>
      <c r="BN270" s="146"/>
      <c r="BO270" s="32"/>
      <c r="BP270" s="146"/>
      <c r="BQ270" s="32"/>
      <c r="BR270" s="146"/>
      <c r="BS270" s="32"/>
      <c r="BT270" s="146">
        <v>397</v>
      </c>
      <c r="BU270" s="32">
        <v>134</v>
      </c>
      <c r="BV270" s="146">
        <v>414</v>
      </c>
      <c r="BW270" s="32">
        <v>120</v>
      </c>
    </row>
    <row r="271" spans="1:75" ht="13" x14ac:dyDescent="0.25">
      <c r="A271" s="186">
        <v>4331</v>
      </c>
      <c r="B271" s="187" t="s">
        <v>293</v>
      </c>
      <c r="C271" s="46">
        <v>1219</v>
      </c>
      <c r="D271" s="142">
        <v>702</v>
      </c>
      <c r="E271" s="145">
        <f t="shared" si="3"/>
        <v>0.57588187038556193</v>
      </c>
      <c r="F271" s="146">
        <v>470</v>
      </c>
      <c r="G271" s="32">
        <v>205</v>
      </c>
      <c r="H271" s="146"/>
      <c r="I271" s="32"/>
      <c r="J271" s="146"/>
      <c r="K271" s="32"/>
      <c r="L271" s="146"/>
      <c r="M271" s="32"/>
      <c r="N271" s="146"/>
      <c r="O271" s="32"/>
      <c r="P271" s="146"/>
      <c r="Q271" s="32"/>
      <c r="R271" s="146"/>
      <c r="S271" s="32"/>
      <c r="T271" s="146"/>
      <c r="U271" s="32"/>
      <c r="V271" s="146"/>
      <c r="W271" s="32"/>
      <c r="X271" s="146"/>
      <c r="Y271" s="32"/>
      <c r="Z271" s="146"/>
      <c r="AA271" s="32"/>
      <c r="AB271" s="146"/>
      <c r="AC271" s="32"/>
      <c r="AD271" s="146"/>
      <c r="AE271" s="32"/>
      <c r="AF271" s="146"/>
      <c r="AG271" s="32"/>
      <c r="AH271" s="146"/>
      <c r="AI271" s="32"/>
      <c r="AJ271" s="146"/>
      <c r="AK271" s="32"/>
      <c r="AL271" s="146"/>
      <c r="AM271" s="32"/>
      <c r="AN271" s="146"/>
      <c r="AO271" s="32"/>
      <c r="AP271" s="146"/>
      <c r="AQ271" s="32"/>
      <c r="AR271" s="146"/>
      <c r="AS271" s="32"/>
      <c r="AT271" s="146"/>
      <c r="AU271" s="32"/>
      <c r="AV271" s="146"/>
      <c r="AW271" s="32"/>
      <c r="AX271" s="146"/>
      <c r="AY271" s="32"/>
      <c r="AZ271" s="146"/>
      <c r="BA271" s="32"/>
      <c r="BB271" s="146"/>
      <c r="BC271" s="32"/>
      <c r="BD271" s="146"/>
      <c r="BE271" s="32"/>
      <c r="BF271" s="146"/>
      <c r="BG271" s="32"/>
      <c r="BH271" s="146"/>
      <c r="BI271" s="32"/>
      <c r="BJ271" s="146"/>
      <c r="BK271" s="32"/>
      <c r="BL271" s="146"/>
      <c r="BM271" s="32"/>
      <c r="BN271" s="146"/>
      <c r="BO271" s="32"/>
      <c r="BP271" s="146"/>
      <c r="BQ271" s="32"/>
      <c r="BR271" s="146"/>
      <c r="BS271" s="32"/>
      <c r="BT271" s="146">
        <v>451</v>
      </c>
      <c r="BU271" s="32">
        <v>210</v>
      </c>
      <c r="BV271" s="146">
        <v>489</v>
      </c>
      <c r="BW271" s="32">
        <v>170</v>
      </c>
    </row>
    <row r="272" spans="1:75" ht="13" x14ac:dyDescent="0.25">
      <c r="A272" s="186">
        <v>4341</v>
      </c>
      <c r="B272" s="187" t="s">
        <v>294</v>
      </c>
      <c r="C272" s="46">
        <v>1130</v>
      </c>
      <c r="D272" s="142">
        <v>746</v>
      </c>
      <c r="E272" s="145">
        <f t="shared" si="3"/>
        <v>0.66017699115044248</v>
      </c>
      <c r="F272" s="146">
        <v>471</v>
      </c>
      <c r="G272" s="32">
        <v>245</v>
      </c>
      <c r="H272" s="146"/>
      <c r="I272" s="32"/>
      <c r="J272" s="146"/>
      <c r="K272" s="32"/>
      <c r="L272" s="146"/>
      <c r="M272" s="32"/>
      <c r="N272" s="146"/>
      <c r="O272" s="32"/>
      <c r="P272" s="146"/>
      <c r="Q272" s="32"/>
      <c r="R272" s="146"/>
      <c r="S272" s="32"/>
      <c r="T272" s="146"/>
      <c r="U272" s="32"/>
      <c r="V272" s="146"/>
      <c r="W272" s="32"/>
      <c r="X272" s="146"/>
      <c r="Y272" s="32"/>
      <c r="Z272" s="146"/>
      <c r="AA272" s="32"/>
      <c r="AB272" s="146"/>
      <c r="AC272" s="32"/>
      <c r="AD272" s="146"/>
      <c r="AE272" s="32"/>
      <c r="AF272" s="146"/>
      <c r="AG272" s="32"/>
      <c r="AH272" s="146"/>
      <c r="AI272" s="32"/>
      <c r="AJ272" s="146"/>
      <c r="AK272" s="32"/>
      <c r="AL272" s="146"/>
      <c r="AM272" s="32"/>
      <c r="AN272" s="146"/>
      <c r="AO272" s="32"/>
      <c r="AP272" s="146"/>
      <c r="AQ272" s="32"/>
      <c r="AR272" s="146"/>
      <c r="AS272" s="32"/>
      <c r="AT272" s="146"/>
      <c r="AU272" s="32"/>
      <c r="AV272" s="146"/>
      <c r="AW272" s="32"/>
      <c r="AX272" s="146"/>
      <c r="AY272" s="32"/>
      <c r="AZ272" s="146"/>
      <c r="BA272" s="32"/>
      <c r="BB272" s="146"/>
      <c r="BC272" s="32"/>
      <c r="BD272" s="146"/>
      <c r="BE272" s="32"/>
      <c r="BF272" s="146"/>
      <c r="BG272" s="32"/>
      <c r="BH272" s="146"/>
      <c r="BI272" s="32"/>
      <c r="BJ272" s="146"/>
      <c r="BK272" s="32"/>
      <c r="BL272" s="146"/>
      <c r="BM272" s="32"/>
      <c r="BN272" s="146"/>
      <c r="BO272" s="32"/>
      <c r="BP272" s="146"/>
      <c r="BQ272" s="32"/>
      <c r="BR272" s="146"/>
      <c r="BS272" s="32"/>
      <c r="BT272" s="146">
        <v>514</v>
      </c>
      <c r="BU272" s="32">
        <v>198</v>
      </c>
      <c r="BV272" s="146">
        <v>526</v>
      </c>
      <c r="BW272" s="32">
        <v>192</v>
      </c>
    </row>
    <row r="273" spans="1:75" ht="13" x14ac:dyDescent="0.25">
      <c r="A273" s="186">
        <v>4342</v>
      </c>
      <c r="B273" s="187" t="s">
        <v>295</v>
      </c>
      <c r="C273" s="46">
        <v>562</v>
      </c>
      <c r="D273" s="142">
        <v>389</v>
      </c>
      <c r="E273" s="145">
        <f t="shared" si="3"/>
        <v>0.69217081850533813</v>
      </c>
      <c r="F273" s="146">
        <v>248</v>
      </c>
      <c r="G273" s="32">
        <v>127</v>
      </c>
      <c r="H273" s="146"/>
      <c r="I273" s="32"/>
      <c r="J273" s="146"/>
      <c r="K273" s="32"/>
      <c r="L273" s="146"/>
      <c r="M273" s="32"/>
      <c r="N273" s="146"/>
      <c r="O273" s="32"/>
      <c r="P273" s="146"/>
      <c r="Q273" s="32"/>
      <c r="R273" s="146"/>
      <c r="S273" s="32"/>
      <c r="T273" s="146"/>
      <c r="U273" s="32"/>
      <c r="V273" s="146"/>
      <c r="W273" s="32"/>
      <c r="X273" s="146"/>
      <c r="Y273" s="32"/>
      <c r="Z273" s="146"/>
      <c r="AA273" s="32"/>
      <c r="AB273" s="146"/>
      <c r="AC273" s="32"/>
      <c r="AD273" s="146"/>
      <c r="AE273" s="32"/>
      <c r="AF273" s="146"/>
      <c r="AG273" s="32"/>
      <c r="AH273" s="146"/>
      <c r="AI273" s="32"/>
      <c r="AJ273" s="146"/>
      <c r="AK273" s="32"/>
      <c r="AL273" s="146"/>
      <c r="AM273" s="32"/>
      <c r="AN273" s="146"/>
      <c r="AO273" s="32"/>
      <c r="AP273" s="146"/>
      <c r="AQ273" s="32"/>
      <c r="AR273" s="146"/>
      <c r="AS273" s="32"/>
      <c r="AT273" s="146"/>
      <c r="AU273" s="32"/>
      <c r="AV273" s="146"/>
      <c r="AW273" s="32"/>
      <c r="AX273" s="146"/>
      <c r="AY273" s="32"/>
      <c r="AZ273" s="146"/>
      <c r="BA273" s="32"/>
      <c r="BB273" s="146"/>
      <c r="BC273" s="32"/>
      <c r="BD273" s="146"/>
      <c r="BE273" s="32"/>
      <c r="BF273" s="146"/>
      <c r="BG273" s="32"/>
      <c r="BH273" s="146"/>
      <c r="BI273" s="32"/>
      <c r="BJ273" s="146"/>
      <c r="BK273" s="32"/>
      <c r="BL273" s="146"/>
      <c r="BM273" s="32"/>
      <c r="BN273" s="146"/>
      <c r="BO273" s="32"/>
      <c r="BP273" s="146"/>
      <c r="BQ273" s="32"/>
      <c r="BR273" s="146"/>
      <c r="BS273" s="32"/>
      <c r="BT273" s="146">
        <v>261</v>
      </c>
      <c r="BU273" s="32">
        <v>108</v>
      </c>
      <c r="BV273" s="146">
        <v>280</v>
      </c>
      <c r="BW273" s="32">
        <v>90</v>
      </c>
    </row>
    <row r="274" spans="1:75" ht="13" x14ac:dyDescent="0.25">
      <c r="A274" s="186">
        <v>4343</v>
      </c>
      <c r="B274" s="187" t="s">
        <v>296</v>
      </c>
      <c r="C274" s="46">
        <v>795</v>
      </c>
      <c r="D274" s="142">
        <v>513</v>
      </c>
      <c r="E274" s="145">
        <f t="shared" si="3"/>
        <v>0.6452830188679245</v>
      </c>
      <c r="F274" s="146">
        <v>367</v>
      </c>
      <c r="G274" s="32">
        <v>116</v>
      </c>
      <c r="H274" s="146"/>
      <c r="I274" s="32"/>
      <c r="J274" s="146"/>
      <c r="K274" s="32"/>
      <c r="L274" s="146"/>
      <c r="M274" s="32"/>
      <c r="N274" s="146"/>
      <c r="O274" s="32"/>
      <c r="P274" s="146"/>
      <c r="Q274" s="32"/>
      <c r="R274" s="146"/>
      <c r="S274" s="32"/>
      <c r="T274" s="146"/>
      <c r="U274" s="32"/>
      <c r="V274" s="146"/>
      <c r="W274" s="32"/>
      <c r="X274" s="146"/>
      <c r="Y274" s="32"/>
      <c r="Z274" s="146"/>
      <c r="AA274" s="32"/>
      <c r="AB274" s="146"/>
      <c r="AC274" s="32"/>
      <c r="AD274" s="146"/>
      <c r="AE274" s="32"/>
      <c r="AF274" s="146"/>
      <c r="AG274" s="32"/>
      <c r="AH274" s="146"/>
      <c r="AI274" s="32"/>
      <c r="AJ274" s="146"/>
      <c r="AK274" s="32"/>
      <c r="AL274" s="146"/>
      <c r="AM274" s="32"/>
      <c r="AN274" s="146"/>
      <c r="AO274" s="32"/>
      <c r="AP274" s="146"/>
      <c r="AQ274" s="32"/>
      <c r="AR274" s="146"/>
      <c r="AS274" s="32"/>
      <c r="AT274" s="146"/>
      <c r="AU274" s="32"/>
      <c r="AV274" s="146"/>
      <c r="AW274" s="32"/>
      <c r="AX274" s="146"/>
      <c r="AY274" s="32"/>
      <c r="AZ274" s="146"/>
      <c r="BA274" s="32"/>
      <c r="BB274" s="146"/>
      <c r="BC274" s="32"/>
      <c r="BD274" s="146"/>
      <c r="BE274" s="32"/>
      <c r="BF274" s="146"/>
      <c r="BG274" s="32"/>
      <c r="BH274" s="146"/>
      <c r="BI274" s="32"/>
      <c r="BJ274" s="146"/>
      <c r="BK274" s="32"/>
      <c r="BL274" s="146"/>
      <c r="BM274" s="32"/>
      <c r="BN274" s="146"/>
      <c r="BO274" s="32"/>
      <c r="BP274" s="146"/>
      <c r="BQ274" s="32"/>
      <c r="BR274" s="146"/>
      <c r="BS274" s="32"/>
      <c r="BT274" s="146">
        <v>381</v>
      </c>
      <c r="BU274" s="32">
        <v>109</v>
      </c>
      <c r="BV274" s="146">
        <v>379</v>
      </c>
      <c r="BW274" s="32">
        <v>111</v>
      </c>
    </row>
    <row r="275" spans="1:75" ht="13" x14ac:dyDescent="0.25">
      <c r="A275" s="186">
        <v>4411</v>
      </c>
      <c r="B275" s="187" t="s">
        <v>297</v>
      </c>
      <c r="C275" s="46">
        <v>898</v>
      </c>
      <c r="D275" s="142">
        <v>482</v>
      </c>
      <c r="E275" s="145">
        <f t="shared" si="3"/>
        <v>0.53674832962138086</v>
      </c>
      <c r="F275" s="146">
        <v>292</v>
      </c>
      <c r="G275" s="32">
        <v>166</v>
      </c>
      <c r="H275" s="146"/>
      <c r="I275" s="32"/>
      <c r="J275" s="146"/>
      <c r="K275" s="32"/>
      <c r="L275" s="146"/>
      <c r="M275" s="32"/>
      <c r="N275" s="146"/>
      <c r="O275" s="32"/>
      <c r="P275" s="146"/>
      <c r="Q275" s="32"/>
      <c r="R275" s="146"/>
      <c r="S275" s="32"/>
      <c r="T275" s="146"/>
      <c r="U275" s="32"/>
      <c r="V275" s="146"/>
      <c r="W275" s="32"/>
      <c r="X275" s="146"/>
      <c r="Y275" s="32"/>
      <c r="Z275" s="146"/>
      <c r="AA275" s="32"/>
      <c r="AB275" s="146"/>
      <c r="AC275" s="32"/>
      <c r="AD275" s="146"/>
      <c r="AE275" s="32"/>
      <c r="AF275" s="146"/>
      <c r="AG275" s="32"/>
      <c r="AH275" s="146"/>
      <c r="AI275" s="32"/>
      <c r="AJ275" s="146"/>
      <c r="AK275" s="32"/>
      <c r="AL275" s="146"/>
      <c r="AM275" s="32"/>
      <c r="AN275" s="146"/>
      <c r="AO275" s="32"/>
      <c r="AP275" s="146"/>
      <c r="AQ275" s="32"/>
      <c r="AR275" s="146"/>
      <c r="AS275" s="32"/>
      <c r="AT275" s="146"/>
      <c r="AU275" s="32"/>
      <c r="AV275" s="146"/>
      <c r="AW275" s="32"/>
      <c r="AX275" s="146"/>
      <c r="AY275" s="32"/>
      <c r="AZ275" s="146"/>
      <c r="BA275" s="32"/>
      <c r="BB275" s="146"/>
      <c r="BC275" s="32"/>
      <c r="BD275" s="146"/>
      <c r="BE275" s="32"/>
      <c r="BF275" s="146"/>
      <c r="BG275" s="32"/>
      <c r="BH275" s="146"/>
      <c r="BI275" s="32"/>
      <c r="BJ275" s="146"/>
      <c r="BK275" s="32"/>
      <c r="BL275" s="146"/>
      <c r="BM275" s="32"/>
      <c r="BN275" s="146"/>
      <c r="BO275" s="32"/>
      <c r="BP275" s="146"/>
      <c r="BQ275" s="32"/>
      <c r="BR275" s="146"/>
      <c r="BS275" s="32"/>
      <c r="BT275" s="146">
        <v>320</v>
      </c>
      <c r="BU275" s="32">
        <v>135</v>
      </c>
      <c r="BV275" s="146">
        <v>341</v>
      </c>
      <c r="BW275" s="32">
        <v>114</v>
      </c>
    </row>
    <row r="276" spans="1:75" ht="13" x14ac:dyDescent="0.25">
      <c r="A276" s="186">
        <v>4412</v>
      </c>
      <c r="B276" s="187" t="s">
        <v>298</v>
      </c>
      <c r="C276" s="46">
        <v>1224</v>
      </c>
      <c r="D276" s="142">
        <v>650</v>
      </c>
      <c r="E276" s="145">
        <f t="shared" si="3"/>
        <v>0.53104575163398693</v>
      </c>
      <c r="F276" s="146">
        <v>334</v>
      </c>
      <c r="G276" s="32">
        <v>281</v>
      </c>
      <c r="H276" s="146"/>
      <c r="I276" s="32"/>
      <c r="J276" s="146"/>
      <c r="K276" s="32"/>
      <c r="L276" s="146"/>
      <c r="M276" s="32"/>
      <c r="N276" s="146"/>
      <c r="O276" s="32"/>
      <c r="P276" s="146"/>
      <c r="Q276" s="32"/>
      <c r="R276" s="146"/>
      <c r="S276" s="32"/>
      <c r="T276" s="146"/>
      <c r="U276" s="32"/>
      <c r="V276" s="146"/>
      <c r="W276" s="32"/>
      <c r="X276" s="146"/>
      <c r="Y276" s="32"/>
      <c r="Z276" s="146"/>
      <c r="AA276" s="32"/>
      <c r="AB276" s="146"/>
      <c r="AC276" s="32"/>
      <c r="AD276" s="146"/>
      <c r="AE276" s="32"/>
      <c r="AF276" s="146"/>
      <c r="AG276" s="32"/>
      <c r="AH276" s="146"/>
      <c r="AI276" s="32"/>
      <c r="AJ276" s="146"/>
      <c r="AK276" s="32"/>
      <c r="AL276" s="146"/>
      <c r="AM276" s="32"/>
      <c r="AN276" s="146"/>
      <c r="AO276" s="32"/>
      <c r="AP276" s="146"/>
      <c r="AQ276" s="32"/>
      <c r="AR276" s="146"/>
      <c r="AS276" s="32"/>
      <c r="AT276" s="146"/>
      <c r="AU276" s="32"/>
      <c r="AV276" s="146"/>
      <c r="AW276" s="32"/>
      <c r="AX276" s="146"/>
      <c r="AY276" s="32"/>
      <c r="AZ276" s="146"/>
      <c r="BA276" s="32"/>
      <c r="BB276" s="146"/>
      <c r="BC276" s="32"/>
      <c r="BD276" s="146"/>
      <c r="BE276" s="32"/>
      <c r="BF276" s="146"/>
      <c r="BG276" s="32"/>
      <c r="BH276" s="146"/>
      <c r="BI276" s="32"/>
      <c r="BJ276" s="146"/>
      <c r="BK276" s="32"/>
      <c r="BL276" s="146"/>
      <c r="BM276" s="32"/>
      <c r="BN276" s="146"/>
      <c r="BO276" s="32"/>
      <c r="BP276" s="146"/>
      <c r="BQ276" s="32"/>
      <c r="BR276" s="146"/>
      <c r="BS276" s="32"/>
      <c r="BT276" s="146">
        <v>372</v>
      </c>
      <c r="BU276" s="32">
        <v>240</v>
      </c>
      <c r="BV276" s="146">
        <v>392</v>
      </c>
      <c r="BW276" s="32">
        <v>216</v>
      </c>
    </row>
    <row r="277" spans="1:75" ht="13" x14ac:dyDescent="0.25">
      <c r="A277" s="186">
        <v>4413</v>
      </c>
      <c r="B277" s="187" t="s">
        <v>299</v>
      </c>
      <c r="C277" s="46">
        <v>1102</v>
      </c>
      <c r="D277" s="142">
        <v>700</v>
      </c>
      <c r="E277" s="145">
        <f t="shared" si="3"/>
        <v>0.63520871143375679</v>
      </c>
      <c r="F277" s="146">
        <v>379</v>
      </c>
      <c r="G277" s="32">
        <v>277</v>
      </c>
      <c r="H277" s="146"/>
      <c r="I277" s="32"/>
      <c r="J277" s="146"/>
      <c r="K277" s="32"/>
      <c r="L277" s="146"/>
      <c r="M277" s="32"/>
      <c r="N277" s="146"/>
      <c r="O277" s="32"/>
      <c r="P277" s="146"/>
      <c r="Q277" s="32"/>
      <c r="R277" s="146"/>
      <c r="S277" s="32"/>
      <c r="T277" s="146"/>
      <c r="U277" s="32"/>
      <c r="V277" s="146"/>
      <c r="W277" s="32"/>
      <c r="X277" s="146"/>
      <c r="Y277" s="32"/>
      <c r="Z277" s="146"/>
      <c r="AA277" s="32"/>
      <c r="AB277" s="146"/>
      <c r="AC277" s="32"/>
      <c r="AD277" s="146"/>
      <c r="AE277" s="32"/>
      <c r="AF277" s="146"/>
      <c r="AG277" s="32"/>
      <c r="AH277" s="146"/>
      <c r="AI277" s="32"/>
      <c r="AJ277" s="146"/>
      <c r="AK277" s="32"/>
      <c r="AL277" s="146"/>
      <c r="AM277" s="32"/>
      <c r="AN277" s="146"/>
      <c r="AO277" s="32"/>
      <c r="AP277" s="146"/>
      <c r="AQ277" s="32"/>
      <c r="AR277" s="146"/>
      <c r="AS277" s="32"/>
      <c r="AT277" s="146"/>
      <c r="AU277" s="32"/>
      <c r="AV277" s="146"/>
      <c r="AW277" s="32"/>
      <c r="AX277" s="146"/>
      <c r="AY277" s="32"/>
      <c r="AZ277" s="146"/>
      <c r="BA277" s="32"/>
      <c r="BB277" s="146"/>
      <c r="BC277" s="32"/>
      <c r="BD277" s="146"/>
      <c r="BE277" s="32"/>
      <c r="BF277" s="146"/>
      <c r="BG277" s="32"/>
      <c r="BH277" s="146"/>
      <c r="BI277" s="32"/>
      <c r="BJ277" s="146"/>
      <c r="BK277" s="32"/>
      <c r="BL277" s="146"/>
      <c r="BM277" s="32"/>
      <c r="BN277" s="146"/>
      <c r="BO277" s="32"/>
      <c r="BP277" s="146"/>
      <c r="BQ277" s="32"/>
      <c r="BR277" s="146"/>
      <c r="BS277" s="32"/>
      <c r="BT277" s="146">
        <v>462</v>
      </c>
      <c r="BU277" s="32">
        <v>211</v>
      </c>
      <c r="BV277" s="146">
        <v>482</v>
      </c>
      <c r="BW277" s="32">
        <v>192</v>
      </c>
    </row>
    <row r="278" spans="1:75" ht="13" x14ac:dyDescent="0.25">
      <c r="A278" s="186">
        <v>4421</v>
      </c>
      <c r="B278" s="187" t="s">
        <v>300</v>
      </c>
      <c r="C278" s="46">
        <v>1037</v>
      </c>
      <c r="D278" s="142">
        <v>736</v>
      </c>
      <c r="E278" s="145">
        <f t="shared" si="3"/>
        <v>0.70973963355834135</v>
      </c>
      <c r="F278" s="146">
        <v>421</v>
      </c>
      <c r="G278" s="32">
        <v>284</v>
      </c>
      <c r="H278" s="146"/>
      <c r="I278" s="32"/>
      <c r="J278" s="146"/>
      <c r="K278" s="32"/>
      <c r="L278" s="146"/>
      <c r="M278" s="32"/>
      <c r="N278" s="146"/>
      <c r="O278" s="32"/>
      <c r="P278" s="146"/>
      <c r="Q278" s="32"/>
      <c r="R278" s="146"/>
      <c r="S278" s="32"/>
      <c r="T278" s="146"/>
      <c r="U278" s="32"/>
      <c r="V278" s="146"/>
      <c r="W278" s="32"/>
      <c r="X278" s="146"/>
      <c r="Y278" s="32"/>
      <c r="Z278" s="146"/>
      <c r="AA278" s="32"/>
      <c r="AB278" s="146"/>
      <c r="AC278" s="32"/>
      <c r="AD278" s="146"/>
      <c r="AE278" s="32"/>
      <c r="AF278" s="146"/>
      <c r="AG278" s="32"/>
      <c r="AH278" s="146"/>
      <c r="AI278" s="32"/>
      <c r="AJ278" s="146"/>
      <c r="AK278" s="32"/>
      <c r="AL278" s="146"/>
      <c r="AM278" s="32"/>
      <c r="AN278" s="146"/>
      <c r="AO278" s="32"/>
      <c r="AP278" s="146"/>
      <c r="AQ278" s="32"/>
      <c r="AR278" s="146"/>
      <c r="AS278" s="32"/>
      <c r="AT278" s="146"/>
      <c r="AU278" s="32"/>
      <c r="AV278" s="146"/>
      <c r="AW278" s="32"/>
      <c r="AX278" s="146"/>
      <c r="AY278" s="32"/>
      <c r="AZ278" s="146"/>
      <c r="BA278" s="32"/>
      <c r="BB278" s="146"/>
      <c r="BC278" s="32"/>
      <c r="BD278" s="146"/>
      <c r="BE278" s="32"/>
      <c r="BF278" s="146"/>
      <c r="BG278" s="32"/>
      <c r="BH278" s="146"/>
      <c r="BI278" s="32"/>
      <c r="BJ278" s="146"/>
      <c r="BK278" s="32"/>
      <c r="BL278" s="146"/>
      <c r="BM278" s="32"/>
      <c r="BN278" s="146"/>
      <c r="BO278" s="32"/>
      <c r="BP278" s="146"/>
      <c r="BQ278" s="32"/>
      <c r="BR278" s="146"/>
      <c r="BS278" s="32"/>
      <c r="BT278" s="146">
        <v>482</v>
      </c>
      <c r="BU278" s="32">
        <v>212</v>
      </c>
      <c r="BV278" s="146">
        <v>496</v>
      </c>
      <c r="BW278" s="32">
        <v>198</v>
      </c>
    </row>
    <row r="279" spans="1:75" ht="13" x14ac:dyDescent="0.25">
      <c r="A279" s="186">
        <v>4422</v>
      </c>
      <c r="B279" s="187" t="s">
        <v>301</v>
      </c>
      <c r="C279" s="46">
        <v>1269</v>
      </c>
      <c r="D279" s="142">
        <v>786</v>
      </c>
      <c r="E279" s="145">
        <f t="shared" si="3"/>
        <v>0.61938534278959811</v>
      </c>
      <c r="F279" s="146">
        <v>431</v>
      </c>
      <c r="G279" s="32">
        <v>314</v>
      </c>
      <c r="H279" s="146"/>
      <c r="I279" s="32"/>
      <c r="J279" s="146"/>
      <c r="K279" s="32"/>
      <c r="L279" s="146"/>
      <c r="M279" s="32"/>
      <c r="N279" s="146"/>
      <c r="O279" s="32"/>
      <c r="P279" s="146"/>
      <c r="Q279" s="32"/>
      <c r="R279" s="146"/>
      <c r="S279" s="32"/>
      <c r="T279" s="146"/>
      <c r="U279" s="32"/>
      <c r="V279" s="146"/>
      <c r="W279" s="32"/>
      <c r="X279" s="146"/>
      <c r="Y279" s="32"/>
      <c r="Z279" s="146"/>
      <c r="AA279" s="32"/>
      <c r="AB279" s="146"/>
      <c r="AC279" s="32"/>
      <c r="AD279" s="146"/>
      <c r="AE279" s="32"/>
      <c r="AF279" s="146"/>
      <c r="AG279" s="32"/>
      <c r="AH279" s="146"/>
      <c r="AI279" s="32"/>
      <c r="AJ279" s="146"/>
      <c r="AK279" s="32"/>
      <c r="AL279" s="146"/>
      <c r="AM279" s="32"/>
      <c r="AN279" s="146"/>
      <c r="AO279" s="32"/>
      <c r="AP279" s="146"/>
      <c r="AQ279" s="32"/>
      <c r="AR279" s="146"/>
      <c r="AS279" s="32"/>
      <c r="AT279" s="146"/>
      <c r="AU279" s="32"/>
      <c r="AV279" s="146"/>
      <c r="AW279" s="32"/>
      <c r="AX279" s="146"/>
      <c r="AY279" s="32"/>
      <c r="AZ279" s="146"/>
      <c r="BA279" s="32"/>
      <c r="BB279" s="146"/>
      <c r="BC279" s="32"/>
      <c r="BD279" s="146"/>
      <c r="BE279" s="32"/>
      <c r="BF279" s="146"/>
      <c r="BG279" s="32"/>
      <c r="BH279" s="146"/>
      <c r="BI279" s="32"/>
      <c r="BJ279" s="146"/>
      <c r="BK279" s="32"/>
      <c r="BL279" s="146"/>
      <c r="BM279" s="32"/>
      <c r="BN279" s="146"/>
      <c r="BO279" s="32"/>
      <c r="BP279" s="146"/>
      <c r="BQ279" s="32"/>
      <c r="BR279" s="146"/>
      <c r="BS279" s="32"/>
      <c r="BT279" s="146">
        <v>498</v>
      </c>
      <c r="BU279" s="32">
        <v>235</v>
      </c>
      <c r="BV279" s="146">
        <v>516</v>
      </c>
      <c r="BW279" s="32">
        <v>218</v>
      </c>
    </row>
    <row r="280" spans="1:75" ht="13" x14ac:dyDescent="0.25">
      <c r="A280" s="186">
        <v>4423</v>
      </c>
      <c r="B280" s="187" t="s">
        <v>302</v>
      </c>
      <c r="C280" s="46">
        <v>1047</v>
      </c>
      <c r="D280" s="142">
        <v>732</v>
      </c>
      <c r="E280" s="145">
        <f t="shared" si="3"/>
        <v>0.69914040114613185</v>
      </c>
      <c r="F280" s="146">
        <v>391</v>
      </c>
      <c r="G280" s="32">
        <v>307</v>
      </c>
      <c r="H280" s="146"/>
      <c r="I280" s="32"/>
      <c r="J280" s="146"/>
      <c r="K280" s="32"/>
      <c r="L280" s="146"/>
      <c r="M280" s="32"/>
      <c r="N280" s="146"/>
      <c r="O280" s="32"/>
      <c r="P280" s="146"/>
      <c r="Q280" s="32"/>
      <c r="R280" s="146"/>
      <c r="S280" s="32"/>
      <c r="T280" s="146"/>
      <c r="U280" s="32"/>
      <c r="V280" s="146"/>
      <c r="W280" s="32"/>
      <c r="X280" s="146"/>
      <c r="Y280" s="32"/>
      <c r="Z280" s="146"/>
      <c r="AA280" s="32"/>
      <c r="AB280" s="146"/>
      <c r="AC280" s="32"/>
      <c r="AD280" s="146"/>
      <c r="AE280" s="32"/>
      <c r="AF280" s="146"/>
      <c r="AG280" s="32"/>
      <c r="AH280" s="146"/>
      <c r="AI280" s="32"/>
      <c r="AJ280" s="146"/>
      <c r="AK280" s="32"/>
      <c r="AL280" s="146"/>
      <c r="AM280" s="32"/>
      <c r="AN280" s="146"/>
      <c r="AO280" s="32"/>
      <c r="AP280" s="146"/>
      <c r="AQ280" s="32"/>
      <c r="AR280" s="146"/>
      <c r="AS280" s="32"/>
      <c r="AT280" s="146"/>
      <c r="AU280" s="32"/>
      <c r="AV280" s="146"/>
      <c r="AW280" s="32"/>
      <c r="AX280" s="146"/>
      <c r="AY280" s="32"/>
      <c r="AZ280" s="146"/>
      <c r="BA280" s="32"/>
      <c r="BB280" s="146"/>
      <c r="BC280" s="32"/>
      <c r="BD280" s="146"/>
      <c r="BE280" s="32"/>
      <c r="BF280" s="146"/>
      <c r="BG280" s="32"/>
      <c r="BH280" s="146"/>
      <c r="BI280" s="32"/>
      <c r="BJ280" s="146"/>
      <c r="BK280" s="32"/>
      <c r="BL280" s="146"/>
      <c r="BM280" s="32"/>
      <c r="BN280" s="146"/>
      <c r="BO280" s="32"/>
      <c r="BP280" s="146"/>
      <c r="BQ280" s="32"/>
      <c r="BR280" s="146"/>
      <c r="BS280" s="32"/>
      <c r="BT280" s="146">
        <v>435</v>
      </c>
      <c r="BU280" s="32">
        <v>256</v>
      </c>
      <c r="BV280" s="146">
        <v>474</v>
      </c>
      <c r="BW280" s="32">
        <v>221</v>
      </c>
    </row>
    <row r="281" spans="1:75" ht="13" x14ac:dyDescent="0.25">
      <c r="A281" s="186">
        <v>4431</v>
      </c>
      <c r="B281" s="187" t="s">
        <v>303</v>
      </c>
      <c r="C281" s="46">
        <v>1144</v>
      </c>
      <c r="D281" s="142">
        <v>801</v>
      </c>
      <c r="E281" s="145">
        <f t="shared" ref="E281:E344" si="4">SUM(D281/C281)</f>
        <v>0.70017482517482521</v>
      </c>
      <c r="F281" s="146">
        <v>449</v>
      </c>
      <c r="G281" s="32">
        <v>308</v>
      </c>
      <c r="H281" s="146"/>
      <c r="I281" s="32"/>
      <c r="J281" s="146"/>
      <c r="K281" s="32"/>
      <c r="L281" s="146"/>
      <c r="M281" s="32"/>
      <c r="N281" s="146"/>
      <c r="O281" s="32"/>
      <c r="P281" s="146"/>
      <c r="Q281" s="32"/>
      <c r="R281" s="146"/>
      <c r="S281" s="32"/>
      <c r="T281" s="146"/>
      <c r="U281" s="32"/>
      <c r="V281" s="146"/>
      <c r="W281" s="32"/>
      <c r="X281" s="146">
        <v>658</v>
      </c>
      <c r="Y281" s="32">
        <v>113</v>
      </c>
      <c r="Z281" s="146"/>
      <c r="AA281" s="32"/>
      <c r="AB281" s="146"/>
      <c r="AC281" s="32"/>
      <c r="AD281" s="146"/>
      <c r="AE281" s="32"/>
      <c r="AF281" s="146"/>
      <c r="AG281" s="32"/>
      <c r="AH281" s="146"/>
      <c r="AI281" s="32"/>
      <c r="AJ281" s="146"/>
      <c r="AK281" s="32"/>
      <c r="AL281" s="146"/>
      <c r="AM281" s="32"/>
      <c r="AN281" s="146"/>
      <c r="AO281" s="32"/>
      <c r="AP281" s="146"/>
      <c r="AQ281" s="32"/>
      <c r="AR281" s="146"/>
      <c r="AS281" s="32"/>
      <c r="AT281" s="146"/>
      <c r="AU281" s="32"/>
      <c r="AV281" s="146"/>
      <c r="AW281" s="32"/>
      <c r="AX281" s="146"/>
      <c r="AY281" s="32"/>
      <c r="AZ281" s="146"/>
      <c r="BA281" s="32"/>
      <c r="BB281" s="146"/>
      <c r="BC281" s="32"/>
      <c r="BD281" s="146"/>
      <c r="BE281" s="32"/>
      <c r="BF281" s="146"/>
      <c r="BG281" s="32"/>
      <c r="BH281" s="146"/>
      <c r="BI281" s="32"/>
      <c r="BJ281" s="146"/>
      <c r="BK281" s="32"/>
      <c r="BL281" s="146"/>
      <c r="BM281" s="32"/>
      <c r="BN281" s="146"/>
      <c r="BO281" s="32"/>
      <c r="BP281" s="146"/>
      <c r="BQ281" s="32"/>
      <c r="BR281" s="146"/>
      <c r="BS281" s="32"/>
      <c r="BT281" s="146">
        <v>528</v>
      </c>
      <c r="BU281" s="32">
        <v>232</v>
      </c>
      <c r="BV281" s="146">
        <v>545</v>
      </c>
      <c r="BW281" s="32">
        <v>216</v>
      </c>
    </row>
    <row r="282" spans="1:75" ht="13" x14ac:dyDescent="0.25">
      <c r="A282" s="186">
        <v>4432</v>
      </c>
      <c r="B282" s="187" t="s">
        <v>304</v>
      </c>
      <c r="C282" s="46">
        <v>854</v>
      </c>
      <c r="D282" s="142">
        <v>584</v>
      </c>
      <c r="E282" s="145">
        <f t="shared" si="4"/>
        <v>0.68384074941451989</v>
      </c>
      <c r="F282" s="146">
        <v>328</v>
      </c>
      <c r="G282" s="32">
        <v>230</v>
      </c>
      <c r="H282" s="146"/>
      <c r="I282" s="32"/>
      <c r="J282" s="146"/>
      <c r="K282" s="32"/>
      <c r="L282" s="146"/>
      <c r="M282" s="32"/>
      <c r="N282" s="146"/>
      <c r="O282" s="32"/>
      <c r="P282" s="146"/>
      <c r="Q282" s="32"/>
      <c r="R282" s="146"/>
      <c r="S282" s="32"/>
      <c r="T282" s="146"/>
      <c r="U282" s="32"/>
      <c r="V282" s="146"/>
      <c r="W282" s="32"/>
      <c r="X282" s="146"/>
      <c r="Y282" s="32"/>
      <c r="Z282" s="146"/>
      <c r="AA282" s="32"/>
      <c r="AB282" s="146"/>
      <c r="AC282" s="32"/>
      <c r="AD282" s="146"/>
      <c r="AE282" s="32"/>
      <c r="AF282" s="146"/>
      <c r="AG282" s="32"/>
      <c r="AH282" s="146"/>
      <c r="AI282" s="32"/>
      <c r="AJ282" s="146"/>
      <c r="AK282" s="32"/>
      <c r="AL282" s="146"/>
      <c r="AM282" s="32"/>
      <c r="AN282" s="146"/>
      <c r="AO282" s="32"/>
      <c r="AP282" s="146"/>
      <c r="AQ282" s="32"/>
      <c r="AR282" s="146"/>
      <c r="AS282" s="32"/>
      <c r="AT282" s="146"/>
      <c r="AU282" s="32"/>
      <c r="AV282" s="146"/>
      <c r="AW282" s="32"/>
      <c r="AX282" s="146"/>
      <c r="AY282" s="32"/>
      <c r="AZ282" s="146"/>
      <c r="BA282" s="32"/>
      <c r="BB282" s="146"/>
      <c r="BC282" s="32"/>
      <c r="BD282" s="146"/>
      <c r="BE282" s="32"/>
      <c r="BF282" s="146"/>
      <c r="BG282" s="32"/>
      <c r="BH282" s="146"/>
      <c r="BI282" s="32"/>
      <c r="BJ282" s="146"/>
      <c r="BK282" s="32"/>
      <c r="BL282" s="146"/>
      <c r="BM282" s="32"/>
      <c r="BN282" s="146"/>
      <c r="BO282" s="32"/>
      <c r="BP282" s="146"/>
      <c r="BQ282" s="32"/>
      <c r="BR282" s="146"/>
      <c r="BS282" s="32"/>
      <c r="BT282" s="146">
        <v>375</v>
      </c>
      <c r="BU282" s="32">
        <v>175</v>
      </c>
      <c r="BV282" s="146">
        <v>401</v>
      </c>
      <c r="BW282" s="32">
        <v>148</v>
      </c>
    </row>
    <row r="283" spans="1:75" ht="13" x14ac:dyDescent="0.25">
      <c r="A283" s="186">
        <v>4433</v>
      </c>
      <c r="B283" s="187" t="s">
        <v>305</v>
      </c>
      <c r="C283" s="46">
        <v>1560</v>
      </c>
      <c r="D283" s="142">
        <v>1048</v>
      </c>
      <c r="E283" s="145">
        <f t="shared" si="4"/>
        <v>0.67179487179487174</v>
      </c>
      <c r="F283" s="146">
        <v>539</v>
      </c>
      <c r="G283" s="32">
        <v>461</v>
      </c>
      <c r="H283" s="146"/>
      <c r="I283" s="32"/>
      <c r="J283" s="146"/>
      <c r="K283" s="32"/>
      <c r="L283" s="146"/>
      <c r="M283" s="32"/>
      <c r="N283" s="146"/>
      <c r="O283" s="32"/>
      <c r="P283" s="146"/>
      <c r="Q283" s="32"/>
      <c r="R283" s="146"/>
      <c r="S283" s="32"/>
      <c r="T283" s="146"/>
      <c r="U283" s="32"/>
      <c r="V283" s="146"/>
      <c r="W283" s="32"/>
      <c r="X283" s="146"/>
      <c r="Y283" s="32"/>
      <c r="Z283" s="146"/>
      <c r="AA283" s="32"/>
      <c r="AB283" s="146"/>
      <c r="AC283" s="32"/>
      <c r="AD283" s="146"/>
      <c r="AE283" s="32"/>
      <c r="AF283" s="146"/>
      <c r="AG283" s="32"/>
      <c r="AH283" s="146"/>
      <c r="AI283" s="32"/>
      <c r="AJ283" s="146"/>
      <c r="AK283" s="32"/>
      <c r="AL283" s="146"/>
      <c r="AM283" s="32"/>
      <c r="AN283" s="146"/>
      <c r="AO283" s="32"/>
      <c r="AP283" s="146"/>
      <c r="AQ283" s="32"/>
      <c r="AR283" s="146"/>
      <c r="AS283" s="32"/>
      <c r="AT283" s="146"/>
      <c r="AU283" s="32"/>
      <c r="AV283" s="146"/>
      <c r="AW283" s="32"/>
      <c r="AX283" s="146"/>
      <c r="AY283" s="32"/>
      <c r="AZ283" s="146"/>
      <c r="BA283" s="32"/>
      <c r="BB283" s="146"/>
      <c r="BC283" s="32"/>
      <c r="BD283" s="146"/>
      <c r="BE283" s="32"/>
      <c r="BF283" s="146"/>
      <c r="BG283" s="32"/>
      <c r="BH283" s="146"/>
      <c r="BI283" s="32"/>
      <c r="BJ283" s="146"/>
      <c r="BK283" s="32"/>
      <c r="BL283" s="146"/>
      <c r="BM283" s="32"/>
      <c r="BN283" s="146"/>
      <c r="BO283" s="32"/>
      <c r="BP283" s="146"/>
      <c r="BQ283" s="32"/>
      <c r="BR283" s="146"/>
      <c r="BS283" s="32"/>
      <c r="BT283" s="146">
        <v>629</v>
      </c>
      <c r="BU283" s="32">
        <v>368</v>
      </c>
      <c r="BV283" s="146">
        <v>668</v>
      </c>
      <c r="BW283" s="32">
        <v>327</v>
      </c>
    </row>
    <row r="284" spans="1:75" ht="13" x14ac:dyDescent="0.25">
      <c r="A284" s="186">
        <v>4441</v>
      </c>
      <c r="B284" s="187" t="s">
        <v>306</v>
      </c>
      <c r="C284" s="46">
        <v>965</v>
      </c>
      <c r="D284" s="142">
        <v>601</v>
      </c>
      <c r="E284" s="145">
        <f t="shared" si="4"/>
        <v>0.62279792746113993</v>
      </c>
      <c r="F284" s="146">
        <v>331</v>
      </c>
      <c r="G284" s="32">
        <v>242</v>
      </c>
      <c r="H284" s="146"/>
      <c r="I284" s="32"/>
      <c r="J284" s="146"/>
      <c r="K284" s="32"/>
      <c r="L284" s="146"/>
      <c r="M284" s="32"/>
      <c r="N284" s="146"/>
      <c r="O284" s="32"/>
      <c r="P284" s="146"/>
      <c r="Q284" s="32"/>
      <c r="R284" s="146"/>
      <c r="S284" s="32"/>
      <c r="T284" s="146"/>
      <c r="U284" s="32"/>
      <c r="V284" s="146"/>
      <c r="W284" s="32"/>
      <c r="X284" s="146"/>
      <c r="Y284" s="32"/>
      <c r="Z284" s="146"/>
      <c r="AA284" s="32"/>
      <c r="AB284" s="146"/>
      <c r="AC284" s="32"/>
      <c r="AD284" s="146"/>
      <c r="AE284" s="32"/>
      <c r="AF284" s="146"/>
      <c r="AG284" s="32"/>
      <c r="AH284" s="146"/>
      <c r="AI284" s="32"/>
      <c r="AJ284" s="146"/>
      <c r="AK284" s="32"/>
      <c r="AL284" s="146"/>
      <c r="AM284" s="32"/>
      <c r="AN284" s="146"/>
      <c r="AO284" s="32"/>
      <c r="AP284" s="146"/>
      <c r="AQ284" s="32"/>
      <c r="AR284" s="146"/>
      <c r="AS284" s="32"/>
      <c r="AT284" s="146"/>
      <c r="AU284" s="32"/>
      <c r="AV284" s="146"/>
      <c r="AW284" s="32"/>
      <c r="AX284" s="146"/>
      <c r="AY284" s="32"/>
      <c r="AZ284" s="146"/>
      <c r="BA284" s="32"/>
      <c r="BB284" s="146"/>
      <c r="BC284" s="32"/>
      <c r="BD284" s="146"/>
      <c r="BE284" s="32"/>
      <c r="BF284" s="146"/>
      <c r="BG284" s="32"/>
      <c r="BH284" s="146"/>
      <c r="BI284" s="32"/>
      <c r="BJ284" s="146"/>
      <c r="BK284" s="32"/>
      <c r="BL284" s="146"/>
      <c r="BM284" s="32"/>
      <c r="BN284" s="146"/>
      <c r="BO284" s="32"/>
      <c r="BP284" s="146"/>
      <c r="BQ284" s="32"/>
      <c r="BR284" s="146"/>
      <c r="BS284" s="32"/>
      <c r="BT284" s="146">
        <v>369</v>
      </c>
      <c r="BU284" s="32">
        <v>201</v>
      </c>
      <c r="BV284" s="146">
        <v>398</v>
      </c>
      <c r="BW284" s="32">
        <v>173</v>
      </c>
    </row>
    <row r="285" spans="1:75" ht="13" x14ac:dyDescent="0.25">
      <c r="A285" s="186">
        <v>4442</v>
      </c>
      <c r="B285" s="187" t="s">
        <v>307</v>
      </c>
      <c r="C285" s="46">
        <v>1133</v>
      </c>
      <c r="D285" s="142">
        <v>691</v>
      </c>
      <c r="E285" s="145">
        <f t="shared" si="4"/>
        <v>0.60988526037069724</v>
      </c>
      <c r="F285" s="146">
        <v>401</v>
      </c>
      <c r="G285" s="32">
        <v>256</v>
      </c>
      <c r="H285" s="146"/>
      <c r="I285" s="32"/>
      <c r="J285" s="146"/>
      <c r="K285" s="32"/>
      <c r="L285" s="146"/>
      <c r="M285" s="32"/>
      <c r="N285" s="146"/>
      <c r="O285" s="32"/>
      <c r="P285" s="146"/>
      <c r="Q285" s="32"/>
      <c r="R285" s="146"/>
      <c r="S285" s="32"/>
      <c r="T285" s="146"/>
      <c r="U285" s="32"/>
      <c r="V285" s="146"/>
      <c r="W285" s="32"/>
      <c r="X285" s="146"/>
      <c r="Y285" s="32"/>
      <c r="Z285" s="146"/>
      <c r="AA285" s="32"/>
      <c r="AB285" s="146"/>
      <c r="AC285" s="32"/>
      <c r="AD285" s="146"/>
      <c r="AE285" s="32"/>
      <c r="AF285" s="146"/>
      <c r="AG285" s="32"/>
      <c r="AH285" s="146"/>
      <c r="AI285" s="32"/>
      <c r="AJ285" s="146"/>
      <c r="AK285" s="32"/>
      <c r="AL285" s="146"/>
      <c r="AM285" s="32"/>
      <c r="AN285" s="146"/>
      <c r="AO285" s="32"/>
      <c r="AP285" s="146"/>
      <c r="AQ285" s="32"/>
      <c r="AR285" s="146"/>
      <c r="AS285" s="32"/>
      <c r="AT285" s="146"/>
      <c r="AU285" s="32"/>
      <c r="AV285" s="146"/>
      <c r="AW285" s="32"/>
      <c r="AX285" s="146"/>
      <c r="AY285" s="32"/>
      <c r="AZ285" s="146"/>
      <c r="BA285" s="32"/>
      <c r="BB285" s="146"/>
      <c r="BC285" s="32"/>
      <c r="BD285" s="146"/>
      <c r="BE285" s="32"/>
      <c r="BF285" s="146"/>
      <c r="BG285" s="32"/>
      <c r="BH285" s="146"/>
      <c r="BI285" s="32"/>
      <c r="BJ285" s="146"/>
      <c r="BK285" s="32"/>
      <c r="BL285" s="146"/>
      <c r="BM285" s="32"/>
      <c r="BN285" s="146"/>
      <c r="BO285" s="32"/>
      <c r="BP285" s="146"/>
      <c r="BQ285" s="32"/>
      <c r="BR285" s="146"/>
      <c r="BS285" s="32"/>
      <c r="BT285" s="146">
        <v>421</v>
      </c>
      <c r="BU285" s="32">
        <v>227</v>
      </c>
      <c r="BV285" s="146">
        <v>458</v>
      </c>
      <c r="BW285" s="32">
        <v>190</v>
      </c>
    </row>
    <row r="286" spans="1:75" ht="13" x14ac:dyDescent="0.25">
      <c r="A286" s="186">
        <v>4443</v>
      </c>
      <c r="B286" s="187" t="s">
        <v>308</v>
      </c>
      <c r="C286" s="46">
        <v>1092</v>
      </c>
      <c r="D286" s="142">
        <v>780</v>
      </c>
      <c r="E286" s="145">
        <f t="shared" si="4"/>
        <v>0.7142857142857143</v>
      </c>
      <c r="F286" s="146">
        <v>393</v>
      </c>
      <c r="G286" s="32">
        <v>344</v>
      </c>
      <c r="H286" s="146"/>
      <c r="I286" s="32"/>
      <c r="J286" s="146"/>
      <c r="K286" s="32"/>
      <c r="L286" s="146"/>
      <c r="M286" s="32"/>
      <c r="N286" s="146"/>
      <c r="O286" s="32"/>
      <c r="P286" s="146"/>
      <c r="Q286" s="32"/>
      <c r="R286" s="146"/>
      <c r="S286" s="32"/>
      <c r="T286" s="146"/>
      <c r="U286" s="32"/>
      <c r="V286" s="146"/>
      <c r="W286" s="32"/>
      <c r="X286" s="146"/>
      <c r="Y286" s="32"/>
      <c r="Z286" s="146"/>
      <c r="AA286" s="32"/>
      <c r="AB286" s="146"/>
      <c r="AC286" s="32"/>
      <c r="AD286" s="146"/>
      <c r="AE286" s="32"/>
      <c r="AF286" s="146"/>
      <c r="AG286" s="32"/>
      <c r="AH286" s="146"/>
      <c r="AI286" s="32"/>
      <c r="AJ286" s="146"/>
      <c r="AK286" s="32"/>
      <c r="AL286" s="146"/>
      <c r="AM286" s="32"/>
      <c r="AN286" s="146"/>
      <c r="AO286" s="32"/>
      <c r="AP286" s="146"/>
      <c r="AQ286" s="32"/>
      <c r="AR286" s="146"/>
      <c r="AS286" s="32"/>
      <c r="AT286" s="146"/>
      <c r="AU286" s="32"/>
      <c r="AV286" s="146"/>
      <c r="AW286" s="32"/>
      <c r="AX286" s="146"/>
      <c r="AY286" s="32"/>
      <c r="AZ286" s="146"/>
      <c r="BA286" s="32"/>
      <c r="BB286" s="146"/>
      <c r="BC286" s="32"/>
      <c r="BD286" s="146"/>
      <c r="BE286" s="32"/>
      <c r="BF286" s="146"/>
      <c r="BG286" s="32"/>
      <c r="BH286" s="146"/>
      <c r="BI286" s="32"/>
      <c r="BJ286" s="146"/>
      <c r="BK286" s="32"/>
      <c r="BL286" s="146"/>
      <c r="BM286" s="32"/>
      <c r="BN286" s="146"/>
      <c r="BO286" s="32"/>
      <c r="BP286" s="146"/>
      <c r="BQ286" s="32"/>
      <c r="BR286" s="146"/>
      <c r="BS286" s="32"/>
      <c r="BT286" s="146">
        <v>473</v>
      </c>
      <c r="BU286" s="32">
        <v>265</v>
      </c>
      <c r="BV286" s="146">
        <v>503</v>
      </c>
      <c r="BW286" s="32">
        <v>236</v>
      </c>
    </row>
    <row r="287" spans="1:75" ht="13" x14ac:dyDescent="0.25">
      <c r="A287" s="186">
        <v>4611</v>
      </c>
      <c r="B287" s="187" t="s">
        <v>309</v>
      </c>
      <c r="C287" s="46">
        <v>1308</v>
      </c>
      <c r="D287" s="142">
        <v>911</v>
      </c>
      <c r="E287" s="145">
        <f t="shared" si="4"/>
        <v>0.69648318042813451</v>
      </c>
      <c r="F287" s="146">
        <v>409</v>
      </c>
      <c r="G287" s="32">
        <v>451</v>
      </c>
      <c r="H287" s="146"/>
      <c r="I287" s="32"/>
      <c r="J287" s="146"/>
      <c r="K287" s="32"/>
      <c r="L287" s="146"/>
      <c r="M287" s="32"/>
      <c r="N287" s="146"/>
      <c r="O287" s="32"/>
      <c r="P287" s="146"/>
      <c r="Q287" s="32"/>
      <c r="R287" s="146"/>
      <c r="S287" s="32"/>
      <c r="T287" s="146"/>
      <c r="U287" s="32"/>
      <c r="V287" s="146"/>
      <c r="W287" s="32"/>
      <c r="X287" s="146"/>
      <c r="Y287" s="32"/>
      <c r="Z287" s="146"/>
      <c r="AA287" s="32"/>
      <c r="AB287" s="146"/>
      <c r="AC287" s="32"/>
      <c r="AD287" s="146"/>
      <c r="AE287" s="32"/>
      <c r="AF287" s="146"/>
      <c r="AG287" s="32"/>
      <c r="AH287" s="146"/>
      <c r="AI287" s="32"/>
      <c r="AJ287" s="146"/>
      <c r="AK287" s="32"/>
      <c r="AL287" s="146"/>
      <c r="AM287" s="32"/>
      <c r="AN287" s="146"/>
      <c r="AO287" s="32"/>
      <c r="AP287" s="146"/>
      <c r="AQ287" s="32"/>
      <c r="AR287" s="146"/>
      <c r="AS287" s="32"/>
      <c r="AT287" s="146"/>
      <c r="AU287" s="32"/>
      <c r="AV287" s="146"/>
      <c r="AW287" s="32"/>
      <c r="AX287" s="146"/>
      <c r="AY287" s="32"/>
      <c r="AZ287" s="146"/>
      <c r="BA287" s="32"/>
      <c r="BB287" s="146"/>
      <c r="BC287" s="32"/>
      <c r="BD287" s="146"/>
      <c r="BE287" s="32"/>
      <c r="BF287" s="146"/>
      <c r="BG287" s="32"/>
      <c r="BH287" s="146"/>
      <c r="BI287" s="32"/>
      <c r="BJ287" s="146"/>
      <c r="BK287" s="32"/>
      <c r="BL287" s="146"/>
      <c r="BM287" s="32"/>
      <c r="BN287" s="146"/>
      <c r="BO287" s="32"/>
      <c r="BP287" s="146"/>
      <c r="BQ287" s="32"/>
      <c r="BR287" s="146"/>
      <c r="BS287" s="32"/>
      <c r="BT287" s="146">
        <v>490</v>
      </c>
      <c r="BU287" s="32">
        <v>375</v>
      </c>
      <c r="BV287" s="146">
        <v>529</v>
      </c>
      <c r="BW287" s="32">
        <v>335</v>
      </c>
    </row>
    <row r="288" spans="1:75" ht="13" x14ac:dyDescent="0.25">
      <c r="A288" s="186">
        <v>4612</v>
      </c>
      <c r="B288" s="187" t="s">
        <v>310</v>
      </c>
      <c r="C288" s="46">
        <v>566</v>
      </c>
      <c r="D288" s="142">
        <v>282</v>
      </c>
      <c r="E288" s="145">
        <f t="shared" si="4"/>
        <v>0.49823321554770317</v>
      </c>
      <c r="F288" s="146">
        <v>155</v>
      </c>
      <c r="G288" s="32">
        <v>114</v>
      </c>
      <c r="H288" s="146"/>
      <c r="I288" s="32"/>
      <c r="J288" s="146"/>
      <c r="K288" s="32"/>
      <c r="L288" s="146"/>
      <c r="M288" s="32"/>
      <c r="N288" s="146"/>
      <c r="O288" s="32"/>
      <c r="P288" s="146"/>
      <c r="Q288" s="32"/>
      <c r="R288" s="146"/>
      <c r="S288" s="32"/>
      <c r="T288" s="146"/>
      <c r="U288" s="32"/>
      <c r="V288" s="146"/>
      <c r="W288" s="32"/>
      <c r="X288" s="146"/>
      <c r="Y288" s="32"/>
      <c r="Z288" s="146"/>
      <c r="AA288" s="32"/>
      <c r="AB288" s="146"/>
      <c r="AC288" s="32"/>
      <c r="AD288" s="146"/>
      <c r="AE288" s="32"/>
      <c r="AF288" s="146"/>
      <c r="AG288" s="32"/>
      <c r="AH288" s="146"/>
      <c r="AI288" s="32"/>
      <c r="AJ288" s="146"/>
      <c r="AK288" s="32"/>
      <c r="AL288" s="146"/>
      <c r="AM288" s="32"/>
      <c r="AN288" s="146"/>
      <c r="AO288" s="32"/>
      <c r="AP288" s="146"/>
      <c r="AQ288" s="32"/>
      <c r="AR288" s="146"/>
      <c r="AS288" s="32"/>
      <c r="AT288" s="146"/>
      <c r="AU288" s="32"/>
      <c r="AV288" s="146"/>
      <c r="AW288" s="32"/>
      <c r="AX288" s="146"/>
      <c r="AY288" s="32"/>
      <c r="AZ288" s="146"/>
      <c r="BA288" s="32"/>
      <c r="BB288" s="146"/>
      <c r="BC288" s="32"/>
      <c r="BD288" s="146"/>
      <c r="BE288" s="32"/>
      <c r="BF288" s="146"/>
      <c r="BG288" s="32"/>
      <c r="BH288" s="146"/>
      <c r="BI288" s="32"/>
      <c r="BJ288" s="146"/>
      <c r="BK288" s="32"/>
      <c r="BL288" s="146"/>
      <c r="BM288" s="32"/>
      <c r="BN288" s="146"/>
      <c r="BO288" s="32"/>
      <c r="BP288" s="146"/>
      <c r="BQ288" s="32"/>
      <c r="BR288" s="146"/>
      <c r="BS288" s="32"/>
      <c r="BT288" s="146">
        <v>177</v>
      </c>
      <c r="BU288" s="32">
        <v>88</v>
      </c>
      <c r="BV288" s="146">
        <v>192</v>
      </c>
      <c r="BW288" s="32">
        <v>77</v>
      </c>
    </row>
    <row r="289" spans="1:75" ht="13" x14ac:dyDescent="0.25">
      <c r="A289" s="186">
        <v>4621</v>
      </c>
      <c r="B289" s="187" t="s">
        <v>311</v>
      </c>
      <c r="C289" s="46">
        <v>982</v>
      </c>
      <c r="D289" s="142">
        <v>594</v>
      </c>
      <c r="E289" s="145">
        <f t="shared" si="4"/>
        <v>0.60488798370672103</v>
      </c>
      <c r="F289" s="146">
        <v>222</v>
      </c>
      <c r="G289" s="32">
        <v>340</v>
      </c>
      <c r="H289" s="146"/>
      <c r="I289" s="32"/>
      <c r="J289" s="146"/>
      <c r="K289" s="32"/>
      <c r="L289" s="146"/>
      <c r="M289" s="32"/>
      <c r="N289" s="146"/>
      <c r="O289" s="32"/>
      <c r="P289" s="146"/>
      <c r="Q289" s="32"/>
      <c r="R289" s="146"/>
      <c r="S289" s="32"/>
      <c r="T289" s="146"/>
      <c r="U289" s="32"/>
      <c r="V289" s="146"/>
      <c r="W289" s="32"/>
      <c r="X289" s="146"/>
      <c r="Y289" s="32"/>
      <c r="Z289" s="146"/>
      <c r="AA289" s="32"/>
      <c r="AB289" s="146"/>
      <c r="AC289" s="32"/>
      <c r="AD289" s="146"/>
      <c r="AE289" s="32"/>
      <c r="AF289" s="146"/>
      <c r="AG289" s="32"/>
      <c r="AH289" s="146"/>
      <c r="AI289" s="32"/>
      <c r="AJ289" s="146"/>
      <c r="AK289" s="32"/>
      <c r="AL289" s="146"/>
      <c r="AM289" s="32"/>
      <c r="AN289" s="146"/>
      <c r="AO289" s="32"/>
      <c r="AP289" s="146"/>
      <c r="AQ289" s="32"/>
      <c r="AR289" s="146"/>
      <c r="AS289" s="32"/>
      <c r="AT289" s="146"/>
      <c r="AU289" s="32"/>
      <c r="AV289" s="146"/>
      <c r="AW289" s="32"/>
      <c r="AX289" s="146"/>
      <c r="AY289" s="32"/>
      <c r="AZ289" s="146"/>
      <c r="BA289" s="32"/>
      <c r="BB289" s="146"/>
      <c r="BC289" s="32"/>
      <c r="BD289" s="146"/>
      <c r="BE289" s="32"/>
      <c r="BF289" s="146"/>
      <c r="BG289" s="32"/>
      <c r="BH289" s="146"/>
      <c r="BI289" s="32"/>
      <c r="BJ289" s="146"/>
      <c r="BK289" s="32"/>
      <c r="BL289" s="146"/>
      <c r="BM289" s="32"/>
      <c r="BN289" s="146"/>
      <c r="BO289" s="32"/>
      <c r="BP289" s="146"/>
      <c r="BQ289" s="32"/>
      <c r="BR289" s="146"/>
      <c r="BS289" s="32"/>
      <c r="BT289" s="146">
        <v>294</v>
      </c>
      <c r="BU289" s="32">
        <v>265</v>
      </c>
      <c r="BV289" s="146">
        <v>321</v>
      </c>
      <c r="BW289" s="32">
        <v>239</v>
      </c>
    </row>
    <row r="290" spans="1:75" ht="13" x14ac:dyDescent="0.25">
      <c r="A290" s="186">
        <v>4622</v>
      </c>
      <c r="B290" s="187" t="s">
        <v>312</v>
      </c>
      <c r="C290" s="46">
        <v>579</v>
      </c>
      <c r="D290" s="142">
        <v>412</v>
      </c>
      <c r="E290" s="145">
        <f t="shared" si="4"/>
        <v>0.7115716753022453</v>
      </c>
      <c r="F290" s="146">
        <v>169</v>
      </c>
      <c r="G290" s="32">
        <v>222</v>
      </c>
      <c r="H290" s="146"/>
      <c r="I290" s="32"/>
      <c r="J290" s="146"/>
      <c r="K290" s="32"/>
      <c r="L290" s="146"/>
      <c r="M290" s="32"/>
      <c r="N290" s="146"/>
      <c r="O290" s="32"/>
      <c r="P290" s="146"/>
      <c r="Q290" s="32"/>
      <c r="R290" s="146"/>
      <c r="S290" s="32"/>
      <c r="T290" s="146"/>
      <c r="U290" s="32"/>
      <c r="V290" s="146"/>
      <c r="W290" s="32"/>
      <c r="X290" s="146"/>
      <c r="Y290" s="32"/>
      <c r="Z290" s="146"/>
      <c r="AA290" s="32"/>
      <c r="AB290" s="146"/>
      <c r="AC290" s="32"/>
      <c r="AD290" s="146"/>
      <c r="AE290" s="32"/>
      <c r="AF290" s="146"/>
      <c r="AG290" s="32"/>
      <c r="AH290" s="146"/>
      <c r="AI290" s="32"/>
      <c r="AJ290" s="146"/>
      <c r="AK290" s="32"/>
      <c r="AL290" s="146"/>
      <c r="AM290" s="32"/>
      <c r="AN290" s="146"/>
      <c r="AO290" s="32"/>
      <c r="AP290" s="146"/>
      <c r="AQ290" s="32"/>
      <c r="AR290" s="146"/>
      <c r="AS290" s="32"/>
      <c r="AT290" s="146"/>
      <c r="AU290" s="32"/>
      <c r="AV290" s="146"/>
      <c r="AW290" s="32"/>
      <c r="AX290" s="146"/>
      <c r="AY290" s="32"/>
      <c r="AZ290" s="146"/>
      <c r="BA290" s="32"/>
      <c r="BB290" s="146"/>
      <c r="BC290" s="32"/>
      <c r="BD290" s="146"/>
      <c r="BE290" s="32"/>
      <c r="BF290" s="146"/>
      <c r="BG290" s="32"/>
      <c r="BH290" s="146"/>
      <c r="BI290" s="32"/>
      <c r="BJ290" s="146"/>
      <c r="BK290" s="32"/>
      <c r="BL290" s="146"/>
      <c r="BM290" s="32"/>
      <c r="BN290" s="146"/>
      <c r="BO290" s="32"/>
      <c r="BP290" s="146"/>
      <c r="BQ290" s="32"/>
      <c r="BR290" s="146"/>
      <c r="BS290" s="32"/>
      <c r="BT290" s="146">
        <v>194</v>
      </c>
      <c r="BU290" s="32">
        <v>185</v>
      </c>
      <c r="BV290" s="146">
        <v>221</v>
      </c>
      <c r="BW290" s="32">
        <v>156</v>
      </c>
    </row>
    <row r="291" spans="1:75" ht="13" x14ac:dyDescent="0.25">
      <c r="A291" s="186">
        <v>4631</v>
      </c>
      <c r="B291" s="187" t="s">
        <v>313</v>
      </c>
      <c r="C291" s="46">
        <v>1169</v>
      </c>
      <c r="D291" s="142">
        <v>790</v>
      </c>
      <c r="E291" s="145">
        <f t="shared" si="4"/>
        <v>0.67579127459366983</v>
      </c>
      <c r="F291" s="146">
        <v>330</v>
      </c>
      <c r="G291" s="32">
        <v>412</v>
      </c>
      <c r="H291" s="146"/>
      <c r="I291" s="32"/>
      <c r="J291" s="146"/>
      <c r="K291" s="32"/>
      <c r="L291" s="146"/>
      <c r="M291" s="32"/>
      <c r="N291" s="146"/>
      <c r="O291" s="32"/>
      <c r="P291" s="146"/>
      <c r="Q291" s="32"/>
      <c r="R291" s="146"/>
      <c r="S291" s="32"/>
      <c r="T291" s="146"/>
      <c r="U291" s="32"/>
      <c r="V291" s="146"/>
      <c r="W291" s="32"/>
      <c r="X291" s="146"/>
      <c r="Y291" s="32"/>
      <c r="Z291" s="146"/>
      <c r="AA291" s="32"/>
      <c r="AB291" s="146"/>
      <c r="AC291" s="32"/>
      <c r="AD291" s="146"/>
      <c r="AE291" s="32"/>
      <c r="AF291" s="146"/>
      <c r="AG291" s="32"/>
      <c r="AH291" s="146"/>
      <c r="AI291" s="32"/>
      <c r="AJ291" s="146"/>
      <c r="AK291" s="32"/>
      <c r="AL291" s="146"/>
      <c r="AM291" s="32"/>
      <c r="AN291" s="146"/>
      <c r="AO291" s="32"/>
      <c r="AP291" s="146"/>
      <c r="AQ291" s="32"/>
      <c r="AR291" s="146"/>
      <c r="AS291" s="32"/>
      <c r="AT291" s="146"/>
      <c r="AU291" s="32"/>
      <c r="AV291" s="146"/>
      <c r="AW291" s="32"/>
      <c r="AX291" s="146"/>
      <c r="AY291" s="32"/>
      <c r="AZ291" s="146"/>
      <c r="BA291" s="32"/>
      <c r="BB291" s="146"/>
      <c r="BC291" s="32"/>
      <c r="BD291" s="146"/>
      <c r="BE291" s="32"/>
      <c r="BF291" s="146"/>
      <c r="BG291" s="32"/>
      <c r="BH291" s="146"/>
      <c r="BI291" s="32"/>
      <c r="BJ291" s="146"/>
      <c r="BK291" s="32"/>
      <c r="BL291" s="146"/>
      <c r="BM291" s="32"/>
      <c r="BN291" s="146"/>
      <c r="BO291" s="32"/>
      <c r="BP291" s="146"/>
      <c r="BQ291" s="32"/>
      <c r="BR291" s="146"/>
      <c r="BS291" s="32"/>
      <c r="BT291" s="146">
        <v>414</v>
      </c>
      <c r="BU291" s="32">
        <v>317</v>
      </c>
      <c r="BV291" s="146">
        <v>446</v>
      </c>
      <c r="BW291" s="32">
        <v>287</v>
      </c>
    </row>
    <row r="292" spans="1:75" ht="13" x14ac:dyDescent="0.25">
      <c r="A292" s="186">
        <v>4632</v>
      </c>
      <c r="B292" s="187" t="s">
        <v>314</v>
      </c>
      <c r="C292" s="46">
        <v>759</v>
      </c>
      <c r="D292" s="142">
        <v>590</v>
      </c>
      <c r="E292" s="145">
        <f t="shared" si="4"/>
        <v>0.77733860342555994</v>
      </c>
      <c r="F292" s="146">
        <v>230</v>
      </c>
      <c r="G292" s="32">
        <v>329</v>
      </c>
      <c r="H292" s="146"/>
      <c r="I292" s="32"/>
      <c r="J292" s="146"/>
      <c r="K292" s="32"/>
      <c r="L292" s="146"/>
      <c r="M292" s="32"/>
      <c r="N292" s="146"/>
      <c r="O292" s="32"/>
      <c r="P292" s="146"/>
      <c r="Q292" s="32"/>
      <c r="R292" s="146"/>
      <c r="S292" s="32"/>
      <c r="T292" s="146"/>
      <c r="U292" s="32"/>
      <c r="V292" s="146"/>
      <c r="W292" s="32"/>
      <c r="X292" s="146"/>
      <c r="Y292" s="32"/>
      <c r="Z292" s="146"/>
      <c r="AA292" s="32"/>
      <c r="AB292" s="146"/>
      <c r="AC292" s="32"/>
      <c r="AD292" s="146"/>
      <c r="AE292" s="32"/>
      <c r="AF292" s="146"/>
      <c r="AG292" s="32"/>
      <c r="AH292" s="146"/>
      <c r="AI292" s="32"/>
      <c r="AJ292" s="146"/>
      <c r="AK292" s="32"/>
      <c r="AL292" s="146"/>
      <c r="AM292" s="32"/>
      <c r="AN292" s="146"/>
      <c r="AO292" s="32"/>
      <c r="AP292" s="146"/>
      <c r="AQ292" s="32"/>
      <c r="AR292" s="146"/>
      <c r="AS292" s="32"/>
      <c r="AT292" s="146"/>
      <c r="AU292" s="32"/>
      <c r="AV292" s="146"/>
      <c r="AW292" s="32"/>
      <c r="AX292" s="146"/>
      <c r="AY292" s="32"/>
      <c r="AZ292" s="146"/>
      <c r="BA292" s="32"/>
      <c r="BB292" s="146"/>
      <c r="BC292" s="32"/>
      <c r="BD292" s="146"/>
      <c r="BE292" s="32"/>
      <c r="BF292" s="146"/>
      <c r="BG292" s="32"/>
      <c r="BH292" s="146"/>
      <c r="BI292" s="32"/>
      <c r="BJ292" s="146"/>
      <c r="BK292" s="32"/>
      <c r="BL292" s="146"/>
      <c r="BM292" s="32"/>
      <c r="BN292" s="146"/>
      <c r="BO292" s="32"/>
      <c r="BP292" s="146"/>
      <c r="BQ292" s="32"/>
      <c r="BR292" s="146"/>
      <c r="BS292" s="32"/>
      <c r="BT292" s="146">
        <v>276</v>
      </c>
      <c r="BU292" s="32">
        <v>283</v>
      </c>
      <c r="BV292" s="146">
        <v>303</v>
      </c>
      <c r="BW292" s="32">
        <v>250</v>
      </c>
    </row>
    <row r="293" spans="1:75" ht="13" x14ac:dyDescent="0.25">
      <c r="A293" s="186">
        <v>4641</v>
      </c>
      <c r="B293" s="187" t="s">
        <v>315</v>
      </c>
      <c r="C293" s="46">
        <v>837</v>
      </c>
      <c r="D293" s="142">
        <v>659</v>
      </c>
      <c r="E293" s="145">
        <f t="shared" si="4"/>
        <v>0.78733572281959374</v>
      </c>
      <c r="F293" s="146">
        <v>219</v>
      </c>
      <c r="G293" s="32">
        <v>393</v>
      </c>
      <c r="H293" s="146"/>
      <c r="I293" s="32"/>
      <c r="J293" s="146"/>
      <c r="K293" s="32"/>
      <c r="L293" s="146"/>
      <c r="M293" s="32"/>
      <c r="N293" s="146"/>
      <c r="O293" s="32"/>
      <c r="P293" s="146"/>
      <c r="Q293" s="32"/>
      <c r="R293" s="146"/>
      <c r="S293" s="32"/>
      <c r="T293" s="146"/>
      <c r="U293" s="32"/>
      <c r="V293" s="146"/>
      <c r="W293" s="32"/>
      <c r="X293" s="146"/>
      <c r="Y293" s="32"/>
      <c r="Z293" s="146"/>
      <c r="AA293" s="32"/>
      <c r="AB293" s="146"/>
      <c r="AC293" s="32"/>
      <c r="AD293" s="146"/>
      <c r="AE293" s="32"/>
      <c r="AF293" s="146"/>
      <c r="AG293" s="32"/>
      <c r="AH293" s="146"/>
      <c r="AI293" s="32"/>
      <c r="AJ293" s="146"/>
      <c r="AK293" s="32"/>
      <c r="AL293" s="146"/>
      <c r="AM293" s="32"/>
      <c r="AN293" s="146"/>
      <c r="AO293" s="32"/>
      <c r="AP293" s="146"/>
      <c r="AQ293" s="32"/>
      <c r="AR293" s="146"/>
      <c r="AS293" s="32"/>
      <c r="AT293" s="146"/>
      <c r="AU293" s="32"/>
      <c r="AV293" s="146"/>
      <c r="AW293" s="32"/>
      <c r="AX293" s="146"/>
      <c r="AY293" s="32"/>
      <c r="AZ293" s="146"/>
      <c r="BA293" s="32"/>
      <c r="BB293" s="146"/>
      <c r="BC293" s="32"/>
      <c r="BD293" s="146"/>
      <c r="BE293" s="32"/>
      <c r="BF293" s="146"/>
      <c r="BG293" s="32"/>
      <c r="BH293" s="146"/>
      <c r="BI293" s="32"/>
      <c r="BJ293" s="146"/>
      <c r="BK293" s="32"/>
      <c r="BL293" s="146"/>
      <c r="BM293" s="32"/>
      <c r="BN293" s="146"/>
      <c r="BO293" s="32"/>
      <c r="BP293" s="146"/>
      <c r="BQ293" s="32"/>
      <c r="BR293" s="146"/>
      <c r="BS293" s="32"/>
      <c r="BT293" s="146">
        <v>304</v>
      </c>
      <c r="BU293" s="32">
        <v>316</v>
      </c>
      <c r="BV293" s="146">
        <v>323</v>
      </c>
      <c r="BW293" s="32">
        <v>292</v>
      </c>
    </row>
    <row r="294" spans="1:75" ht="13" x14ac:dyDescent="0.25">
      <c r="A294" s="186">
        <v>4642</v>
      </c>
      <c r="B294" s="187" t="s">
        <v>316</v>
      </c>
      <c r="C294" s="46">
        <v>1098</v>
      </c>
      <c r="D294" s="142">
        <v>913</v>
      </c>
      <c r="E294" s="145">
        <f t="shared" si="4"/>
        <v>0.83151183970856102</v>
      </c>
      <c r="F294" s="146">
        <v>318</v>
      </c>
      <c r="G294" s="32">
        <v>559</v>
      </c>
      <c r="H294" s="146"/>
      <c r="I294" s="32"/>
      <c r="J294" s="146"/>
      <c r="K294" s="32"/>
      <c r="L294" s="146"/>
      <c r="M294" s="32"/>
      <c r="N294" s="146"/>
      <c r="O294" s="32"/>
      <c r="P294" s="146"/>
      <c r="Q294" s="32"/>
      <c r="R294" s="146"/>
      <c r="S294" s="32"/>
      <c r="T294" s="146"/>
      <c r="U294" s="32"/>
      <c r="V294" s="146"/>
      <c r="W294" s="32"/>
      <c r="X294" s="146"/>
      <c r="Y294" s="32"/>
      <c r="Z294" s="146"/>
      <c r="AA294" s="32"/>
      <c r="AB294" s="146"/>
      <c r="AC294" s="32"/>
      <c r="AD294" s="146"/>
      <c r="AE294" s="32"/>
      <c r="AF294" s="146"/>
      <c r="AG294" s="32"/>
      <c r="AH294" s="146"/>
      <c r="AI294" s="32"/>
      <c r="AJ294" s="146"/>
      <c r="AK294" s="32"/>
      <c r="AL294" s="146"/>
      <c r="AM294" s="32"/>
      <c r="AN294" s="146"/>
      <c r="AO294" s="32"/>
      <c r="AP294" s="146"/>
      <c r="AQ294" s="32"/>
      <c r="AR294" s="146"/>
      <c r="AS294" s="32"/>
      <c r="AT294" s="146"/>
      <c r="AU294" s="32"/>
      <c r="AV294" s="146"/>
      <c r="AW294" s="32"/>
      <c r="AX294" s="146"/>
      <c r="AY294" s="32"/>
      <c r="AZ294" s="146"/>
      <c r="BA294" s="32"/>
      <c r="BB294" s="146"/>
      <c r="BC294" s="32"/>
      <c r="BD294" s="146"/>
      <c r="BE294" s="32"/>
      <c r="BF294" s="146"/>
      <c r="BG294" s="32"/>
      <c r="BH294" s="146"/>
      <c r="BI294" s="32"/>
      <c r="BJ294" s="146"/>
      <c r="BK294" s="32"/>
      <c r="BL294" s="146"/>
      <c r="BM294" s="32"/>
      <c r="BN294" s="146"/>
      <c r="BO294" s="32"/>
      <c r="BP294" s="146"/>
      <c r="BQ294" s="32"/>
      <c r="BR294" s="146"/>
      <c r="BS294" s="32"/>
      <c r="BT294" s="146">
        <v>465</v>
      </c>
      <c r="BU294" s="32">
        <v>408</v>
      </c>
      <c r="BV294" s="146">
        <v>494</v>
      </c>
      <c r="BW294" s="32">
        <v>376</v>
      </c>
    </row>
    <row r="295" spans="1:75" ht="13" x14ac:dyDescent="0.25">
      <c r="A295" s="186">
        <v>4911</v>
      </c>
      <c r="B295" s="187" t="s">
        <v>317</v>
      </c>
      <c r="C295" s="46">
        <v>1004</v>
      </c>
      <c r="D295" s="142">
        <v>609</v>
      </c>
      <c r="E295" s="145">
        <f t="shared" si="4"/>
        <v>0.60657370517928288</v>
      </c>
      <c r="F295" s="146">
        <v>305</v>
      </c>
      <c r="G295" s="32">
        <v>269</v>
      </c>
      <c r="H295" s="146"/>
      <c r="I295" s="32"/>
      <c r="J295" s="146"/>
      <c r="K295" s="32"/>
      <c r="L295" s="146"/>
      <c r="M295" s="32"/>
      <c r="N295" s="146"/>
      <c r="O295" s="32"/>
      <c r="P295" s="146"/>
      <c r="Q295" s="32"/>
      <c r="R295" s="146"/>
      <c r="S295" s="32"/>
      <c r="T295" s="146"/>
      <c r="U295" s="32"/>
      <c r="V295" s="146"/>
      <c r="W295" s="32"/>
      <c r="X295" s="146"/>
      <c r="Y295" s="32"/>
      <c r="Z295" s="146"/>
      <c r="AA295" s="32"/>
      <c r="AB295" s="146"/>
      <c r="AC295" s="32"/>
      <c r="AD295" s="146"/>
      <c r="AE295" s="32"/>
      <c r="AF295" s="146"/>
      <c r="AG295" s="32"/>
      <c r="AH295" s="146"/>
      <c r="AI295" s="32"/>
      <c r="AJ295" s="146"/>
      <c r="AK295" s="32"/>
      <c r="AL295" s="146"/>
      <c r="AM295" s="32"/>
      <c r="AN295" s="146"/>
      <c r="AO295" s="32"/>
      <c r="AP295" s="146"/>
      <c r="AQ295" s="32"/>
      <c r="AR295" s="146"/>
      <c r="AS295" s="32"/>
      <c r="AT295" s="146"/>
      <c r="AU295" s="32"/>
      <c r="AV295" s="146"/>
      <c r="AW295" s="32"/>
      <c r="AX295" s="146"/>
      <c r="AY295" s="32"/>
      <c r="AZ295" s="146"/>
      <c r="BA295" s="32"/>
      <c r="BB295" s="146"/>
      <c r="BC295" s="32"/>
      <c r="BD295" s="146"/>
      <c r="BE295" s="32"/>
      <c r="BF295" s="146"/>
      <c r="BG295" s="32"/>
      <c r="BH295" s="146"/>
      <c r="BI295" s="32"/>
      <c r="BJ295" s="146"/>
      <c r="BK295" s="32"/>
      <c r="BL295" s="146">
        <v>257</v>
      </c>
      <c r="BM295" s="32">
        <v>311</v>
      </c>
      <c r="BN295" s="146"/>
      <c r="BO295" s="32"/>
      <c r="BP295" s="146"/>
      <c r="BQ295" s="32"/>
      <c r="BR295" s="146"/>
      <c r="BS295" s="32"/>
      <c r="BT295" s="146">
        <v>311</v>
      </c>
      <c r="BU295" s="32">
        <v>255</v>
      </c>
      <c r="BV295" s="146">
        <v>328</v>
      </c>
      <c r="BW295" s="32">
        <v>237</v>
      </c>
    </row>
    <row r="296" spans="1:75" ht="13" x14ac:dyDescent="0.25">
      <c r="A296" s="186">
        <v>4912</v>
      </c>
      <c r="B296" s="187" t="s">
        <v>318</v>
      </c>
      <c r="C296" s="46">
        <v>844</v>
      </c>
      <c r="D296" s="142">
        <v>537</v>
      </c>
      <c r="E296" s="145">
        <f t="shared" si="4"/>
        <v>0.63625592417061616</v>
      </c>
      <c r="F296" s="146">
        <v>297</v>
      </c>
      <c r="G296" s="32">
        <v>200</v>
      </c>
      <c r="H296" s="146"/>
      <c r="I296" s="32"/>
      <c r="J296" s="146"/>
      <c r="K296" s="32"/>
      <c r="L296" s="146"/>
      <c r="M296" s="32"/>
      <c r="N296" s="146"/>
      <c r="O296" s="32"/>
      <c r="P296" s="146"/>
      <c r="Q296" s="32"/>
      <c r="R296" s="146"/>
      <c r="S296" s="32"/>
      <c r="T296" s="146"/>
      <c r="U296" s="32"/>
      <c r="V296" s="146"/>
      <c r="W296" s="32"/>
      <c r="X296" s="146"/>
      <c r="Y296" s="32"/>
      <c r="Z296" s="146"/>
      <c r="AA296" s="32"/>
      <c r="AB296" s="146"/>
      <c r="AC296" s="32"/>
      <c r="AD296" s="146"/>
      <c r="AE296" s="32"/>
      <c r="AF296" s="146"/>
      <c r="AG296" s="32"/>
      <c r="AH296" s="146"/>
      <c r="AI296" s="32"/>
      <c r="AJ296" s="146"/>
      <c r="AK296" s="32"/>
      <c r="AL296" s="146"/>
      <c r="AM296" s="32"/>
      <c r="AN296" s="146"/>
      <c r="AO296" s="32"/>
      <c r="AP296" s="146"/>
      <c r="AQ296" s="32"/>
      <c r="AR296" s="146"/>
      <c r="AS296" s="32"/>
      <c r="AT296" s="146"/>
      <c r="AU296" s="32"/>
      <c r="AV296" s="146"/>
      <c r="AW296" s="32"/>
      <c r="AX296" s="146"/>
      <c r="AY296" s="32"/>
      <c r="AZ296" s="146"/>
      <c r="BA296" s="32"/>
      <c r="BB296" s="146"/>
      <c r="BC296" s="32"/>
      <c r="BD296" s="146"/>
      <c r="BE296" s="32"/>
      <c r="BF296" s="146"/>
      <c r="BG296" s="32"/>
      <c r="BH296" s="146"/>
      <c r="BI296" s="32"/>
      <c r="BJ296" s="146"/>
      <c r="BK296" s="32"/>
      <c r="BL296" s="146">
        <v>253</v>
      </c>
      <c r="BM296" s="32">
        <v>235</v>
      </c>
      <c r="BN296" s="146"/>
      <c r="BO296" s="32"/>
      <c r="BP296" s="146"/>
      <c r="BQ296" s="32"/>
      <c r="BR296" s="146"/>
      <c r="BS296" s="32"/>
      <c r="BT296" s="146">
        <v>335</v>
      </c>
      <c r="BU296" s="32">
        <v>152</v>
      </c>
      <c r="BV296" s="146">
        <v>345</v>
      </c>
      <c r="BW296" s="32">
        <v>147</v>
      </c>
    </row>
    <row r="297" spans="1:75" ht="13" x14ac:dyDescent="0.25">
      <c r="A297" s="186">
        <v>4921</v>
      </c>
      <c r="B297" s="187" t="s">
        <v>319</v>
      </c>
      <c r="C297" s="46">
        <v>840</v>
      </c>
      <c r="D297" s="142">
        <v>678</v>
      </c>
      <c r="E297" s="145">
        <f t="shared" si="4"/>
        <v>0.80714285714285716</v>
      </c>
      <c r="F297" s="146">
        <v>353</v>
      </c>
      <c r="G297" s="32">
        <v>302</v>
      </c>
      <c r="H297" s="146"/>
      <c r="I297" s="32"/>
      <c r="J297" s="146"/>
      <c r="K297" s="32"/>
      <c r="L297" s="146"/>
      <c r="M297" s="32"/>
      <c r="N297" s="146"/>
      <c r="O297" s="32"/>
      <c r="P297" s="146"/>
      <c r="Q297" s="32"/>
      <c r="R297" s="146"/>
      <c r="S297" s="32"/>
      <c r="T297" s="146"/>
      <c r="U297" s="32"/>
      <c r="V297" s="146"/>
      <c r="W297" s="32"/>
      <c r="X297" s="146"/>
      <c r="Y297" s="32"/>
      <c r="Z297" s="146"/>
      <c r="AA297" s="32"/>
      <c r="AB297" s="146"/>
      <c r="AC297" s="32"/>
      <c r="AD297" s="146"/>
      <c r="AE297" s="32"/>
      <c r="AF297" s="146"/>
      <c r="AG297" s="32"/>
      <c r="AH297" s="146"/>
      <c r="AI297" s="32"/>
      <c r="AJ297" s="146"/>
      <c r="AK297" s="32"/>
      <c r="AL297" s="146"/>
      <c r="AM297" s="32"/>
      <c r="AN297" s="146"/>
      <c r="AO297" s="32"/>
      <c r="AP297" s="146"/>
      <c r="AQ297" s="32"/>
      <c r="AR297" s="146"/>
      <c r="AS297" s="32"/>
      <c r="AT297" s="146"/>
      <c r="AU297" s="32"/>
      <c r="AV297" s="146"/>
      <c r="AW297" s="32"/>
      <c r="AX297" s="146"/>
      <c r="AY297" s="32"/>
      <c r="AZ297" s="146"/>
      <c r="BA297" s="32"/>
      <c r="BB297" s="146"/>
      <c r="BC297" s="32"/>
      <c r="BD297" s="146"/>
      <c r="BE297" s="32"/>
      <c r="BF297" s="146"/>
      <c r="BG297" s="32"/>
      <c r="BH297" s="146"/>
      <c r="BI297" s="32"/>
      <c r="BJ297" s="146"/>
      <c r="BK297" s="32"/>
      <c r="BL297" s="146">
        <v>293</v>
      </c>
      <c r="BM297" s="32">
        <v>360</v>
      </c>
      <c r="BN297" s="146"/>
      <c r="BO297" s="32"/>
      <c r="BP297" s="146"/>
      <c r="BQ297" s="32"/>
      <c r="BR297" s="146"/>
      <c r="BS297" s="32"/>
      <c r="BT297" s="146">
        <v>418</v>
      </c>
      <c r="BU297" s="32">
        <v>241</v>
      </c>
      <c r="BV297" s="146">
        <v>417</v>
      </c>
      <c r="BW297" s="32">
        <v>241</v>
      </c>
    </row>
    <row r="298" spans="1:75" ht="13" x14ac:dyDescent="0.25">
      <c r="A298" s="186">
        <v>4931</v>
      </c>
      <c r="B298" s="187" t="s">
        <v>320</v>
      </c>
      <c r="C298" s="46">
        <v>1564</v>
      </c>
      <c r="D298" s="142">
        <v>1112</v>
      </c>
      <c r="E298" s="145">
        <f t="shared" si="4"/>
        <v>0.71099744245524299</v>
      </c>
      <c r="F298" s="146">
        <v>539</v>
      </c>
      <c r="G298" s="32">
        <v>521</v>
      </c>
      <c r="H298" s="146"/>
      <c r="I298" s="32"/>
      <c r="J298" s="146"/>
      <c r="K298" s="32"/>
      <c r="L298" s="146"/>
      <c r="M298" s="32"/>
      <c r="N298" s="146"/>
      <c r="O298" s="32"/>
      <c r="P298" s="146"/>
      <c r="Q298" s="32"/>
      <c r="R298" s="146"/>
      <c r="S298" s="32"/>
      <c r="T298" s="146"/>
      <c r="U298" s="32"/>
      <c r="V298" s="146"/>
      <c r="W298" s="32"/>
      <c r="X298" s="146"/>
      <c r="Y298" s="32"/>
      <c r="Z298" s="146"/>
      <c r="AA298" s="32"/>
      <c r="AB298" s="146"/>
      <c r="AC298" s="32"/>
      <c r="AD298" s="146"/>
      <c r="AE298" s="32"/>
      <c r="AF298" s="146"/>
      <c r="AG298" s="32"/>
      <c r="AH298" s="146"/>
      <c r="AI298" s="32"/>
      <c r="AJ298" s="146"/>
      <c r="AK298" s="32"/>
      <c r="AL298" s="146"/>
      <c r="AM298" s="32"/>
      <c r="AN298" s="146"/>
      <c r="AO298" s="32"/>
      <c r="AP298" s="146"/>
      <c r="AQ298" s="32"/>
      <c r="AR298" s="146"/>
      <c r="AS298" s="32"/>
      <c r="AT298" s="146"/>
      <c r="AU298" s="32"/>
      <c r="AV298" s="146"/>
      <c r="AW298" s="32"/>
      <c r="AX298" s="146"/>
      <c r="AY298" s="32"/>
      <c r="AZ298" s="146"/>
      <c r="BA298" s="32"/>
      <c r="BB298" s="146"/>
      <c r="BC298" s="32"/>
      <c r="BD298" s="146"/>
      <c r="BE298" s="32"/>
      <c r="BF298" s="146"/>
      <c r="BG298" s="32"/>
      <c r="BH298" s="146"/>
      <c r="BI298" s="32"/>
      <c r="BJ298" s="146"/>
      <c r="BK298" s="32"/>
      <c r="BL298" s="146">
        <v>461</v>
      </c>
      <c r="BM298" s="32">
        <v>580</v>
      </c>
      <c r="BN298" s="146"/>
      <c r="BO298" s="32"/>
      <c r="BP298" s="146"/>
      <c r="BQ298" s="32"/>
      <c r="BR298" s="146"/>
      <c r="BS298" s="32"/>
      <c r="BT298" s="146">
        <v>624</v>
      </c>
      <c r="BU298" s="32">
        <v>423</v>
      </c>
      <c r="BV298" s="146">
        <v>656</v>
      </c>
      <c r="BW298" s="32">
        <v>404</v>
      </c>
    </row>
    <row r="299" spans="1:75" ht="13" x14ac:dyDescent="0.25">
      <c r="A299" s="186">
        <v>4932</v>
      </c>
      <c r="B299" s="187" t="s">
        <v>321</v>
      </c>
      <c r="C299" s="46">
        <v>786</v>
      </c>
      <c r="D299" s="142">
        <v>631</v>
      </c>
      <c r="E299" s="145">
        <f t="shared" si="4"/>
        <v>0.80279898218829515</v>
      </c>
      <c r="F299" s="146">
        <v>248</v>
      </c>
      <c r="G299" s="32">
        <v>355</v>
      </c>
      <c r="H299" s="146"/>
      <c r="I299" s="32"/>
      <c r="J299" s="146"/>
      <c r="K299" s="32"/>
      <c r="L299" s="146"/>
      <c r="M299" s="32"/>
      <c r="N299" s="146"/>
      <c r="O299" s="32"/>
      <c r="P299" s="146"/>
      <c r="Q299" s="32"/>
      <c r="R299" s="146"/>
      <c r="S299" s="32"/>
      <c r="T299" s="146"/>
      <c r="U299" s="32"/>
      <c r="V299" s="146"/>
      <c r="W299" s="32"/>
      <c r="X299" s="146"/>
      <c r="Y299" s="32"/>
      <c r="Z299" s="146"/>
      <c r="AA299" s="32"/>
      <c r="AB299" s="146"/>
      <c r="AC299" s="32"/>
      <c r="AD299" s="146"/>
      <c r="AE299" s="32"/>
      <c r="AF299" s="146"/>
      <c r="AG299" s="32"/>
      <c r="AH299" s="146"/>
      <c r="AI299" s="32"/>
      <c r="AJ299" s="146"/>
      <c r="AK299" s="32"/>
      <c r="AL299" s="146"/>
      <c r="AM299" s="32"/>
      <c r="AN299" s="146"/>
      <c r="AO299" s="32"/>
      <c r="AP299" s="146"/>
      <c r="AQ299" s="32"/>
      <c r="AR299" s="146"/>
      <c r="AS299" s="32"/>
      <c r="AT299" s="146"/>
      <c r="AU299" s="32"/>
      <c r="AV299" s="146"/>
      <c r="AW299" s="32"/>
      <c r="AX299" s="146"/>
      <c r="AY299" s="32"/>
      <c r="AZ299" s="146"/>
      <c r="BA299" s="32"/>
      <c r="BB299" s="146"/>
      <c r="BC299" s="32"/>
      <c r="BD299" s="146"/>
      <c r="BE299" s="32"/>
      <c r="BF299" s="146"/>
      <c r="BG299" s="32"/>
      <c r="BH299" s="146"/>
      <c r="BI299" s="32"/>
      <c r="BJ299" s="146"/>
      <c r="BK299" s="32"/>
      <c r="BL299" s="146">
        <v>251</v>
      </c>
      <c r="BM299" s="32">
        <v>359</v>
      </c>
      <c r="BN299" s="146"/>
      <c r="BO299" s="32"/>
      <c r="BP299" s="146"/>
      <c r="BQ299" s="32"/>
      <c r="BR299" s="146"/>
      <c r="BS299" s="32"/>
      <c r="BT299" s="146">
        <v>351</v>
      </c>
      <c r="BU299" s="32">
        <v>251</v>
      </c>
      <c r="BV299" s="146">
        <v>357</v>
      </c>
      <c r="BW299" s="32">
        <v>246</v>
      </c>
    </row>
    <row r="300" spans="1:75" ht="13" x14ac:dyDescent="0.25">
      <c r="A300" s="186">
        <v>4941</v>
      </c>
      <c r="B300" s="187" t="s">
        <v>322</v>
      </c>
      <c r="C300" s="46">
        <v>1085</v>
      </c>
      <c r="D300" s="142">
        <v>888</v>
      </c>
      <c r="E300" s="145">
        <f t="shared" si="4"/>
        <v>0.81843317972350227</v>
      </c>
      <c r="F300" s="146">
        <v>400</v>
      </c>
      <c r="G300" s="32">
        <v>469</v>
      </c>
      <c r="H300" s="146"/>
      <c r="I300" s="32"/>
      <c r="J300" s="146"/>
      <c r="K300" s="32"/>
      <c r="L300" s="146"/>
      <c r="M300" s="32"/>
      <c r="N300" s="146"/>
      <c r="O300" s="32"/>
      <c r="P300" s="146"/>
      <c r="Q300" s="32"/>
      <c r="R300" s="146"/>
      <c r="S300" s="32"/>
      <c r="T300" s="146"/>
      <c r="U300" s="32"/>
      <c r="V300" s="146"/>
      <c r="W300" s="32"/>
      <c r="X300" s="146"/>
      <c r="Y300" s="32"/>
      <c r="Z300" s="146"/>
      <c r="AA300" s="32"/>
      <c r="AB300" s="146"/>
      <c r="AC300" s="32"/>
      <c r="AD300" s="146"/>
      <c r="AE300" s="32"/>
      <c r="AF300" s="146"/>
      <c r="AG300" s="32"/>
      <c r="AH300" s="146"/>
      <c r="AI300" s="32"/>
      <c r="AJ300" s="146"/>
      <c r="AK300" s="32"/>
      <c r="AL300" s="146"/>
      <c r="AM300" s="32"/>
      <c r="AN300" s="146"/>
      <c r="AO300" s="32"/>
      <c r="AP300" s="146"/>
      <c r="AQ300" s="32"/>
      <c r="AR300" s="146"/>
      <c r="AS300" s="32"/>
      <c r="AT300" s="146"/>
      <c r="AU300" s="32"/>
      <c r="AV300" s="146"/>
      <c r="AW300" s="32"/>
      <c r="AX300" s="146"/>
      <c r="AY300" s="32"/>
      <c r="AZ300" s="146"/>
      <c r="BA300" s="32"/>
      <c r="BB300" s="146"/>
      <c r="BC300" s="32"/>
      <c r="BD300" s="146"/>
      <c r="BE300" s="32"/>
      <c r="BF300" s="146"/>
      <c r="BG300" s="32"/>
      <c r="BH300" s="146"/>
      <c r="BI300" s="32"/>
      <c r="BJ300" s="146"/>
      <c r="BK300" s="32"/>
      <c r="BL300" s="146">
        <v>369</v>
      </c>
      <c r="BM300" s="32">
        <v>490</v>
      </c>
      <c r="BN300" s="146"/>
      <c r="BO300" s="32"/>
      <c r="BP300" s="146"/>
      <c r="BQ300" s="32"/>
      <c r="BR300" s="146"/>
      <c r="BS300" s="32"/>
      <c r="BT300" s="146">
        <v>515</v>
      </c>
      <c r="BU300" s="32">
        <v>347</v>
      </c>
      <c r="BV300" s="146">
        <v>548</v>
      </c>
      <c r="BW300" s="32">
        <v>312</v>
      </c>
    </row>
    <row r="301" spans="1:75" ht="13" x14ac:dyDescent="0.25">
      <c r="A301" s="186">
        <v>4942</v>
      </c>
      <c r="B301" s="187" t="s">
        <v>323</v>
      </c>
      <c r="C301" s="46">
        <v>1595</v>
      </c>
      <c r="D301" s="142">
        <v>1213</v>
      </c>
      <c r="E301" s="145">
        <f t="shared" si="4"/>
        <v>0.76050156739811914</v>
      </c>
      <c r="F301" s="146">
        <v>544</v>
      </c>
      <c r="G301" s="32">
        <v>619</v>
      </c>
      <c r="H301" s="146"/>
      <c r="I301" s="32"/>
      <c r="J301" s="146"/>
      <c r="K301" s="32"/>
      <c r="L301" s="146"/>
      <c r="M301" s="32"/>
      <c r="N301" s="146"/>
      <c r="O301" s="32"/>
      <c r="P301" s="146"/>
      <c r="Q301" s="32"/>
      <c r="R301" s="146"/>
      <c r="S301" s="32"/>
      <c r="T301" s="146"/>
      <c r="U301" s="32"/>
      <c r="V301" s="146"/>
      <c r="W301" s="32"/>
      <c r="X301" s="146"/>
      <c r="Y301" s="32"/>
      <c r="Z301" s="146"/>
      <c r="AA301" s="32"/>
      <c r="AB301" s="146"/>
      <c r="AC301" s="32"/>
      <c r="AD301" s="146"/>
      <c r="AE301" s="32"/>
      <c r="AF301" s="146"/>
      <c r="AG301" s="32"/>
      <c r="AH301" s="146"/>
      <c r="AI301" s="32"/>
      <c r="AJ301" s="146"/>
      <c r="AK301" s="32"/>
      <c r="AL301" s="146"/>
      <c r="AM301" s="32"/>
      <c r="AN301" s="146"/>
      <c r="AO301" s="32"/>
      <c r="AP301" s="146"/>
      <c r="AQ301" s="32"/>
      <c r="AR301" s="146"/>
      <c r="AS301" s="32"/>
      <c r="AT301" s="146"/>
      <c r="AU301" s="32"/>
      <c r="AV301" s="146"/>
      <c r="AW301" s="32"/>
      <c r="AX301" s="146"/>
      <c r="AY301" s="32"/>
      <c r="AZ301" s="146"/>
      <c r="BA301" s="32"/>
      <c r="BB301" s="146"/>
      <c r="BC301" s="32"/>
      <c r="BD301" s="146"/>
      <c r="BE301" s="32"/>
      <c r="BF301" s="146"/>
      <c r="BG301" s="32"/>
      <c r="BH301" s="146"/>
      <c r="BI301" s="32"/>
      <c r="BJ301" s="146"/>
      <c r="BK301" s="32"/>
      <c r="BL301" s="146">
        <v>476</v>
      </c>
      <c r="BM301" s="32">
        <v>704</v>
      </c>
      <c r="BN301" s="146"/>
      <c r="BO301" s="32"/>
      <c r="BP301" s="146"/>
      <c r="BQ301" s="32"/>
      <c r="BR301" s="146"/>
      <c r="BS301" s="32"/>
      <c r="BT301" s="146">
        <v>656</v>
      </c>
      <c r="BU301" s="32">
        <v>508</v>
      </c>
      <c r="BV301" s="146">
        <v>692</v>
      </c>
      <c r="BW301" s="32">
        <v>472</v>
      </c>
    </row>
    <row r="302" spans="1:75" ht="13" x14ac:dyDescent="0.25">
      <c r="A302" s="186">
        <v>5201</v>
      </c>
      <c r="B302" s="187" t="s">
        <v>324</v>
      </c>
      <c r="C302" s="46">
        <v>745</v>
      </c>
      <c r="D302" s="142">
        <v>574</v>
      </c>
      <c r="E302" s="145">
        <f t="shared" si="4"/>
        <v>0.77046979865771814</v>
      </c>
      <c r="F302" s="146">
        <v>356</v>
      </c>
      <c r="G302" s="32">
        <v>189</v>
      </c>
      <c r="H302" s="146"/>
      <c r="I302" s="32"/>
      <c r="J302" s="146"/>
      <c r="K302" s="32"/>
      <c r="L302" s="146"/>
      <c r="M302" s="32"/>
      <c r="N302" s="146"/>
      <c r="O302" s="32"/>
      <c r="P302" s="146"/>
      <c r="Q302" s="32"/>
      <c r="R302" s="146"/>
      <c r="S302" s="32"/>
      <c r="T302" s="146"/>
      <c r="U302" s="32"/>
      <c r="V302" s="146"/>
      <c r="W302" s="32"/>
      <c r="X302" s="146"/>
      <c r="Y302" s="32"/>
      <c r="Z302" s="146"/>
      <c r="AA302" s="32"/>
      <c r="AB302" s="146"/>
      <c r="AC302" s="32"/>
      <c r="AD302" s="146"/>
      <c r="AE302" s="32"/>
      <c r="AF302" s="146"/>
      <c r="AG302" s="32"/>
      <c r="AH302" s="146"/>
      <c r="AI302" s="32"/>
      <c r="AJ302" s="146"/>
      <c r="AK302" s="32"/>
      <c r="AL302" s="146"/>
      <c r="AM302" s="32"/>
      <c r="AN302" s="146"/>
      <c r="AO302" s="32"/>
      <c r="AP302" s="146"/>
      <c r="AQ302" s="32"/>
      <c r="AR302" s="146"/>
      <c r="AS302" s="32"/>
      <c r="AT302" s="146"/>
      <c r="AU302" s="32"/>
      <c r="AV302" s="146"/>
      <c r="AW302" s="32"/>
      <c r="AX302" s="146"/>
      <c r="AY302" s="32"/>
      <c r="AZ302" s="146"/>
      <c r="BA302" s="32"/>
      <c r="BB302" s="146"/>
      <c r="BC302" s="32"/>
      <c r="BD302" s="146"/>
      <c r="BE302" s="32"/>
      <c r="BF302" s="146"/>
      <c r="BG302" s="32"/>
      <c r="BH302" s="146"/>
      <c r="BI302" s="32"/>
      <c r="BJ302" s="146"/>
      <c r="BK302" s="32"/>
      <c r="BL302" s="146">
        <v>313</v>
      </c>
      <c r="BM302" s="32">
        <v>233</v>
      </c>
      <c r="BN302" s="146"/>
      <c r="BO302" s="32"/>
      <c r="BP302" s="146"/>
      <c r="BQ302" s="32"/>
      <c r="BR302" s="146"/>
      <c r="BS302" s="32"/>
      <c r="BT302" s="146">
        <v>377</v>
      </c>
      <c r="BU302" s="32">
        <v>170</v>
      </c>
      <c r="BV302" s="146">
        <v>388</v>
      </c>
      <c r="BW302" s="32">
        <v>160</v>
      </c>
    </row>
    <row r="303" spans="1:75" ht="13" x14ac:dyDescent="0.25">
      <c r="A303" s="186">
        <v>5202</v>
      </c>
      <c r="B303" s="187" t="s">
        <v>325</v>
      </c>
      <c r="C303" s="46">
        <v>947</v>
      </c>
      <c r="D303" s="142">
        <v>701</v>
      </c>
      <c r="E303" s="145">
        <f t="shared" si="4"/>
        <v>0.74023231256599786</v>
      </c>
      <c r="F303" s="146">
        <v>431</v>
      </c>
      <c r="G303" s="32">
        <v>237</v>
      </c>
      <c r="H303" s="146"/>
      <c r="I303" s="32"/>
      <c r="J303" s="146"/>
      <c r="K303" s="32"/>
      <c r="L303" s="146"/>
      <c r="M303" s="32"/>
      <c r="N303" s="146"/>
      <c r="O303" s="32"/>
      <c r="P303" s="146"/>
      <c r="Q303" s="32"/>
      <c r="R303" s="146"/>
      <c r="S303" s="32"/>
      <c r="T303" s="146"/>
      <c r="U303" s="32"/>
      <c r="V303" s="146"/>
      <c r="W303" s="32"/>
      <c r="X303" s="146"/>
      <c r="Y303" s="32"/>
      <c r="Z303" s="146"/>
      <c r="AA303" s="32"/>
      <c r="AB303" s="146"/>
      <c r="AC303" s="32"/>
      <c r="AD303" s="146"/>
      <c r="AE303" s="32"/>
      <c r="AF303" s="146"/>
      <c r="AG303" s="32"/>
      <c r="AH303" s="146"/>
      <c r="AI303" s="32"/>
      <c r="AJ303" s="146"/>
      <c r="AK303" s="32"/>
      <c r="AL303" s="146"/>
      <c r="AM303" s="32"/>
      <c r="AN303" s="146"/>
      <c r="AO303" s="32"/>
      <c r="AP303" s="146"/>
      <c r="AQ303" s="32"/>
      <c r="AR303" s="146"/>
      <c r="AS303" s="32"/>
      <c r="AT303" s="146"/>
      <c r="AU303" s="32"/>
      <c r="AV303" s="146"/>
      <c r="AW303" s="32"/>
      <c r="AX303" s="146"/>
      <c r="AY303" s="32"/>
      <c r="AZ303" s="146"/>
      <c r="BA303" s="32"/>
      <c r="BB303" s="146"/>
      <c r="BC303" s="32"/>
      <c r="BD303" s="146"/>
      <c r="BE303" s="32"/>
      <c r="BF303" s="146"/>
      <c r="BG303" s="32"/>
      <c r="BH303" s="146"/>
      <c r="BI303" s="32"/>
      <c r="BJ303" s="146"/>
      <c r="BK303" s="32"/>
      <c r="BL303" s="146">
        <v>369</v>
      </c>
      <c r="BM303" s="32">
        <v>292</v>
      </c>
      <c r="BN303" s="146"/>
      <c r="BO303" s="32"/>
      <c r="BP303" s="146"/>
      <c r="BQ303" s="32"/>
      <c r="BR303" s="146"/>
      <c r="BS303" s="32"/>
      <c r="BT303" s="146">
        <v>466</v>
      </c>
      <c r="BU303" s="32">
        <v>201</v>
      </c>
      <c r="BV303" s="146">
        <v>469</v>
      </c>
      <c r="BW303" s="32">
        <v>200</v>
      </c>
    </row>
    <row r="304" spans="1:75" ht="13" x14ac:dyDescent="0.25">
      <c r="A304" s="186">
        <v>5203</v>
      </c>
      <c r="B304" s="187" t="s">
        <v>326</v>
      </c>
      <c r="C304" s="46">
        <v>1041</v>
      </c>
      <c r="D304" s="142">
        <v>725</v>
      </c>
      <c r="E304" s="145">
        <f t="shared" si="4"/>
        <v>0.69644572526416904</v>
      </c>
      <c r="F304" s="146">
        <v>431</v>
      </c>
      <c r="G304" s="32">
        <v>243</v>
      </c>
      <c r="H304" s="146"/>
      <c r="I304" s="32"/>
      <c r="J304" s="146"/>
      <c r="K304" s="32"/>
      <c r="L304" s="146"/>
      <c r="M304" s="32"/>
      <c r="N304" s="146"/>
      <c r="O304" s="32"/>
      <c r="P304" s="146"/>
      <c r="Q304" s="32"/>
      <c r="R304" s="146"/>
      <c r="S304" s="32"/>
      <c r="T304" s="146"/>
      <c r="U304" s="32"/>
      <c r="V304" s="146"/>
      <c r="W304" s="32"/>
      <c r="X304" s="146"/>
      <c r="Y304" s="32"/>
      <c r="Z304" s="146"/>
      <c r="AA304" s="32"/>
      <c r="AB304" s="146"/>
      <c r="AC304" s="32"/>
      <c r="AD304" s="146"/>
      <c r="AE304" s="32"/>
      <c r="AF304" s="146"/>
      <c r="AG304" s="32"/>
      <c r="AH304" s="146"/>
      <c r="AI304" s="32"/>
      <c r="AJ304" s="146"/>
      <c r="AK304" s="32"/>
      <c r="AL304" s="146"/>
      <c r="AM304" s="32"/>
      <c r="AN304" s="146"/>
      <c r="AO304" s="32"/>
      <c r="AP304" s="146"/>
      <c r="AQ304" s="32"/>
      <c r="AR304" s="146"/>
      <c r="AS304" s="32"/>
      <c r="AT304" s="146"/>
      <c r="AU304" s="32"/>
      <c r="AV304" s="146"/>
      <c r="AW304" s="32"/>
      <c r="AX304" s="146"/>
      <c r="AY304" s="32"/>
      <c r="AZ304" s="146"/>
      <c r="BA304" s="32"/>
      <c r="BB304" s="146"/>
      <c r="BC304" s="32"/>
      <c r="BD304" s="146"/>
      <c r="BE304" s="32"/>
      <c r="BF304" s="146"/>
      <c r="BG304" s="32"/>
      <c r="BH304" s="146"/>
      <c r="BI304" s="32"/>
      <c r="BJ304" s="146"/>
      <c r="BK304" s="32"/>
      <c r="BL304" s="146">
        <v>404</v>
      </c>
      <c r="BM304" s="32">
        <v>233</v>
      </c>
      <c r="BN304" s="146"/>
      <c r="BO304" s="32"/>
      <c r="BP304" s="146"/>
      <c r="BQ304" s="32"/>
      <c r="BR304" s="146"/>
      <c r="BS304" s="32"/>
      <c r="BT304" s="146">
        <v>504</v>
      </c>
      <c r="BU304" s="32">
        <v>166</v>
      </c>
      <c r="BV304" s="146">
        <v>512</v>
      </c>
      <c r="BW304" s="32">
        <v>163</v>
      </c>
    </row>
    <row r="305" spans="1:75" ht="13" x14ac:dyDescent="0.25">
      <c r="A305" s="186">
        <v>5204</v>
      </c>
      <c r="B305" s="187" t="s">
        <v>327</v>
      </c>
      <c r="C305" s="46">
        <v>799</v>
      </c>
      <c r="D305" s="142">
        <v>570</v>
      </c>
      <c r="E305" s="145">
        <f t="shared" si="4"/>
        <v>0.71339173967459324</v>
      </c>
      <c r="F305" s="146">
        <v>269</v>
      </c>
      <c r="G305" s="32">
        <v>261</v>
      </c>
      <c r="H305" s="146"/>
      <c r="I305" s="32"/>
      <c r="J305" s="146"/>
      <c r="K305" s="32"/>
      <c r="L305" s="146"/>
      <c r="M305" s="32"/>
      <c r="N305" s="146"/>
      <c r="O305" s="32"/>
      <c r="P305" s="146"/>
      <c r="Q305" s="32"/>
      <c r="R305" s="146"/>
      <c r="S305" s="32"/>
      <c r="T305" s="146"/>
      <c r="U305" s="32"/>
      <c r="V305" s="146"/>
      <c r="W305" s="32"/>
      <c r="X305" s="146"/>
      <c r="Y305" s="32"/>
      <c r="Z305" s="146"/>
      <c r="AA305" s="32"/>
      <c r="AB305" s="146"/>
      <c r="AC305" s="32"/>
      <c r="AD305" s="146"/>
      <c r="AE305" s="32"/>
      <c r="AF305" s="146"/>
      <c r="AG305" s="32"/>
      <c r="AH305" s="146"/>
      <c r="AI305" s="32"/>
      <c r="AJ305" s="146"/>
      <c r="AK305" s="32"/>
      <c r="AL305" s="146"/>
      <c r="AM305" s="32"/>
      <c r="AN305" s="146"/>
      <c r="AO305" s="32"/>
      <c r="AP305" s="146"/>
      <c r="AQ305" s="32"/>
      <c r="AR305" s="146"/>
      <c r="AS305" s="32"/>
      <c r="AT305" s="146"/>
      <c r="AU305" s="32"/>
      <c r="AV305" s="146"/>
      <c r="AW305" s="32"/>
      <c r="AX305" s="146"/>
      <c r="AY305" s="32"/>
      <c r="AZ305" s="146"/>
      <c r="BA305" s="32"/>
      <c r="BB305" s="146"/>
      <c r="BC305" s="32"/>
      <c r="BD305" s="146"/>
      <c r="BE305" s="32"/>
      <c r="BF305" s="146"/>
      <c r="BG305" s="32"/>
      <c r="BH305" s="146"/>
      <c r="BI305" s="32"/>
      <c r="BJ305" s="146"/>
      <c r="BK305" s="32"/>
      <c r="BL305" s="146">
        <v>230</v>
      </c>
      <c r="BM305" s="32">
        <v>306</v>
      </c>
      <c r="BN305" s="146"/>
      <c r="BO305" s="32"/>
      <c r="BP305" s="146"/>
      <c r="BQ305" s="32"/>
      <c r="BR305" s="146"/>
      <c r="BS305" s="32"/>
      <c r="BT305" s="146">
        <v>297</v>
      </c>
      <c r="BU305" s="32">
        <v>239</v>
      </c>
      <c r="BV305" s="146">
        <v>311</v>
      </c>
      <c r="BW305" s="32">
        <v>223</v>
      </c>
    </row>
    <row r="306" spans="1:75" ht="13" x14ac:dyDescent="0.25">
      <c r="A306" s="186">
        <v>5205</v>
      </c>
      <c r="B306" s="187" t="s">
        <v>328</v>
      </c>
      <c r="C306" s="46">
        <v>1063</v>
      </c>
      <c r="D306" s="142">
        <v>692</v>
      </c>
      <c r="E306" s="145">
        <f t="shared" si="4"/>
        <v>0.65098777046095957</v>
      </c>
      <c r="F306" s="146">
        <v>349</v>
      </c>
      <c r="G306" s="32">
        <v>297</v>
      </c>
      <c r="H306" s="146"/>
      <c r="I306" s="32"/>
      <c r="J306" s="146"/>
      <c r="K306" s="32"/>
      <c r="L306" s="146"/>
      <c r="M306" s="32"/>
      <c r="N306" s="146"/>
      <c r="O306" s="32"/>
      <c r="P306" s="146"/>
      <c r="Q306" s="32"/>
      <c r="R306" s="146"/>
      <c r="S306" s="32"/>
      <c r="T306" s="146"/>
      <c r="U306" s="32"/>
      <c r="V306" s="146"/>
      <c r="W306" s="32"/>
      <c r="X306" s="146"/>
      <c r="Y306" s="32"/>
      <c r="Z306" s="146"/>
      <c r="AA306" s="32"/>
      <c r="AB306" s="146"/>
      <c r="AC306" s="32"/>
      <c r="AD306" s="146"/>
      <c r="AE306" s="32"/>
      <c r="AF306" s="146"/>
      <c r="AG306" s="32"/>
      <c r="AH306" s="146"/>
      <c r="AI306" s="32"/>
      <c r="AJ306" s="146"/>
      <c r="AK306" s="32"/>
      <c r="AL306" s="146"/>
      <c r="AM306" s="32"/>
      <c r="AN306" s="146"/>
      <c r="AO306" s="32"/>
      <c r="AP306" s="146"/>
      <c r="AQ306" s="32"/>
      <c r="AR306" s="146"/>
      <c r="AS306" s="32"/>
      <c r="AT306" s="146"/>
      <c r="AU306" s="32"/>
      <c r="AV306" s="146"/>
      <c r="AW306" s="32"/>
      <c r="AX306" s="146"/>
      <c r="AY306" s="32"/>
      <c r="AZ306" s="146"/>
      <c r="BA306" s="32"/>
      <c r="BB306" s="146"/>
      <c r="BC306" s="32"/>
      <c r="BD306" s="146"/>
      <c r="BE306" s="32"/>
      <c r="BF306" s="146"/>
      <c r="BG306" s="32"/>
      <c r="BH306" s="146"/>
      <c r="BI306" s="32"/>
      <c r="BJ306" s="146"/>
      <c r="BK306" s="32"/>
      <c r="BL306" s="146">
        <v>313</v>
      </c>
      <c r="BM306" s="32">
        <v>335</v>
      </c>
      <c r="BN306" s="146"/>
      <c r="BO306" s="32"/>
      <c r="BP306" s="146"/>
      <c r="BQ306" s="32"/>
      <c r="BR306" s="146"/>
      <c r="BS306" s="32"/>
      <c r="BT306" s="146">
        <v>373</v>
      </c>
      <c r="BU306" s="32">
        <v>270</v>
      </c>
      <c r="BV306" s="146">
        <v>387</v>
      </c>
      <c r="BW306" s="32">
        <v>259</v>
      </c>
    </row>
    <row r="307" spans="1:75" ht="13" x14ac:dyDescent="0.25">
      <c r="A307" s="186">
        <v>5206</v>
      </c>
      <c r="B307" s="187" t="s">
        <v>329</v>
      </c>
      <c r="C307" s="46">
        <v>832</v>
      </c>
      <c r="D307" s="142">
        <v>602</v>
      </c>
      <c r="E307" s="145">
        <f t="shared" si="4"/>
        <v>0.72355769230769229</v>
      </c>
      <c r="F307" s="146">
        <v>326</v>
      </c>
      <c r="G307" s="32">
        <v>241</v>
      </c>
      <c r="H307" s="146"/>
      <c r="I307" s="32"/>
      <c r="J307" s="146"/>
      <c r="K307" s="32"/>
      <c r="L307" s="146"/>
      <c r="M307" s="32"/>
      <c r="N307" s="146"/>
      <c r="O307" s="32"/>
      <c r="P307" s="146"/>
      <c r="Q307" s="32"/>
      <c r="R307" s="146"/>
      <c r="S307" s="32"/>
      <c r="T307" s="146"/>
      <c r="U307" s="32"/>
      <c r="V307" s="146"/>
      <c r="W307" s="32"/>
      <c r="X307" s="146"/>
      <c r="Y307" s="32"/>
      <c r="Z307" s="146">
        <v>442</v>
      </c>
      <c r="AA307" s="32">
        <v>131</v>
      </c>
      <c r="AB307" s="146"/>
      <c r="AC307" s="32"/>
      <c r="AD307" s="146"/>
      <c r="AE307" s="32"/>
      <c r="AF307" s="146"/>
      <c r="AG307" s="32"/>
      <c r="AH307" s="146"/>
      <c r="AI307" s="32"/>
      <c r="AJ307" s="146"/>
      <c r="AK307" s="32"/>
      <c r="AL307" s="146"/>
      <c r="AM307" s="32"/>
      <c r="AN307" s="146"/>
      <c r="AO307" s="32"/>
      <c r="AP307" s="146"/>
      <c r="AQ307" s="32"/>
      <c r="AR307" s="146"/>
      <c r="AS307" s="32"/>
      <c r="AT307" s="146"/>
      <c r="AU307" s="32"/>
      <c r="AV307" s="146"/>
      <c r="AW307" s="32"/>
      <c r="AX307" s="146"/>
      <c r="AY307" s="32"/>
      <c r="AZ307" s="146"/>
      <c r="BA307" s="32"/>
      <c r="BB307" s="146"/>
      <c r="BC307" s="32"/>
      <c r="BD307" s="146"/>
      <c r="BE307" s="32"/>
      <c r="BF307" s="146"/>
      <c r="BG307" s="32"/>
      <c r="BH307" s="146"/>
      <c r="BI307" s="32"/>
      <c r="BJ307" s="146"/>
      <c r="BK307" s="32"/>
      <c r="BL307" s="146">
        <v>233</v>
      </c>
      <c r="BM307" s="32">
        <v>331</v>
      </c>
      <c r="BN307" s="146"/>
      <c r="BO307" s="32"/>
      <c r="BP307" s="146"/>
      <c r="BQ307" s="32"/>
      <c r="BR307" s="146"/>
      <c r="BS307" s="32"/>
      <c r="BT307" s="146">
        <v>348</v>
      </c>
      <c r="BU307" s="32">
        <v>216</v>
      </c>
      <c r="BV307" s="146">
        <v>352</v>
      </c>
      <c r="BW307" s="32">
        <v>210</v>
      </c>
    </row>
    <row r="308" spans="1:75" ht="13" x14ac:dyDescent="0.25">
      <c r="A308" s="186">
        <v>5207</v>
      </c>
      <c r="B308" s="187" t="s">
        <v>330</v>
      </c>
      <c r="C308" s="46">
        <v>771</v>
      </c>
      <c r="D308" s="142">
        <v>537</v>
      </c>
      <c r="E308" s="145">
        <f t="shared" si="4"/>
        <v>0.69649805447470814</v>
      </c>
      <c r="F308" s="146">
        <v>357</v>
      </c>
      <c r="G308" s="32">
        <v>157</v>
      </c>
      <c r="H308" s="146"/>
      <c r="I308" s="32"/>
      <c r="J308" s="146"/>
      <c r="K308" s="32"/>
      <c r="L308" s="146"/>
      <c r="M308" s="32"/>
      <c r="N308" s="146"/>
      <c r="O308" s="32"/>
      <c r="P308" s="146"/>
      <c r="Q308" s="32"/>
      <c r="R308" s="146"/>
      <c r="S308" s="32"/>
      <c r="T308" s="146"/>
      <c r="U308" s="32"/>
      <c r="V308" s="146"/>
      <c r="W308" s="32"/>
      <c r="X308" s="146"/>
      <c r="Y308" s="32"/>
      <c r="Z308" s="146"/>
      <c r="AA308" s="32"/>
      <c r="AB308" s="146"/>
      <c r="AC308" s="32"/>
      <c r="AD308" s="146"/>
      <c r="AE308" s="32"/>
      <c r="AF308" s="146"/>
      <c r="AG308" s="32"/>
      <c r="AH308" s="146"/>
      <c r="AI308" s="32"/>
      <c r="AJ308" s="146"/>
      <c r="AK308" s="32"/>
      <c r="AL308" s="146"/>
      <c r="AM308" s="32"/>
      <c r="AN308" s="146"/>
      <c r="AO308" s="32"/>
      <c r="AP308" s="146"/>
      <c r="AQ308" s="32"/>
      <c r="AR308" s="146"/>
      <c r="AS308" s="32"/>
      <c r="AT308" s="146"/>
      <c r="AU308" s="32"/>
      <c r="AV308" s="146"/>
      <c r="AW308" s="32"/>
      <c r="AX308" s="146"/>
      <c r="AY308" s="32"/>
      <c r="AZ308" s="146"/>
      <c r="BA308" s="32"/>
      <c r="BB308" s="146"/>
      <c r="BC308" s="32"/>
      <c r="BD308" s="146"/>
      <c r="BE308" s="32"/>
      <c r="BF308" s="146"/>
      <c r="BG308" s="32"/>
      <c r="BH308" s="146"/>
      <c r="BI308" s="32"/>
      <c r="BJ308" s="146"/>
      <c r="BK308" s="32"/>
      <c r="BL308" s="146">
        <v>302</v>
      </c>
      <c r="BM308" s="32">
        <v>204</v>
      </c>
      <c r="BN308" s="146"/>
      <c r="BO308" s="32"/>
      <c r="BP308" s="146"/>
      <c r="BQ308" s="32"/>
      <c r="BR308" s="146"/>
      <c r="BS308" s="32"/>
      <c r="BT308" s="146">
        <v>387</v>
      </c>
      <c r="BU308" s="32">
        <v>128</v>
      </c>
      <c r="BV308" s="146">
        <v>393</v>
      </c>
      <c r="BW308" s="32">
        <v>123</v>
      </c>
    </row>
    <row r="309" spans="1:75" ht="13" x14ac:dyDescent="0.25">
      <c r="A309" s="186">
        <v>5208</v>
      </c>
      <c r="B309" s="187" t="s">
        <v>331</v>
      </c>
      <c r="C309" s="46">
        <v>901</v>
      </c>
      <c r="D309" s="142">
        <v>707</v>
      </c>
      <c r="E309" s="145">
        <f t="shared" si="4"/>
        <v>0.78468368479467254</v>
      </c>
      <c r="F309" s="146">
        <v>460</v>
      </c>
      <c r="G309" s="32">
        <v>211</v>
      </c>
      <c r="H309" s="146"/>
      <c r="I309" s="32"/>
      <c r="J309" s="146"/>
      <c r="K309" s="32"/>
      <c r="L309" s="146"/>
      <c r="M309" s="32"/>
      <c r="N309" s="146"/>
      <c r="O309" s="32"/>
      <c r="P309" s="146"/>
      <c r="Q309" s="32"/>
      <c r="R309" s="146"/>
      <c r="S309" s="32"/>
      <c r="T309" s="146"/>
      <c r="U309" s="32"/>
      <c r="V309" s="146"/>
      <c r="W309" s="32"/>
      <c r="X309" s="146"/>
      <c r="Y309" s="32"/>
      <c r="Z309" s="146"/>
      <c r="AA309" s="32"/>
      <c r="AB309" s="146"/>
      <c r="AC309" s="32"/>
      <c r="AD309" s="146"/>
      <c r="AE309" s="32"/>
      <c r="AF309" s="146"/>
      <c r="AG309" s="32"/>
      <c r="AH309" s="146"/>
      <c r="AI309" s="32"/>
      <c r="AJ309" s="146"/>
      <c r="AK309" s="32"/>
      <c r="AL309" s="146"/>
      <c r="AM309" s="32"/>
      <c r="AN309" s="146"/>
      <c r="AO309" s="32"/>
      <c r="AP309" s="146"/>
      <c r="AQ309" s="32"/>
      <c r="AR309" s="146"/>
      <c r="AS309" s="32"/>
      <c r="AT309" s="146"/>
      <c r="AU309" s="32"/>
      <c r="AV309" s="146"/>
      <c r="AW309" s="32"/>
      <c r="AX309" s="146"/>
      <c r="AY309" s="32"/>
      <c r="AZ309" s="146"/>
      <c r="BA309" s="32"/>
      <c r="BB309" s="146"/>
      <c r="BC309" s="32"/>
      <c r="BD309" s="146"/>
      <c r="BE309" s="32"/>
      <c r="BF309" s="146"/>
      <c r="BG309" s="32"/>
      <c r="BH309" s="146"/>
      <c r="BI309" s="32"/>
      <c r="BJ309" s="146"/>
      <c r="BK309" s="32"/>
      <c r="BL309" s="146">
        <v>372</v>
      </c>
      <c r="BM309" s="32">
        <v>310</v>
      </c>
      <c r="BN309" s="146"/>
      <c r="BO309" s="32"/>
      <c r="BP309" s="146"/>
      <c r="BQ309" s="32"/>
      <c r="BR309" s="146"/>
      <c r="BS309" s="32"/>
      <c r="BT309" s="146">
        <v>483</v>
      </c>
      <c r="BU309" s="32">
        <v>196</v>
      </c>
      <c r="BV309" s="146">
        <v>495</v>
      </c>
      <c r="BW309" s="32">
        <v>190</v>
      </c>
    </row>
    <row r="310" spans="1:75" ht="13" x14ac:dyDescent="0.25">
      <c r="A310" s="186">
        <v>5301</v>
      </c>
      <c r="B310" s="187" t="s">
        <v>332</v>
      </c>
      <c r="C310" s="46">
        <v>1490</v>
      </c>
      <c r="D310" s="142">
        <v>1239</v>
      </c>
      <c r="E310" s="145">
        <f t="shared" si="4"/>
        <v>0.83154362416107386</v>
      </c>
      <c r="F310" s="146">
        <v>789</v>
      </c>
      <c r="G310" s="32">
        <v>402</v>
      </c>
      <c r="H310" s="146"/>
      <c r="I310" s="32"/>
      <c r="J310" s="146"/>
      <c r="K310" s="32"/>
      <c r="L310" s="146"/>
      <c r="M310" s="32"/>
      <c r="N310" s="146"/>
      <c r="O310" s="32"/>
      <c r="P310" s="146"/>
      <c r="Q310" s="32"/>
      <c r="R310" s="146"/>
      <c r="S310" s="32"/>
      <c r="T310" s="146"/>
      <c r="U310" s="32"/>
      <c r="V310" s="146"/>
      <c r="W310" s="32"/>
      <c r="X310" s="146"/>
      <c r="Y310" s="32"/>
      <c r="Z310" s="146"/>
      <c r="AA310" s="32"/>
      <c r="AB310" s="146"/>
      <c r="AC310" s="32"/>
      <c r="AD310" s="146"/>
      <c r="AE310" s="32"/>
      <c r="AF310" s="146"/>
      <c r="AG310" s="32"/>
      <c r="AH310" s="146"/>
      <c r="AI310" s="32"/>
      <c r="AJ310" s="146"/>
      <c r="AK310" s="32"/>
      <c r="AL310" s="146"/>
      <c r="AM310" s="32"/>
      <c r="AN310" s="146"/>
      <c r="AO310" s="32"/>
      <c r="AP310" s="146"/>
      <c r="AQ310" s="32"/>
      <c r="AR310" s="146"/>
      <c r="AS310" s="32"/>
      <c r="AT310" s="146"/>
      <c r="AU310" s="32"/>
      <c r="AV310" s="146"/>
      <c r="AW310" s="32"/>
      <c r="AX310" s="146"/>
      <c r="AY310" s="32"/>
      <c r="AZ310" s="146">
        <v>0</v>
      </c>
      <c r="BA310" s="32">
        <v>1</v>
      </c>
      <c r="BB310" s="146"/>
      <c r="BC310" s="32"/>
      <c r="BD310" s="146"/>
      <c r="BE310" s="32"/>
      <c r="BF310" s="146"/>
      <c r="BG310" s="32"/>
      <c r="BH310" s="146"/>
      <c r="BI310" s="32"/>
      <c r="BJ310" s="146"/>
      <c r="BK310" s="32"/>
      <c r="BL310" s="146"/>
      <c r="BM310" s="32"/>
      <c r="BN310" s="146">
        <v>753</v>
      </c>
      <c r="BO310" s="32">
        <v>361</v>
      </c>
      <c r="BP310" s="146"/>
      <c r="BQ310" s="32"/>
      <c r="BR310" s="146"/>
      <c r="BS310" s="32"/>
      <c r="BT310" s="146">
        <v>916</v>
      </c>
      <c r="BU310" s="32">
        <v>271</v>
      </c>
      <c r="BV310" s="146">
        <v>937</v>
      </c>
      <c r="BW310" s="32">
        <v>248</v>
      </c>
    </row>
    <row r="311" spans="1:75" ht="13" x14ac:dyDescent="0.25">
      <c r="A311" s="186">
        <v>5302</v>
      </c>
      <c r="B311" s="187" t="s">
        <v>333</v>
      </c>
      <c r="C311" s="46">
        <v>1470</v>
      </c>
      <c r="D311" s="142">
        <v>1211</v>
      </c>
      <c r="E311" s="145">
        <f t="shared" si="4"/>
        <v>0.82380952380952377</v>
      </c>
      <c r="F311" s="146">
        <v>800</v>
      </c>
      <c r="G311" s="32">
        <v>376</v>
      </c>
      <c r="H311" s="146"/>
      <c r="I311" s="32"/>
      <c r="J311" s="146"/>
      <c r="K311" s="32"/>
      <c r="L311" s="146"/>
      <c r="M311" s="32"/>
      <c r="N311" s="146"/>
      <c r="O311" s="32"/>
      <c r="P311" s="146"/>
      <c r="Q311" s="32"/>
      <c r="R311" s="146"/>
      <c r="S311" s="32"/>
      <c r="T311" s="146"/>
      <c r="U311" s="32"/>
      <c r="V311" s="146"/>
      <c r="W311" s="32"/>
      <c r="X311" s="146"/>
      <c r="Y311" s="32"/>
      <c r="Z311" s="146"/>
      <c r="AA311" s="32"/>
      <c r="AB311" s="146"/>
      <c r="AC311" s="32"/>
      <c r="AD311" s="146"/>
      <c r="AE311" s="32"/>
      <c r="AF311" s="146"/>
      <c r="AG311" s="32"/>
      <c r="AH311" s="146"/>
      <c r="AI311" s="32"/>
      <c r="AJ311" s="146"/>
      <c r="AK311" s="32"/>
      <c r="AL311" s="146"/>
      <c r="AM311" s="32"/>
      <c r="AN311" s="146"/>
      <c r="AO311" s="32"/>
      <c r="AP311" s="146"/>
      <c r="AQ311" s="32"/>
      <c r="AR311" s="146"/>
      <c r="AS311" s="32"/>
      <c r="AT311" s="146"/>
      <c r="AU311" s="32"/>
      <c r="AV311" s="146"/>
      <c r="AW311" s="32"/>
      <c r="AX311" s="146"/>
      <c r="AY311" s="32"/>
      <c r="AZ311" s="146"/>
      <c r="BA311" s="32"/>
      <c r="BB311" s="146"/>
      <c r="BC311" s="32"/>
      <c r="BD311" s="146"/>
      <c r="BE311" s="32"/>
      <c r="BF311" s="146"/>
      <c r="BG311" s="32"/>
      <c r="BH311" s="146"/>
      <c r="BI311" s="32"/>
      <c r="BJ311" s="146"/>
      <c r="BK311" s="32"/>
      <c r="BL311" s="146"/>
      <c r="BM311" s="32"/>
      <c r="BN311" s="146">
        <v>787</v>
      </c>
      <c r="BO311" s="32">
        <v>384</v>
      </c>
      <c r="BP311" s="146"/>
      <c r="BQ311" s="32"/>
      <c r="BR311" s="146"/>
      <c r="BS311" s="32"/>
      <c r="BT311" s="146">
        <v>913</v>
      </c>
      <c r="BU311" s="32">
        <v>257</v>
      </c>
      <c r="BV311" s="146">
        <v>905</v>
      </c>
      <c r="BW311" s="32">
        <v>260</v>
      </c>
    </row>
    <row r="312" spans="1:75" ht="13" x14ac:dyDescent="0.25">
      <c r="A312" s="186">
        <v>5303</v>
      </c>
      <c r="B312" s="187" t="s">
        <v>334</v>
      </c>
      <c r="C312" s="46">
        <v>1472</v>
      </c>
      <c r="D312" s="142">
        <v>1193</v>
      </c>
      <c r="E312" s="145">
        <f t="shared" si="4"/>
        <v>0.81046195652173914</v>
      </c>
      <c r="F312" s="146">
        <v>788</v>
      </c>
      <c r="G312" s="32">
        <v>366</v>
      </c>
      <c r="H312" s="146"/>
      <c r="I312" s="32"/>
      <c r="J312" s="146"/>
      <c r="K312" s="32"/>
      <c r="L312" s="146"/>
      <c r="M312" s="32"/>
      <c r="N312" s="146"/>
      <c r="O312" s="32"/>
      <c r="P312" s="146"/>
      <c r="Q312" s="32"/>
      <c r="R312" s="146"/>
      <c r="S312" s="32"/>
      <c r="T312" s="146"/>
      <c r="U312" s="32"/>
      <c r="V312" s="146"/>
      <c r="W312" s="32"/>
      <c r="X312" s="146"/>
      <c r="Y312" s="32"/>
      <c r="Z312" s="146"/>
      <c r="AA312" s="32"/>
      <c r="AB312" s="146"/>
      <c r="AC312" s="32"/>
      <c r="AD312" s="146"/>
      <c r="AE312" s="32"/>
      <c r="AF312" s="146"/>
      <c r="AG312" s="32"/>
      <c r="AH312" s="146"/>
      <c r="AI312" s="32"/>
      <c r="AJ312" s="146"/>
      <c r="AK312" s="32"/>
      <c r="AL312" s="146"/>
      <c r="AM312" s="32"/>
      <c r="AN312" s="146"/>
      <c r="AO312" s="32"/>
      <c r="AP312" s="146"/>
      <c r="AQ312" s="32"/>
      <c r="AR312" s="146"/>
      <c r="AS312" s="32"/>
      <c r="AT312" s="146"/>
      <c r="AU312" s="32"/>
      <c r="AV312" s="146"/>
      <c r="AW312" s="32"/>
      <c r="AX312" s="146"/>
      <c r="AY312" s="32"/>
      <c r="AZ312" s="146"/>
      <c r="BA312" s="32"/>
      <c r="BB312" s="146"/>
      <c r="BC312" s="32"/>
      <c r="BD312" s="146"/>
      <c r="BE312" s="32"/>
      <c r="BF312" s="146"/>
      <c r="BG312" s="32"/>
      <c r="BH312" s="146"/>
      <c r="BI312" s="32"/>
      <c r="BJ312" s="146"/>
      <c r="BK312" s="32"/>
      <c r="BL312" s="146"/>
      <c r="BM312" s="32"/>
      <c r="BN312" s="146">
        <v>865</v>
      </c>
      <c r="BO312" s="32">
        <v>296</v>
      </c>
      <c r="BP312" s="146"/>
      <c r="BQ312" s="32"/>
      <c r="BR312" s="146"/>
      <c r="BS312" s="32"/>
      <c r="BT312" s="146">
        <v>897</v>
      </c>
      <c r="BU312" s="32">
        <v>262</v>
      </c>
      <c r="BV312" s="146">
        <v>926</v>
      </c>
      <c r="BW312" s="32">
        <v>234</v>
      </c>
    </row>
    <row r="313" spans="1:75" ht="13" x14ac:dyDescent="0.25">
      <c r="A313" s="186">
        <v>5304</v>
      </c>
      <c r="B313" s="187" t="s">
        <v>335</v>
      </c>
      <c r="C313" s="46">
        <v>1375</v>
      </c>
      <c r="D313" s="142">
        <v>1085</v>
      </c>
      <c r="E313" s="145">
        <f t="shared" si="4"/>
        <v>0.78909090909090907</v>
      </c>
      <c r="F313" s="146">
        <v>719</v>
      </c>
      <c r="G313" s="32">
        <v>323</v>
      </c>
      <c r="H313" s="146"/>
      <c r="I313" s="32"/>
      <c r="J313" s="146"/>
      <c r="K313" s="32"/>
      <c r="L313" s="146"/>
      <c r="M313" s="32"/>
      <c r="N313" s="146"/>
      <c r="O313" s="32"/>
      <c r="P313" s="146"/>
      <c r="Q313" s="32"/>
      <c r="R313" s="146"/>
      <c r="S313" s="32"/>
      <c r="T313" s="146"/>
      <c r="U313" s="32"/>
      <c r="V313" s="146"/>
      <c r="W313" s="32"/>
      <c r="X313" s="146"/>
      <c r="Y313" s="32"/>
      <c r="Z313" s="146"/>
      <c r="AA313" s="32"/>
      <c r="AB313" s="146"/>
      <c r="AC313" s="32"/>
      <c r="AD313" s="146"/>
      <c r="AE313" s="32"/>
      <c r="AF313" s="146"/>
      <c r="AG313" s="32"/>
      <c r="AH313" s="146"/>
      <c r="AI313" s="32"/>
      <c r="AJ313" s="146"/>
      <c r="AK313" s="32"/>
      <c r="AL313" s="146"/>
      <c r="AM313" s="32"/>
      <c r="AN313" s="146"/>
      <c r="AO313" s="32"/>
      <c r="AP313" s="146"/>
      <c r="AQ313" s="32"/>
      <c r="AR313" s="146"/>
      <c r="AS313" s="32"/>
      <c r="AT313" s="146"/>
      <c r="AU313" s="32"/>
      <c r="AV313" s="146"/>
      <c r="AW313" s="32"/>
      <c r="AX313" s="146"/>
      <c r="AY313" s="32"/>
      <c r="AZ313" s="146"/>
      <c r="BA313" s="32"/>
      <c r="BB313" s="146"/>
      <c r="BC313" s="32"/>
      <c r="BD313" s="146"/>
      <c r="BE313" s="32"/>
      <c r="BF313" s="146"/>
      <c r="BG313" s="32"/>
      <c r="BH313" s="146"/>
      <c r="BI313" s="32"/>
      <c r="BJ313" s="146"/>
      <c r="BK313" s="32"/>
      <c r="BL313" s="146"/>
      <c r="BM313" s="32"/>
      <c r="BN313" s="146">
        <v>682</v>
      </c>
      <c r="BO313" s="32">
        <v>365</v>
      </c>
      <c r="BP313" s="146"/>
      <c r="BQ313" s="32"/>
      <c r="BR313" s="146"/>
      <c r="BS313" s="32"/>
      <c r="BT313" s="146">
        <v>782</v>
      </c>
      <c r="BU313" s="32">
        <v>268</v>
      </c>
      <c r="BV313" s="146">
        <v>807</v>
      </c>
      <c r="BW313" s="32">
        <v>242</v>
      </c>
    </row>
    <row r="314" spans="1:75" ht="13" x14ac:dyDescent="0.25">
      <c r="A314" s="186">
        <v>5305</v>
      </c>
      <c r="B314" s="187" t="s">
        <v>336</v>
      </c>
      <c r="C314" s="46">
        <v>1357</v>
      </c>
      <c r="D314" s="142">
        <v>1133</v>
      </c>
      <c r="E314" s="145">
        <f t="shared" si="4"/>
        <v>0.83492999263080325</v>
      </c>
      <c r="F314" s="146">
        <v>725</v>
      </c>
      <c r="G314" s="32">
        <v>373</v>
      </c>
      <c r="H314" s="146"/>
      <c r="I314" s="32"/>
      <c r="J314" s="146"/>
      <c r="K314" s="32"/>
      <c r="L314" s="146"/>
      <c r="M314" s="32"/>
      <c r="N314" s="146"/>
      <c r="O314" s="32"/>
      <c r="P314" s="146"/>
      <c r="Q314" s="32"/>
      <c r="R314" s="146"/>
      <c r="S314" s="32"/>
      <c r="T314" s="146"/>
      <c r="U314" s="32"/>
      <c r="V314" s="146"/>
      <c r="W314" s="32"/>
      <c r="X314" s="146"/>
      <c r="Y314" s="32"/>
      <c r="Z314" s="146"/>
      <c r="AA314" s="32"/>
      <c r="AB314" s="146"/>
      <c r="AC314" s="32"/>
      <c r="AD314" s="146"/>
      <c r="AE314" s="32"/>
      <c r="AF314" s="146"/>
      <c r="AG314" s="32"/>
      <c r="AH314" s="146"/>
      <c r="AI314" s="32"/>
      <c r="AJ314" s="146"/>
      <c r="AK314" s="32"/>
      <c r="AL314" s="146"/>
      <c r="AM314" s="32"/>
      <c r="AN314" s="146"/>
      <c r="AO314" s="32"/>
      <c r="AP314" s="146"/>
      <c r="AQ314" s="32"/>
      <c r="AR314" s="146"/>
      <c r="AS314" s="32"/>
      <c r="AT314" s="146"/>
      <c r="AU314" s="32"/>
      <c r="AV314" s="146"/>
      <c r="AW314" s="32"/>
      <c r="AX314" s="146"/>
      <c r="AY314" s="32"/>
      <c r="AZ314" s="146"/>
      <c r="BA314" s="32"/>
      <c r="BB314" s="146"/>
      <c r="BC314" s="32"/>
      <c r="BD314" s="146"/>
      <c r="BE314" s="32"/>
      <c r="BF314" s="146"/>
      <c r="BG314" s="32"/>
      <c r="BH314" s="146"/>
      <c r="BI314" s="32"/>
      <c r="BJ314" s="146"/>
      <c r="BK314" s="32"/>
      <c r="BL314" s="146"/>
      <c r="BM314" s="32"/>
      <c r="BN314" s="146">
        <v>767</v>
      </c>
      <c r="BO314" s="32">
        <v>336</v>
      </c>
      <c r="BP314" s="146"/>
      <c r="BQ314" s="32"/>
      <c r="BR314" s="146"/>
      <c r="BS314" s="32"/>
      <c r="BT314" s="146">
        <v>845</v>
      </c>
      <c r="BU314" s="32">
        <v>243</v>
      </c>
      <c r="BV314" s="146">
        <v>856</v>
      </c>
      <c r="BW314" s="32">
        <v>237</v>
      </c>
    </row>
    <row r="315" spans="1:75" ht="13" x14ac:dyDescent="0.25">
      <c r="A315" s="186">
        <v>5501</v>
      </c>
      <c r="B315" s="187" t="s">
        <v>337</v>
      </c>
      <c r="C315" s="46">
        <v>860</v>
      </c>
      <c r="D315" s="142">
        <v>686</v>
      </c>
      <c r="E315" s="145">
        <f t="shared" si="4"/>
        <v>0.79767441860465116</v>
      </c>
      <c r="F315" s="146">
        <v>398</v>
      </c>
      <c r="G315" s="32">
        <v>260</v>
      </c>
      <c r="H315" s="146"/>
      <c r="I315" s="32"/>
      <c r="J315" s="146"/>
      <c r="K315" s="32"/>
      <c r="L315" s="146"/>
      <c r="M315" s="32"/>
      <c r="N315" s="146"/>
      <c r="O315" s="32"/>
      <c r="P315" s="146"/>
      <c r="Q315" s="32"/>
      <c r="R315" s="146"/>
      <c r="S315" s="32"/>
      <c r="T315" s="146"/>
      <c r="U315" s="32"/>
      <c r="V315" s="146"/>
      <c r="W315" s="32"/>
      <c r="X315" s="146"/>
      <c r="Y315" s="32"/>
      <c r="Z315" s="146"/>
      <c r="AA315" s="32"/>
      <c r="AB315" s="146"/>
      <c r="AC315" s="32"/>
      <c r="AD315" s="146"/>
      <c r="AE315" s="32"/>
      <c r="AF315" s="146"/>
      <c r="AG315" s="32"/>
      <c r="AH315" s="146"/>
      <c r="AI315" s="32"/>
      <c r="AJ315" s="146"/>
      <c r="AK315" s="32"/>
      <c r="AL315" s="146"/>
      <c r="AM315" s="32"/>
      <c r="AN315" s="146"/>
      <c r="AO315" s="32"/>
      <c r="AP315" s="146"/>
      <c r="AQ315" s="32"/>
      <c r="AR315" s="146"/>
      <c r="AS315" s="32"/>
      <c r="AT315" s="146"/>
      <c r="AU315" s="32"/>
      <c r="AV315" s="146"/>
      <c r="AW315" s="32"/>
      <c r="AX315" s="146"/>
      <c r="AY315" s="32"/>
      <c r="AZ315" s="146"/>
      <c r="BA315" s="32"/>
      <c r="BB315" s="146"/>
      <c r="BC315" s="32"/>
      <c r="BD315" s="146"/>
      <c r="BE315" s="32"/>
      <c r="BF315" s="146"/>
      <c r="BG315" s="32"/>
      <c r="BH315" s="146"/>
      <c r="BI315" s="32"/>
      <c r="BJ315" s="146"/>
      <c r="BK315" s="32"/>
      <c r="BL315" s="146"/>
      <c r="BM315" s="32"/>
      <c r="BN315" s="146"/>
      <c r="BO315" s="32"/>
      <c r="BP315" s="146"/>
      <c r="BQ315" s="32"/>
      <c r="BR315" s="146"/>
      <c r="BS315" s="32"/>
      <c r="BT315" s="146">
        <v>450</v>
      </c>
      <c r="BU315" s="32">
        <v>191</v>
      </c>
      <c r="BV315" s="146">
        <v>447</v>
      </c>
      <c r="BW315" s="32">
        <v>193</v>
      </c>
    </row>
    <row r="316" spans="1:75" ht="13" x14ac:dyDescent="0.25">
      <c r="A316" s="186">
        <v>5502</v>
      </c>
      <c r="B316" s="187" t="s">
        <v>338</v>
      </c>
      <c r="C316" s="46">
        <v>868</v>
      </c>
      <c r="D316" s="142">
        <v>688</v>
      </c>
      <c r="E316" s="145">
        <f t="shared" si="4"/>
        <v>0.79262672811059909</v>
      </c>
      <c r="F316" s="146">
        <v>342</v>
      </c>
      <c r="G316" s="32">
        <v>314</v>
      </c>
      <c r="H316" s="146"/>
      <c r="I316" s="32"/>
      <c r="J316" s="146"/>
      <c r="K316" s="32"/>
      <c r="L316" s="146"/>
      <c r="M316" s="32"/>
      <c r="N316" s="146"/>
      <c r="O316" s="32"/>
      <c r="P316" s="146"/>
      <c r="Q316" s="32"/>
      <c r="R316" s="146"/>
      <c r="S316" s="32"/>
      <c r="T316" s="146"/>
      <c r="U316" s="32"/>
      <c r="V316" s="146"/>
      <c r="W316" s="32"/>
      <c r="X316" s="146"/>
      <c r="Y316" s="32"/>
      <c r="Z316" s="146"/>
      <c r="AA316" s="32"/>
      <c r="AB316" s="146"/>
      <c r="AC316" s="32"/>
      <c r="AD316" s="146"/>
      <c r="AE316" s="32"/>
      <c r="AF316" s="146"/>
      <c r="AG316" s="32"/>
      <c r="AH316" s="146"/>
      <c r="AI316" s="32"/>
      <c r="AJ316" s="146"/>
      <c r="AK316" s="32"/>
      <c r="AL316" s="146"/>
      <c r="AM316" s="32"/>
      <c r="AN316" s="146"/>
      <c r="AO316" s="32"/>
      <c r="AP316" s="146"/>
      <c r="AQ316" s="32"/>
      <c r="AR316" s="146"/>
      <c r="AS316" s="32"/>
      <c r="AT316" s="146"/>
      <c r="AU316" s="32"/>
      <c r="AV316" s="146"/>
      <c r="AW316" s="32"/>
      <c r="AX316" s="146"/>
      <c r="AY316" s="32"/>
      <c r="AZ316" s="146"/>
      <c r="BA316" s="32"/>
      <c r="BB316" s="146"/>
      <c r="BC316" s="32"/>
      <c r="BD316" s="146"/>
      <c r="BE316" s="32"/>
      <c r="BF316" s="146"/>
      <c r="BG316" s="32"/>
      <c r="BH316" s="146"/>
      <c r="BI316" s="32"/>
      <c r="BJ316" s="146"/>
      <c r="BK316" s="32"/>
      <c r="BL316" s="146"/>
      <c r="BM316" s="32"/>
      <c r="BN316" s="146"/>
      <c r="BO316" s="32"/>
      <c r="BP316" s="146"/>
      <c r="BQ316" s="32"/>
      <c r="BR316" s="146"/>
      <c r="BS316" s="32"/>
      <c r="BT316" s="146">
        <v>404</v>
      </c>
      <c r="BU316" s="32">
        <v>248</v>
      </c>
      <c r="BV316" s="146">
        <v>417</v>
      </c>
      <c r="BW316" s="32">
        <v>234</v>
      </c>
    </row>
    <row r="317" spans="1:75" ht="13" x14ac:dyDescent="0.25">
      <c r="A317" s="186">
        <v>5503</v>
      </c>
      <c r="B317" s="187" t="s">
        <v>339</v>
      </c>
      <c r="C317" s="46">
        <v>654</v>
      </c>
      <c r="D317" s="142">
        <v>563</v>
      </c>
      <c r="E317" s="145">
        <f t="shared" si="4"/>
        <v>0.86085626911314983</v>
      </c>
      <c r="F317" s="146">
        <v>335</v>
      </c>
      <c r="G317" s="32">
        <v>211</v>
      </c>
      <c r="H317" s="146"/>
      <c r="I317" s="32"/>
      <c r="J317" s="146"/>
      <c r="K317" s="32"/>
      <c r="L317" s="146"/>
      <c r="M317" s="32"/>
      <c r="N317" s="146"/>
      <c r="O317" s="32"/>
      <c r="P317" s="146"/>
      <c r="Q317" s="32"/>
      <c r="R317" s="146"/>
      <c r="S317" s="32"/>
      <c r="T317" s="146"/>
      <c r="U317" s="32"/>
      <c r="V317" s="146"/>
      <c r="W317" s="32"/>
      <c r="X317" s="146"/>
      <c r="Y317" s="32"/>
      <c r="Z317" s="146"/>
      <c r="AA317" s="32"/>
      <c r="AB317" s="146"/>
      <c r="AC317" s="32"/>
      <c r="AD317" s="146"/>
      <c r="AE317" s="32"/>
      <c r="AF317" s="146"/>
      <c r="AG317" s="32"/>
      <c r="AH317" s="146"/>
      <c r="AI317" s="32"/>
      <c r="AJ317" s="146"/>
      <c r="AK317" s="32"/>
      <c r="AL317" s="146"/>
      <c r="AM317" s="32"/>
      <c r="AN317" s="146"/>
      <c r="AO317" s="32"/>
      <c r="AP317" s="146"/>
      <c r="AQ317" s="32"/>
      <c r="AR317" s="146"/>
      <c r="AS317" s="32"/>
      <c r="AT317" s="146"/>
      <c r="AU317" s="32"/>
      <c r="AV317" s="146"/>
      <c r="AW317" s="32"/>
      <c r="AX317" s="146"/>
      <c r="AY317" s="32"/>
      <c r="AZ317" s="146"/>
      <c r="BA317" s="32"/>
      <c r="BB317" s="146"/>
      <c r="BC317" s="32"/>
      <c r="BD317" s="146"/>
      <c r="BE317" s="32"/>
      <c r="BF317" s="146"/>
      <c r="BG317" s="32"/>
      <c r="BH317" s="146"/>
      <c r="BI317" s="32"/>
      <c r="BJ317" s="146"/>
      <c r="BK317" s="32"/>
      <c r="BL317" s="146"/>
      <c r="BM317" s="32"/>
      <c r="BN317" s="146"/>
      <c r="BO317" s="32"/>
      <c r="BP317" s="146"/>
      <c r="BQ317" s="32"/>
      <c r="BR317" s="146"/>
      <c r="BS317" s="32"/>
      <c r="BT317" s="146">
        <v>364</v>
      </c>
      <c r="BU317" s="32">
        <v>173</v>
      </c>
      <c r="BV317" s="146">
        <v>370</v>
      </c>
      <c r="BW317" s="32">
        <v>169</v>
      </c>
    </row>
    <row r="318" spans="1:75" ht="13" x14ac:dyDescent="0.25">
      <c r="A318" s="186">
        <v>5504</v>
      </c>
      <c r="B318" s="187" t="s">
        <v>340</v>
      </c>
      <c r="C318" s="46">
        <v>892</v>
      </c>
      <c r="D318" s="142">
        <v>745</v>
      </c>
      <c r="E318" s="145">
        <f t="shared" si="4"/>
        <v>0.83520179372197312</v>
      </c>
      <c r="F318" s="146">
        <v>452</v>
      </c>
      <c r="G318" s="32">
        <v>276</v>
      </c>
      <c r="H318" s="146"/>
      <c r="I318" s="32"/>
      <c r="J318" s="146"/>
      <c r="K318" s="32"/>
      <c r="L318" s="146"/>
      <c r="M318" s="32"/>
      <c r="N318" s="146"/>
      <c r="O318" s="32"/>
      <c r="P318" s="146"/>
      <c r="Q318" s="32"/>
      <c r="R318" s="146"/>
      <c r="S318" s="32"/>
      <c r="T318" s="146"/>
      <c r="U318" s="32"/>
      <c r="V318" s="146"/>
      <c r="W318" s="32"/>
      <c r="X318" s="146"/>
      <c r="Y318" s="32"/>
      <c r="Z318" s="146"/>
      <c r="AA318" s="32"/>
      <c r="AB318" s="146"/>
      <c r="AC318" s="32"/>
      <c r="AD318" s="146"/>
      <c r="AE318" s="32"/>
      <c r="AF318" s="146"/>
      <c r="AG318" s="32"/>
      <c r="AH318" s="146"/>
      <c r="AI318" s="32"/>
      <c r="AJ318" s="146"/>
      <c r="AK318" s="32"/>
      <c r="AL318" s="146"/>
      <c r="AM318" s="32"/>
      <c r="AN318" s="146"/>
      <c r="AO318" s="32"/>
      <c r="AP318" s="146"/>
      <c r="AQ318" s="32"/>
      <c r="AR318" s="146"/>
      <c r="AS318" s="32"/>
      <c r="AT318" s="146"/>
      <c r="AU318" s="32"/>
      <c r="AV318" s="146"/>
      <c r="AW318" s="32"/>
      <c r="AX318" s="146"/>
      <c r="AY318" s="32"/>
      <c r="AZ318" s="146"/>
      <c r="BA318" s="32"/>
      <c r="BB318" s="146"/>
      <c r="BC318" s="32"/>
      <c r="BD318" s="146"/>
      <c r="BE318" s="32"/>
      <c r="BF318" s="146"/>
      <c r="BG318" s="32"/>
      <c r="BH318" s="146"/>
      <c r="BI318" s="32"/>
      <c r="BJ318" s="146"/>
      <c r="BK318" s="32"/>
      <c r="BL318" s="146"/>
      <c r="BM318" s="32"/>
      <c r="BN318" s="146"/>
      <c r="BO318" s="32"/>
      <c r="BP318" s="146"/>
      <c r="BQ318" s="32"/>
      <c r="BR318" s="146"/>
      <c r="BS318" s="32"/>
      <c r="BT318" s="146">
        <v>510</v>
      </c>
      <c r="BU318" s="32">
        <v>210</v>
      </c>
      <c r="BV318" s="146">
        <v>521</v>
      </c>
      <c r="BW318" s="32">
        <v>200</v>
      </c>
    </row>
    <row r="319" spans="1:75" ht="13" x14ac:dyDescent="0.25">
      <c r="A319" s="186">
        <v>5601</v>
      </c>
      <c r="B319" s="187" t="s">
        <v>341</v>
      </c>
      <c r="C319" s="46">
        <v>1069</v>
      </c>
      <c r="D319" s="142">
        <v>883</v>
      </c>
      <c r="E319" s="145">
        <f t="shared" si="4"/>
        <v>0.82600561272217021</v>
      </c>
      <c r="F319" s="146">
        <v>391</v>
      </c>
      <c r="G319" s="32">
        <v>435</v>
      </c>
      <c r="H319" s="146"/>
      <c r="I319" s="32"/>
      <c r="J319" s="146"/>
      <c r="K319" s="32"/>
      <c r="L319" s="146"/>
      <c r="M319" s="32"/>
      <c r="N319" s="146"/>
      <c r="O319" s="32"/>
      <c r="P319" s="146"/>
      <c r="Q319" s="32"/>
      <c r="R319" s="146"/>
      <c r="S319" s="32"/>
      <c r="T319" s="146"/>
      <c r="U319" s="32"/>
      <c r="V319" s="146"/>
      <c r="W319" s="32"/>
      <c r="X319" s="146"/>
      <c r="Y319" s="32"/>
      <c r="Z319" s="146"/>
      <c r="AA319" s="32"/>
      <c r="AB319" s="146"/>
      <c r="AC319" s="32"/>
      <c r="AD319" s="146"/>
      <c r="AE319" s="32"/>
      <c r="AF319" s="146"/>
      <c r="AG319" s="32"/>
      <c r="AH319" s="146"/>
      <c r="AI319" s="32"/>
      <c r="AJ319" s="146"/>
      <c r="AK319" s="32"/>
      <c r="AL319" s="146"/>
      <c r="AM319" s="32"/>
      <c r="AN319" s="146"/>
      <c r="AO319" s="32"/>
      <c r="AP319" s="146"/>
      <c r="AQ319" s="32"/>
      <c r="AR319" s="146"/>
      <c r="AS319" s="32"/>
      <c r="AT319" s="146">
        <v>455</v>
      </c>
      <c r="AU319" s="32">
        <v>390</v>
      </c>
      <c r="AV319" s="146"/>
      <c r="AW319" s="32"/>
      <c r="AX319" s="146"/>
      <c r="AY319" s="32"/>
      <c r="AZ319" s="146"/>
      <c r="BA319" s="32"/>
      <c r="BB319" s="146"/>
      <c r="BC319" s="32"/>
      <c r="BD319" s="146"/>
      <c r="BE319" s="32"/>
      <c r="BF319" s="146"/>
      <c r="BG319" s="32"/>
      <c r="BH319" s="146"/>
      <c r="BI319" s="32"/>
      <c r="BJ319" s="146"/>
      <c r="BK319" s="32"/>
      <c r="BL319" s="146"/>
      <c r="BM319" s="32"/>
      <c r="BN319" s="146"/>
      <c r="BO319" s="32"/>
      <c r="BP319" s="146">
        <v>413</v>
      </c>
      <c r="BQ319" s="32">
        <v>433</v>
      </c>
      <c r="BR319" s="146"/>
      <c r="BS319" s="32"/>
      <c r="BT319" s="146">
        <v>461</v>
      </c>
      <c r="BU319" s="32">
        <v>373</v>
      </c>
      <c r="BV319" s="146">
        <v>474</v>
      </c>
      <c r="BW319" s="32">
        <v>363</v>
      </c>
    </row>
    <row r="320" spans="1:75" ht="13" x14ac:dyDescent="0.25">
      <c r="A320" s="186">
        <v>5602</v>
      </c>
      <c r="B320" s="187" t="s">
        <v>342</v>
      </c>
      <c r="C320" s="46">
        <v>1016</v>
      </c>
      <c r="D320" s="142">
        <v>832</v>
      </c>
      <c r="E320" s="145">
        <f t="shared" si="4"/>
        <v>0.81889763779527558</v>
      </c>
      <c r="F320" s="146">
        <v>350</v>
      </c>
      <c r="G320" s="32">
        <v>437</v>
      </c>
      <c r="H320" s="146"/>
      <c r="I320" s="32"/>
      <c r="J320" s="146"/>
      <c r="K320" s="32"/>
      <c r="L320" s="146"/>
      <c r="M320" s="32"/>
      <c r="N320" s="146"/>
      <c r="O320" s="32"/>
      <c r="P320" s="146"/>
      <c r="Q320" s="32"/>
      <c r="R320" s="146"/>
      <c r="S320" s="32"/>
      <c r="T320" s="146"/>
      <c r="U320" s="32"/>
      <c r="V320" s="146"/>
      <c r="W320" s="32"/>
      <c r="X320" s="146"/>
      <c r="Y320" s="32"/>
      <c r="Z320" s="146"/>
      <c r="AA320" s="32"/>
      <c r="AB320" s="146"/>
      <c r="AC320" s="32"/>
      <c r="AD320" s="146"/>
      <c r="AE320" s="32"/>
      <c r="AF320" s="146"/>
      <c r="AG320" s="32"/>
      <c r="AH320" s="146"/>
      <c r="AI320" s="32"/>
      <c r="AJ320" s="146"/>
      <c r="AK320" s="32"/>
      <c r="AL320" s="146"/>
      <c r="AM320" s="32"/>
      <c r="AN320" s="146"/>
      <c r="AO320" s="32"/>
      <c r="AP320" s="146"/>
      <c r="AQ320" s="32"/>
      <c r="AR320" s="146"/>
      <c r="AS320" s="32"/>
      <c r="AT320" s="146">
        <v>447</v>
      </c>
      <c r="AU320" s="32">
        <v>351</v>
      </c>
      <c r="AV320" s="146"/>
      <c r="AW320" s="32"/>
      <c r="AX320" s="146"/>
      <c r="AY320" s="32"/>
      <c r="AZ320" s="146"/>
      <c r="BA320" s="32"/>
      <c r="BB320" s="146"/>
      <c r="BC320" s="32"/>
      <c r="BD320" s="146"/>
      <c r="BE320" s="32"/>
      <c r="BF320" s="146"/>
      <c r="BG320" s="32"/>
      <c r="BH320" s="146"/>
      <c r="BI320" s="32"/>
      <c r="BJ320" s="146"/>
      <c r="BK320" s="32"/>
      <c r="BL320" s="146"/>
      <c r="BM320" s="32"/>
      <c r="BN320" s="146"/>
      <c r="BO320" s="32"/>
      <c r="BP320" s="146">
        <v>421</v>
      </c>
      <c r="BQ320" s="32">
        <v>375</v>
      </c>
      <c r="BR320" s="146"/>
      <c r="BS320" s="32"/>
      <c r="BT320" s="146">
        <v>467</v>
      </c>
      <c r="BU320" s="32">
        <v>326</v>
      </c>
      <c r="BV320" s="146">
        <v>483</v>
      </c>
      <c r="BW320" s="32">
        <v>310</v>
      </c>
    </row>
    <row r="321" spans="1:75" ht="13" x14ac:dyDescent="0.25">
      <c r="A321" s="186">
        <v>5603</v>
      </c>
      <c r="B321" s="187" t="s">
        <v>343</v>
      </c>
      <c r="C321" s="46">
        <v>1414</v>
      </c>
      <c r="D321" s="142">
        <v>1168</v>
      </c>
      <c r="E321" s="145">
        <f t="shared" si="4"/>
        <v>0.82602545968882601</v>
      </c>
      <c r="F321" s="146">
        <v>585</v>
      </c>
      <c r="G321" s="32">
        <v>532</v>
      </c>
      <c r="H321" s="146"/>
      <c r="I321" s="32"/>
      <c r="J321" s="146"/>
      <c r="K321" s="32"/>
      <c r="L321" s="146"/>
      <c r="M321" s="32"/>
      <c r="N321" s="146"/>
      <c r="O321" s="32"/>
      <c r="P321" s="146"/>
      <c r="Q321" s="32"/>
      <c r="R321" s="146"/>
      <c r="S321" s="32"/>
      <c r="T321" s="146"/>
      <c r="U321" s="32"/>
      <c r="V321" s="146"/>
      <c r="W321" s="32"/>
      <c r="X321" s="146"/>
      <c r="Y321" s="32"/>
      <c r="Z321" s="146"/>
      <c r="AA321" s="32"/>
      <c r="AB321" s="146"/>
      <c r="AC321" s="32"/>
      <c r="AD321" s="146"/>
      <c r="AE321" s="32"/>
      <c r="AF321" s="146"/>
      <c r="AG321" s="32"/>
      <c r="AH321" s="146"/>
      <c r="AI321" s="32"/>
      <c r="AJ321" s="146"/>
      <c r="AK321" s="32"/>
      <c r="AL321" s="146"/>
      <c r="AM321" s="32"/>
      <c r="AN321" s="146"/>
      <c r="AO321" s="32"/>
      <c r="AP321" s="146"/>
      <c r="AQ321" s="32"/>
      <c r="AR321" s="146"/>
      <c r="AS321" s="32"/>
      <c r="AT321" s="146">
        <v>593</v>
      </c>
      <c r="AU321" s="32">
        <v>523</v>
      </c>
      <c r="AV321" s="146"/>
      <c r="AW321" s="32"/>
      <c r="AX321" s="146"/>
      <c r="AY321" s="32"/>
      <c r="AZ321" s="146"/>
      <c r="BA321" s="32"/>
      <c r="BB321" s="146"/>
      <c r="BC321" s="32"/>
      <c r="BD321" s="146"/>
      <c r="BE321" s="32"/>
      <c r="BF321" s="146"/>
      <c r="BG321" s="32"/>
      <c r="BH321" s="146"/>
      <c r="BI321" s="32"/>
      <c r="BJ321" s="146"/>
      <c r="BK321" s="32"/>
      <c r="BL321" s="146"/>
      <c r="BM321" s="32"/>
      <c r="BN321" s="146"/>
      <c r="BO321" s="32"/>
      <c r="BP321" s="146">
        <v>581</v>
      </c>
      <c r="BQ321" s="32">
        <v>533</v>
      </c>
      <c r="BR321" s="146"/>
      <c r="BS321" s="32"/>
      <c r="BT321" s="146">
        <v>680</v>
      </c>
      <c r="BU321" s="32">
        <v>434</v>
      </c>
      <c r="BV321" s="146">
        <v>689</v>
      </c>
      <c r="BW321" s="32">
        <v>428</v>
      </c>
    </row>
    <row r="322" spans="1:75" ht="13" x14ac:dyDescent="0.25">
      <c r="A322" s="186">
        <v>5604</v>
      </c>
      <c r="B322" s="187" t="s">
        <v>344</v>
      </c>
      <c r="C322" s="46">
        <v>1393</v>
      </c>
      <c r="D322" s="142">
        <v>1206</v>
      </c>
      <c r="E322" s="145">
        <f t="shared" si="4"/>
        <v>0.86575735821966981</v>
      </c>
      <c r="F322" s="146">
        <v>463</v>
      </c>
      <c r="G322" s="32">
        <v>685</v>
      </c>
      <c r="H322" s="146"/>
      <c r="I322" s="32"/>
      <c r="J322" s="146"/>
      <c r="K322" s="32"/>
      <c r="L322" s="146"/>
      <c r="M322" s="32"/>
      <c r="N322" s="146"/>
      <c r="O322" s="32"/>
      <c r="P322" s="146"/>
      <c r="Q322" s="32"/>
      <c r="R322" s="146"/>
      <c r="S322" s="32"/>
      <c r="T322" s="146"/>
      <c r="U322" s="32"/>
      <c r="V322" s="146"/>
      <c r="W322" s="32"/>
      <c r="X322" s="146"/>
      <c r="Y322" s="32"/>
      <c r="Z322" s="146"/>
      <c r="AA322" s="32"/>
      <c r="AB322" s="146"/>
      <c r="AC322" s="32"/>
      <c r="AD322" s="146"/>
      <c r="AE322" s="32"/>
      <c r="AF322" s="146"/>
      <c r="AG322" s="32"/>
      <c r="AH322" s="146"/>
      <c r="AI322" s="32"/>
      <c r="AJ322" s="146"/>
      <c r="AK322" s="32"/>
      <c r="AL322" s="146"/>
      <c r="AM322" s="32"/>
      <c r="AN322" s="146"/>
      <c r="AO322" s="32"/>
      <c r="AP322" s="146"/>
      <c r="AQ322" s="32"/>
      <c r="AR322" s="146"/>
      <c r="AS322" s="32"/>
      <c r="AT322" s="146">
        <v>554</v>
      </c>
      <c r="AU322" s="32">
        <v>606</v>
      </c>
      <c r="AV322" s="146"/>
      <c r="AW322" s="32"/>
      <c r="AX322" s="146"/>
      <c r="AY322" s="32"/>
      <c r="AZ322" s="146"/>
      <c r="BA322" s="32"/>
      <c r="BB322" s="146"/>
      <c r="BC322" s="32"/>
      <c r="BD322" s="146"/>
      <c r="BE322" s="32"/>
      <c r="BF322" s="146"/>
      <c r="BG322" s="32"/>
      <c r="BH322" s="146"/>
      <c r="BI322" s="32"/>
      <c r="BJ322" s="146"/>
      <c r="BK322" s="32"/>
      <c r="BL322" s="146"/>
      <c r="BM322" s="32"/>
      <c r="BN322" s="146"/>
      <c r="BO322" s="32"/>
      <c r="BP322" s="146">
        <v>530</v>
      </c>
      <c r="BQ322" s="32">
        <v>636</v>
      </c>
      <c r="BR322" s="146"/>
      <c r="BS322" s="32"/>
      <c r="BT322" s="146">
        <v>608</v>
      </c>
      <c r="BU322" s="32">
        <v>553</v>
      </c>
      <c r="BV322" s="146">
        <v>639</v>
      </c>
      <c r="BW322" s="32">
        <v>526</v>
      </c>
    </row>
    <row r="323" spans="1:75" ht="13" x14ac:dyDescent="0.25">
      <c r="A323" s="186">
        <v>5605</v>
      </c>
      <c r="B323" s="187" t="s">
        <v>345</v>
      </c>
      <c r="C323" s="46">
        <v>1283</v>
      </c>
      <c r="D323" s="142">
        <v>1044</v>
      </c>
      <c r="E323" s="145">
        <f t="shared" si="4"/>
        <v>0.81371784879189402</v>
      </c>
      <c r="F323" s="146">
        <v>409</v>
      </c>
      <c r="G323" s="32">
        <v>594</v>
      </c>
      <c r="H323" s="146"/>
      <c r="I323" s="32"/>
      <c r="J323" s="146"/>
      <c r="K323" s="32"/>
      <c r="L323" s="146"/>
      <c r="M323" s="32"/>
      <c r="N323" s="146"/>
      <c r="O323" s="32"/>
      <c r="P323" s="146"/>
      <c r="Q323" s="32"/>
      <c r="R323" s="146"/>
      <c r="S323" s="32"/>
      <c r="T323" s="146"/>
      <c r="U323" s="32"/>
      <c r="V323" s="146"/>
      <c r="W323" s="32"/>
      <c r="X323" s="146"/>
      <c r="Y323" s="32"/>
      <c r="Z323" s="146"/>
      <c r="AA323" s="32"/>
      <c r="AB323" s="146"/>
      <c r="AC323" s="32"/>
      <c r="AD323" s="146"/>
      <c r="AE323" s="32"/>
      <c r="AF323" s="146"/>
      <c r="AG323" s="32"/>
      <c r="AH323" s="146"/>
      <c r="AI323" s="32"/>
      <c r="AJ323" s="146"/>
      <c r="AK323" s="32"/>
      <c r="AL323" s="146"/>
      <c r="AM323" s="32"/>
      <c r="AN323" s="146"/>
      <c r="AO323" s="32"/>
      <c r="AP323" s="146"/>
      <c r="AQ323" s="32"/>
      <c r="AR323" s="146"/>
      <c r="AS323" s="32"/>
      <c r="AT323" s="146">
        <v>459</v>
      </c>
      <c r="AU323" s="32">
        <v>536</v>
      </c>
      <c r="AV323" s="146"/>
      <c r="AW323" s="32"/>
      <c r="AX323" s="146"/>
      <c r="AY323" s="32"/>
      <c r="AZ323" s="146"/>
      <c r="BA323" s="32"/>
      <c r="BB323" s="146"/>
      <c r="BC323" s="32"/>
      <c r="BD323" s="146"/>
      <c r="BE323" s="32"/>
      <c r="BF323" s="146"/>
      <c r="BG323" s="32"/>
      <c r="BH323" s="146"/>
      <c r="BI323" s="32"/>
      <c r="BJ323" s="146"/>
      <c r="BK323" s="32"/>
      <c r="BL323" s="146"/>
      <c r="BM323" s="32"/>
      <c r="BN323" s="146"/>
      <c r="BO323" s="32"/>
      <c r="BP323" s="146">
        <v>456</v>
      </c>
      <c r="BQ323" s="32">
        <v>541</v>
      </c>
      <c r="BR323" s="146"/>
      <c r="BS323" s="32"/>
      <c r="BT323" s="146">
        <v>549</v>
      </c>
      <c r="BU323" s="32">
        <v>446</v>
      </c>
      <c r="BV323" s="146">
        <v>556</v>
      </c>
      <c r="BW323" s="32">
        <v>443</v>
      </c>
    </row>
    <row r="324" spans="1:75" ht="13" x14ac:dyDescent="0.25">
      <c r="A324" s="186">
        <v>5606</v>
      </c>
      <c r="B324" s="187" t="s">
        <v>346</v>
      </c>
      <c r="C324" s="46">
        <v>1251</v>
      </c>
      <c r="D324" s="142">
        <v>1047</v>
      </c>
      <c r="E324" s="145">
        <f t="shared" si="4"/>
        <v>0.83693045563549162</v>
      </c>
      <c r="F324" s="146">
        <v>496</v>
      </c>
      <c r="G324" s="32">
        <v>510</v>
      </c>
      <c r="H324" s="146"/>
      <c r="I324" s="32"/>
      <c r="J324" s="146"/>
      <c r="K324" s="32"/>
      <c r="L324" s="146"/>
      <c r="M324" s="32"/>
      <c r="N324" s="146"/>
      <c r="O324" s="32"/>
      <c r="P324" s="146"/>
      <c r="Q324" s="32"/>
      <c r="R324" s="146"/>
      <c r="S324" s="32"/>
      <c r="T324" s="146"/>
      <c r="U324" s="32"/>
      <c r="V324" s="146"/>
      <c r="W324" s="32"/>
      <c r="X324" s="146"/>
      <c r="Y324" s="32"/>
      <c r="Z324" s="146"/>
      <c r="AA324" s="32"/>
      <c r="AB324" s="146"/>
      <c r="AC324" s="32"/>
      <c r="AD324" s="146"/>
      <c r="AE324" s="32"/>
      <c r="AF324" s="146"/>
      <c r="AG324" s="32"/>
      <c r="AH324" s="146"/>
      <c r="AI324" s="32"/>
      <c r="AJ324" s="146"/>
      <c r="AK324" s="32"/>
      <c r="AL324" s="146"/>
      <c r="AM324" s="32"/>
      <c r="AN324" s="146"/>
      <c r="AO324" s="32"/>
      <c r="AP324" s="146"/>
      <c r="AQ324" s="32"/>
      <c r="AR324" s="146"/>
      <c r="AS324" s="32"/>
      <c r="AT324" s="146">
        <v>488</v>
      </c>
      <c r="AU324" s="32">
        <v>523</v>
      </c>
      <c r="AV324" s="146"/>
      <c r="AW324" s="32"/>
      <c r="AX324" s="146"/>
      <c r="AY324" s="32"/>
      <c r="AZ324" s="146"/>
      <c r="BA324" s="32"/>
      <c r="BB324" s="146"/>
      <c r="BC324" s="32"/>
      <c r="BD324" s="146"/>
      <c r="BE324" s="32"/>
      <c r="BF324" s="146"/>
      <c r="BG324" s="32"/>
      <c r="BH324" s="146"/>
      <c r="BI324" s="32"/>
      <c r="BJ324" s="146"/>
      <c r="BK324" s="32"/>
      <c r="BL324" s="146"/>
      <c r="BM324" s="32"/>
      <c r="BN324" s="146"/>
      <c r="BO324" s="32"/>
      <c r="BP324" s="146">
        <v>472</v>
      </c>
      <c r="BQ324" s="32">
        <v>539</v>
      </c>
      <c r="BR324" s="146"/>
      <c r="BS324" s="32"/>
      <c r="BT324" s="146">
        <v>588</v>
      </c>
      <c r="BU324" s="32">
        <v>423</v>
      </c>
      <c r="BV324" s="146">
        <v>624</v>
      </c>
      <c r="BW324" s="32">
        <v>389</v>
      </c>
    </row>
    <row r="325" spans="1:75" ht="13" x14ac:dyDescent="0.25">
      <c r="A325" s="186">
        <v>5607</v>
      </c>
      <c r="B325" s="187" t="s">
        <v>347</v>
      </c>
      <c r="C325" s="46">
        <v>1377</v>
      </c>
      <c r="D325" s="142">
        <v>1092</v>
      </c>
      <c r="E325" s="145">
        <f t="shared" si="4"/>
        <v>0.79302832244008714</v>
      </c>
      <c r="F325" s="146">
        <v>456</v>
      </c>
      <c r="G325" s="32">
        <v>591</v>
      </c>
      <c r="H325" s="146"/>
      <c r="I325" s="32"/>
      <c r="J325" s="146"/>
      <c r="K325" s="32"/>
      <c r="L325" s="146"/>
      <c r="M325" s="32"/>
      <c r="N325" s="146"/>
      <c r="O325" s="32"/>
      <c r="P325" s="146"/>
      <c r="Q325" s="32"/>
      <c r="R325" s="146"/>
      <c r="S325" s="32"/>
      <c r="T325" s="146"/>
      <c r="U325" s="32"/>
      <c r="V325" s="146"/>
      <c r="W325" s="32"/>
      <c r="X325" s="146"/>
      <c r="Y325" s="32"/>
      <c r="Z325" s="146"/>
      <c r="AA325" s="32"/>
      <c r="AB325" s="146"/>
      <c r="AC325" s="32"/>
      <c r="AD325" s="146"/>
      <c r="AE325" s="32"/>
      <c r="AF325" s="146"/>
      <c r="AG325" s="32"/>
      <c r="AH325" s="146"/>
      <c r="AI325" s="32"/>
      <c r="AJ325" s="146"/>
      <c r="AK325" s="32"/>
      <c r="AL325" s="146"/>
      <c r="AM325" s="32"/>
      <c r="AN325" s="146"/>
      <c r="AO325" s="32"/>
      <c r="AP325" s="146"/>
      <c r="AQ325" s="32"/>
      <c r="AR325" s="146"/>
      <c r="AS325" s="32"/>
      <c r="AT325" s="146">
        <v>463</v>
      </c>
      <c r="AU325" s="32">
        <v>566</v>
      </c>
      <c r="AV325" s="146"/>
      <c r="AW325" s="32"/>
      <c r="AX325" s="146"/>
      <c r="AY325" s="32"/>
      <c r="AZ325" s="146"/>
      <c r="BA325" s="32"/>
      <c r="BB325" s="146"/>
      <c r="BC325" s="32"/>
      <c r="BD325" s="146"/>
      <c r="BE325" s="32"/>
      <c r="BF325" s="146"/>
      <c r="BG325" s="32"/>
      <c r="BH325" s="146"/>
      <c r="BI325" s="32"/>
      <c r="BJ325" s="146"/>
      <c r="BK325" s="32"/>
      <c r="BL325" s="146"/>
      <c r="BM325" s="32"/>
      <c r="BN325" s="146"/>
      <c r="BO325" s="32"/>
      <c r="BP325" s="146">
        <v>494</v>
      </c>
      <c r="BQ325" s="32">
        <v>539</v>
      </c>
      <c r="BR325" s="146"/>
      <c r="BS325" s="32"/>
      <c r="BT325" s="146">
        <v>534</v>
      </c>
      <c r="BU325" s="32">
        <v>495</v>
      </c>
      <c r="BV325" s="146">
        <v>557</v>
      </c>
      <c r="BW325" s="32">
        <v>469</v>
      </c>
    </row>
    <row r="326" spans="1:75" ht="13" x14ac:dyDescent="0.25">
      <c r="A326" s="186">
        <v>5608</v>
      </c>
      <c r="B326" s="187" t="s">
        <v>348</v>
      </c>
      <c r="C326" s="46">
        <v>1295</v>
      </c>
      <c r="D326" s="142">
        <v>1059</v>
      </c>
      <c r="E326" s="145">
        <f t="shared" si="4"/>
        <v>0.81776061776061781</v>
      </c>
      <c r="F326" s="146">
        <v>473</v>
      </c>
      <c r="G326" s="32">
        <v>543</v>
      </c>
      <c r="H326" s="146"/>
      <c r="I326" s="32"/>
      <c r="J326" s="146"/>
      <c r="K326" s="32"/>
      <c r="L326" s="146"/>
      <c r="M326" s="32"/>
      <c r="N326" s="146"/>
      <c r="O326" s="32"/>
      <c r="P326" s="146"/>
      <c r="Q326" s="32"/>
      <c r="R326" s="146"/>
      <c r="S326" s="32"/>
      <c r="T326" s="146"/>
      <c r="U326" s="32"/>
      <c r="V326" s="146"/>
      <c r="W326" s="32"/>
      <c r="X326" s="146"/>
      <c r="Y326" s="32"/>
      <c r="Z326" s="146"/>
      <c r="AA326" s="32"/>
      <c r="AB326" s="146"/>
      <c r="AC326" s="32"/>
      <c r="AD326" s="146"/>
      <c r="AE326" s="32"/>
      <c r="AF326" s="146"/>
      <c r="AG326" s="32"/>
      <c r="AH326" s="146"/>
      <c r="AI326" s="32"/>
      <c r="AJ326" s="146"/>
      <c r="AK326" s="32"/>
      <c r="AL326" s="146"/>
      <c r="AM326" s="32"/>
      <c r="AN326" s="146"/>
      <c r="AO326" s="32"/>
      <c r="AP326" s="146"/>
      <c r="AQ326" s="32"/>
      <c r="AR326" s="146"/>
      <c r="AS326" s="32"/>
      <c r="AT326" s="146">
        <v>503</v>
      </c>
      <c r="AU326" s="32">
        <v>513</v>
      </c>
      <c r="AV326" s="146"/>
      <c r="AW326" s="32"/>
      <c r="AX326" s="146"/>
      <c r="AY326" s="32"/>
      <c r="AZ326" s="146"/>
      <c r="BA326" s="32"/>
      <c r="BB326" s="146"/>
      <c r="BC326" s="32"/>
      <c r="BD326" s="146"/>
      <c r="BE326" s="32"/>
      <c r="BF326" s="146"/>
      <c r="BG326" s="32"/>
      <c r="BH326" s="146"/>
      <c r="BI326" s="32"/>
      <c r="BJ326" s="146"/>
      <c r="BK326" s="32"/>
      <c r="BL326" s="146"/>
      <c r="BM326" s="32"/>
      <c r="BN326" s="146"/>
      <c r="BO326" s="32"/>
      <c r="BP326" s="146">
        <v>479</v>
      </c>
      <c r="BQ326" s="32">
        <v>537</v>
      </c>
      <c r="BR326" s="146"/>
      <c r="BS326" s="32"/>
      <c r="BT326" s="146">
        <v>589</v>
      </c>
      <c r="BU326" s="32">
        <v>427</v>
      </c>
      <c r="BV326" s="146">
        <v>597</v>
      </c>
      <c r="BW326" s="32">
        <v>418</v>
      </c>
    </row>
    <row r="327" spans="1:75" ht="13" x14ac:dyDescent="0.25">
      <c r="A327" s="186">
        <v>5609</v>
      </c>
      <c r="B327" s="187" t="s">
        <v>349</v>
      </c>
      <c r="C327" s="46">
        <v>1387</v>
      </c>
      <c r="D327" s="142">
        <v>1179</v>
      </c>
      <c r="E327" s="145">
        <f t="shared" si="4"/>
        <v>0.85003604902667629</v>
      </c>
      <c r="F327" s="146">
        <v>601</v>
      </c>
      <c r="G327" s="32">
        <v>536</v>
      </c>
      <c r="H327" s="146"/>
      <c r="I327" s="32"/>
      <c r="J327" s="146"/>
      <c r="K327" s="32"/>
      <c r="L327" s="146"/>
      <c r="M327" s="32"/>
      <c r="N327" s="146"/>
      <c r="O327" s="32"/>
      <c r="P327" s="146"/>
      <c r="Q327" s="32"/>
      <c r="R327" s="146"/>
      <c r="S327" s="32"/>
      <c r="T327" s="146"/>
      <c r="U327" s="32"/>
      <c r="V327" s="146"/>
      <c r="W327" s="32"/>
      <c r="X327" s="146"/>
      <c r="Y327" s="32"/>
      <c r="Z327" s="146"/>
      <c r="AA327" s="32"/>
      <c r="AB327" s="146"/>
      <c r="AC327" s="32"/>
      <c r="AD327" s="146"/>
      <c r="AE327" s="32"/>
      <c r="AF327" s="146"/>
      <c r="AG327" s="32"/>
      <c r="AH327" s="146"/>
      <c r="AI327" s="32"/>
      <c r="AJ327" s="146"/>
      <c r="AK327" s="32"/>
      <c r="AL327" s="146"/>
      <c r="AM327" s="32"/>
      <c r="AN327" s="146"/>
      <c r="AO327" s="32"/>
      <c r="AP327" s="146"/>
      <c r="AQ327" s="32"/>
      <c r="AR327" s="146"/>
      <c r="AS327" s="32"/>
      <c r="AT327" s="146">
        <v>595</v>
      </c>
      <c r="AU327" s="32">
        <v>537</v>
      </c>
      <c r="AV327" s="146"/>
      <c r="AW327" s="32"/>
      <c r="AX327" s="146"/>
      <c r="AY327" s="32"/>
      <c r="AZ327" s="146"/>
      <c r="BA327" s="32"/>
      <c r="BB327" s="146"/>
      <c r="BC327" s="32"/>
      <c r="BD327" s="146"/>
      <c r="BE327" s="32"/>
      <c r="BF327" s="146"/>
      <c r="BG327" s="32"/>
      <c r="BH327" s="146"/>
      <c r="BI327" s="32"/>
      <c r="BJ327" s="146"/>
      <c r="BK327" s="32"/>
      <c r="BL327" s="146"/>
      <c r="BM327" s="32"/>
      <c r="BN327" s="146"/>
      <c r="BO327" s="32"/>
      <c r="BP327" s="146">
        <v>579</v>
      </c>
      <c r="BQ327" s="32">
        <v>552</v>
      </c>
      <c r="BR327" s="146"/>
      <c r="BS327" s="32"/>
      <c r="BT327" s="146">
        <v>689</v>
      </c>
      <c r="BU327" s="32">
        <v>448</v>
      </c>
      <c r="BV327" s="146">
        <v>693</v>
      </c>
      <c r="BW327" s="32">
        <v>445</v>
      </c>
    </row>
    <row r="328" spans="1:75" ht="13" x14ac:dyDescent="0.25">
      <c r="A328" s="186">
        <v>5610</v>
      </c>
      <c r="B328" s="187" t="s">
        <v>350</v>
      </c>
      <c r="C328" s="46">
        <v>974</v>
      </c>
      <c r="D328" s="142">
        <v>822</v>
      </c>
      <c r="E328" s="145">
        <f t="shared" si="4"/>
        <v>0.84394250513347024</v>
      </c>
      <c r="F328" s="146">
        <v>324</v>
      </c>
      <c r="G328" s="32">
        <v>454</v>
      </c>
      <c r="H328" s="146"/>
      <c r="I328" s="32"/>
      <c r="J328" s="146"/>
      <c r="K328" s="32"/>
      <c r="L328" s="146"/>
      <c r="M328" s="32"/>
      <c r="N328" s="146"/>
      <c r="O328" s="32"/>
      <c r="P328" s="146"/>
      <c r="Q328" s="32"/>
      <c r="R328" s="146"/>
      <c r="S328" s="32"/>
      <c r="T328" s="146"/>
      <c r="U328" s="32"/>
      <c r="V328" s="146"/>
      <c r="W328" s="32"/>
      <c r="X328" s="146"/>
      <c r="Y328" s="32"/>
      <c r="Z328" s="146"/>
      <c r="AA328" s="32"/>
      <c r="AB328" s="146"/>
      <c r="AC328" s="32"/>
      <c r="AD328" s="146"/>
      <c r="AE328" s="32"/>
      <c r="AF328" s="146"/>
      <c r="AG328" s="32"/>
      <c r="AH328" s="146"/>
      <c r="AI328" s="32"/>
      <c r="AJ328" s="146"/>
      <c r="AK328" s="32"/>
      <c r="AL328" s="146"/>
      <c r="AM328" s="32"/>
      <c r="AN328" s="146"/>
      <c r="AO328" s="32"/>
      <c r="AP328" s="146"/>
      <c r="AQ328" s="32"/>
      <c r="AR328" s="146"/>
      <c r="AS328" s="32"/>
      <c r="AT328" s="146">
        <v>384</v>
      </c>
      <c r="AU328" s="32">
        <v>398</v>
      </c>
      <c r="AV328" s="146"/>
      <c r="AW328" s="32"/>
      <c r="AX328" s="146"/>
      <c r="AY328" s="32"/>
      <c r="AZ328" s="146"/>
      <c r="BA328" s="32"/>
      <c r="BB328" s="146"/>
      <c r="BC328" s="32"/>
      <c r="BD328" s="146"/>
      <c r="BE328" s="32"/>
      <c r="BF328" s="146"/>
      <c r="BG328" s="32"/>
      <c r="BH328" s="146"/>
      <c r="BI328" s="32"/>
      <c r="BJ328" s="146"/>
      <c r="BK328" s="32"/>
      <c r="BL328" s="146"/>
      <c r="BM328" s="32"/>
      <c r="BN328" s="146"/>
      <c r="BO328" s="32"/>
      <c r="BP328" s="146">
        <v>368</v>
      </c>
      <c r="BQ328" s="32">
        <v>414</v>
      </c>
      <c r="BR328" s="146"/>
      <c r="BS328" s="32"/>
      <c r="BT328" s="146">
        <v>433</v>
      </c>
      <c r="BU328" s="32">
        <v>347</v>
      </c>
      <c r="BV328" s="146">
        <v>438</v>
      </c>
      <c r="BW328" s="32">
        <v>340</v>
      </c>
    </row>
    <row r="329" spans="1:75" ht="13" x14ac:dyDescent="0.25">
      <c r="A329" s="186">
        <v>5611</v>
      </c>
      <c r="B329" s="187" t="s">
        <v>351</v>
      </c>
      <c r="C329" s="46">
        <v>1539</v>
      </c>
      <c r="D329" s="142">
        <v>1169</v>
      </c>
      <c r="E329" s="145">
        <f t="shared" si="4"/>
        <v>0.75958414554905784</v>
      </c>
      <c r="F329" s="146">
        <v>569</v>
      </c>
      <c r="G329" s="32">
        <v>541</v>
      </c>
      <c r="H329" s="146"/>
      <c r="I329" s="32"/>
      <c r="J329" s="146"/>
      <c r="K329" s="32"/>
      <c r="L329" s="146"/>
      <c r="M329" s="32"/>
      <c r="N329" s="146"/>
      <c r="O329" s="32"/>
      <c r="P329" s="146"/>
      <c r="Q329" s="32"/>
      <c r="R329" s="146"/>
      <c r="S329" s="32"/>
      <c r="T329" s="146"/>
      <c r="U329" s="32"/>
      <c r="V329" s="146"/>
      <c r="W329" s="32"/>
      <c r="X329" s="146"/>
      <c r="Y329" s="32"/>
      <c r="Z329" s="146"/>
      <c r="AA329" s="32"/>
      <c r="AB329" s="146"/>
      <c r="AC329" s="32"/>
      <c r="AD329" s="146"/>
      <c r="AE329" s="32"/>
      <c r="AF329" s="146"/>
      <c r="AG329" s="32"/>
      <c r="AH329" s="146"/>
      <c r="AI329" s="32"/>
      <c r="AJ329" s="146"/>
      <c r="AK329" s="32"/>
      <c r="AL329" s="146"/>
      <c r="AM329" s="32"/>
      <c r="AN329" s="146"/>
      <c r="AO329" s="32"/>
      <c r="AP329" s="146"/>
      <c r="AQ329" s="32"/>
      <c r="AR329" s="146"/>
      <c r="AS329" s="32"/>
      <c r="AT329" s="146">
        <v>634</v>
      </c>
      <c r="AU329" s="32">
        <v>478</v>
      </c>
      <c r="AV329" s="146"/>
      <c r="AW329" s="32"/>
      <c r="AX329" s="146"/>
      <c r="AY329" s="32"/>
      <c r="AZ329" s="146"/>
      <c r="BA329" s="32"/>
      <c r="BB329" s="146"/>
      <c r="BC329" s="32"/>
      <c r="BD329" s="146"/>
      <c r="BE329" s="32"/>
      <c r="BF329" s="146"/>
      <c r="BG329" s="32"/>
      <c r="BH329" s="146"/>
      <c r="BI329" s="32"/>
      <c r="BJ329" s="146"/>
      <c r="BK329" s="32"/>
      <c r="BL329" s="146"/>
      <c r="BM329" s="32"/>
      <c r="BN329" s="146"/>
      <c r="BO329" s="32"/>
      <c r="BP329" s="146">
        <v>602</v>
      </c>
      <c r="BQ329" s="32">
        <v>514</v>
      </c>
      <c r="BR329" s="146"/>
      <c r="BS329" s="32"/>
      <c r="BT329" s="146">
        <v>690</v>
      </c>
      <c r="BU329" s="32">
        <v>419</v>
      </c>
      <c r="BV329" s="146">
        <v>727</v>
      </c>
      <c r="BW329" s="32">
        <v>387</v>
      </c>
    </row>
    <row r="330" spans="1:75" ht="13" x14ac:dyDescent="0.25">
      <c r="A330" s="186">
        <v>5612</v>
      </c>
      <c r="B330" s="187" t="s">
        <v>352</v>
      </c>
      <c r="C330" s="46">
        <v>1512</v>
      </c>
      <c r="D330" s="142">
        <v>1213</v>
      </c>
      <c r="E330" s="145">
        <f t="shared" si="4"/>
        <v>0.80224867724867721</v>
      </c>
      <c r="F330" s="146">
        <v>544</v>
      </c>
      <c r="G330" s="32">
        <v>618</v>
      </c>
      <c r="H330" s="146"/>
      <c r="I330" s="32"/>
      <c r="J330" s="146"/>
      <c r="K330" s="32"/>
      <c r="L330" s="146"/>
      <c r="M330" s="32"/>
      <c r="N330" s="146"/>
      <c r="O330" s="32"/>
      <c r="P330" s="146"/>
      <c r="Q330" s="32"/>
      <c r="R330" s="146"/>
      <c r="S330" s="32"/>
      <c r="T330" s="146"/>
      <c r="U330" s="32"/>
      <c r="V330" s="146"/>
      <c r="W330" s="32"/>
      <c r="X330" s="146"/>
      <c r="Y330" s="32"/>
      <c r="Z330" s="146"/>
      <c r="AA330" s="32"/>
      <c r="AB330" s="146"/>
      <c r="AC330" s="32"/>
      <c r="AD330" s="146"/>
      <c r="AE330" s="32"/>
      <c r="AF330" s="146"/>
      <c r="AG330" s="32"/>
      <c r="AH330" s="146"/>
      <c r="AI330" s="32"/>
      <c r="AJ330" s="146"/>
      <c r="AK330" s="32"/>
      <c r="AL330" s="146"/>
      <c r="AM330" s="32"/>
      <c r="AN330" s="146"/>
      <c r="AO330" s="32"/>
      <c r="AP330" s="146"/>
      <c r="AQ330" s="32"/>
      <c r="AR330" s="146"/>
      <c r="AS330" s="32"/>
      <c r="AT330" s="146">
        <v>621</v>
      </c>
      <c r="AU330" s="32">
        <v>550</v>
      </c>
      <c r="AV330" s="146"/>
      <c r="AW330" s="32"/>
      <c r="AX330" s="146"/>
      <c r="AY330" s="32"/>
      <c r="AZ330" s="146"/>
      <c r="BA330" s="32"/>
      <c r="BB330" s="146"/>
      <c r="BC330" s="32"/>
      <c r="BD330" s="146"/>
      <c r="BE330" s="32"/>
      <c r="BF330" s="146"/>
      <c r="BG330" s="32"/>
      <c r="BH330" s="146"/>
      <c r="BI330" s="32"/>
      <c r="BJ330" s="146"/>
      <c r="BK330" s="32"/>
      <c r="BL330" s="146"/>
      <c r="BM330" s="32"/>
      <c r="BN330" s="146"/>
      <c r="BO330" s="32"/>
      <c r="BP330" s="146">
        <v>599</v>
      </c>
      <c r="BQ330" s="32">
        <v>566</v>
      </c>
      <c r="BR330" s="146"/>
      <c r="BS330" s="32"/>
      <c r="BT330" s="146">
        <v>664</v>
      </c>
      <c r="BU330" s="32">
        <v>501</v>
      </c>
      <c r="BV330" s="146">
        <v>709</v>
      </c>
      <c r="BW330" s="32">
        <v>458</v>
      </c>
    </row>
    <row r="331" spans="1:75" ht="13" x14ac:dyDescent="0.25">
      <c r="A331" s="186">
        <v>5613</v>
      </c>
      <c r="B331" s="187" t="s">
        <v>353</v>
      </c>
      <c r="C331" s="46">
        <v>766</v>
      </c>
      <c r="D331" s="142">
        <v>626</v>
      </c>
      <c r="E331" s="145">
        <f t="shared" si="4"/>
        <v>0.81723237597911225</v>
      </c>
      <c r="F331" s="146">
        <v>277</v>
      </c>
      <c r="G331" s="32">
        <v>329</v>
      </c>
      <c r="H331" s="146"/>
      <c r="I331" s="32"/>
      <c r="J331" s="146"/>
      <c r="K331" s="32"/>
      <c r="L331" s="146"/>
      <c r="M331" s="32"/>
      <c r="N331" s="146"/>
      <c r="O331" s="32"/>
      <c r="P331" s="146"/>
      <c r="Q331" s="32"/>
      <c r="R331" s="146"/>
      <c r="S331" s="32"/>
      <c r="T331" s="146"/>
      <c r="U331" s="32"/>
      <c r="V331" s="146"/>
      <c r="W331" s="32"/>
      <c r="X331" s="146"/>
      <c r="Y331" s="32"/>
      <c r="Z331" s="146"/>
      <c r="AA331" s="32"/>
      <c r="AB331" s="146"/>
      <c r="AC331" s="32"/>
      <c r="AD331" s="146"/>
      <c r="AE331" s="32"/>
      <c r="AF331" s="146"/>
      <c r="AG331" s="32"/>
      <c r="AH331" s="146"/>
      <c r="AI331" s="32"/>
      <c r="AJ331" s="146"/>
      <c r="AK331" s="32"/>
      <c r="AL331" s="146"/>
      <c r="AM331" s="32"/>
      <c r="AN331" s="146"/>
      <c r="AO331" s="32"/>
      <c r="AP331" s="146"/>
      <c r="AQ331" s="32"/>
      <c r="AR331" s="146"/>
      <c r="AS331" s="32"/>
      <c r="AT331" s="146">
        <v>284</v>
      </c>
      <c r="AU331" s="32">
        <v>323</v>
      </c>
      <c r="AV331" s="146"/>
      <c r="AW331" s="32"/>
      <c r="AX331" s="146"/>
      <c r="AY331" s="32"/>
      <c r="AZ331" s="146"/>
      <c r="BA331" s="32"/>
      <c r="BB331" s="146"/>
      <c r="BC331" s="32"/>
      <c r="BD331" s="146"/>
      <c r="BE331" s="32"/>
      <c r="BF331" s="146"/>
      <c r="BG331" s="32"/>
      <c r="BH331" s="146"/>
      <c r="BI331" s="32"/>
      <c r="BJ331" s="146"/>
      <c r="BK331" s="32"/>
      <c r="BL331" s="146"/>
      <c r="BM331" s="32"/>
      <c r="BN331" s="146"/>
      <c r="BO331" s="32"/>
      <c r="BP331" s="146">
        <v>236</v>
      </c>
      <c r="BQ331" s="32">
        <v>370</v>
      </c>
      <c r="BR331" s="146"/>
      <c r="BS331" s="32"/>
      <c r="BT331" s="146">
        <v>308</v>
      </c>
      <c r="BU331" s="32">
        <v>295</v>
      </c>
      <c r="BV331" s="146">
        <v>309</v>
      </c>
      <c r="BW331" s="32">
        <v>296</v>
      </c>
    </row>
    <row r="332" spans="1:75" ht="13" x14ac:dyDescent="0.25">
      <c r="A332" s="186">
        <v>5614</v>
      </c>
      <c r="B332" s="187" t="s">
        <v>354</v>
      </c>
      <c r="C332" s="46">
        <v>1253</v>
      </c>
      <c r="D332" s="142">
        <v>1026</v>
      </c>
      <c r="E332" s="145">
        <f t="shared" si="4"/>
        <v>0.81883479648842772</v>
      </c>
      <c r="F332" s="146">
        <v>531</v>
      </c>
      <c r="G332" s="32">
        <v>456</v>
      </c>
      <c r="H332" s="146"/>
      <c r="I332" s="32"/>
      <c r="J332" s="146"/>
      <c r="K332" s="32"/>
      <c r="L332" s="146"/>
      <c r="M332" s="32"/>
      <c r="N332" s="146"/>
      <c r="O332" s="32"/>
      <c r="P332" s="146"/>
      <c r="Q332" s="32"/>
      <c r="R332" s="146"/>
      <c r="S332" s="32"/>
      <c r="T332" s="146"/>
      <c r="U332" s="32"/>
      <c r="V332" s="146"/>
      <c r="W332" s="32"/>
      <c r="X332" s="146"/>
      <c r="Y332" s="32"/>
      <c r="Z332" s="146"/>
      <c r="AA332" s="32"/>
      <c r="AB332" s="146"/>
      <c r="AC332" s="32"/>
      <c r="AD332" s="146"/>
      <c r="AE332" s="32"/>
      <c r="AF332" s="146"/>
      <c r="AG332" s="32"/>
      <c r="AH332" s="146"/>
      <c r="AI332" s="32"/>
      <c r="AJ332" s="146"/>
      <c r="AK332" s="32"/>
      <c r="AL332" s="146"/>
      <c r="AM332" s="32"/>
      <c r="AN332" s="146"/>
      <c r="AO332" s="32"/>
      <c r="AP332" s="146"/>
      <c r="AQ332" s="32"/>
      <c r="AR332" s="146"/>
      <c r="AS332" s="32"/>
      <c r="AT332" s="146">
        <v>494</v>
      </c>
      <c r="AU332" s="32">
        <v>482</v>
      </c>
      <c r="AV332" s="146"/>
      <c r="AW332" s="32"/>
      <c r="AX332" s="146"/>
      <c r="AY332" s="32"/>
      <c r="AZ332" s="146"/>
      <c r="BA332" s="32"/>
      <c r="BB332" s="146"/>
      <c r="BC332" s="32"/>
      <c r="BD332" s="146"/>
      <c r="BE332" s="32"/>
      <c r="BF332" s="146"/>
      <c r="BG332" s="32"/>
      <c r="BH332" s="146"/>
      <c r="BI332" s="32"/>
      <c r="BJ332" s="146"/>
      <c r="BK332" s="32"/>
      <c r="BL332" s="146"/>
      <c r="BM332" s="32"/>
      <c r="BN332" s="146"/>
      <c r="BO332" s="32"/>
      <c r="BP332" s="146">
        <v>481</v>
      </c>
      <c r="BQ332" s="32">
        <v>503</v>
      </c>
      <c r="BR332" s="146"/>
      <c r="BS332" s="32"/>
      <c r="BT332" s="146">
        <v>577</v>
      </c>
      <c r="BU332" s="32">
        <v>403</v>
      </c>
      <c r="BV332" s="146">
        <v>598</v>
      </c>
      <c r="BW332" s="32">
        <v>386</v>
      </c>
    </row>
    <row r="333" spans="1:75" ht="13" x14ac:dyDescent="0.25">
      <c r="A333" s="186">
        <v>5615</v>
      </c>
      <c r="B333" s="187" t="s">
        <v>355</v>
      </c>
      <c r="C333" s="46">
        <v>1386</v>
      </c>
      <c r="D333" s="142">
        <v>1080</v>
      </c>
      <c r="E333" s="145">
        <f t="shared" si="4"/>
        <v>0.77922077922077926</v>
      </c>
      <c r="F333" s="146">
        <v>477</v>
      </c>
      <c r="G333" s="32">
        <v>550</v>
      </c>
      <c r="H333" s="146"/>
      <c r="I333" s="32"/>
      <c r="J333" s="146"/>
      <c r="K333" s="32"/>
      <c r="L333" s="146"/>
      <c r="M333" s="32"/>
      <c r="N333" s="146"/>
      <c r="O333" s="32"/>
      <c r="P333" s="146"/>
      <c r="Q333" s="32"/>
      <c r="R333" s="146"/>
      <c r="S333" s="32"/>
      <c r="T333" s="146"/>
      <c r="U333" s="32"/>
      <c r="V333" s="146"/>
      <c r="W333" s="32"/>
      <c r="X333" s="146"/>
      <c r="Y333" s="32"/>
      <c r="Z333" s="146"/>
      <c r="AA333" s="32"/>
      <c r="AB333" s="146"/>
      <c r="AC333" s="32"/>
      <c r="AD333" s="146"/>
      <c r="AE333" s="32"/>
      <c r="AF333" s="146"/>
      <c r="AG333" s="32"/>
      <c r="AH333" s="146"/>
      <c r="AI333" s="32"/>
      <c r="AJ333" s="146"/>
      <c r="AK333" s="32"/>
      <c r="AL333" s="146"/>
      <c r="AM333" s="32"/>
      <c r="AN333" s="146"/>
      <c r="AO333" s="32"/>
      <c r="AP333" s="146"/>
      <c r="AQ333" s="32"/>
      <c r="AR333" s="146"/>
      <c r="AS333" s="32"/>
      <c r="AT333" s="146">
        <v>481</v>
      </c>
      <c r="AU333" s="32">
        <v>546</v>
      </c>
      <c r="AV333" s="146"/>
      <c r="AW333" s="32"/>
      <c r="AX333" s="146"/>
      <c r="AY333" s="32"/>
      <c r="AZ333" s="146"/>
      <c r="BA333" s="32"/>
      <c r="BB333" s="146"/>
      <c r="BC333" s="32"/>
      <c r="BD333" s="146"/>
      <c r="BE333" s="32"/>
      <c r="BF333" s="146"/>
      <c r="BG333" s="32"/>
      <c r="BH333" s="146"/>
      <c r="BI333" s="32"/>
      <c r="BJ333" s="146"/>
      <c r="BK333" s="32"/>
      <c r="BL333" s="146"/>
      <c r="BM333" s="32"/>
      <c r="BN333" s="146"/>
      <c r="BO333" s="32"/>
      <c r="BP333" s="146">
        <v>481</v>
      </c>
      <c r="BQ333" s="32">
        <v>542</v>
      </c>
      <c r="BR333" s="146"/>
      <c r="BS333" s="32"/>
      <c r="BT333" s="146">
        <v>559</v>
      </c>
      <c r="BU333" s="32">
        <v>457</v>
      </c>
      <c r="BV333" s="146">
        <v>579</v>
      </c>
      <c r="BW333" s="32">
        <v>437</v>
      </c>
    </row>
    <row r="334" spans="1:75" ht="13" x14ac:dyDescent="0.25">
      <c r="A334" s="186">
        <v>5616</v>
      </c>
      <c r="B334" s="187" t="s">
        <v>356</v>
      </c>
      <c r="C334" s="46">
        <v>561</v>
      </c>
      <c r="D334" s="142">
        <v>473</v>
      </c>
      <c r="E334" s="145">
        <f t="shared" si="4"/>
        <v>0.84313725490196079</v>
      </c>
      <c r="F334" s="146">
        <v>214</v>
      </c>
      <c r="G334" s="32">
        <v>244</v>
      </c>
      <c r="H334" s="146"/>
      <c r="I334" s="32"/>
      <c r="J334" s="146"/>
      <c r="K334" s="32"/>
      <c r="L334" s="146"/>
      <c r="M334" s="32"/>
      <c r="N334" s="146"/>
      <c r="O334" s="32"/>
      <c r="P334" s="146"/>
      <c r="Q334" s="32"/>
      <c r="R334" s="146"/>
      <c r="S334" s="32"/>
      <c r="T334" s="146"/>
      <c r="U334" s="32"/>
      <c r="V334" s="146"/>
      <c r="W334" s="32"/>
      <c r="X334" s="146"/>
      <c r="Y334" s="32"/>
      <c r="Z334" s="146"/>
      <c r="AA334" s="32"/>
      <c r="AB334" s="146"/>
      <c r="AC334" s="32"/>
      <c r="AD334" s="146"/>
      <c r="AE334" s="32"/>
      <c r="AF334" s="146"/>
      <c r="AG334" s="32"/>
      <c r="AH334" s="146"/>
      <c r="AI334" s="32"/>
      <c r="AJ334" s="146"/>
      <c r="AK334" s="32"/>
      <c r="AL334" s="146"/>
      <c r="AM334" s="32"/>
      <c r="AN334" s="146"/>
      <c r="AO334" s="32"/>
      <c r="AP334" s="146"/>
      <c r="AQ334" s="32"/>
      <c r="AR334" s="146"/>
      <c r="AS334" s="32"/>
      <c r="AT334" s="146">
        <v>271</v>
      </c>
      <c r="AU334" s="32">
        <v>188</v>
      </c>
      <c r="AV334" s="146"/>
      <c r="AW334" s="32"/>
      <c r="AX334" s="146"/>
      <c r="AY334" s="32"/>
      <c r="AZ334" s="146"/>
      <c r="BA334" s="32"/>
      <c r="BB334" s="146"/>
      <c r="BC334" s="32"/>
      <c r="BD334" s="146"/>
      <c r="BE334" s="32"/>
      <c r="BF334" s="146"/>
      <c r="BG334" s="32"/>
      <c r="BH334" s="146"/>
      <c r="BI334" s="32"/>
      <c r="BJ334" s="146"/>
      <c r="BK334" s="32"/>
      <c r="BL334" s="146"/>
      <c r="BM334" s="32"/>
      <c r="BN334" s="146"/>
      <c r="BO334" s="32"/>
      <c r="BP334" s="146">
        <v>263</v>
      </c>
      <c r="BQ334" s="32">
        <v>200</v>
      </c>
      <c r="BR334" s="146"/>
      <c r="BS334" s="32"/>
      <c r="BT334" s="146">
        <v>294</v>
      </c>
      <c r="BU334" s="32">
        <v>166</v>
      </c>
      <c r="BV334" s="146">
        <v>316</v>
      </c>
      <c r="BW334" s="32">
        <v>143</v>
      </c>
    </row>
    <row r="335" spans="1:75" ht="13" x14ac:dyDescent="0.25">
      <c r="A335" s="186">
        <v>5617</v>
      </c>
      <c r="B335" s="187" t="s">
        <v>357</v>
      </c>
      <c r="C335" s="46">
        <v>1328</v>
      </c>
      <c r="D335" s="142">
        <v>1113</v>
      </c>
      <c r="E335" s="145">
        <f t="shared" si="4"/>
        <v>0.8381024096385542</v>
      </c>
      <c r="F335" s="146">
        <v>504</v>
      </c>
      <c r="G335" s="32">
        <v>566</v>
      </c>
      <c r="H335" s="146"/>
      <c r="I335" s="32"/>
      <c r="J335" s="146"/>
      <c r="K335" s="32"/>
      <c r="L335" s="146"/>
      <c r="M335" s="32"/>
      <c r="N335" s="146"/>
      <c r="O335" s="32"/>
      <c r="P335" s="146"/>
      <c r="Q335" s="32"/>
      <c r="R335" s="146"/>
      <c r="S335" s="32"/>
      <c r="T335" s="146"/>
      <c r="U335" s="32"/>
      <c r="V335" s="146"/>
      <c r="W335" s="32"/>
      <c r="X335" s="146"/>
      <c r="Y335" s="32"/>
      <c r="Z335" s="146"/>
      <c r="AA335" s="32"/>
      <c r="AB335" s="146"/>
      <c r="AC335" s="32"/>
      <c r="AD335" s="146"/>
      <c r="AE335" s="32"/>
      <c r="AF335" s="146"/>
      <c r="AG335" s="32"/>
      <c r="AH335" s="146"/>
      <c r="AI335" s="32"/>
      <c r="AJ335" s="146"/>
      <c r="AK335" s="32"/>
      <c r="AL335" s="146"/>
      <c r="AM335" s="32"/>
      <c r="AN335" s="146"/>
      <c r="AO335" s="32"/>
      <c r="AP335" s="146"/>
      <c r="AQ335" s="32"/>
      <c r="AR335" s="146"/>
      <c r="AS335" s="32"/>
      <c r="AT335" s="146">
        <v>526</v>
      </c>
      <c r="AU335" s="32">
        <v>532</v>
      </c>
      <c r="AV335" s="146"/>
      <c r="AW335" s="32"/>
      <c r="AX335" s="146"/>
      <c r="AY335" s="32"/>
      <c r="AZ335" s="146"/>
      <c r="BA335" s="32"/>
      <c r="BB335" s="146"/>
      <c r="BC335" s="32"/>
      <c r="BD335" s="146"/>
      <c r="BE335" s="32"/>
      <c r="BF335" s="146"/>
      <c r="BG335" s="32"/>
      <c r="BH335" s="146"/>
      <c r="BI335" s="32"/>
      <c r="BJ335" s="146"/>
      <c r="BK335" s="32"/>
      <c r="BL335" s="146"/>
      <c r="BM335" s="32"/>
      <c r="BN335" s="146"/>
      <c r="BO335" s="32"/>
      <c r="BP335" s="146">
        <v>503</v>
      </c>
      <c r="BQ335" s="32">
        <v>561</v>
      </c>
      <c r="BR335" s="146"/>
      <c r="BS335" s="32"/>
      <c r="BT335" s="146">
        <v>578</v>
      </c>
      <c r="BU335" s="32">
        <v>472</v>
      </c>
      <c r="BV335" s="146">
        <v>621</v>
      </c>
      <c r="BW335" s="32">
        <v>432</v>
      </c>
    </row>
    <row r="336" spans="1:75" ht="13" x14ac:dyDescent="0.25">
      <c r="A336" s="186">
        <v>5618</v>
      </c>
      <c r="B336" s="187" t="s">
        <v>358</v>
      </c>
      <c r="C336" s="46">
        <v>1192</v>
      </c>
      <c r="D336" s="142">
        <v>988</v>
      </c>
      <c r="E336" s="145">
        <f t="shared" si="4"/>
        <v>0.82885906040268453</v>
      </c>
      <c r="F336" s="146">
        <v>458</v>
      </c>
      <c r="G336" s="32">
        <v>489</v>
      </c>
      <c r="H336" s="146"/>
      <c r="I336" s="32"/>
      <c r="J336" s="146"/>
      <c r="K336" s="32"/>
      <c r="L336" s="146"/>
      <c r="M336" s="32"/>
      <c r="N336" s="146"/>
      <c r="O336" s="32"/>
      <c r="P336" s="146"/>
      <c r="Q336" s="32"/>
      <c r="R336" s="146"/>
      <c r="S336" s="32"/>
      <c r="T336" s="146"/>
      <c r="U336" s="32"/>
      <c r="V336" s="146"/>
      <c r="W336" s="32"/>
      <c r="X336" s="146"/>
      <c r="Y336" s="32"/>
      <c r="Z336" s="146"/>
      <c r="AA336" s="32"/>
      <c r="AB336" s="146"/>
      <c r="AC336" s="32"/>
      <c r="AD336" s="146"/>
      <c r="AE336" s="32"/>
      <c r="AF336" s="146"/>
      <c r="AG336" s="32"/>
      <c r="AH336" s="146"/>
      <c r="AI336" s="32"/>
      <c r="AJ336" s="146"/>
      <c r="AK336" s="32"/>
      <c r="AL336" s="146"/>
      <c r="AM336" s="32"/>
      <c r="AN336" s="146"/>
      <c r="AO336" s="32"/>
      <c r="AP336" s="146"/>
      <c r="AQ336" s="32"/>
      <c r="AR336" s="146"/>
      <c r="AS336" s="32"/>
      <c r="AT336" s="146">
        <v>484</v>
      </c>
      <c r="AU336" s="32">
        <v>458</v>
      </c>
      <c r="AV336" s="146"/>
      <c r="AW336" s="32"/>
      <c r="AX336" s="146"/>
      <c r="AY336" s="32"/>
      <c r="AZ336" s="146"/>
      <c r="BA336" s="32"/>
      <c r="BB336" s="146"/>
      <c r="BC336" s="32"/>
      <c r="BD336" s="146"/>
      <c r="BE336" s="32"/>
      <c r="BF336" s="146"/>
      <c r="BG336" s="32"/>
      <c r="BH336" s="146"/>
      <c r="BI336" s="32"/>
      <c r="BJ336" s="146"/>
      <c r="BK336" s="32"/>
      <c r="BL336" s="146"/>
      <c r="BM336" s="32"/>
      <c r="BN336" s="146"/>
      <c r="BO336" s="32"/>
      <c r="BP336" s="146">
        <v>468</v>
      </c>
      <c r="BQ336" s="32">
        <v>481</v>
      </c>
      <c r="BR336" s="146"/>
      <c r="BS336" s="32"/>
      <c r="BT336" s="146">
        <v>562</v>
      </c>
      <c r="BU336" s="32">
        <v>381</v>
      </c>
      <c r="BV336" s="146">
        <v>590</v>
      </c>
      <c r="BW336" s="32">
        <v>356</v>
      </c>
    </row>
    <row r="337" spans="1:75" ht="13" x14ac:dyDescent="0.25">
      <c r="A337" s="186">
        <v>5619</v>
      </c>
      <c r="B337" s="187" t="s">
        <v>359</v>
      </c>
      <c r="C337" s="46">
        <v>943</v>
      </c>
      <c r="D337" s="142">
        <v>793</v>
      </c>
      <c r="E337" s="145">
        <f t="shared" si="4"/>
        <v>0.84093319194061511</v>
      </c>
      <c r="F337" s="146">
        <v>370</v>
      </c>
      <c r="G337" s="32">
        <v>387</v>
      </c>
      <c r="H337" s="146"/>
      <c r="I337" s="32"/>
      <c r="J337" s="146"/>
      <c r="K337" s="32"/>
      <c r="L337" s="146"/>
      <c r="M337" s="32"/>
      <c r="N337" s="146"/>
      <c r="O337" s="32"/>
      <c r="P337" s="146"/>
      <c r="Q337" s="32"/>
      <c r="R337" s="146"/>
      <c r="S337" s="32"/>
      <c r="T337" s="146"/>
      <c r="U337" s="32"/>
      <c r="V337" s="146"/>
      <c r="W337" s="32"/>
      <c r="X337" s="146"/>
      <c r="Y337" s="32"/>
      <c r="Z337" s="146"/>
      <c r="AA337" s="32"/>
      <c r="AB337" s="146"/>
      <c r="AC337" s="32"/>
      <c r="AD337" s="146"/>
      <c r="AE337" s="32"/>
      <c r="AF337" s="146"/>
      <c r="AG337" s="32"/>
      <c r="AH337" s="146"/>
      <c r="AI337" s="32"/>
      <c r="AJ337" s="146"/>
      <c r="AK337" s="32"/>
      <c r="AL337" s="146"/>
      <c r="AM337" s="32"/>
      <c r="AN337" s="146"/>
      <c r="AO337" s="32"/>
      <c r="AP337" s="146"/>
      <c r="AQ337" s="32"/>
      <c r="AR337" s="146"/>
      <c r="AS337" s="32"/>
      <c r="AT337" s="146">
        <v>395</v>
      </c>
      <c r="AU337" s="32">
        <v>354</v>
      </c>
      <c r="AV337" s="146"/>
      <c r="AW337" s="32"/>
      <c r="AX337" s="146"/>
      <c r="AY337" s="32"/>
      <c r="AZ337" s="146"/>
      <c r="BA337" s="32"/>
      <c r="BB337" s="146"/>
      <c r="BC337" s="32"/>
      <c r="BD337" s="146"/>
      <c r="BE337" s="32"/>
      <c r="BF337" s="146"/>
      <c r="BG337" s="32"/>
      <c r="BH337" s="146"/>
      <c r="BI337" s="32"/>
      <c r="BJ337" s="146"/>
      <c r="BK337" s="32"/>
      <c r="BL337" s="146"/>
      <c r="BM337" s="32"/>
      <c r="BN337" s="146"/>
      <c r="BO337" s="32"/>
      <c r="BP337" s="146">
        <v>393</v>
      </c>
      <c r="BQ337" s="32">
        <v>357</v>
      </c>
      <c r="BR337" s="146"/>
      <c r="BS337" s="32"/>
      <c r="BT337" s="146">
        <v>449</v>
      </c>
      <c r="BU337" s="32">
        <v>308</v>
      </c>
      <c r="BV337" s="146">
        <v>469</v>
      </c>
      <c r="BW337" s="32">
        <v>286</v>
      </c>
    </row>
    <row r="338" spans="1:75" ht="13" x14ac:dyDescent="0.25">
      <c r="A338" s="186">
        <v>5620</v>
      </c>
      <c r="B338" s="187" t="s">
        <v>360</v>
      </c>
      <c r="C338" s="46">
        <v>778</v>
      </c>
      <c r="D338" s="142">
        <v>674</v>
      </c>
      <c r="E338" s="145">
        <f t="shared" si="4"/>
        <v>0.86632390745501286</v>
      </c>
      <c r="F338" s="146">
        <v>310</v>
      </c>
      <c r="G338" s="32">
        <v>336</v>
      </c>
      <c r="H338" s="146"/>
      <c r="I338" s="32"/>
      <c r="J338" s="146"/>
      <c r="K338" s="32"/>
      <c r="L338" s="146"/>
      <c r="M338" s="32"/>
      <c r="N338" s="146"/>
      <c r="O338" s="32"/>
      <c r="P338" s="146"/>
      <c r="Q338" s="32"/>
      <c r="R338" s="146"/>
      <c r="S338" s="32"/>
      <c r="T338" s="146"/>
      <c r="U338" s="32"/>
      <c r="V338" s="146"/>
      <c r="W338" s="32"/>
      <c r="X338" s="146"/>
      <c r="Y338" s="32"/>
      <c r="Z338" s="146"/>
      <c r="AA338" s="32"/>
      <c r="AB338" s="146"/>
      <c r="AC338" s="32"/>
      <c r="AD338" s="146"/>
      <c r="AE338" s="32"/>
      <c r="AF338" s="146"/>
      <c r="AG338" s="32"/>
      <c r="AH338" s="146"/>
      <c r="AI338" s="32"/>
      <c r="AJ338" s="146"/>
      <c r="AK338" s="32"/>
      <c r="AL338" s="146"/>
      <c r="AM338" s="32"/>
      <c r="AN338" s="146"/>
      <c r="AO338" s="32"/>
      <c r="AP338" s="146"/>
      <c r="AQ338" s="32"/>
      <c r="AR338" s="146"/>
      <c r="AS338" s="32"/>
      <c r="AT338" s="146">
        <v>325</v>
      </c>
      <c r="AU338" s="32">
        <v>312</v>
      </c>
      <c r="AV338" s="146"/>
      <c r="AW338" s="32"/>
      <c r="AX338" s="146"/>
      <c r="AY338" s="32"/>
      <c r="AZ338" s="146"/>
      <c r="BA338" s="32"/>
      <c r="BB338" s="146"/>
      <c r="BC338" s="32"/>
      <c r="BD338" s="146"/>
      <c r="BE338" s="32"/>
      <c r="BF338" s="146"/>
      <c r="BG338" s="32"/>
      <c r="BH338" s="146"/>
      <c r="BI338" s="32"/>
      <c r="BJ338" s="146"/>
      <c r="BK338" s="32"/>
      <c r="BL338" s="146"/>
      <c r="BM338" s="32"/>
      <c r="BN338" s="146"/>
      <c r="BO338" s="32"/>
      <c r="BP338" s="146">
        <v>302</v>
      </c>
      <c r="BQ338" s="32">
        <v>341</v>
      </c>
      <c r="BR338" s="146"/>
      <c r="BS338" s="32"/>
      <c r="BT338" s="146">
        <v>361</v>
      </c>
      <c r="BU338" s="32">
        <v>279</v>
      </c>
      <c r="BV338" s="146">
        <v>368</v>
      </c>
      <c r="BW338" s="32">
        <v>272</v>
      </c>
    </row>
    <row r="339" spans="1:75" ht="13" x14ac:dyDescent="0.25">
      <c r="A339" s="186">
        <v>5621</v>
      </c>
      <c r="B339" s="187" t="s">
        <v>361</v>
      </c>
      <c r="C339" s="46">
        <v>1119</v>
      </c>
      <c r="D339" s="142">
        <v>921</v>
      </c>
      <c r="E339" s="145">
        <f t="shared" si="4"/>
        <v>0.82305630026809651</v>
      </c>
      <c r="F339" s="146">
        <v>438</v>
      </c>
      <c r="G339" s="32">
        <v>447</v>
      </c>
      <c r="H339" s="146"/>
      <c r="I339" s="32"/>
      <c r="J339" s="146"/>
      <c r="K339" s="32"/>
      <c r="L339" s="146"/>
      <c r="M339" s="32"/>
      <c r="N339" s="146"/>
      <c r="O339" s="32"/>
      <c r="P339" s="146"/>
      <c r="Q339" s="32"/>
      <c r="R339" s="146"/>
      <c r="S339" s="32"/>
      <c r="T339" s="146"/>
      <c r="U339" s="32"/>
      <c r="V339" s="146"/>
      <c r="W339" s="32"/>
      <c r="X339" s="146"/>
      <c r="Y339" s="32"/>
      <c r="Z339" s="146"/>
      <c r="AA339" s="32"/>
      <c r="AB339" s="146"/>
      <c r="AC339" s="32"/>
      <c r="AD339" s="146"/>
      <c r="AE339" s="32"/>
      <c r="AF339" s="146"/>
      <c r="AG339" s="32"/>
      <c r="AH339" s="146"/>
      <c r="AI339" s="32"/>
      <c r="AJ339" s="146"/>
      <c r="AK339" s="32"/>
      <c r="AL339" s="146"/>
      <c r="AM339" s="32"/>
      <c r="AN339" s="146"/>
      <c r="AO339" s="32"/>
      <c r="AP339" s="146"/>
      <c r="AQ339" s="32"/>
      <c r="AR339" s="146"/>
      <c r="AS339" s="32"/>
      <c r="AT339" s="146">
        <v>463</v>
      </c>
      <c r="AU339" s="32">
        <v>411</v>
      </c>
      <c r="AV339" s="146"/>
      <c r="AW339" s="32"/>
      <c r="AX339" s="146"/>
      <c r="AY339" s="32"/>
      <c r="AZ339" s="146"/>
      <c r="BA339" s="32"/>
      <c r="BB339" s="146"/>
      <c r="BC339" s="32"/>
      <c r="BD339" s="146"/>
      <c r="BE339" s="32"/>
      <c r="BF339" s="146"/>
      <c r="BG339" s="32"/>
      <c r="BH339" s="146"/>
      <c r="BI339" s="32"/>
      <c r="BJ339" s="146"/>
      <c r="BK339" s="32"/>
      <c r="BL339" s="146"/>
      <c r="BM339" s="32"/>
      <c r="BN339" s="146"/>
      <c r="BO339" s="32"/>
      <c r="BP339" s="146">
        <v>445</v>
      </c>
      <c r="BQ339" s="32">
        <v>425</v>
      </c>
      <c r="BR339" s="146"/>
      <c r="BS339" s="32"/>
      <c r="BT339" s="146">
        <v>517</v>
      </c>
      <c r="BU339" s="32">
        <v>353</v>
      </c>
      <c r="BV339" s="146">
        <v>536</v>
      </c>
      <c r="BW339" s="32">
        <v>337</v>
      </c>
    </row>
    <row r="340" spans="1:75" ht="13" x14ac:dyDescent="0.25">
      <c r="A340" s="186">
        <v>5622</v>
      </c>
      <c r="B340" s="187" t="s">
        <v>362</v>
      </c>
      <c r="C340" s="46">
        <v>654</v>
      </c>
      <c r="D340" s="142">
        <v>521</v>
      </c>
      <c r="E340" s="145">
        <f t="shared" si="4"/>
        <v>0.79663608562691135</v>
      </c>
      <c r="F340" s="146">
        <v>239</v>
      </c>
      <c r="G340" s="32">
        <v>262</v>
      </c>
      <c r="H340" s="146"/>
      <c r="I340" s="32"/>
      <c r="J340" s="146"/>
      <c r="K340" s="32"/>
      <c r="L340" s="146"/>
      <c r="M340" s="32"/>
      <c r="N340" s="146"/>
      <c r="O340" s="32"/>
      <c r="P340" s="146"/>
      <c r="Q340" s="32"/>
      <c r="R340" s="146"/>
      <c r="S340" s="32"/>
      <c r="T340" s="146"/>
      <c r="U340" s="32"/>
      <c r="V340" s="146"/>
      <c r="W340" s="32"/>
      <c r="X340" s="146"/>
      <c r="Y340" s="32"/>
      <c r="Z340" s="146"/>
      <c r="AA340" s="32"/>
      <c r="AB340" s="146"/>
      <c r="AC340" s="32"/>
      <c r="AD340" s="146"/>
      <c r="AE340" s="32"/>
      <c r="AF340" s="146"/>
      <c r="AG340" s="32"/>
      <c r="AH340" s="146"/>
      <c r="AI340" s="32"/>
      <c r="AJ340" s="146"/>
      <c r="AK340" s="32"/>
      <c r="AL340" s="146"/>
      <c r="AM340" s="32"/>
      <c r="AN340" s="146"/>
      <c r="AO340" s="32"/>
      <c r="AP340" s="146"/>
      <c r="AQ340" s="32"/>
      <c r="AR340" s="146"/>
      <c r="AS340" s="32"/>
      <c r="AT340" s="146">
        <v>234</v>
      </c>
      <c r="AU340" s="32">
        <v>268</v>
      </c>
      <c r="AV340" s="146"/>
      <c r="AW340" s="32"/>
      <c r="AX340" s="146"/>
      <c r="AY340" s="32"/>
      <c r="AZ340" s="146"/>
      <c r="BA340" s="32"/>
      <c r="BB340" s="146"/>
      <c r="BC340" s="32"/>
      <c r="BD340" s="146"/>
      <c r="BE340" s="32"/>
      <c r="BF340" s="146"/>
      <c r="BG340" s="32"/>
      <c r="BH340" s="146"/>
      <c r="BI340" s="32"/>
      <c r="BJ340" s="146"/>
      <c r="BK340" s="32"/>
      <c r="BL340" s="146"/>
      <c r="BM340" s="32"/>
      <c r="BN340" s="146"/>
      <c r="BO340" s="32"/>
      <c r="BP340" s="146">
        <v>235</v>
      </c>
      <c r="BQ340" s="32">
        <v>267</v>
      </c>
      <c r="BR340" s="146"/>
      <c r="BS340" s="32"/>
      <c r="BT340" s="146">
        <v>294</v>
      </c>
      <c r="BU340" s="32">
        <v>207</v>
      </c>
      <c r="BV340" s="146">
        <v>301</v>
      </c>
      <c r="BW340" s="32">
        <v>204</v>
      </c>
    </row>
    <row r="341" spans="1:75" ht="13" x14ac:dyDescent="0.25">
      <c r="A341" s="186">
        <v>5623</v>
      </c>
      <c r="B341" s="187" t="s">
        <v>363</v>
      </c>
      <c r="C341" s="46">
        <v>883</v>
      </c>
      <c r="D341" s="142">
        <v>712</v>
      </c>
      <c r="E341" s="145">
        <f t="shared" si="4"/>
        <v>0.80634201585503962</v>
      </c>
      <c r="F341" s="146">
        <v>335</v>
      </c>
      <c r="G341" s="32">
        <v>345</v>
      </c>
      <c r="H341" s="146"/>
      <c r="I341" s="32"/>
      <c r="J341" s="146"/>
      <c r="K341" s="32"/>
      <c r="L341" s="146"/>
      <c r="M341" s="32"/>
      <c r="N341" s="146"/>
      <c r="O341" s="32"/>
      <c r="P341" s="146"/>
      <c r="Q341" s="32"/>
      <c r="R341" s="146"/>
      <c r="S341" s="32"/>
      <c r="T341" s="146"/>
      <c r="U341" s="32"/>
      <c r="V341" s="146"/>
      <c r="W341" s="32"/>
      <c r="X341" s="146"/>
      <c r="Y341" s="32"/>
      <c r="Z341" s="146"/>
      <c r="AA341" s="32"/>
      <c r="AB341" s="146"/>
      <c r="AC341" s="32"/>
      <c r="AD341" s="146"/>
      <c r="AE341" s="32"/>
      <c r="AF341" s="146"/>
      <c r="AG341" s="32"/>
      <c r="AH341" s="146"/>
      <c r="AI341" s="32"/>
      <c r="AJ341" s="146"/>
      <c r="AK341" s="32"/>
      <c r="AL341" s="146"/>
      <c r="AM341" s="32"/>
      <c r="AN341" s="146"/>
      <c r="AO341" s="32"/>
      <c r="AP341" s="146"/>
      <c r="AQ341" s="32"/>
      <c r="AR341" s="146"/>
      <c r="AS341" s="32"/>
      <c r="AT341" s="146">
        <v>367</v>
      </c>
      <c r="AU341" s="32">
        <v>309</v>
      </c>
      <c r="AV341" s="146"/>
      <c r="AW341" s="32"/>
      <c r="AX341" s="146"/>
      <c r="AY341" s="32"/>
      <c r="AZ341" s="146"/>
      <c r="BA341" s="32"/>
      <c r="BB341" s="146"/>
      <c r="BC341" s="32"/>
      <c r="BD341" s="146"/>
      <c r="BE341" s="32"/>
      <c r="BF341" s="146"/>
      <c r="BG341" s="32"/>
      <c r="BH341" s="146"/>
      <c r="BI341" s="32"/>
      <c r="BJ341" s="146"/>
      <c r="BK341" s="32"/>
      <c r="BL341" s="146"/>
      <c r="BM341" s="32"/>
      <c r="BN341" s="146"/>
      <c r="BO341" s="32"/>
      <c r="BP341" s="146">
        <v>355</v>
      </c>
      <c r="BQ341" s="32">
        <v>328</v>
      </c>
      <c r="BR341" s="146"/>
      <c r="BS341" s="32"/>
      <c r="BT341" s="146">
        <v>433</v>
      </c>
      <c r="BU341" s="32">
        <v>249</v>
      </c>
      <c r="BV341" s="146">
        <v>432</v>
      </c>
      <c r="BW341" s="32">
        <v>251</v>
      </c>
    </row>
    <row r="342" spans="1:75" ht="13" x14ac:dyDescent="0.25">
      <c r="A342" s="186">
        <v>5624</v>
      </c>
      <c r="B342" s="187" t="s">
        <v>364</v>
      </c>
      <c r="C342" s="46">
        <v>729</v>
      </c>
      <c r="D342" s="142">
        <v>596</v>
      </c>
      <c r="E342" s="145">
        <f t="shared" si="4"/>
        <v>0.8175582990397805</v>
      </c>
      <c r="F342" s="146">
        <v>270</v>
      </c>
      <c r="G342" s="32">
        <v>291</v>
      </c>
      <c r="H342" s="146"/>
      <c r="I342" s="32"/>
      <c r="J342" s="146"/>
      <c r="K342" s="32"/>
      <c r="L342" s="146"/>
      <c r="M342" s="32"/>
      <c r="N342" s="146"/>
      <c r="O342" s="32"/>
      <c r="P342" s="146"/>
      <c r="Q342" s="32"/>
      <c r="R342" s="146"/>
      <c r="S342" s="32"/>
      <c r="T342" s="146"/>
      <c r="U342" s="32"/>
      <c r="V342" s="146"/>
      <c r="W342" s="32"/>
      <c r="X342" s="146"/>
      <c r="Y342" s="32"/>
      <c r="Z342" s="146"/>
      <c r="AA342" s="32"/>
      <c r="AB342" s="146"/>
      <c r="AC342" s="32"/>
      <c r="AD342" s="146"/>
      <c r="AE342" s="32"/>
      <c r="AF342" s="146"/>
      <c r="AG342" s="32"/>
      <c r="AH342" s="146"/>
      <c r="AI342" s="32"/>
      <c r="AJ342" s="146"/>
      <c r="AK342" s="32"/>
      <c r="AL342" s="146"/>
      <c r="AM342" s="32"/>
      <c r="AN342" s="146"/>
      <c r="AO342" s="32"/>
      <c r="AP342" s="146"/>
      <c r="AQ342" s="32"/>
      <c r="AR342" s="146"/>
      <c r="AS342" s="32"/>
      <c r="AT342" s="146">
        <v>256</v>
      </c>
      <c r="AU342" s="32">
        <v>311</v>
      </c>
      <c r="AV342" s="146"/>
      <c r="AW342" s="32"/>
      <c r="AX342" s="146"/>
      <c r="AY342" s="32"/>
      <c r="AZ342" s="146"/>
      <c r="BA342" s="32"/>
      <c r="BB342" s="146"/>
      <c r="BC342" s="32"/>
      <c r="BD342" s="146"/>
      <c r="BE342" s="32"/>
      <c r="BF342" s="146"/>
      <c r="BG342" s="32"/>
      <c r="BH342" s="146"/>
      <c r="BI342" s="32"/>
      <c r="BJ342" s="146"/>
      <c r="BK342" s="32"/>
      <c r="BL342" s="146"/>
      <c r="BM342" s="32"/>
      <c r="BN342" s="146"/>
      <c r="BO342" s="32"/>
      <c r="BP342" s="146">
        <v>246</v>
      </c>
      <c r="BQ342" s="32">
        <v>319</v>
      </c>
      <c r="BR342" s="146"/>
      <c r="BS342" s="32"/>
      <c r="BT342" s="146">
        <v>296</v>
      </c>
      <c r="BU342" s="32">
        <v>269</v>
      </c>
      <c r="BV342" s="146">
        <v>302</v>
      </c>
      <c r="BW342" s="32">
        <v>264</v>
      </c>
    </row>
    <row r="343" spans="1:75" ht="13" x14ac:dyDescent="0.25">
      <c r="A343" s="186">
        <v>5625</v>
      </c>
      <c r="B343" s="187" t="s">
        <v>365</v>
      </c>
      <c r="C343" s="46">
        <v>681</v>
      </c>
      <c r="D343" s="142">
        <v>528</v>
      </c>
      <c r="E343" s="145">
        <f t="shared" si="4"/>
        <v>0.77533039647577096</v>
      </c>
      <c r="F343" s="146">
        <v>187</v>
      </c>
      <c r="G343" s="32">
        <v>313</v>
      </c>
      <c r="H343" s="146"/>
      <c r="I343" s="32"/>
      <c r="J343" s="146"/>
      <c r="K343" s="32"/>
      <c r="L343" s="146"/>
      <c r="M343" s="32"/>
      <c r="N343" s="146"/>
      <c r="O343" s="32"/>
      <c r="P343" s="146"/>
      <c r="Q343" s="32"/>
      <c r="R343" s="146"/>
      <c r="S343" s="32"/>
      <c r="T343" s="146"/>
      <c r="U343" s="32"/>
      <c r="V343" s="146"/>
      <c r="W343" s="32"/>
      <c r="X343" s="146"/>
      <c r="Y343" s="32"/>
      <c r="Z343" s="146"/>
      <c r="AA343" s="32"/>
      <c r="AB343" s="146"/>
      <c r="AC343" s="32"/>
      <c r="AD343" s="146"/>
      <c r="AE343" s="32"/>
      <c r="AF343" s="146"/>
      <c r="AG343" s="32"/>
      <c r="AH343" s="146"/>
      <c r="AI343" s="32"/>
      <c r="AJ343" s="146"/>
      <c r="AK343" s="32"/>
      <c r="AL343" s="146"/>
      <c r="AM343" s="32"/>
      <c r="AN343" s="146"/>
      <c r="AO343" s="32"/>
      <c r="AP343" s="146"/>
      <c r="AQ343" s="32"/>
      <c r="AR343" s="146"/>
      <c r="AS343" s="32"/>
      <c r="AT343" s="146">
        <v>194</v>
      </c>
      <c r="AU343" s="32">
        <v>313</v>
      </c>
      <c r="AV343" s="146"/>
      <c r="AW343" s="32"/>
      <c r="AX343" s="146"/>
      <c r="AY343" s="32"/>
      <c r="AZ343" s="146"/>
      <c r="BA343" s="32"/>
      <c r="BB343" s="146"/>
      <c r="BC343" s="32"/>
      <c r="BD343" s="146"/>
      <c r="BE343" s="32"/>
      <c r="BF343" s="146"/>
      <c r="BG343" s="32"/>
      <c r="BH343" s="146"/>
      <c r="BI343" s="32"/>
      <c r="BJ343" s="146"/>
      <c r="BK343" s="32"/>
      <c r="BL343" s="146"/>
      <c r="BM343" s="32"/>
      <c r="BN343" s="146"/>
      <c r="BO343" s="32"/>
      <c r="BP343" s="146">
        <v>206</v>
      </c>
      <c r="BQ343" s="32">
        <v>307</v>
      </c>
      <c r="BR343" s="146"/>
      <c r="BS343" s="32"/>
      <c r="BT343" s="146">
        <v>233</v>
      </c>
      <c r="BU343" s="32">
        <v>280</v>
      </c>
      <c r="BV343" s="146">
        <v>257</v>
      </c>
      <c r="BW343" s="32">
        <v>254</v>
      </c>
    </row>
    <row r="344" spans="1:75" ht="13" x14ac:dyDescent="0.25">
      <c r="A344" s="186">
        <v>5626</v>
      </c>
      <c r="B344" s="187" t="s">
        <v>366</v>
      </c>
      <c r="C344" s="46">
        <v>1107</v>
      </c>
      <c r="D344" s="142">
        <v>914</v>
      </c>
      <c r="E344" s="145">
        <f t="shared" si="4"/>
        <v>0.82565492321589884</v>
      </c>
      <c r="F344" s="146">
        <v>399</v>
      </c>
      <c r="G344" s="32">
        <v>484</v>
      </c>
      <c r="H344" s="146"/>
      <c r="I344" s="32"/>
      <c r="J344" s="146"/>
      <c r="K344" s="32"/>
      <c r="L344" s="146"/>
      <c r="M344" s="32"/>
      <c r="N344" s="146"/>
      <c r="O344" s="32"/>
      <c r="P344" s="146"/>
      <c r="Q344" s="32"/>
      <c r="R344" s="146"/>
      <c r="S344" s="32"/>
      <c r="T344" s="146"/>
      <c r="U344" s="32"/>
      <c r="V344" s="146"/>
      <c r="W344" s="32"/>
      <c r="X344" s="146"/>
      <c r="Y344" s="32"/>
      <c r="Z344" s="146"/>
      <c r="AA344" s="32"/>
      <c r="AB344" s="146"/>
      <c r="AC344" s="32"/>
      <c r="AD344" s="146"/>
      <c r="AE344" s="32"/>
      <c r="AF344" s="146"/>
      <c r="AG344" s="32"/>
      <c r="AH344" s="146"/>
      <c r="AI344" s="32"/>
      <c r="AJ344" s="146"/>
      <c r="AK344" s="32"/>
      <c r="AL344" s="146"/>
      <c r="AM344" s="32"/>
      <c r="AN344" s="146"/>
      <c r="AO344" s="32"/>
      <c r="AP344" s="146"/>
      <c r="AQ344" s="32"/>
      <c r="AR344" s="146"/>
      <c r="AS344" s="32"/>
      <c r="AT344" s="146">
        <v>470</v>
      </c>
      <c r="AU344" s="32">
        <v>412</v>
      </c>
      <c r="AV344" s="146"/>
      <c r="AW344" s="32"/>
      <c r="AX344" s="146"/>
      <c r="AY344" s="32"/>
      <c r="AZ344" s="146"/>
      <c r="BA344" s="32"/>
      <c r="BB344" s="146"/>
      <c r="BC344" s="32"/>
      <c r="BD344" s="146"/>
      <c r="BE344" s="32"/>
      <c r="BF344" s="146"/>
      <c r="BG344" s="32"/>
      <c r="BH344" s="146"/>
      <c r="BI344" s="32"/>
      <c r="BJ344" s="146"/>
      <c r="BK344" s="32"/>
      <c r="BL344" s="146"/>
      <c r="BM344" s="32"/>
      <c r="BN344" s="146"/>
      <c r="BO344" s="32"/>
      <c r="BP344" s="146">
        <v>466</v>
      </c>
      <c r="BQ344" s="32">
        <v>417</v>
      </c>
      <c r="BR344" s="146"/>
      <c r="BS344" s="32"/>
      <c r="BT344" s="146">
        <v>516</v>
      </c>
      <c r="BU344" s="32">
        <v>372</v>
      </c>
      <c r="BV344" s="146">
        <v>546</v>
      </c>
      <c r="BW344" s="32">
        <v>343</v>
      </c>
    </row>
    <row r="345" spans="1:75" ht="13" x14ac:dyDescent="0.25">
      <c r="A345" s="186">
        <v>5627</v>
      </c>
      <c r="B345" s="187" t="s">
        <v>367</v>
      </c>
      <c r="C345" s="46">
        <v>1179</v>
      </c>
      <c r="D345" s="142">
        <v>980</v>
      </c>
      <c r="E345" s="145">
        <f t="shared" ref="E345:E408" si="5">SUM(D345/C345)</f>
        <v>0.83121289228159456</v>
      </c>
      <c r="F345" s="146">
        <v>483</v>
      </c>
      <c r="G345" s="32">
        <v>462</v>
      </c>
      <c r="H345" s="146"/>
      <c r="I345" s="32"/>
      <c r="J345" s="146"/>
      <c r="K345" s="32"/>
      <c r="L345" s="146"/>
      <c r="M345" s="32"/>
      <c r="N345" s="146"/>
      <c r="O345" s="32"/>
      <c r="P345" s="146"/>
      <c r="Q345" s="32"/>
      <c r="R345" s="146"/>
      <c r="S345" s="32"/>
      <c r="T345" s="146"/>
      <c r="U345" s="32"/>
      <c r="V345" s="146"/>
      <c r="W345" s="32"/>
      <c r="X345" s="146"/>
      <c r="Y345" s="32"/>
      <c r="Z345" s="146"/>
      <c r="AA345" s="32"/>
      <c r="AB345" s="146"/>
      <c r="AC345" s="32"/>
      <c r="AD345" s="146"/>
      <c r="AE345" s="32"/>
      <c r="AF345" s="146"/>
      <c r="AG345" s="32"/>
      <c r="AH345" s="146"/>
      <c r="AI345" s="32"/>
      <c r="AJ345" s="146"/>
      <c r="AK345" s="32"/>
      <c r="AL345" s="146"/>
      <c r="AM345" s="32"/>
      <c r="AN345" s="146"/>
      <c r="AO345" s="32"/>
      <c r="AP345" s="146"/>
      <c r="AQ345" s="32"/>
      <c r="AR345" s="146"/>
      <c r="AS345" s="32"/>
      <c r="AT345" s="146">
        <v>457</v>
      </c>
      <c r="AU345" s="32">
        <v>493</v>
      </c>
      <c r="AV345" s="146"/>
      <c r="AW345" s="32"/>
      <c r="AX345" s="146"/>
      <c r="AY345" s="32"/>
      <c r="AZ345" s="146"/>
      <c r="BA345" s="32"/>
      <c r="BB345" s="146"/>
      <c r="BC345" s="32"/>
      <c r="BD345" s="146"/>
      <c r="BE345" s="32"/>
      <c r="BF345" s="146"/>
      <c r="BG345" s="32"/>
      <c r="BH345" s="146"/>
      <c r="BI345" s="32"/>
      <c r="BJ345" s="146"/>
      <c r="BK345" s="32"/>
      <c r="BL345" s="146"/>
      <c r="BM345" s="32"/>
      <c r="BN345" s="146"/>
      <c r="BO345" s="32"/>
      <c r="BP345" s="146">
        <v>457</v>
      </c>
      <c r="BQ345" s="32">
        <v>499</v>
      </c>
      <c r="BR345" s="146"/>
      <c r="BS345" s="32"/>
      <c r="BT345" s="146">
        <v>554</v>
      </c>
      <c r="BU345" s="32">
        <v>391</v>
      </c>
      <c r="BV345" s="146">
        <v>561</v>
      </c>
      <c r="BW345" s="32">
        <v>385</v>
      </c>
    </row>
    <row r="346" spans="1:75" ht="13" x14ac:dyDescent="0.25">
      <c r="A346" s="186">
        <v>5628</v>
      </c>
      <c r="B346" s="187" t="s">
        <v>368</v>
      </c>
      <c r="C346" s="46">
        <v>948</v>
      </c>
      <c r="D346" s="142">
        <v>770</v>
      </c>
      <c r="E346" s="145">
        <f t="shared" si="5"/>
        <v>0.81223628691983119</v>
      </c>
      <c r="F346" s="146">
        <v>374</v>
      </c>
      <c r="G346" s="32">
        <v>367</v>
      </c>
      <c r="H346" s="146"/>
      <c r="I346" s="32"/>
      <c r="J346" s="146"/>
      <c r="K346" s="32"/>
      <c r="L346" s="146"/>
      <c r="M346" s="32"/>
      <c r="N346" s="146"/>
      <c r="O346" s="32"/>
      <c r="P346" s="146"/>
      <c r="Q346" s="32"/>
      <c r="R346" s="146"/>
      <c r="S346" s="32"/>
      <c r="T346" s="146"/>
      <c r="U346" s="32"/>
      <c r="V346" s="146"/>
      <c r="W346" s="32"/>
      <c r="X346" s="146"/>
      <c r="Y346" s="32"/>
      <c r="Z346" s="146"/>
      <c r="AA346" s="32"/>
      <c r="AB346" s="146"/>
      <c r="AC346" s="32"/>
      <c r="AD346" s="146"/>
      <c r="AE346" s="32"/>
      <c r="AF346" s="146"/>
      <c r="AG346" s="32"/>
      <c r="AH346" s="146"/>
      <c r="AI346" s="32"/>
      <c r="AJ346" s="146"/>
      <c r="AK346" s="32"/>
      <c r="AL346" s="146"/>
      <c r="AM346" s="32"/>
      <c r="AN346" s="146"/>
      <c r="AO346" s="32"/>
      <c r="AP346" s="146"/>
      <c r="AQ346" s="32"/>
      <c r="AR346" s="146"/>
      <c r="AS346" s="32"/>
      <c r="AT346" s="146">
        <v>371</v>
      </c>
      <c r="AU346" s="32">
        <v>366</v>
      </c>
      <c r="AV346" s="146"/>
      <c r="AW346" s="32"/>
      <c r="AX346" s="146"/>
      <c r="AY346" s="32"/>
      <c r="AZ346" s="146"/>
      <c r="BA346" s="32"/>
      <c r="BB346" s="146"/>
      <c r="BC346" s="32"/>
      <c r="BD346" s="146"/>
      <c r="BE346" s="32"/>
      <c r="BF346" s="146"/>
      <c r="BG346" s="32"/>
      <c r="BH346" s="146"/>
      <c r="BI346" s="32"/>
      <c r="BJ346" s="146"/>
      <c r="BK346" s="32"/>
      <c r="BL346" s="146"/>
      <c r="BM346" s="32"/>
      <c r="BN346" s="146"/>
      <c r="BO346" s="32"/>
      <c r="BP346" s="146">
        <v>354</v>
      </c>
      <c r="BQ346" s="32">
        <v>391</v>
      </c>
      <c r="BR346" s="146"/>
      <c r="BS346" s="32"/>
      <c r="BT346" s="146">
        <v>443</v>
      </c>
      <c r="BU346" s="32">
        <v>294</v>
      </c>
      <c r="BV346" s="146">
        <v>469</v>
      </c>
      <c r="BW346" s="32">
        <v>271</v>
      </c>
    </row>
    <row r="347" spans="1:75" ht="13" x14ac:dyDescent="0.25">
      <c r="A347" s="186">
        <v>5629</v>
      </c>
      <c r="B347" s="187" t="s">
        <v>369</v>
      </c>
      <c r="C347" s="46">
        <v>685</v>
      </c>
      <c r="D347" s="142">
        <v>579</v>
      </c>
      <c r="E347" s="145">
        <f t="shared" si="5"/>
        <v>0.84525547445255478</v>
      </c>
      <c r="F347" s="146">
        <v>266</v>
      </c>
      <c r="G347" s="32">
        <v>294</v>
      </c>
      <c r="H347" s="146"/>
      <c r="I347" s="32"/>
      <c r="J347" s="146"/>
      <c r="K347" s="32"/>
      <c r="L347" s="146"/>
      <c r="M347" s="32"/>
      <c r="N347" s="146"/>
      <c r="O347" s="32"/>
      <c r="P347" s="146"/>
      <c r="Q347" s="32"/>
      <c r="R347" s="146"/>
      <c r="S347" s="32"/>
      <c r="T347" s="146"/>
      <c r="U347" s="32"/>
      <c r="V347" s="146"/>
      <c r="W347" s="32"/>
      <c r="X347" s="146"/>
      <c r="Y347" s="32"/>
      <c r="Z347" s="146"/>
      <c r="AA347" s="32"/>
      <c r="AB347" s="146"/>
      <c r="AC347" s="32"/>
      <c r="AD347" s="146"/>
      <c r="AE347" s="32"/>
      <c r="AF347" s="146"/>
      <c r="AG347" s="32"/>
      <c r="AH347" s="146"/>
      <c r="AI347" s="32"/>
      <c r="AJ347" s="146"/>
      <c r="AK347" s="32"/>
      <c r="AL347" s="146"/>
      <c r="AM347" s="32"/>
      <c r="AN347" s="146"/>
      <c r="AO347" s="32"/>
      <c r="AP347" s="146"/>
      <c r="AQ347" s="32"/>
      <c r="AR347" s="146"/>
      <c r="AS347" s="32"/>
      <c r="AT347" s="146">
        <v>274</v>
      </c>
      <c r="AU347" s="32">
        <v>272</v>
      </c>
      <c r="AV347" s="146"/>
      <c r="AW347" s="32"/>
      <c r="AX347" s="146"/>
      <c r="AY347" s="32"/>
      <c r="AZ347" s="146"/>
      <c r="BA347" s="32"/>
      <c r="BB347" s="146"/>
      <c r="BC347" s="32"/>
      <c r="BD347" s="146"/>
      <c r="BE347" s="32"/>
      <c r="BF347" s="146"/>
      <c r="BG347" s="32"/>
      <c r="BH347" s="146"/>
      <c r="BI347" s="32"/>
      <c r="BJ347" s="146"/>
      <c r="BK347" s="32"/>
      <c r="BL347" s="146"/>
      <c r="BM347" s="32"/>
      <c r="BN347" s="146"/>
      <c r="BO347" s="32"/>
      <c r="BP347" s="146">
        <v>268</v>
      </c>
      <c r="BQ347" s="32">
        <v>278</v>
      </c>
      <c r="BR347" s="146"/>
      <c r="BS347" s="32"/>
      <c r="BT347" s="146">
        <v>342</v>
      </c>
      <c r="BU347" s="32">
        <v>209</v>
      </c>
      <c r="BV347" s="146">
        <v>344</v>
      </c>
      <c r="BW347" s="32">
        <v>204</v>
      </c>
    </row>
    <row r="348" spans="1:75" ht="13" x14ac:dyDescent="0.25">
      <c r="A348" s="186">
        <v>5630</v>
      </c>
      <c r="B348" s="187" t="s">
        <v>370</v>
      </c>
      <c r="C348" s="46">
        <v>1229</v>
      </c>
      <c r="D348" s="142">
        <v>1014</v>
      </c>
      <c r="E348" s="145">
        <f t="shared" si="5"/>
        <v>0.82506102522375913</v>
      </c>
      <c r="F348" s="146">
        <v>461</v>
      </c>
      <c r="G348" s="32">
        <v>516</v>
      </c>
      <c r="H348" s="146"/>
      <c r="I348" s="32"/>
      <c r="J348" s="146"/>
      <c r="K348" s="32"/>
      <c r="L348" s="146"/>
      <c r="M348" s="32"/>
      <c r="N348" s="146"/>
      <c r="O348" s="32"/>
      <c r="P348" s="146"/>
      <c r="Q348" s="32"/>
      <c r="R348" s="146"/>
      <c r="S348" s="32"/>
      <c r="T348" s="146"/>
      <c r="U348" s="32"/>
      <c r="V348" s="146"/>
      <c r="W348" s="32"/>
      <c r="X348" s="146"/>
      <c r="Y348" s="32"/>
      <c r="Z348" s="146"/>
      <c r="AA348" s="32"/>
      <c r="AB348" s="146"/>
      <c r="AC348" s="32"/>
      <c r="AD348" s="146"/>
      <c r="AE348" s="32"/>
      <c r="AF348" s="146"/>
      <c r="AG348" s="32"/>
      <c r="AH348" s="146"/>
      <c r="AI348" s="32"/>
      <c r="AJ348" s="146"/>
      <c r="AK348" s="32"/>
      <c r="AL348" s="146"/>
      <c r="AM348" s="32"/>
      <c r="AN348" s="146"/>
      <c r="AO348" s="32"/>
      <c r="AP348" s="146"/>
      <c r="AQ348" s="32"/>
      <c r="AR348" s="146"/>
      <c r="AS348" s="32"/>
      <c r="AT348" s="146">
        <v>523</v>
      </c>
      <c r="AU348" s="32">
        <v>448</v>
      </c>
      <c r="AV348" s="146"/>
      <c r="AW348" s="32"/>
      <c r="AX348" s="146"/>
      <c r="AY348" s="32"/>
      <c r="AZ348" s="146"/>
      <c r="BA348" s="32"/>
      <c r="BB348" s="146"/>
      <c r="BC348" s="32"/>
      <c r="BD348" s="146"/>
      <c r="BE348" s="32"/>
      <c r="BF348" s="146"/>
      <c r="BG348" s="32"/>
      <c r="BH348" s="146"/>
      <c r="BI348" s="32"/>
      <c r="BJ348" s="146"/>
      <c r="BK348" s="32"/>
      <c r="BL348" s="146"/>
      <c r="BM348" s="32"/>
      <c r="BN348" s="146"/>
      <c r="BO348" s="32"/>
      <c r="BP348" s="146">
        <v>486</v>
      </c>
      <c r="BQ348" s="32">
        <v>488</v>
      </c>
      <c r="BR348" s="146"/>
      <c r="BS348" s="32"/>
      <c r="BT348" s="146">
        <v>552</v>
      </c>
      <c r="BU348" s="32">
        <v>419</v>
      </c>
      <c r="BV348" s="146">
        <v>586</v>
      </c>
      <c r="BW348" s="32">
        <v>387</v>
      </c>
    </row>
    <row r="349" spans="1:75" ht="13" x14ac:dyDescent="0.25">
      <c r="A349" s="186">
        <v>5631</v>
      </c>
      <c r="B349" s="187" t="s">
        <v>371</v>
      </c>
      <c r="C349" s="46">
        <v>814</v>
      </c>
      <c r="D349" s="142">
        <v>629</v>
      </c>
      <c r="E349" s="145">
        <f t="shared" si="5"/>
        <v>0.77272727272727271</v>
      </c>
      <c r="F349" s="146">
        <v>298</v>
      </c>
      <c r="G349" s="32">
        <v>296</v>
      </c>
      <c r="H349" s="146"/>
      <c r="I349" s="32"/>
      <c r="J349" s="146"/>
      <c r="K349" s="32"/>
      <c r="L349" s="146"/>
      <c r="M349" s="32"/>
      <c r="N349" s="146"/>
      <c r="O349" s="32"/>
      <c r="P349" s="146"/>
      <c r="Q349" s="32"/>
      <c r="R349" s="146"/>
      <c r="S349" s="32"/>
      <c r="T349" s="146"/>
      <c r="U349" s="32"/>
      <c r="V349" s="146"/>
      <c r="W349" s="32"/>
      <c r="X349" s="146"/>
      <c r="Y349" s="32"/>
      <c r="Z349" s="146"/>
      <c r="AA349" s="32"/>
      <c r="AB349" s="146"/>
      <c r="AC349" s="32"/>
      <c r="AD349" s="146"/>
      <c r="AE349" s="32"/>
      <c r="AF349" s="146"/>
      <c r="AG349" s="32"/>
      <c r="AH349" s="146"/>
      <c r="AI349" s="32"/>
      <c r="AJ349" s="146"/>
      <c r="AK349" s="32"/>
      <c r="AL349" s="146"/>
      <c r="AM349" s="32"/>
      <c r="AN349" s="146"/>
      <c r="AO349" s="32"/>
      <c r="AP349" s="146"/>
      <c r="AQ349" s="32"/>
      <c r="AR349" s="146"/>
      <c r="AS349" s="32"/>
      <c r="AT349" s="146">
        <v>329</v>
      </c>
      <c r="AU349" s="32">
        <v>274</v>
      </c>
      <c r="AV349" s="146"/>
      <c r="AW349" s="32"/>
      <c r="AX349" s="146"/>
      <c r="AY349" s="32"/>
      <c r="AZ349" s="146"/>
      <c r="BA349" s="32"/>
      <c r="BB349" s="146"/>
      <c r="BC349" s="32"/>
      <c r="BD349" s="146"/>
      <c r="BE349" s="32"/>
      <c r="BF349" s="146"/>
      <c r="BG349" s="32"/>
      <c r="BH349" s="146"/>
      <c r="BI349" s="32"/>
      <c r="BJ349" s="146"/>
      <c r="BK349" s="32"/>
      <c r="BL349" s="146"/>
      <c r="BM349" s="32"/>
      <c r="BN349" s="146"/>
      <c r="BO349" s="32"/>
      <c r="BP349" s="146">
        <v>321</v>
      </c>
      <c r="BQ349" s="32">
        <v>282</v>
      </c>
      <c r="BR349" s="146"/>
      <c r="BS349" s="32"/>
      <c r="BT349" s="146">
        <v>343</v>
      </c>
      <c r="BU349" s="32">
        <v>256</v>
      </c>
      <c r="BV349" s="146">
        <v>370</v>
      </c>
      <c r="BW349" s="32">
        <v>235</v>
      </c>
    </row>
    <row r="350" spans="1:75" ht="13" x14ac:dyDescent="0.25">
      <c r="A350" s="186">
        <v>5632</v>
      </c>
      <c r="B350" s="187" t="s">
        <v>372</v>
      </c>
      <c r="C350" s="46">
        <v>1287</v>
      </c>
      <c r="D350" s="142">
        <v>1012</v>
      </c>
      <c r="E350" s="145">
        <f t="shared" si="5"/>
        <v>0.78632478632478631</v>
      </c>
      <c r="F350" s="146">
        <v>497</v>
      </c>
      <c r="G350" s="32">
        <v>463</v>
      </c>
      <c r="H350" s="146"/>
      <c r="I350" s="32"/>
      <c r="J350" s="146"/>
      <c r="K350" s="32"/>
      <c r="L350" s="146"/>
      <c r="M350" s="32"/>
      <c r="N350" s="146"/>
      <c r="O350" s="32"/>
      <c r="P350" s="146"/>
      <c r="Q350" s="32"/>
      <c r="R350" s="146"/>
      <c r="S350" s="32"/>
      <c r="T350" s="146"/>
      <c r="U350" s="32"/>
      <c r="V350" s="146"/>
      <c r="W350" s="32"/>
      <c r="X350" s="146"/>
      <c r="Y350" s="32"/>
      <c r="Z350" s="146"/>
      <c r="AA350" s="32"/>
      <c r="AB350" s="146"/>
      <c r="AC350" s="32"/>
      <c r="AD350" s="146"/>
      <c r="AE350" s="32"/>
      <c r="AF350" s="146"/>
      <c r="AG350" s="32"/>
      <c r="AH350" s="146"/>
      <c r="AI350" s="32"/>
      <c r="AJ350" s="146"/>
      <c r="AK350" s="32"/>
      <c r="AL350" s="146"/>
      <c r="AM350" s="32"/>
      <c r="AN350" s="146"/>
      <c r="AO350" s="32"/>
      <c r="AP350" s="146"/>
      <c r="AQ350" s="32"/>
      <c r="AR350" s="146"/>
      <c r="AS350" s="32"/>
      <c r="AT350" s="146">
        <v>505</v>
      </c>
      <c r="AU350" s="32">
        <v>458</v>
      </c>
      <c r="AV350" s="146"/>
      <c r="AW350" s="32"/>
      <c r="AX350" s="146"/>
      <c r="AY350" s="32"/>
      <c r="AZ350" s="146"/>
      <c r="BA350" s="32"/>
      <c r="BB350" s="146"/>
      <c r="BC350" s="32"/>
      <c r="BD350" s="146"/>
      <c r="BE350" s="32"/>
      <c r="BF350" s="146"/>
      <c r="BG350" s="32"/>
      <c r="BH350" s="146"/>
      <c r="BI350" s="32"/>
      <c r="BJ350" s="146"/>
      <c r="BK350" s="32"/>
      <c r="BL350" s="146"/>
      <c r="BM350" s="32"/>
      <c r="BN350" s="146"/>
      <c r="BO350" s="32"/>
      <c r="BP350" s="146">
        <v>477</v>
      </c>
      <c r="BQ350" s="32">
        <v>489</v>
      </c>
      <c r="BR350" s="146"/>
      <c r="BS350" s="32"/>
      <c r="BT350" s="146">
        <v>570</v>
      </c>
      <c r="BU350" s="32">
        <v>402</v>
      </c>
      <c r="BV350" s="146">
        <v>587</v>
      </c>
      <c r="BW350" s="32">
        <v>385</v>
      </c>
    </row>
    <row r="351" spans="1:75" ht="13" x14ac:dyDescent="0.25">
      <c r="A351" s="186">
        <v>5801</v>
      </c>
      <c r="B351" s="187" t="s">
        <v>373</v>
      </c>
      <c r="C351" s="46">
        <v>525</v>
      </c>
      <c r="D351" s="142">
        <v>299</v>
      </c>
      <c r="E351" s="145">
        <f t="shared" si="5"/>
        <v>0.56952380952380954</v>
      </c>
      <c r="F351" s="146">
        <v>146</v>
      </c>
      <c r="G351" s="32">
        <v>142</v>
      </c>
      <c r="H351" s="146"/>
      <c r="I351" s="32"/>
      <c r="J351" s="146"/>
      <c r="K351" s="32"/>
      <c r="L351" s="146"/>
      <c r="M351" s="32"/>
      <c r="N351" s="146"/>
      <c r="O351" s="32"/>
      <c r="P351" s="146"/>
      <c r="Q351" s="32"/>
      <c r="R351" s="146"/>
      <c r="S351" s="32"/>
      <c r="T351" s="146"/>
      <c r="U351" s="32"/>
      <c r="V351" s="146"/>
      <c r="W351" s="32"/>
      <c r="X351" s="146"/>
      <c r="Y351" s="32"/>
      <c r="Z351" s="146"/>
      <c r="AA351" s="32"/>
      <c r="AB351" s="146"/>
      <c r="AC351" s="32"/>
      <c r="AD351" s="146"/>
      <c r="AE351" s="32"/>
      <c r="AF351" s="146"/>
      <c r="AG351" s="32"/>
      <c r="AH351" s="146"/>
      <c r="AI351" s="32"/>
      <c r="AJ351" s="146"/>
      <c r="AK351" s="32"/>
      <c r="AL351" s="146"/>
      <c r="AM351" s="32"/>
      <c r="AN351" s="146"/>
      <c r="AO351" s="32"/>
      <c r="AP351" s="146"/>
      <c r="AQ351" s="32"/>
      <c r="AR351" s="146"/>
      <c r="AS351" s="32"/>
      <c r="AT351" s="146"/>
      <c r="AU351" s="32"/>
      <c r="AV351" s="146"/>
      <c r="AW351" s="32"/>
      <c r="AX351" s="146"/>
      <c r="AY351" s="32"/>
      <c r="AZ351" s="146"/>
      <c r="BA351" s="32"/>
      <c r="BB351" s="146"/>
      <c r="BC351" s="32"/>
      <c r="BD351" s="146"/>
      <c r="BE351" s="32"/>
      <c r="BF351" s="146"/>
      <c r="BG351" s="32"/>
      <c r="BH351" s="146"/>
      <c r="BI351" s="32"/>
      <c r="BJ351" s="146"/>
      <c r="BK351" s="32"/>
      <c r="BL351" s="146"/>
      <c r="BM351" s="32"/>
      <c r="BN351" s="146"/>
      <c r="BO351" s="32"/>
      <c r="BP351" s="146"/>
      <c r="BQ351" s="32"/>
      <c r="BR351" s="146"/>
      <c r="BS351" s="32"/>
      <c r="BT351" s="146">
        <v>156</v>
      </c>
      <c r="BU351" s="32">
        <v>131</v>
      </c>
      <c r="BV351" s="146">
        <v>165</v>
      </c>
      <c r="BW351" s="32">
        <v>120</v>
      </c>
    </row>
    <row r="352" spans="1:75" ht="13" x14ac:dyDescent="0.25">
      <c r="A352" s="186">
        <v>5901</v>
      </c>
      <c r="B352" s="187" t="s">
        <v>374</v>
      </c>
      <c r="C352" s="46">
        <v>1178</v>
      </c>
      <c r="D352" s="142">
        <v>1001</v>
      </c>
      <c r="E352" s="145">
        <f t="shared" si="5"/>
        <v>0.84974533106960948</v>
      </c>
      <c r="F352" s="146">
        <v>252</v>
      </c>
      <c r="G352" s="32">
        <v>719</v>
      </c>
      <c r="H352" s="146"/>
      <c r="I352" s="32"/>
      <c r="J352" s="146"/>
      <c r="K352" s="32"/>
      <c r="L352" s="146"/>
      <c r="M352" s="32"/>
      <c r="N352" s="146"/>
      <c r="O352" s="32"/>
      <c r="P352" s="146"/>
      <c r="Q352" s="32"/>
      <c r="R352" s="146"/>
      <c r="S352" s="32"/>
      <c r="T352" s="146"/>
      <c r="U352" s="32"/>
      <c r="V352" s="146"/>
      <c r="W352" s="32"/>
      <c r="X352" s="146"/>
      <c r="Y352" s="32"/>
      <c r="Z352" s="146"/>
      <c r="AA352" s="32"/>
      <c r="AB352" s="146"/>
      <c r="AC352" s="32"/>
      <c r="AD352" s="146"/>
      <c r="AE352" s="32"/>
      <c r="AF352" s="146"/>
      <c r="AG352" s="32"/>
      <c r="AH352" s="146"/>
      <c r="AI352" s="32"/>
      <c r="AJ352" s="146"/>
      <c r="AK352" s="32"/>
      <c r="AL352" s="146"/>
      <c r="AM352" s="32"/>
      <c r="AN352" s="146"/>
      <c r="AO352" s="32"/>
      <c r="AP352" s="146"/>
      <c r="AQ352" s="32"/>
      <c r="AR352" s="146"/>
      <c r="AS352" s="32"/>
      <c r="AT352" s="146"/>
      <c r="AU352" s="32"/>
      <c r="AV352" s="146"/>
      <c r="AW352" s="32"/>
      <c r="AX352" s="146"/>
      <c r="AY352" s="32"/>
      <c r="AZ352" s="146"/>
      <c r="BA352" s="32"/>
      <c r="BB352" s="146"/>
      <c r="BC352" s="32"/>
      <c r="BD352" s="146"/>
      <c r="BE352" s="32"/>
      <c r="BF352" s="146"/>
      <c r="BG352" s="32"/>
      <c r="BH352" s="146"/>
      <c r="BI352" s="32"/>
      <c r="BJ352" s="146"/>
      <c r="BK352" s="32"/>
      <c r="BL352" s="146"/>
      <c r="BM352" s="32"/>
      <c r="BN352" s="146"/>
      <c r="BO352" s="32"/>
      <c r="BP352" s="146"/>
      <c r="BQ352" s="32"/>
      <c r="BR352" s="146"/>
      <c r="BS352" s="32"/>
      <c r="BT352" s="146">
        <v>354</v>
      </c>
      <c r="BU352" s="32">
        <v>610</v>
      </c>
      <c r="BV352" s="146">
        <v>370</v>
      </c>
      <c r="BW352" s="32">
        <v>594</v>
      </c>
    </row>
    <row r="353" spans="1:75" ht="13" x14ac:dyDescent="0.25">
      <c r="A353" s="186">
        <v>5902</v>
      </c>
      <c r="B353" s="187" t="s">
        <v>375</v>
      </c>
      <c r="C353" s="46">
        <v>1086</v>
      </c>
      <c r="D353" s="142">
        <v>747</v>
      </c>
      <c r="E353" s="145">
        <f t="shared" si="5"/>
        <v>0.68784530386740328</v>
      </c>
      <c r="F353" s="146">
        <v>337</v>
      </c>
      <c r="G353" s="32">
        <v>372</v>
      </c>
      <c r="H353" s="146"/>
      <c r="I353" s="32"/>
      <c r="J353" s="146"/>
      <c r="K353" s="32"/>
      <c r="L353" s="146"/>
      <c r="M353" s="32"/>
      <c r="N353" s="146"/>
      <c r="O353" s="32"/>
      <c r="P353" s="146"/>
      <c r="Q353" s="32"/>
      <c r="R353" s="146"/>
      <c r="S353" s="32"/>
      <c r="T353" s="146"/>
      <c r="U353" s="32"/>
      <c r="V353" s="146"/>
      <c r="W353" s="32"/>
      <c r="X353" s="146"/>
      <c r="Y353" s="32"/>
      <c r="Z353" s="146"/>
      <c r="AA353" s="32"/>
      <c r="AB353" s="146"/>
      <c r="AC353" s="32"/>
      <c r="AD353" s="146"/>
      <c r="AE353" s="32"/>
      <c r="AF353" s="146"/>
      <c r="AG353" s="32"/>
      <c r="AH353" s="146"/>
      <c r="AI353" s="32"/>
      <c r="AJ353" s="146"/>
      <c r="AK353" s="32"/>
      <c r="AL353" s="146"/>
      <c r="AM353" s="32"/>
      <c r="AN353" s="146"/>
      <c r="AO353" s="32"/>
      <c r="AP353" s="146"/>
      <c r="AQ353" s="32"/>
      <c r="AR353" s="146"/>
      <c r="AS353" s="32"/>
      <c r="AT353" s="146"/>
      <c r="AU353" s="32"/>
      <c r="AV353" s="146"/>
      <c r="AW353" s="32"/>
      <c r="AX353" s="146"/>
      <c r="AY353" s="32"/>
      <c r="AZ353" s="146"/>
      <c r="BA353" s="32"/>
      <c r="BB353" s="146"/>
      <c r="BC353" s="32"/>
      <c r="BD353" s="146"/>
      <c r="BE353" s="32"/>
      <c r="BF353" s="146"/>
      <c r="BG353" s="32"/>
      <c r="BH353" s="146"/>
      <c r="BI353" s="32"/>
      <c r="BJ353" s="146">
        <v>51</v>
      </c>
      <c r="BK353" s="32">
        <v>44</v>
      </c>
      <c r="BL353" s="146"/>
      <c r="BM353" s="32"/>
      <c r="BN353" s="146"/>
      <c r="BO353" s="32"/>
      <c r="BP353" s="146"/>
      <c r="BQ353" s="32"/>
      <c r="BR353" s="146"/>
      <c r="BS353" s="32"/>
      <c r="BT353" s="146">
        <v>376</v>
      </c>
      <c r="BU353" s="32">
        <v>328</v>
      </c>
      <c r="BV353" s="146">
        <v>422</v>
      </c>
      <c r="BW353" s="32">
        <v>289</v>
      </c>
    </row>
    <row r="354" spans="1:75" ht="13" x14ac:dyDescent="0.25">
      <c r="A354" s="186">
        <v>5903</v>
      </c>
      <c r="B354" s="187" t="s">
        <v>376</v>
      </c>
      <c r="C354" s="46">
        <v>1228</v>
      </c>
      <c r="D354" s="142">
        <v>791</v>
      </c>
      <c r="E354" s="145">
        <f t="shared" si="5"/>
        <v>0.64413680781758953</v>
      </c>
      <c r="F354" s="146">
        <v>370</v>
      </c>
      <c r="G354" s="32">
        <v>373</v>
      </c>
      <c r="H354" s="146"/>
      <c r="I354" s="32"/>
      <c r="J354" s="146"/>
      <c r="K354" s="32"/>
      <c r="L354" s="146"/>
      <c r="M354" s="32"/>
      <c r="N354" s="146"/>
      <c r="O354" s="32"/>
      <c r="P354" s="146"/>
      <c r="Q354" s="32"/>
      <c r="R354" s="146"/>
      <c r="S354" s="32"/>
      <c r="T354" s="146"/>
      <c r="U354" s="32"/>
      <c r="V354" s="146"/>
      <c r="W354" s="32"/>
      <c r="X354" s="146"/>
      <c r="Y354" s="32"/>
      <c r="Z354" s="146"/>
      <c r="AA354" s="32"/>
      <c r="AB354" s="146"/>
      <c r="AC354" s="32"/>
      <c r="AD354" s="146"/>
      <c r="AE354" s="32"/>
      <c r="AF354" s="146"/>
      <c r="AG354" s="32"/>
      <c r="AH354" s="146"/>
      <c r="AI354" s="32"/>
      <c r="AJ354" s="146"/>
      <c r="AK354" s="32"/>
      <c r="AL354" s="146"/>
      <c r="AM354" s="32"/>
      <c r="AN354" s="146"/>
      <c r="AO354" s="32"/>
      <c r="AP354" s="146"/>
      <c r="AQ354" s="32"/>
      <c r="AR354" s="146"/>
      <c r="AS354" s="32"/>
      <c r="AT354" s="146"/>
      <c r="AU354" s="32"/>
      <c r="AV354" s="146"/>
      <c r="AW354" s="32"/>
      <c r="AX354" s="146"/>
      <c r="AY354" s="32"/>
      <c r="AZ354" s="146"/>
      <c r="BA354" s="32"/>
      <c r="BB354" s="146"/>
      <c r="BC354" s="32"/>
      <c r="BD354" s="146"/>
      <c r="BE354" s="32"/>
      <c r="BF354" s="146"/>
      <c r="BG354" s="32"/>
      <c r="BH354" s="146"/>
      <c r="BI354" s="32"/>
      <c r="BJ354" s="146"/>
      <c r="BK354" s="32"/>
      <c r="BL354" s="146"/>
      <c r="BM354" s="32"/>
      <c r="BN354" s="146"/>
      <c r="BO354" s="32"/>
      <c r="BP354" s="146"/>
      <c r="BQ354" s="32"/>
      <c r="BR354" s="146"/>
      <c r="BS354" s="32"/>
      <c r="BT354" s="146">
        <v>391</v>
      </c>
      <c r="BU354" s="32">
        <v>352</v>
      </c>
      <c r="BV354" s="146">
        <v>421</v>
      </c>
      <c r="BW354" s="32">
        <v>326</v>
      </c>
    </row>
    <row r="355" spans="1:75" ht="13" x14ac:dyDescent="0.25">
      <c r="A355" s="186">
        <v>5904</v>
      </c>
      <c r="B355" s="187" t="s">
        <v>377</v>
      </c>
      <c r="C355" s="46">
        <v>1093</v>
      </c>
      <c r="D355" s="142">
        <v>643</v>
      </c>
      <c r="E355" s="145">
        <f t="shared" si="5"/>
        <v>0.58828911253430927</v>
      </c>
      <c r="F355" s="146">
        <v>347</v>
      </c>
      <c r="G355" s="32">
        <v>262</v>
      </c>
      <c r="H355" s="146"/>
      <c r="I355" s="32"/>
      <c r="J355" s="146"/>
      <c r="K355" s="32"/>
      <c r="L355" s="146"/>
      <c r="M355" s="32"/>
      <c r="N355" s="146"/>
      <c r="O355" s="32"/>
      <c r="P355" s="146"/>
      <c r="Q355" s="32"/>
      <c r="R355" s="146"/>
      <c r="S355" s="32"/>
      <c r="T355" s="146"/>
      <c r="U355" s="32"/>
      <c r="V355" s="146"/>
      <c r="W355" s="32"/>
      <c r="X355" s="146"/>
      <c r="Y355" s="32"/>
      <c r="Z355" s="146"/>
      <c r="AA355" s="32"/>
      <c r="AB355" s="146"/>
      <c r="AC355" s="32"/>
      <c r="AD355" s="146"/>
      <c r="AE355" s="32"/>
      <c r="AF355" s="146"/>
      <c r="AG355" s="32"/>
      <c r="AH355" s="146"/>
      <c r="AI355" s="32"/>
      <c r="AJ355" s="146"/>
      <c r="AK355" s="32"/>
      <c r="AL355" s="146"/>
      <c r="AM355" s="32"/>
      <c r="AN355" s="146"/>
      <c r="AO355" s="32"/>
      <c r="AP355" s="146"/>
      <c r="AQ355" s="32"/>
      <c r="AR355" s="146"/>
      <c r="AS355" s="32"/>
      <c r="AT355" s="146"/>
      <c r="AU355" s="32"/>
      <c r="AV355" s="146"/>
      <c r="AW355" s="32"/>
      <c r="AX355" s="146"/>
      <c r="AY355" s="32"/>
      <c r="AZ355" s="146"/>
      <c r="BA355" s="32"/>
      <c r="BB355" s="146"/>
      <c r="BC355" s="32"/>
      <c r="BD355" s="146"/>
      <c r="BE355" s="32"/>
      <c r="BF355" s="146"/>
      <c r="BG355" s="32"/>
      <c r="BH355" s="146"/>
      <c r="BI355" s="32"/>
      <c r="BJ355" s="146">
        <v>246</v>
      </c>
      <c r="BK355" s="32">
        <v>380</v>
      </c>
      <c r="BL355" s="146"/>
      <c r="BM355" s="32"/>
      <c r="BN355" s="146"/>
      <c r="BO355" s="32"/>
      <c r="BP355" s="146"/>
      <c r="BQ355" s="32"/>
      <c r="BR355" s="146"/>
      <c r="BS355" s="32"/>
      <c r="BT355" s="146">
        <v>343</v>
      </c>
      <c r="BU355" s="32">
        <v>283</v>
      </c>
      <c r="BV355" s="146">
        <v>356</v>
      </c>
      <c r="BW355" s="32">
        <v>267</v>
      </c>
    </row>
    <row r="356" spans="1:75" ht="13" x14ac:dyDescent="0.25">
      <c r="A356" s="186">
        <v>5905</v>
      </c>
      <c r="B356" s="187" t="s">
        <v>378</v>
      </c>
      <c r="C356" s="46">
        <v>1336</v>
      </c>
      <c r="D356" s="142">
        <v>1111</v>
      </c>
      <c r="E356" s="145">
        <f t="shared" si="5"/>
        <v>0.83158682634730541</v>
      </c>
      <c r="F356" s="146">
        <v>372</v>
      </c>
      <c r="G356" s="32">
        <v>677</v>
      </c>
      <c r="H356" s="146"/>
      <c r="I356" s="32"/>
      <c r="J356" s="146"/>
      <c r="K356" s="32"/>
      <c r="L356" s="146"/>
      <c r="M356" s="32"/>
      <c r="N356" s="146"/>
      <c r="O356" s="32"/>
      <c r="P356" s="146"/>
      <c r="Q356" s="32"/>
      <c r="R356" s="146"/>
      <c r="S356" s="32"/>
      <c r="T356" s="146"/>
      <c r="U356" s="32"/>
      <c r="V356" s="146"/>
      <c r="W356" s="32"/>
      <c r="X356" s="146"/>
      <c r="Y356" s="32"/>
      <c r="Z356" s="146"/>
      <c r="AA356" s="32"/>
      <c r="AB356" s="146"/>
      <c r="AC356" s="32"/>
      <c r="AD356" s="146"/>
      <c r="AE356" s="32"/>
      <c r="AF356" s="146"/>
      <c r="AG356" s="32"/>
      <c r="AH356" s="146"/>
      <c r="AI356" s="32"/>
      <c r="AJ356" s="146"/>
      <c r="AK356" s="32"/>
      <c r="AL356" s="146"/>
      <c r="AM356" s="32"/>
      <c r="AN356" s="146"/>
      <c r="AO356" s="32"/>
      <c r="AP356" s="146"/>
      <c r="AQ356" s="32"/>
      <c r="AR356" s="146"/>
      <c r="AS356" s="32"/>
      <c r="AT356" s="146"/>
      <c r="AU356" s="32"/>
      <c r="AV356" s="146"/>
      <c r="AW356" s="32"/>
      <c r="AX356" s="146"/>
      <c r="AY356" s="32"/>
      <c r="AZ356" s="146"/>
      <c r="BA356" s="32"/>
      <c r="BB356" s="146"/>
      <c r="BC356" s="32"/>
      <c r="BD356" s="146"/>
      <c r="BE356" s="32"/>
      <c r="BF356" s="146"/>
      <c r="BG356" s="32"/>
      <c r="BH356" s="146"/>
      <c r="BI356" s="32"/>
      <c r="BJ356" s="146"/>
      <c r="BK356" s="32"/>
      <c r="BL356" s="146"/>
      <c r="BM356" s="32"/>
      <c r="BN356" s="146"/>
      <c r="BO356" s="32"/>
      <c r="BP356" s="146"/>
      <c r="BQ356" s="32"/>
      <c r="BR356" s="146"/>
      <c r="BS356" s="32"/>
      <c r="BT356" s="146">
        <v>516</v>
      </c>
      <c r="BU356" s="32">
        <v>533</v>
      </c>
      <c r="BV356" s="146">
        <v>557</v>
      </c>
      <c r="BW356" s="32">
        <v>496</v>
      </c>
    </row>
    <row r="357" spans="1:75" ht="13" x14ac:dyDescent="0.25">
      <c r="A357" s="186">
        <v>5906</v>
      </c>
      <c r="B357" s="187" t="s">
        <v>379</v>
      </c>
      <c r="C357" s="46">
        <v>1368</v>
      </c>
      <c r="D357" s="142">
        <v>1085</v>
      </c>
      <c r="E357" s="145">
        <f t="shared" si="5"/>
        <v>0.79312865497076024</v>
      </c>
      <c r="F357" s="146">
        <v>319</v>
      </c>
      <c r="G357" s="32">
        <v>723</v>
      </c>
      <c r="H357" s="146"/>
      <c r="I357" s="32"/>
      <c r="J357" s="146"/>
      <c r="K357" s="32"/>
      <c r="L357" s="146"/>
      <c r="M357" s="32"/>
      <c r="N357" s="146"/>
      <c r="O357" s="32"/>
      <c r="P357" s="146"/>
      <c r="Q357" s="32"/>
      <c r="R357" s="146"/>
      <c r="S357" s="32"/>
      <c r="T357" s="146"/>
      <c r="U357" s="32"/>
      <c r="V357" s="146"/>
      <c r="W357" s="32"/>
      <c r="X357" s="146"/>
      <c r="Y357" s="32"/>
      <c r="Z357" s="146"/>
      <c r="AA357" s="32"/>
      <c r="AB357" s="146"/>
      <c r="AC357" s="32"/>
      <c r="AD357" s="146"/>
      <c r="AE357" s="32"/>
      <c r="AF357" s="146"/>
      <c r="AG357" s="32"/>
      <c r="AH357" s="146"/>
      <c r="AI357" s="32"/>
      <c r="AJ357" s="146"/>
      <c r="AK357" s="32"/>
      <c r="AL357" s="146"/>
      <c r="AM357" s="32"/>
      <c r="AN357" s="146"/>
      <c r="AO357" s="32"/>
      <c r="AP357" s="146"/>
      <c r="AQ357" s="32"/>
      <c r="AR357" s="146"/>
      <c r="AS357" s="32"/>
      <c r="AT357" s="146"/>
      <c r="AU357" s="32"/>
      <c r="AV357" s="146"/>
      <c r="AW357" s="32"/>
      <c r="AX357" s="146"/>
      <c r="AY357" s="32"/>
      <c r="AZ357" s="146"/>
      <c r="BA357" s="32"/>
      <c r="BB357" s="146"/>
      <c r="BC357" s="32"/>
      <c r="BD357" s="146"/>
      <c r="BE357" s="32"/>
      <c r="BF357" s="146"/>
      <c r="BG357" s="32"/>
      <c r="BH357" s="146"/>
      <c r="BI357" s="32"/>
      <c r="BJ357" s="146"/>
      <c r="BK357" s="32"/>
      <c r="BL357" s="146"/>
      <c r="BM357" s="32"/>
      <c r="BN357" s="146"/>
      <c r="BO357" s="32"/>
      <c r="BP357" s="146"/>
      <c r="BQ357" s="32"/>
      <c r="BR357" s="146"/>
      <c r="BS357" s="32"/>
      <c r="BT357" s="146">
        <v>444</v>
      </c>
      <c r="BU357" s="32">
        <v>598</v>
      </c>
      <c r="BV357" s="146">
        <v>457</v>
      </c>
      <c r="BW357" s="32">
        <v>585</v>
      </c>
    </row>
    <row r="358" spans="1:75" ht="13" x14ac:dyDescent="0.25">
      <c r="A358" s="186">
        <v>5907</v>
      </c>
      <c r="B358" s="187" t="s">
        <v>380</v>
      </c>
      <c r="C358" s="46">
        <v>1199</v>
      </c>
      <c r="D358" s="142">
        <v>971</v>
      </c>
      <c r="E358" s="145">
        <f t="shared" si="5"/>
        <v>0.80984153461217678</v>
      </c>
      <c r="F358" s="146">
        <v>292</v>
      </c>
      <c r="G358" s="32">
        <v>618</v>
      </c>
      <c r="H358" s="146"/>
      <c r="I358" s="32"/>
      <c r="J358" s="146"/>
      <c r="K358" s="32"/>
      <c r="L358" s="146"/>
      <c r="M358" s="32"/>
      <c r="N358" s="146"/>
      <c r="O358" s="32"/>
      <c r="P358" s="146"/>
      <c r="Q358" s="32"/>
      <c r="R358" s="146"/>
      <c r="S358" s="32"/>
      <c r="T358" s="146"/>
      <c r="U358" s="32"/>
      <c r="V358" s="146"/>
      <c r="W358" s="32"/>
      <c r="X358" s="146"/>
      <c r="Y358" s="32"/>
      <c r="Z358" s="146"/>
      <c r="AA358" s="32"/>
      <c r="AB358" s="146"/>
      <c r="AC358" s="32"/>
      <c r="AD358" s="146"/>
      <c r="AE358" s="32"/>
      <c r="AF358" s="146"/>
      <c r="AG358" s="32"/>
      <c r="AH358" s="146"/>
      <c r="AI358" s="32"/>
      <c r="AJ358" s="146"/>
      <c r="AK358" s="32"/>
      <c r="AL358" s="146"/>
      <c r="AM358" s="32"/>
      <c r="AN358" s="146"/>
      <c r="AO358" s="32"/>
      <c r="AP358" s="146"/>
      <c r="AQ358" s="32"/>
      <c r="AR358" s="146"/>
      <c r="AS358" s="32"/>
      <c r="AT358" s="146"/>
      <c r="AU358" s="32"/>
      <c r="AV358" s="146"/>
      <c r="AW358" s="32"/>
      <c r="AX358" s="146"/>
      <c r="AY358" s="32"/>
      <c r="AZ358" s="146"/>
      <c r="BA358" s="32"/>
      <c r="BB358" s="146"/>
      <c r="BC358" s="32"/>
      <c r="BD358" s="146"/>
      <c r="BE358" s="32"/>
      <c r="BF358" s="146"/>
      <c r="BG358" s="32"/>
      <c r="BH358" s="146"/>
      <c r="BI358" s="32"/>
      <c r="BJ358" s="146"/>
      <c r="BK358" s="32"/>
      <c r="BL358" s="146"/>
      <c r="BM358" s="32"/>
      <c r="BN358" s="146"/>
      <c r="BO358" s="32"/>
      <c r="BP358" s="146"/>
      <c r="BQ358" s="32"/>
      <c r="BR358" s="146"/>
      <c r="BS358" s="32"/>
      <c r="BT358" s="146">
        <v>442</v>
      </c>
      <c r="BU358" s="32">
        <v>471</v>
      </c>
      <c r="BV358" s="146">
        <v>482</v>
      </c>
      <c r="BW358" s="32">
        <v>432</v>
      </c>
    </row>
    <row r="359" spans="1:75" ht="13" x14ac:dyDescent="0.25">
      <c r="A359" s="186">
        <v>5908</v>
      </c>
      <c r="B359" s="187" t="s">
        <v>381</v>
      </c>
      <c r="C359" s="46">
        <v>1487</v>
      </c>
      <c r="D359" s="142">
        <v>1181</v>
      </c>
      <c r="E359" s="145">
        <f t="shared" si="5"/>
        <v>0.79421654337592473</v>
      </c>
      <c r="F359" s="146">
        <v>524</v>
      </c>
      <c r="G359" s="32">
        <v>593</v>
      </c>
      <c r="H359" s="146"/>
      <c r="I359" s="32"/>
      <c r="J359" s="146"/>
      <c r="K359" s="32"/>
      <c r="L359" s="146"/>
      <c r="M359" s="32"/>
      <c r="N359" s="146"/>
      <c r="O359" s="32"/>
      <c r="P359" s="146"/>
      <c r="Q359" s="32"/>
      <c r="R359" s="146"/>
      <c r="S359" s="32"/>
      <c r="T359" s="146"/>
      <c r="U359" s="32"/>
      <c r="V359" s="146"/>
      <c r="W359" s="32"/>
      <c r="X359" s="146"/>
      <c r="Y359" s="32"/>
      <c r="Z359" s="146"/>
      <c r="AA359" s="32"/>
      <c r="AB359" s="146"/>
      <c r="AC359" s="32"/>
      <c r="AD359" s="146"/>
      <c r="AE359" s="32"/>
      <c r="AF359" s="146"/>
      <c r="AG359" s="32"/>
      <c r="AH359" s="146"/>
      <c r="AI359" s="32"/>
      <c r="AJ359" s="146"/>
      <c r="AK359" s="32"/>
      <c r="AL359" s="146"/>
      <c r="AM359" s="32"/>
      <c r="AN359" s="146"/>
      <c r="AO359" s="32"/>
      <c r="AP359" s="146"/>
      <c r="AQ359" s="32"/>
      <c r="AR359" s="146"/>
      <c r="AS359" s="32"/>
      <c r="AT359" s="146"/>
      <c r="AU359" s="32"/>
      <c r="AV359" s="146"/>
      <c r="AW359" s="32"/>
      <c r="AX359" s="146"/>
      <c r="AY359" s="32"/>
      <c r="AZ359" s="146"/>
      <c r="BA359" s="32"/>
      <c r="BB359" s="146"/>
      <c r="BC359" s="32"/>
      <c r="BD359" s="146"/>
      <c r="BE359" s="32"/>
      <c r="BF359" s="146"/>
      <c r="BG359" s="32"/>
      <c r="BH359" s="146"/>
      <c r="BI359" s="32"/>
      <c r="BJ359" s="146"/>
      <c r="BK359" s="32"/>
      <c r="BL359" s="146"/>
      <c r="BM359" s="32"/>
      <c r="BN359" s="146"/>
      <c r="BO359" s="32"/>
      <c r="BP359" s="146"/>
      <c r="BQ359" s="32"/>
      <c r="BR359" s="146"/>
      <c r="BS359" s="32"/>
      <c r="BT359" s="146">
        <v>578</v>
      </c>
      <c r="BU359" s="32">
        <v>540</v>
      </c>
      <c r="BV359" s="146">
        <v>609</v>
      </c>
      <c r="BW359" s="32">
        <v>510</v>
      </c>
    </row>
    <row r="360" spans="1:75" ht="13" x14ac:dyDescent="0.25">
      <c r="A360" s="186">
        <v>5909</v>
      </c>
      <c r="B360" s="187" t="s">
        <v>382</v>
      </c>
      <c r="C360" s="46">
        <v>824</v>
      </c>
      <c r="D360" s="142">
        <v>690</v>
      </c>
      <c r="E360" s="145">
        <f t="shared" si="5"/>
        <v>0.83737864077669899</v>
      </c>
      <c r="F360" s="146">
        <v>198</v>
      </c>
      <c r="G360" s="32">
        <v>465</v>
      </c>
      <c r="H360" s="146"/>
      <c r="I360" s="32"/>
      <c r="J360" s="146"/>
      <c r="K360" s="32"/>
      <c r="L360" s="146"/>
      <c r="M360" s="32"/>
      <c r="N360" s="146"/>
      <c r="O360" s="32"/>
      <c r="P360" s="146"/>
      <c r="Q360" s="32"/>
      <c r="R360" s="146"/>
      <c r="S360" s="32"/>
      <c r="T360" s="146"/>
      <c r="U360" s="32"/>
      <c r="V360" s="146"/>
      <c r="W360" s="32"/>
      <c r="X360" s="146"/>
      <c r="Y360" s="32"/>
      <c r="Z360" s="146"/>
      <c r="AA360" s="32"/>
      <c r="AB360" s="146"/>
      <c r="AC360" s="32"/>
      <c r="AD360" s="146"/>
      <c r="AE360" s="32"/>
      <c r="AF360" s="146"/>
      <c r="AG360" s="32"/>
      <c r="AH360" s="146"/>
      <c r="AI360" s="32"/>
      <c r="AJ360" s="146"/>
      <c r="AK360" s="32"/>
      <c r="AL360" s="146"/>
      <c r="AM360" s="32"/>
      <c r="AN360" s="146"/>
      <c r="AO360" s="32"/>
      <c r="AP360" s="146"/>
      <c r="AQ360" s="32"/>
      <c r="AR360" s="146"/>
      <c r="AS360" s="32"/>
      <c r="AT360" s="146"/>
      <c r="AU360" s="32"/>
      <c r="AV360" s="146"/>
      <c r="AW360" s="32"/>
      <c r="AX360" s="146"/>
      <c r="AY360" s="32"/>
      <c r="AZ360" s="146"/>
      <c r="BA360" s="32"/>
      <c r="BB360" s="146"/>
      <c r="BC360" s="32"/>
      <c r="BD360" s="146"/>
      <c r="BE360" s="32"/>
      <c r="BF360" s="146"/>
      <c r="BG360" s="32"/>
      <c r="BH360" s="146"/>
      <c r="BI360" s="32"/>
      <c r="BJ360" s="146"/>
      <c r="BK360" s="32"/>
      <c r="BL360" s="146"/>
      <c r="BM360" s="32"/>
      <c r="BN360" s="146"/>
      <c r="BO360" s="32"/>
      <c r="BP360" s="146"/>
      <c r="BQ360" s="32"/>
      <c r="BR360" s="146"/>
      <c r="BS360" s="32"/>
      <c r="BT360" s="146">
        <v>267</v>
      </c>
      <c r="BU360" s="32">
        <v>401</v>
      </c>
      <c r="BV360" s="146">
        <v>279</v>
      </c>
      <c r="BW360" s="32">
        <v>389</v>
      </c>
    </row>
    <row r="361" spans="1:75" ht="13" x14ac:dyDescent="0.25">
      <c r="A361" s="186">
        <v>5910</v>
      </c>
      <c r="B361" s="187" t="s">
        <v>383</v>
      </c>
      <c r="C361" s="46">
        <v>1370</v>
      </c>
      <c r="D361" s="142">
        <v>898</v>
      </c>
      <c r="E361" s="145">
        <f t="shared" si="5"/>
        <v>0.65547445255474457</v>
      </c>
      <c r="F361" s="146">
        <v>393</v>
      </c>
      <c r="G361" s="32">
        <v>452</v>
      </c>
      <c r="H361" s="146"/>
      <c r="I361" s="32"/>
      <c r="J361" s="146"/>
      <c r="K361" s="32"/>
      <c r="L361" s="146"/>
      <c r="M361" s="32"/>
      <c r="N361" s="146"/>
      <c r="O361" s="32"/>
      <c r="P361" s="146"/>
      <c r="Q361" s="32"/>
      <c r="R361" s="146"/>
      <c r="S361" s="32"/>
      <c r="T361" s="146"/>
      <c r="U361" s="32"/>
      <c r="V361" s="146"/>
      <c r="W361" s="32"/>
      <c r="X361" s="146"/>
      <c r="Y361" s="32"/>
      <c r="Z361" s="146"/>
      <c r="AA361" s="32"/>
      <c r="AB361" s="146"/>
      <c r="AC361" s="32"/>
      <c r="AD361" s="146"/>
      <c r="AE361" s="32"/>
      <c r="AF361" s="146"/>
      <c r="AG361" s="32"/>
      <c r="AH361" s="146"/>
      <c r="AI361" s="32"/>
      <c r="AJ361" s="146"/>
      <c r="AK361" s="32"/>
      <c r="AL361" s="146"/>
      <c r="AM361" s="32"/>
      <c r="AN361" s="146"/>
      <c r="AO361" s="32"/>
      <c r="AP361" s="146"/>
      <c r="AQ361" s="32"/>
      <c r="AR361" s="146"/>
      <c r="AS361" s="32"/>
      <c r="AT361" s="146"/>
      <c r="AU361" s="32"/>
      <c r="AV361" s="146"/>
      <c r="AW361" s="32"/>
      <c r="AX361" s="146"/>
      <c r="AY361" s="32"/>
      <c r="AZ361" s="146"/>
      <c r="BA361" s="32"/>
      <c r="BB361" s="146"/>
      <c r="BC361" s="32"/>
      <c r="BD361" s="146"/>
      <c r="BE361" s="32"/>
      <c r="BF361" s="146"/>
      <c r="BG361" s="32"/>
      <c r="BH361" s="146"/>
      <c r="BI361" s="32"/>
      <c r="BJ361" s="146"/>
      <c r="BK361" s="32"/>
      <c r="BL361" s="146"/>
      <c r="BM361" s="32"/>
      <c r="BN361" s="146"/>
      <c r="BO361" s="32"/>
      <c r="BP361" s="146"/>
      <c r="BQ361" s="32"/>
      <c r="BR361" s="146"/>
      <c r="BS361" s="32"/>
      <c r="BT361" s="146">
        <v>448</v>
      </c>
      <c r="BU361" s="32">
        <v>404</v>
      </c>
      <c r="BV361" s="146">
        <v>498</v>
      </c>
      <c r="BW361" s="32">
        <v>354</v>
      </c>
    </row>
    <row r="362" spans="1:75" ht="13" x14ac:dyDescent="0.25">
      <c r="A362" s="186">
        <v>5911</v>
      </c>
      <c r="B362" s="187" t="s">
        <v>384</v>
      </c>
      <c r="C362" s="46">
        <v>856</v>
      </c>
      <c r="D362" s="142">
        <v>674</v>
      </c>
      <c r="E362" s="145">
        <f t="shared" si="5"/>
        <v>0.78738317757009346</v>
      </c>
      <c r="F362" s="146">
        <v>281</v>
      </c>
      <c r="G362" s="32">
        <v>354</v>
      </c>
      <c r="H362" s="146"/>
      <c r="I362" s="32"/>
      <c r="J362" s="146"/>
      <c r="K362" s="32"/>
      <c r="L362" s="146"/>
      <c r="M362" s="32"/>
      <c r="N362" s="146"/>
      <c r="O362" s="32"/>
      <c r="P362" s="146"/>
      <c r="Q362" s="32"/>
      <c r="R362" s="146"/>
      <c r="S362" s="32"/>
      <c r="T362" s="146"/>
      <c r="U362" s="32"/>
      <c r="V362" s="146"/>
      <c r="W362" s="32"/>
      <c r="X362" s="146"/>
      <c r="Y362" s="32"/>
      <c r="Z362" s="146"/>
      <c r="AA362" s="32"/>
      <c r="AB362" s="146"/>
      <c r="AC362" s="32"/>
      <c r="AD362" s="146"/>
      <c r="AE362" s="32"/>
      <c r="AF362" s="146"/>
      <c r="AG362" s="32"/>
      <c r="AH362" s="146"/>
      <c r="AI362" s="32"/>
      <c r="AJ362" s="146"/>
      <c r="AK362" s="32"/>
      <c r="AL362" s="146"/>
      <c r="AM362" s="32"/>
      <c r="AN362" s="146"/>
      <c r="AO362" s="32"/>
      <c r="AP362" s="146"/>
      <c r="AQ362" s="32"/>
      <c r="AR362" s="146"/>
      <c r="AS362" s="32"/>
      <c r="AT362" s="146"/>
      <c r="AU362" s="32"/>
      <c r="AV362" s="146"/>
      <c r="AW362" s="32"/>
      <c r="AX362" s="146"/>
      <c r="AY362" s="32"/>
      <c r="AZ362" s="146"/>
      <c r="BA362" s="32"/>
      <c r="BB362" s="146"/>
      <c r="BC362" s="32"/>
      <c r="BD362" s="146"/>
      <c r="BE362" s="32"/>
      <c r="BF362" s="146"/>
      <c r="BG362" s="32"/>
      <c r="BH362" s="146"/>
      <c r="BI362" s="32"/>
      <c r="BJ362" s="146"/>
      <c r="BK362" s="32"/>
      <c r="BL362" s="146"/>
      <c r="BM362" s="32"/>
      <c r="BN362" s="146"/>
      <c r="BO362" s="32"/>
      <c r="BP362" s="146"/>
      <c r="BQ362" s="32"/>
      <c r="BR362" s="146"/>
      <c r="BS362" s="32"/>
      <c r="BT362" s="146">
        <v>335</v>
      </c>
      <c r="BU362" s="32">
        <v>306</v>
      </c>
      <c r="BV362" s="146">
        <v>352</v>
      </c>
      <c r="BW362" s="32">
        <v>288</v>
      </c>
    </row>
    <row r="363" spans="1:75" ht="13" x14ac:dyDescent="0.25">
      <c r="A363" s="186">
        <v>5912</v>
      </c>
      <c r="B363" s="187" t="s">
        <v>385</v>
      </c>
      <c r="C363" s="46">
        <v>1187</v>
      </c>
      <c r="D363" s="142">
        <v>1009</v>
      </c>
      <c r="E363" s="145">
        <f t="shared" si="5"/>
        <v>0.85004212299915749</v>
      </c>
      <c r="F363" s="146">
        <v>292</v>
      </c>
      <c r="G363" s="32">
        <v>676</v>
      </c>
      <c r="H363" s="146"/>
      <c r="I363" s="32"/>
      <c r="J363" s="146"/>
      <c r="K363" s="32"/>
      <c r="L363" s="146"/>
      <c r="M363" s="32"/>
      <c r="N363" s="146"/>
      <c r="O363" s="32"/>
      <c r="P363" s="146"/>
      <c r="Q363" s="32"/>
      <c r="R363" s="146"/>
      <c r="S363" s="32"/>
      <c r="T363" s="146"/>
      <c r="U363" s="32"/>
      <c r="V363" s="146"/>
      <c r="W363" s="32"/>
      <c r="X363" s="146"/>
      <c r="Y363" s="32"/>
      <c r="Z363" s="146"/>
      <c r="AA363" s="32"/>
      <c r="AB363" s="146"/>
      <c r="AC363" s="32"/>
      <c r="AD363" s="146"/>
      <c r="AE363" s="32"/>
      <c r="AF363" s="146"/>
      <c r="AG363" s="32"/>
      <c r="AH363" s="146"/>
      <c r="AI363" s="32"/>
      <c r="AJ363" s="146"/>
      <c r="AK363" s="32"/>
      <c r="AL363" s="146"/>
      <c r="AM363" s="32"/>
      <c r="AN363" s="146"/>
      <c r="AO363" s="32"/>
      <c r="AP363" s="146"/>
      <c r="AQ363" s="32"/>
      <c r="AR363" s="146"/>
      <c r="AS363" s="32"/>
      <c r="AT363" s="146"/>
      <c r="AU363" s="32"/>
      <c r="AV363" s="146"/>
      <c r="AW363" s="32"/>
      <c r="AX363" s="146"/>
      <c r="AY363" s="32"/>
      <c r="AZ363" s="146"/>
      <c r="BA363" s="32"/>
      <c r="BB363" s="146"/>
      <c r="BC363" s="32"/>
      <c r="BD363" s="146"/>
      <c r="BE363" s="32"/>
      <c r="BF363" s="146"/>
      <c r="BG363" s="32"/>
      <c r="BH363" s="146"/>
      <c r="BI363" s="32"/>
      <c r="BJ363" s="146"/>
      <c r="BK363" s="32"/>
      <c r="BL363" s="146"/>
      <c r="BM363" s="32"/>
      <c r="BN363" s="146"/>
      <c r="BO363" s="32"/>
      <c r="BP363" s="146"/>
      <c r="BQ363" s="32"/>
      <c r="BR363" s="146"/>
      <c r="BS363" s="32"/>
      <c r="BT363" s="146">
        <v>422</v>
      </c>
      <c r="BU363" s="32">
        <v>550</v>
      </c>
      <c r="BV363" s="146">
        <v>446</v>
      </c>
      <c r="BW363" s="32">
        <v>527</v>
      </c>
    </row>
    <row r="364" spans="1:75" ht="13" x14ac:dyDescent="0.25">
      <c r="A364" s="186">
        <v>5913</v>
      </c>
      <c r="B364" s="187" t="s">
        <v>386</v>
      </c>
      <c r="C364" s="46">
        <v>1051</v>
      </c>
      <c r="D364" s="142">
        <v>668</v>
      </c>
      <c r="E364" s="145">
        <f t="shared" si="5"/>
        <v>0.63558515699333973</v>
      </c>
      <c r="F364" s="146">
        <v>309</v>
      </c>
      <c r="G364" s="32">
        <v>323</v>
      </c>
      <c r="H364" s="146"/>
      <c r="I364" s="32"/>
      <c r="J364" s="146"/>
      <c r="K364" s="32"/>
      <c r="L364" s="146"/>
      <c r="M364" s="32"/>
      <c r="N364" s="146"/>
      <c r="O364" s="32"/>
      <c r="P364" s="146"/>
      <c r="Q364" s="32"/>
      <c r="R364" s="146"/>
      <c r="S364" s="32"/>
      <c r="T364" s="146"/>
      <c r="U364" s="32"/>
      <c r="V364" s="146"/>
      <c r="W364" s="32"/>
      <c r="X364" s="146"/>
      <c r="Y364" s="32"/>
      <c r="Z364" s="146"/>
      <c r="AA364" s="32"/>
      <c r="AB364" s="146"/>
      <c r="AC364" s="32"/>
      <c r="AD364" s="146"/>
      <c r="AE364" s="32"/>
      <c r="AF364" s="146"/>
      <c r="AG364" s="32"/>
      <c r="AH364" s="146"/>
      <c r="AI364" s="32"/>
      <c r="AJ364" s="146"/>
      <c r="AK364" s="32"/>
      <c r="AL364" s="146"/>
      <c r="AM364" s="32"/>
      <c r="AN364" s="146"/>
      <c r="AO364" s="32"/>
      <c r="AP364" s="146"/>
      <c r="AQ364" s="32"/>
      <c r="AR364" s="146"/>
      <c r="AS364" s="32"/>
      <c r="AT364" s="146"/>
      <c r="AU364" s="32"/>
      <c r="AV364" s="146"/>
      <c r="AW364" s="32"/>
      <c r="AX364" s="146"/>
      <c r="AY364" s="32"/>
      <c r="AZ364" s="146"/>
      <c r="BA364" s="32"/>
      <c r="BB364" s="146"/>
      <c r="BC364" s="32"/>
      <c r="BD364" s="146"/>
      <c r="BE364" s="32"/>
      <c r="BF364" s="146"/>
      <c r="BG364" s="32"/>
      <c r="BH364" s="146"/>
      <c r="BI364" s="32"/>
      <c r="BJ364" s="146"/>
      <c r="BK364" s="32"/>
      <c r="BL364" s="146"/>
      <c r="BM364" s="32"/>
      <c r="BN364" s="146"/>
      <c r="BO364" s="32"/>
      <c r="BP364" s="146"/>
      <c r="BQ364" s="32"/>
      <c r="BR364" s="146"/>
      <c r="BS364" s="32"/>
      <c r="BT364" s="146">
        <v>350</v>
      </c>
      <c r="BU364" s="32">
        <v>286</v>
      </c>
      <c r="BV364" s="146">
        <v>378</v>
      </c>
      <c r="BW364" s="32">
        <v>252</v>
      </c>
    </row>
    <row r="365" spans="1:75" ht="13" x14ac:dyDescent="0.25">
      <c r="A365" s="186">
        <v>5914</v>
      </c>
      <c r="B365" s="187" t="s">
        <v>387</v>
      </c>
      <c r="C365" s="46">
        <v>1388</v>
      </c>
      <c r="D365" s="142">
        <v>1066</v>
      </c>
      <c r="E365" s="145">
        <f t="shared" si="5"/>
        <v>0.76801152737752165</v>
      </c>
      <c r="F365" s="146">
        <v>391</v>
      </c>
      <c r="G365" s="32">
        <v>622</v>
      </c>
      <c r="H365" s="146"/>
      <c r="I365" s="32"/>
      <c r="J365" s="146"/>
      <c r="K365" s="32"/>
      <c r="L365" s="146"/>
      <c r="M365" s="32"/>
      <c r="N365" s="146"/>
      <c r="O365" s="32"/>
      <c r="P365" s="146"/>
      <c r="Q365" s="32"/>
      <c r="R365" s="146"/>
      <c r="S365" s="32"/>
      <c r="T365" s="146"/>
      <c r="U365" s="32"/>
      <c r="V365" s="146"/>
      <c r="W365" s="32"/>
      <c r="X365" s="146"/>
      <c r="Y365" s="32"/>
      <c r="Z365" s="146"/>
      <c r="AA365" s="32"/>
      <c r="AB365" s="146"/>
      <c r="AC365" s="32"/>
      <c r="AD365" s="146"/>
      <c r="AE365" s="32"/>
      <c r="AF365" s="146"/>
      <c r="AG365" s="32"/>
      <c r="AH365" s="146"/>
      <c r="AI365" s="32"/>
      <c r="AJ365" s="146"/>
      <c r="AK365" s="32"/>
      <c r="AL365" s="146"/>
      <c r="AM365" s="32"/>
      <c r="AN365" s="146"/>
      <c r="AO365" s="32"/>
      <c r="AP365" s="146"/>
      <c r="AQ365" s="32"/>
      <c r="AR365" s="146"/>
      <c r="AS365" s="32"/>
      <c r="AT365" s="146"/>
      <c r="AU365" s="32"/>
      <c r="AV365" s="146"/>
      <c r="AW365" s="32"/>
      <c r="AX365" s="146"/>
      <c r="AY365" s="32"/>
      <c r="AZ365" s="146"/>
      <c r="BA365" s="32"/>
      <c r="BB365" s="146"/>
      <c r="BC365" s="32"/>
      <c r="BD365" s="146"/>
      <c r="BE365" s="32"/>
      <c r="BF365" s="146"/>
      <c r="BG365" s="32"/>
      <c r="BH365" s="146"/>
      <c r="BI365" s="32"/>
      <c r="BJ365" s="146"/>
      <c r="BK365" s="32"/>
      <c r="BL365" s="146"/>
      <c r="BM365" s="32"/>
      <c r="BN365" s="146"/>
      <c r="BO365" s="32"/>
      <c r="BP365" s="146"/>
      <c r="BQ365" s="32"/>
      <c r="BR365" s="146"/>
      <c r="BS365" s="32"/>
      <c r="BT365" s="146">
        <v>468</v>
      </c>
      <c r="BU365" s="32">
        <v>527</v>
      </c>
      <c r="BV365" s="146">
        <v>511</v>
      </c>
      <c r="BW365" s="32">
        <v>485</v>
      </c>
    </row>
    <row r="366" spans="1:75" ht="13" x14ac:dyDescent="0.25">
      <c r="A366" s="186">
        <v>5915</v>
      </c>
      <c r="B366" s="187" t="s">
        <v>388</v>
      </c>
      <c r="C366" s="46">
        <v>566</v>
      </c>
      <c r="D366" s="142">
        <v>417</v>
      </c>
      <c r="E366" s="145">
        <f t="shared" si="5"/>
        <v>0.73674911660777387</v>
      </c>
      <c r="F366" s="146">
        <v>146</v>
      </c>
      <c r="G366" s="32">
        <v>242</v>
      </c>
      <c r="H366" s="146"/>
      <c r="I366" s="32"/>
      <c r="J366" s="146"/>
      <c r="K366" s="32"/>
      <c r="L366" s="146"/>
      <c r="M366" s="32"/>
      <c r="N366" s="146"/>
      <c r="O366" s="32"/>
      <c r="P366" s="146"/>
      <c r="Q366" s="32"/>
      <c r="R366" s="146"/>
      <c r="S366" s="32"/>
      <c r="T366" s="146"/>
      <c r="U366" s="32"/>
      <c r="V366" s="146"/>
      <c r="W366" s="32"/>
      <c r="X366" s="146"/>
      <c r="Y366" s="32"/>
      <c r="Z366" s="146"/>
      <c r="AA366" s="32"/>
      <c r="AB366" s="146"/>
      <c r="AC366" s="32"/>
      <c r="AD366" s="146"/>
      <c r="AE366" s="32"/>
      <c r="AF366" s="146"/>
      <c r="AG366" s="32"/>
      <c r="AH366" s="146"/>
      <c r="AI366" s="32"/>
      <c r="AJ366" s="146"/>
      <c r="AK366" s="32"/>
      <c r="AL366" s="146"/>
      <c r="AM366" s="32"/>
      <c r="AN366" s="146"/>
      <c r="AO366" s="32"/>
      <c r="AP366" s="146"/>
      <c r="AQ366" s="32"/>
      <c r="AR366" s="146"/>
      <c r="AS366" s="32"/>
      <c r="AT366" s="146"/>
      <c r="AU366" s="32"/>
      <c r="AV366" s="146"/>
      <c r="AW366" s="32"/>
      <c r="AX366" s="146"/>
      <c r="AY366" s="32"/>
      <c r="AZ366" s="146"/>
      <c r="BA366" s="32"/>
      <c r="BB366" s="146"/>
      <c r="BC366" s="32"/>
      <c r="BD366" s="146"/>
      <c r="BE366" s="32"/>
      <c r="BF366" s="146"/>
      <c r="BG366" s="32"/>
      <c r="BH366" s="146"/>
      <c r="BI366" s="32"/>
      <c r="BJ366" s="146"/>
      <c r="BK366" s="32"/>
      <c r="BL366" s="146"/>
      <c r="BM366" s="32"/>
      <c r="BN366" s="146"/>
      <c r="BO366" s="32"/>
      <c r="BP366" s="146"/>
      <c r="BQ366" s="32"/>
      <c r="BR366" s="146"/>
      <c r="BS366" s="32"/>
      <c r="BT366" s="146">
        <v>198</v>
      </c>
      <c r="BU366" s="32">
        <v>202</v>
      </c>
      <c r="BV366" s="146">
        <v>228</v>
      </c>
      <c r="BW366" s="32">
        <v>172</v>
      </c>
    </row>
    <row r="367" spans="1:75" ht="13" x14ac:dyDescent="0.25">
      <c r="A367" s="186">
        <v>5916</v>
      </c>
      <c r="B367" s="187" t="s">
        <v>389</v>
      </c>
      <c r="C367" s="46">
        <v>539</v>
      </c>
      <c r="D367" s="142">
        <v>385</v>
      </c>
      <c r="E367" s="145">
        <f t="shared" si="5"/>
        <v>0.7142857142857143</v>
      </c>
      <c r="F367" s="146">
        <v>200</v>
      </c>
      <c r="G367" s="32">
        <v>168</v>
      </c>
      <c r="H367" s="146"/>
      <c r="I367" s="32"/>
      <c r="J367" s="146"/>
      <c r="K367" s="32"/>
      <c r="L367" s="146"/>
      <c r="M367" s="32"/>
      <c r="N367" s="146"/>
      <c r="O367" s="32"/>
      <c r="P367" s="146"/>
      <c r="Q367" s="32"/>
      <c r="R367" s="146"/>
      <c r="S367" s="32"/>
      <c r="T367" s="146"/>
      <c r="U367" s="32"/>
      <c r="V367" s="146"/>
      <c r="W367" s="32"/>
      <c r="X367" s="146"/>
      <c r="Y367" s="32"/>
      <c r="Z367" s="146"/>
      <c r="AA367" s="32"/>
      <c r="AB367" s="146"/>
      <c r="AC367" s="32"/>
      <c r="AD367" s="146"/>
      <c r="AE367" s="32"/>
      <c r="AF367" s="146"/>
      <c r="AG367" s="32"/>
      <c r="AH367" s="146"/>
      <c r="AI367" s="32"/>
      <c r="AJ367" s="146"/>
      <c r="AK367" s="32"/>
      <c r="AL367" s="146"/>
      <c r="AM367" s="32"/>
      <c r="AN367" s="146"/>
      <c r="AO367" s="32"/>
      <c r="AP367" s="146"/>
      <c r="AQ367" s="32"/>
      <c r="AR367" s="146"/>
      <c r="AS367" s="32"/>
      <c r="AT367" s="146"/>
      <c r="AU367" s="32"/>
      <c r="AV367" s="146"/>
      <c r="AW367" s="32"/>
      <c r="AX367" s="146"/>
      <c r="AY367" s="32"/>
      <c r="AZ367" s="146"/>
      <c r="BA367" s="32"/>
      <c r="BB367" s="146"/>
      <c r="BC367" s="32"/>
      <c r="BD367" s="146"/>
      <c r="BE367" s="32"/>
      <c r="BF367" s="146"/>
      <c r="BG367" s="32"/>
      <c r="BH367" s="146"/>
      <c r="BI367" s="32"/>
      <c r="BJ367" s="146"/>
      <c r="BK367" s="32"/>
      <c r="BL367" s="146"/>
      <c r="BM367" s="32"/>
      <c r="BN367" s="146"/>
      <c r="BO367" s="32"/>
      <c r="BP367" s="146"/>
      <c r="BQ367" s="32"/>
      <c r="BR367" s="146"/>
      <c r="BS367" s="32"/>
      <c r="BT367" s="146">
        <v>230</v>
      </c>
      <c r="BU367" s="32">
        <v>138</v>
      </c>
      <c r="BV367" s="146">
        <v>247</v>
      </c>
      <c r="BW367" s="32">
        <v>120</v>
      </c>
    </row>
    <row r="368" spans="1:75" ht="13" x14ac:dyDescent="0.25">
      <c r="A368" s="186">
        <v>5917</v>
      </c>
      <c r="B368" s="187" t="s">
        <v>390</v>
      </c>
      <c r="C368" s="46">
        <v>1202</v>
      </c>
      <c r="D368" s="142">
        <v>1007</v>
      </c>
      <c r="E368" s="145">
        <f t="shared" si="5"/>
        <v>0.83777038269550752</v>
      </c>
      <c r="F368" s="146">
        <v>303</v>
      </c>
      <c r="G368" s="32">
        <v>658</v>
      </c>
      <c r="H368" s="146"/>
      <c r="I368" s="32"/>
      <c r="J368" s="146"/>
      <c r="K368" s="32"/>
      <c r="L368" s="146"/>
      <c r="M368" s="32"/>
      <c r="N368" s="146"/>
      <c r="O368" s="32"/>
      <c r="P368" s="146"/>
      <c r="Q368" s="32"/>
      <c r="R368" s="146"/>
      <c r="S368" s="32"/>
      <c r="T368" s="146"/>
      <c r="U368" s="32"/>
      <c r="V368" s="146"/>
      <c r="W368" s="32"/>
      <c r="X368" s="146"/>
      <c r="Y368" s="32"/>
      <c r="Z368" s="146"/>
      <c r="AA368" s="32"/>
      <c r="AB368" s="146"/>
      <c r="AC368" s="32"/>
      <c r="AD368" s="146"/>
      <c r="AE368" s="32"/>
      <c r="AF368" s="146"/>
      <c r="AG368" s="32"/>
      <c r="AH368" s="146"/>
      <c r="AI368" s="32"/>
      <c r="AJ368" s="146"/>
      <c r="AK368" s="32"/>
      <c r="AL368" s="146"/>
      <c r="AM368" s="32"/>
      <c r="AN368" s="146"/>
      <c r="AO368" s="32"/>
      <c r="AP368" s="146"/>
      <c r="AQ368" s="32"/>
      <c r="AR368" s="146"/>
      <c r="AS368" s="32"/>
      <c r="AT368" s="146"/>
      <c r="AU368" s="32"/>
      <c r="AV368" s="146"/>
      <c r="AW368" s="32"/>
      <c r="AX368" s="146"/>
      <c r="AY368" s="32"/>
      <c r="AZ368" s="146"/>
      <c r="BA368" s="32"/>
      <c r="BB368" s="146"/>
      <c r="BC368" s="32"/>
      <c r="BD368" s="146"/>
      <c r="BE368" s="32"/>
      <c r="BF368" s="146"/>
      <c r="BG368" s="32"/>
      <c r="BH368" s="146"/>
      <c r="BI368" s="32"/>
      <c r="BJ368" s="146"/>
      <c r="BK368" s="32"/>
      <c r="BL368" s="146"/>
      <c r="BM368" s="32"/>
      <c r="BN368" s="146"/>
      <c r="BO368" s="32"/>
      <c r="BP368" s="146"/>
      <c r="BQ368" s="32"/>
      <c r="BR368" s="146"/>
      <c r="BS368" s="32"/>
      <c r="BT368" s="146">
        <v>464</v>
      </c>
      <c r="BU368" s="32">
        <v>490</v>
      </c>
      <c r="BV368" s="146">
        <v>486</v>
      </c>
      <c r="BW368" s="32">
        <v>466</v>
      </c>
    </row>
    <row r="369" spans="1:75" ht="13" x14ac:dyDescent="0.25">
      <c r="A369" s="186">
        <v>5918</v>
      </c>
      <c r="B369" s="187" t="s">
        <v>391</v>
      </c>
      <c r="C369" s="46">
        <v>1232</v>
      </c>
      <c r="D369" s="142">
        <v>802</v>
      </c>
      <c r="E369" s="145">
        <f t="shared" si="5"/>
        <v>0.65097402597402598</v>
      </c>
      <c r="F369" s="146">
        <v>383</v>
      </c>
      <c r="G369" s="32">
        <v>367</v>
      </c>
      <c r="H369" s="146"/>
      <c r="I369" s="32"/>
      <c r="J369" s="146"/>
      <c r="K369" s="32"/>
      <c r="L369" s="146"/>
      <c r="M369" s="32"/>
      <c r="N369" s="146"/>
      <c r="O369" s="32"/>
      <c r="P369" s="146"/>
      <c r="Q369" s="32"/>
      <c r="R369" s="146"/>
      <c r="S369" s="32"/>
      <c r="T369" s="146"/>
      <c r="U369" s="32"/>
      <c r="V369" s="146"/>
      <c r="W369" s="32"/>
      <c r="X369" s="146"/>
      <c r="Y369" s="32"/>
      <c r="Z369" s="146"/>
      <c r="AA369" s="32"/>
      <c r="AB369" s="146"/>
      <c r="AC369" s="32"/>
      <c r="AD369" s="146"/>
      <c r="AE369" s="32"/>
      <c r="AF369" s="146"/>
      <c r="AG369" s="32"/>
      <c r="AH369" s="146"/>
      <c r="AI369" s="32"/>
      <c r="AJ369" s="146"/>
      <c r="AK369" s="32"/>
      <c r="AL369" s="146"/>
      <c r="AM369" s="32"/>
      <c r="AN369" s="146"/>
      <c r="AO369" s="32"/>
      <c r="AP369" s="146"/>
      <c r="AQ369" s="32"/>
      <c r="AR369" s="146"/>
      <c r="AS369" s="32"/>
      <c r="AT369" s="146"/>
      <c r="AU369" s="32"/>
      <c r="AV369" s="146"/>
      <c r="AW369" s="32"/>
      <c r="AX369" s="146"/>
      <c r="AY369" s="32"/>
      <c r="AZ369" s="146"/>
      <c r="BA369" s="32"/>
      <c r="BB369" s="146"/>
      <c r="BC369" s="32"/>
      <c r="BD369" s="146"/>
      <c r="BE369" s="32"/>
      <c r="BF369" s="146"/>
      <c r="BG369" s="32"/>
      <c r="BH369" s="146"/>
      <c r="BI369" s="32"/>
      <c r="BJ369" s="146"/>
      <c r="BK369" s="32"/>
      <c r="BL369" s="146"/>
      <c r="BM369" s="32"/>
      <c r="BN369" s="146"/>
      <c r="BO369" s="32"/>
      <c r="BP369" s="146"/>
      <c r="BQ369" s="32"/>
      <c r="BR369" s="146"/>
      <c r="BS369" s="32"/>
      <c r="BT369" s="146">
        <v>431</v>
      </c>
      <c r="BU369" s="32">
        <v>320</v>
      </c>
      <c r="BV369" s="146">
        <v>460</v>
      </c>
      <c r="BW369" s="32">
        <v>295</v>
      </c>
    </row>
    <row r="370" spans="1:75" ht="13" x14ac:dyDescent="0.25">
      <c r="A370" s="186">
        <v>5919</v>
      </c>
      <c r="B370" s="187" t="s">
        <v>392</v>
      </c>
      <c r="C370" s="46">
        <v>1185</v>
      </c>
      <c r="D370" s="142">
        <v>905</v>
      </c>
      <c r="E370" s="145">
        <f t="shared" si="5"/>
        <v>0.76371308016877637</v>
      </c>
      <c r="F370" s="146">
        <v>299</v>
      </c>
      <c r="G370" s="32">
        <v>568</v>
      </c>
      <c r="H370" s="146"/>
      <c r="I370" s="32"/>
      <c r="J370" s="146"/>
      <c r="K370" s="32"/>
      <c r="L370" s="146"/>
      <c r="M370" s="32"/>
      <c r="N370" s="146"/>
      <c r="O370" s="32"/>
      <c r="P370" s="146"/>
      <c r="Q370" s="32"/>
      <c r="R370" s="146"/>
      <c r="S370" s="32"/>
      <c r="T370" s="146"/>
      <c r="U370" s="32"/>
      <c r="V370" s="146"/>
      <c r="W370" s="32"/>
      <c r="X370" s="146"/>
      <c r="Y370" s="32"/>
      <c r="Z370" s="146"/>
      <c r="AA370" s="32"/>
      <c r="AB370" s="146"/>
      <c r="AC370" s="32"/>
      <c r="AD370" s="146"/>
      <c r="AE370" s="32"/>
      <c r="AF370" s="146"/>
      <c r="AG370" s="32"/>
      <c r="AH370" s="146"/>
      <c r="AI370" s="32"/>
      <c r="AJ370" s="146"/>
      <c r="AK370" s="32"/>
      <c r="AL370" s="146"/>
      <c r="AM370" s="32"/>
      <c r="AN370" s="146"/>
      <c r="AO370" s="32"/>
      <c r="AP370" s="146"/>
      <c r="AQ370" s="32"/>
      <c r="AR370" s="146"/>
      <c r="AS370" s="32"/>
      <c r="AT370" s="146"/>
      <c r="AU370" s="32"/>
      <c r="AV370" s="146"/>
      <c r="AW370" s="32"/>
      <c r="AX370" s="146"/>
      <c r="AY370" s="32"/>
      <c r="AZ370" s="146"/>
      <c r="BA370" s="32"/>
      <c r="BB370" s="146"/>
      <c r="BC370" s="32"/>
      <c r="BD370" s="146"/>
      <c r="BE370" s="32"/>
      <c r="BF370" s="146"/>
      <c r="BG370" s="32"/>
      <c r="BH370" s="146"/>
      <c r="BI370" s="32"/>
      <c r="BJ370" s="146"/>
      <c r="BK370" s="32"/>
      <c r="BL370" s="146"/>
      <c r="BM370" s="32"/>
      <c r="BN370" s="146"/>
      <c r="BO370" s="32"/>
      <c r="BP370" s="146"/>
      <c r="BQ370" s="32"/>
      <c r="BR370" s="146"/>
      <c r="BS370" s="32"/>
      <c r="BT370" s="146">
        <v>416</v>
      </c>
      <c r="BU370" s="32">
        <v>440</v>
      </c>
      <c r="BV370" s="146">
        <v>459</v>
      </c>
      <c r="BW370" s="32">
        <v>395</v>
      </c>
    </row>
    <row r="371" spans="1:75" ht="13" x14ac:dyDescent="0.25">
      <c r="A371" s="186">
        <v>5920</v>
      </c>
      <c r="B371" s="187" t="s">
        <v>393</v>
      </c>
      <c r="C371" s="46">
        <v>1198</v>
      </c>
      <c r="D371" s="142">
        <v>795</v>
      </c>
      <c r="E371" s="145">
        <f t="shared" si="5"/>
        <v>0.6636060100166945</v>
      </c>
      <c r="F371" s="146">
        <v>425</v>
      </c>
      <c r="G371" s="32">
        <v>328</v>
      </c>
      <c r="H371" s="146"/>
      <c r="I371" s="32"/>
      <c r="J371" s="146"/>
      <c r="K371" s="32"/>
      <c r="L371" s="146"/>
      <c r="M371" s="32"/>
      <c r="N371" s="146"/>
      <c r="O371" s="32"/>
      <c r="P371" s="146"/>
      <c r="Q371" s="32"/>
      <c r="R371" s="146"/>
      <c r="S371" s="32"/>
      <c r="T371" s="146"/>
      <c r="U371" s="32"/>
      <c r="V371" s="146"/>
      <c r="W371" s="32"/>
      <c r="X371" s="146"/>
      <c r="Y371" s="32"/>
      <c r="Z371" s="146"/>
      <c r="AA371" s="32"/>
      <c r="AB371" s="146"/>
      <c r="AC371" s="32"/>
      <c r="AD371" s="146"/>
      <c r="AE371" s="32"/>
      <c r="AF371" s="146"/>
      <c r="AG371" s="32"/>
      <c r="AH371" s="146"/>
      <c r="AI371" s="32"/>
      <c r="AJ371" s="146"/>
      <c r="AK371" s="32"/>
      <c r="AL371" s="146"/>
      <c r="AM371" s="32"/>
      <c r="AN371" s="146"/>
      <c r="AO371" s="32"/>
      <c r="AP371" s="146"/>
      <c r="AQ371" s="32"/>
      <c r="AR371" s="146"/>
      <c r="AS371" s="32"/>
      <c r="AT371" s="146"/>
      <c r="AU371" s="32"/>
      <c r="AV371" s="146"/>
      <c r="AW371" s="32"/>
      <c r="AX371" s="146"/>
      <c r="AY371" s="32"/>
      <c r="AZ371" s="146"/>
      <c r="BA371" s="32"/>
      <c r="BB371" s="146"/>
      <c r="BC371" s="32"/>
      <c r="BD371" s="146"/>
      <c r="BE371" s="32"/>
      <c r="BF371" s="146"/>
      <c r="BG371" s="32"/>
      <c r="BH371" s="146"/>
      <c r="BI371" s="32"/>
      <c r="BJ371" s="146">
        <v>230</v>
      </c>
      <c r="BK371" s="32">
        <v>391</v>
      </c>
      <c r="BL371" s="146"/>
      <c r="BM371" s="32"/>
      <c r="BN371" s="146"/>
      <c r="BO371" s="32"/>
      <c r="BP371" s="146"/>
      <c r="BQ371" s="32"/>
      <c r="BR371" s="146"/>
      <c r="BS371" s="32"/>
      <c r="BT371" s="146">
        <v>430</v>
      </c>
      <c r="BU371" s="32">
        <v>322</v>
      </c>
      <c r="BV371" s="146">
        <v>437</v>
      </c>
      <c r="BW371" s="32">
        <v>315</v>
      </c>
    </row>
    <row r="372" spans="1:75" ht="13" x14ac:dyDescent="0.25">
      <c r="A372" s="186">
        <v>5921</v>
      </c>
      <c r="B372" s="187" t="s">
        <v>394</v>
      </c>
      <c r="C372" s="46">
        <v>1008</v>
      </c>
      <c r="D372" s="142">
        <v>775</v>
      </c>
      <c r="E372" s="145">
        <f t="shared" si="5"/>
        <v>0.76884920634920639</v>
      </c>
      <c r="F372" s="146">
        <v>353</v>
      </c>
      <c r="G372" s="32">
        <v>384</v>
      </c>
      <c r="H372" s="146"/>
      <c r="I372" s="32"/>
      <c r="J372" s="146"/>
      <c r="K372" s="32"/>
      <c r="L372" s="146"/>
      <c r="M372" s="32"/>
      <c r="N372" s="146"/>
      <c r="O372" s="32"/>
      <c r="P372" s="146"/>
      <c r="Q372" s="32"/>
      <c r="R372" s="146"/>
      <c r="S372" s="32"/>
      <c r="T372" s="146"/>
      <c r="U372" s="32"/>
      <c r="V372" s="146"/>
      <c r="W372" s="32"/>
      <c r="X372" s="146"/>
      <c r="Y372" s="32"/>
      <c r="Z372" s="146"/>
      <c r="AA372" s="32"/>
      <c r="AB372" s="146"/>
      <c r="AC372" s="32"/>
      <c r="AD372" s="146"/>
      <c r="AE372" s="32"/>
      <c r="AF372" s="146"/>
      <c r="AG372" s="32"/>
      <c r="AH372" s="146"/>
      <c r="AI372" s="32"/>
      <c r="AJ372" s="146"/>
      <c r="AK372" s="32"/>
      <c r="AL372" s="146"/>
      <c r="AM372" s="32"/>
      <c r="AN372" s="146"/>
      <c r="AO372" s="32"/>
      <c r="AP372" s="146"/>
      <c r="AQ372" s="32"/>
      <c r="AR372" s="146"/>
      <c r="AS372" s="32"/>
      <c r="AT372" s="146"/>
      <c r="AU372" s="32"/>
      <c r="AV372" s="146"/>
      <c r="AW372" s="32"/>
      <c r="AX372" s="146"/>
      <c r="AY372" s="32"/>
      <c r="AZ372" s="146"/>
      <c r="BA372" s="32"/>
      <c r="BB372" s="146"/>
      <c r="BC372" s="32"/>
      <c r="BD372" s="146"/>
      <c r="BE372" s="32"/>
      <c r="BF372" s="146"/>
      <c r="BG372" s="32"/>
      <c r="BH372" s="146"/>
      <c r="BI372" s="32"/>
      <c r="BJ372" s="146"/>
      <c r="BK372" s="32"/>
      <c r="BL372" s="146"/>
      <c r="BM372" s="32"/>
      <c r="BN372" s="146"/>
      <c r="BO372" s="32"/>
      <c r="BP372" s="146"/>
      <c r="BQ372" s="32"/>
      <c r="BR372" s="146"/>
      <c r="BS372" s="32"/>
      <c r="BT372" s="146">
        <v>417</v>
      </c>
      <c r="BU372" s="32">
        <v>318</v>
      </c>
      <c r="BV372" s="146">
        <v>439</v>
      </c>
      <c r="BW372" s="32">
        <v>298</v>
      </c>
    </row>
    <row r="373" spans="1:75" ht="13" x14ac:dyDescent="0.25">
      <c r="A373" s="186">
        <v>5922</v>
      </c>
      <c r="B373" s="187" t="s">
        <v>395</v>
      </c>
      <c r="C373" s="46">
        <v>1158</v>
      </c>
      <c r="D373" s="142">
        <v>792</v>
      </c>
      <c r="E373" s="145">
        <f t="shared" si="5"/>
        <v>0.68393782383419688</v>
      </c>
      <c r="F373" s="146">
        <v>316</v>
      </c>
      <c r="G373" s="32">
        <v>425</v>
      </c>
      <c r="H373" s="146"/>
      <c r="I373" s="32"/>
      <c r="J373" s="146"/>
      <c r="K373" s="32"/>
      <c r="L373" s="146"/>
      <c r="M373" s="32"/>
      <c r="N373" s="146"/>
      <c r="O373" s="32"/>
      <c r="P373" s="146"/>
      <c r="Q373" s="32"/>
      <c r="R373" s="146"/>
      <c r="S373" s="32"/>
      <c r="T373" s="146"/>
      <c r="U373" s="32"/>
      <c r="V373" s="146"/>
      <c r="W373" s="32"/>
      <c r="X373" s="146"/>
      <c r="Y373" s="32"/>
      <c r="Z373" s="146"/>
      <c r="AA373" s="32"/>
      <c r="AB373" s="146"/>
      <c r="AC373" s="32"/>
      <c r="AD373" s="146"/>
      <c r="AE373" s="32"/>
      <c r="AF373" s="146"/>
      <c r="AG373" s="32"/>
      <c r="AH373" s="146"/>
      <c r="AI373" s="32"/>
      <c r="AJ373" s="146"/>
      <c r="AK373" s="32"/>
      <c r="AL373" s="146"/>
      <c r="AM373" s="32"/>
      <c r="AN373" s="146"/>
      <c r="AO373" s="32"/>
      <c r="AP373" s="146"/>
      <c r="AQ373" s="32"/>
      <c r="AR373" s="146"/>
      <c r="AS373" s="32"/>
      <c r="AT373" s="146"/>
      <c r="AU373" s="32"/>
      <c r="AV373" s="146"/>
      <c r="AW373" s="32"/>
      <c r="AX373" s="146"/>
      <c r="AY373" s="32"/>
      <c r="AZ373" s="146"/>
      <c r="BA373" s="32"/>
      <c r="BB373" s="146"/>
      <c r="BC373" s="32"/>
      <c r="BD373" s="146"/>
      <c r="BE373" s="32"/>
      <c r="BF373" s="146"/>
      <c r="BG373" s="32"/>
      <c r="BH373" s="146"/>
      <c r="BI373" s="32"/>
      <c r="BJ373" s="146"/>
      <c r="BK373" s="32"/>
      <c r="BL373" s="146"/>
      <c r="BM373" s="32"/>
      <c r="BN373" s="146"/>
      <c r="BO373" s="32"/>
      <c r="BP373" s="146"/>
      <c r="BQ373" s="32"/>
      <c r="BR373" s="146"/>
      <c r="BS373" s="32"/>
      <c r="BT373" s="146">
        <v>376</v>
      </c>
      <c r="BU373" s="32">
        <v>368</v>
      </c>
      <c r="BV373" s="146">
        <v>406</v>
      </c>
      <c r="BW373" s="32">
        <v>340</v>
      </c>
    </row>
    <row r="374" spans="1:75" ht="13" x14ac:dyDescent="0.25">
      <c r="A374" s="186">
        <v>5923</v>
      </c>
      <c r="B374" s="187" t="s">
        <v>396</v>
      </c>
      <c r="C374" s="46">
        <v>702</v>
      </c>
      <c r="D374" s="142">
        <v>418</v>
      </c>
      <c r="E374" s="145">
        <f t="shared" si="5"/>
        <v>0.59544159544159547</v>
      </c>
      <c r="F374" s="146">
        <v>213</v>
      </c>
      <c r="G374" s="32">
        <v>179</v>
      </c>
      <c r="H374" s="146"/>
      <c r="I374" s="32"/>
      <c r="J374" s="146"/>
      <c r="K374" s="32"/>
      <c r="L374" s="146"/>
      <c r="M374" s="32"/>
      <c r="N374" s="146"/>
      <c r="O374" s="32"/>
      <c r="P374" s="146"/>
      <c r="Q374" s="32"/>
      <c r="R374" s="146"/>
      <c r="S374" s="32"/>
      <c r="T374" s="146"/>
      <c r="U374" s="32"/>
      <c r="V374" s="146"/>
      <c r="W374" s="32"/>
      <c r="X374" s="146"/>
      <c r="Y374" s="32"/>
      <c r="Z374" s="146"/>
      <c r="AA374" s="32"/>
      <c r="AB374" s="146"/>
      <c r="AC374" s="32"/>
      <c r="AD374" s="146"/>
      <c r="AE374" s="32"/>
      <c r="AF374" s="146"/>
      <c r="AG374" s="32"/>
      <c r="AH374" s="146"/>
      <c r="AI374" s="32"/>
      <c r="AJ374" s="146"/>
      <c r="AK374" s="32"/>
      <c r="AL374" s="146"/>
      <c r="AM374" s="32"/>
      <c r="AN374" s="146"/>
      <c r="AO374" s="32"/>
      <c r="AP374" s="146"/>
      <c r="AQ374" s="32"/>
      <c r="AR374" s="146"/>
      <c r="AS374" s="32"/>
      <c r="AT374" s="146"/>
      <c r="AU374" s="32"/>
      <c r="AV374" s="146"/>
      <c r="AW374" s="32"/>
      <c r="AX374" s="146"/>
      <c r="AY374" s="32"/>
      <c r="AZ374" s="146"/>
      <c r="BA374" s="32"/>
      <c r="BB374" s="146"/>
      <c r="BC374" s="32"/>
      <c r="BD374" s="146"/>
      <c r="BE374" s="32"/>
      <c r="BF374" s="146"/>
      <c r="BG374" s="32"/>
      <c r="BH374" s="146"/>
      <c r="BI374" s="32"/>
      <c r="BJ374" s="146"/>
      <c r="BK374" s="32"/>
      <c r="BL374" s="146"/>
      <c r="BM374" s="32"/>
      <c r="BN374" s="146"/>
      <c r="BO374" s="32"/>
      <c r="BP374" s="146"/>
      <c r="BQ374" s="32"/>
      <c r="BR374" s="146"/>
      <c r="BS374" s="32"/>
      <c r="BT374" s="146">
        <v>236</v>
      </c>
      <c r="BU374" s="32">
        <v>160</v>
      </c>
      <c r="BV374" s="146">
        <v>252</v>
      </c>
      <c r="BW374" s="32">
        <v>144</v>
      </c>
    </row>
    <row r="375" spans="1:75" ht="13" x14ac:dyDescent="0.25">
      <c r="A375" s="186">
        <v>5924</v>
      </c>
      <c r="B375" s="187" t="s">
        <v>397</v>
      </c>
      <c r="C375" s="46">
        <v>1191</v>
      </c>
      <c r="D375" s="142">
        <v>792</v>
      </c>
      <c r="E375" s="145">
        <f t="shared" si="5"/>
        <v>0.66498740554156166</v>
      </c>
      <c r="F375" s="146">
        <v>396</v>
      </c>
      <c r="G375" s="32">
        <v>358</v>
      </c>
      <c r="H375" s="146"/>
      <c r="I375" s="32"/>
      <c r="J375" s="146"/>
      <c r="K375" s="32"/>
      <c r="L375" s="146"/>
      <c r="M375" s="32"/>
      <c r="N375" s="146"/>
      <c r="O375" s="32"/>
      <c r="P375" s="146"/>
      <c r="Q375" s="32"/>
      <c r="R375" s="146"/>
      <c r="S375" s="32"/>
      <c r="T375" s="146"/>
      <c r="U375" s="32"/>
      <c r="V375" s="146"/>
      <c r="W375" s="32"/>
      <c r="X375" s="146"/>
      <c r="Y375" s="32"/>
      <c r="Z375" s="146"/>
      <c r="AA375" s="32"/>
      <c r="AB375" s="146"/>
      <c r="AC375" s="32"/>
      <c r="AD375" s="146"/>
      <c r="AE375" s="32"/>
      <c r="AF375" s="146"/>
      <c r="AG375" s="32"/>
      <c r="AH375" s="146"/>
      <c r="AI375" s="32"/>
      <c r="AJ375" s="146"/>
      <c r="AK375" s="32"/>
      <c r="AL375" s="146"/>
      <c r="AM375" s="32"/>
      <c r="AN375" s="146"/>
      <c r="AO375" s="32"/>
      <c r="AP375" s="146"/>
      <c r="AQ375" s="32"/>
      <c r="AR375" s="146"/>
      <c r="AS375" s="32"/>
      <c r="AT375" s="146"/>
      <c r="AU375" s="32"/>
      <c r="AV375" s="146"/>
      <c r="AW375" s="32"/>
      <c r="AX375" s="146"/>
      <c r="AY375" s="32"/>
      <c r="AZ375" s="146"/>
      <c r="BA375" s="32"/>
      <c r="BB375" s="146"/>
      <c r="BC375" s="32"/>
      <c r="BD375" s="146"/>
      <c r="BE375" s="32"/>
      <c r="BF375" s="146"/>
      <c r="BG375" s="32"/>
      <c r="BH375" s="146"/>
      <c r="BI375" s="32"/>
      <c r="BJ375" s="146"/>
      <c r="BK375" s="32"/>
      <c r="BL375" s="146"/>
      <c r="BM375" s="32"/>
      <c r="BN375" s="146"/>
      <c r="BO375" s="32"/>
      <c r="BP375" s="146"/>
      <c r="BQ375" s="32"/>
      <c r="BR375" s="146"/>
      <c r="BS375" s="32"/>
      <c r="BT375" s="146">
        <v>466</v>
      </c>
      <c r="BU375" s="32">
        <v>285</v>
      </c>
      <c r="BV375" s="146">
        <v>501</v>
      </c>
      <c r="BW375" s="32">
        <v>251</v>
      </c>
    </row>
    <row r="376" spans="1:75" ht="13" x14ac:dyDescent="0.25">
      <c r="A376" s="186">
        <v>5925</v>
      </c>
      <c r="B376" s="187" t="s">
        <v>398</v>
      </c>
      <c r="C376" s="46">
        <v>1295</v>
      </c>
      <c r="D376" s="142">
        <v>887</v>
      </c>
      <c r="E376" s="145">
        <f t="shared" si="5"/>
        <v>0.68494208494208497</v>
      </c>
      <c r="F376" s="146">
        <v>505</v>
      </c>
      <c r="G376" s="32">
        <v>339</v>
      </c>
      <c r="H376" s="146"/>
      <c r="I376" s="32"/>
      <c r="J376" s="146"/>
      <c r="K376" s="32"/>
      <c r="L376" s="146"/>
      <c r="M376" s="32"/>
      <c r="N376" s="146"/>
      <c r="O376" s="32"/>
      <c r="P376" s="146"/>
      <c r="Q376" s="32"/>
      <c r="R376" s="146"/>
      <c r="S376" s="32"/>
      <c r="T376" s="146"/>
      <c r="U376" s="32"/>
      <c r="V376" s="146"/>
      <c r="W376" s="32"/>
      <c r="X376" s="146"/>
      <c r="Y376" s="32"/>
      <c r="Z376" s="146"/>
      <c r="AA376" s="32"/>
      <c r="AB376" s="146"/>
      <c r="AC376" s="32"/>
      <c r="AD376" s="146"/>
      <c r="AE376" s="32"/>
      <c r="AF376" s="146"/>
      <c r="AG376" s="32"/>
      <c r="AH376" s="146"/>
      <c r="AI376" s="32"/>
      <c r="AJ376" s="146"/>
      <c r="AK376" s="32"/>
      <c r="AL376" s="146"/>
      <c r="AM376" s="32"/>
      <c r="AN376" s="146"/>
      <c r="AO376" s="32"/>
      <c r="AP376" s="146"/>
      <c r="AQ376" s="32"/>
      <c r="AR376" s="146"/>
      <c r="AS376" s="32"/>
      <c r="AT376" s="146"/>
      <c r="AU376" s="32"/>
      <c r="AV376" s="146"/>
      <c r="AW376" s="32"/>
      <c r="AX376" s="146"/>
      <c r="AY376" s="32"/>
      <c r="AZ376" s="146"/>
      <c r="BA376" s="32"/>
      <c r="BB376" s="146"/>
      <c r="BC376" s="32"/>
      <c r="BD376" s="146"/>
      <c r="BE376" s="32"/>
      <c r="BF376" s="146"/>
      <c r="BG376" s="32"/>
      <c r="BH376" s="146"/>
      <c r="BI376" s="32"/>
      <c r="BJ376" s="146">
        <v>85</v>
      </c>
      <c r="BK376" s="32">
        <v>102</v>
      </c>
      <c r="BL376" s="146"/>
      <c r="BM376" s="32"/>
      <c r="BN376" s="146"/>
      <c r="BO376" s="32"/>
      <c r="BP376" s="146"/>
      <c r="BQ376" s="32"/>
      <c r="BR376" s="146"/>
      <c r="BS376" s="32"/>
      <c r="BT376" s="146">
        <v>502</v>
      </c>
      <c r="BU376" s="32">
        <v>338</v>
      </c>
      <c r="BV376" s="146">
        <v>537</v>
      </c>
      <c r="BW376" s="32">
        <v>309</v>
      </c>
    </row>
    <row r="377" spans="1:75" ht="13" x14ac:dyDescent="0.25">
      <c r="A377" s="186">
        <v>5926</v>
      </c>
      <c r="B377" s="187" t="s">
        <v>399</v>
      </c>
      <c r="C377" s="46">
        <v>1350</v>
      </c>
      <c r="D377" s="142">
        <v>888</v>
      </c>
      <c r="E377" s="145">
        <f t="shared" si="5"/>
        <v>0.65777777777777779</v>
      </c>
      <c r="F377" s="146">
        <v>496</v>
      </c>
      <c r="G377" s="32">
        <v>355</v>
      </c>
      <c r="H377" s="146"/>
      <c r="I377" s="32"/>
      <c r="J377" s="146"/>
      <c r="K377" s="32"/>
      <c r="L377" s="146"/>
      <c r="M377" s="32"/>
      <c r="N377" s="146"/>
      <c r="O377" s="32"/>
      <c r="P377" s="146"/>
      <c r="Q377" s="32"/>
      <c r="R377" s="146"/>
      <c r="S377" s="32"/>
      <c r="T377" s="146"/>
      <c r="U377" s="32"/>
      <c r="V377" s="146"/>
      <c r="W377" s="32"/>
      <c r="X377" s="146"/>
      <c r="Y377" s="32"/>
      <c r="Z377" s="146"/>
      <c r="AA377" s="32"/>
      <c r="AB377" s="146"/>
      <c r="AC377" s="32"/>
      <c r="AD377" s="146"/>
      <c r="AE377" s="32"/>
      <c r="AF377" s="146"/>
      <c r="AG377" s="32"/>
      <c r="AH377" s="146"/>
      <c r="AI377" s="32"/>
      <c r="AJ377" s="146"/>
      <c r="AK377" s="32"/>
      <c r="AL377" s="146"/>
      <c r="AM377" s="32"/>
      <c r="AN377" s="146"/>
      <c r="AO377" s="32"/>
      <c r="AP377" s="146"/>
      <c r="AQ377" s="32"/>
      <c r="AR377" s="146"/>
      <c r="AS377" s="32"/>
      <c r="AT377" s="146"/>
      <c r="AU377" s="32"/>
      <c r="AV377" s="146"/>
      <c r="AW377" s="32"/>
      <c r="AX377" s="146"/>
      <c r="AY377" s="32"/>
      <c r="AZ377" s="146"/>
      <c r="BA377" s="32"/>
      <c r="BB377" s="146"/>
      <c r="BC377" s="32"/>
      <c r="BD377" s="146"/>
      <c r="BE377" s="32"/>
      <c r="BF377" s="146"/>
      <c r="BG377" s="32"/>
      <c r="BH377" s="146"/>
      <c r="BI377" s="32"/>
      <c r="BJ377" s="146">
        <v>149</v>
      </c>
      <c r="BK377" s="32">
        <v>232</v>
      </c>
      <c r="BL377" s="146"/>
      <c r="BM377" s="32"/>
      <c r="BN377" s="146"/>
      <c r="BO377" s="32"/>
      <c r="BP377" s="146"/>
      <c r="BQ377" s="32"/>
      <c r="BR377" s="146"/>
      <c r="BS377" s="32"/>
      <c r="BT377" s="146">
        <v>475</v>
      </c>
      <c r="BU377" s="32">
        <v>391</v>
      </c>
      <c r="BV377" s="146">
        <v>513</v>
      </c>
      <c r="BW377" s="32">
        <v>354</v>
      </c>
    </row>
    <row r="378" spans="1:75" ht="13" x14ac:dyDescent="0.25">
      <c r="A378" s="186">
        <v>5927</v>
      </c>
      <c r="B378" s="187" t="s">
        <v>400</v>
      </c>
      <c r="C378" s="46">
        <v>1103</v>
      </c>
      <c r="D378" s="142">
        <v>952</v>
      </c>
      <c r="E378" s="145">
        <f t="shared" si="5"/>
        <v>0.86310063463281961</v>
      </c>
      <c r="F378" s="146">
        <v>276</v>
      </c>
      <c r="G378" s="32">
        <v>631</v>
      </c>
      <c r="H378" s="146"/>
      <c r="I378" s="32"/>
      <c r="J378" s="146"/>
      <c r="K378" s="32"/>
      <c r="L378" s="146"/>
      <c r="M378" s="32"/>
      <c r="N378" s="146"/>
      <c r="O378" s="32"/>
      <c r="P378" s="146"/>
      <c r="Q378" s="32"/>
      <c r="R378" s="146"/>
      <c r="S378" s="32"/>
      <c r="T378" s="146"/>
      <c r="U378" s="32"/>
      <c r="V378" s="146"/>
      <c r="W378" s="32"/>
      <c r="X378" s="146"/>
      <c r="Y378" s="32"/>
      <c r="Z378" s="146"/>
      <c r="AA378" s="32"/>
      <c r="AB378" s="146"/>
      <c r="AC378" s="32"/>
      <c r="AD378" s="146"/>
      <c r="AE378" s="32"/>
      <c r="AF378" s="146"/>
      <c r="AG378" s="32"/>
      <c r="AH378" s="146"/>
      <c r="AI378" s="32"/>
      <c r="AJ378" s="146"/>
      <c r="AK378" s="32"/>
      <c r="AL378" s="146"/>
      <c r="AM378" s="32"/>
      <c r="AN378" s="146"/>
      <c r="AO378" s="32"/>
      <c r="AP378" s="146"/>
      <c r="AQ378" s="32"/>
      <c r="AR378" s="146"/>
      <c r="AS378" s="32"/>
      <c r="AT378" s="146"/>
      <c r="AU378" s="32"/>
      <c r="AV378" s="146"/>
      <c r="AW378" s="32"/>
      <c r="AX378" s="146"/>
      <c r="AY378" s="32"/>
      <c r="AZ378" s="146"/>
      <c r="BA378" s="32"/>
      <c r="BB378" s="146"/>
      <c r="BC378" s="32"/>
      <c r="BD378" s="146"/>
      <c r="BE378" s="32"/>
      <c r="BF378" s="146"/>
      <c r="BG378" s="32"/>
      <c r="BH378" s="146"/>
      <c r="BI378" s="32"/>
      <c r="BJ378" s="146"/>
      <c r="BK378" s="32"/>
      <c r="BL378" s="146"/>
      <c r="BM378" s="32"/>
      <c r="BN378" s="146"/>
      <c r="BO378" s="32"/>
      <c r="BP378" s="146"/>
      <c r="BQ378" s="32"/>
      <c r="BR378" s="146"/>
      <c r="BS378" s="32"/>
      <c r="BT378" s="146">
        <v>419</v>
      </c>
      <c r="BU378" s="32">
        <v>478</v>
      </c>
      <c r="BV378" s="146">
        <v>446</v>
      </c>
      <c r="BW378" s="32">
        <v>451</v>
      </c>
    </row>
    <row r="379" spans="1:75" ht="13" x14ac:dyDescent="0.25">
      <c r="A379" s="186">
        <v>5928</v>
      </c>
      <c r="B379" s="187" t="s">
        <v>401</v>
      </c>
      <c r="C379" s="46">
        <v>1363</v>
      </c>
      <c r="D379" s="142">
        <v>1047</v>
      </c>
      <c r="E379" s="145">
        <f t="shared" si="5"/>
        <v>0.76815847395451209</v>
      </c>
      <c r="F379" s="146">
        <v>301</v>
      </c>
      <c r="G379" s="32">
        <v>698</v>
      </c>
      <c r="H379" s="146"/>
      <c r="I379" s="32"/>
      <c r="J379" s="146"/>
      <c r="K379" s="32"/>
      <c r="L379" s="146"/>
      <c r="M379" s="32"/>
      <c r="N379" s="146"/>
      <c r="O379" s="32"/>
      <c r="P379" s="146"/>
      <c r="Q379" s="32"/>
      <c r="R379" s="146"/>
      <c r="S379" s="32"/>
      <c r="T379" s="146"/>
      <c r="U379" s="32"/>
      <c r="V379" s="146"/>
      <c r="W379" s="32"/>
      <c r="X379" s="146"/>
      <c r="Y379" s="32"/>
      <c r="Z379" s="146"/>
      <c r="AA379" s="32"/>
      <c r="AB379" s="146"/>
      <c r="AC379" s="32"/>
      <c r="AD379" s="146"/>
      <c r="AE379" s="32"/>
      <c r="AF379" s="146"/>
      <c r="AG379" s="32"/>
      <c r="AH379" s="146"/>
      <c r="AI379" s="32"/>
      <c r="AJ379" s="146"/>
      <c r="AK379" s="32"/>
      <c r="AL379" s="146"/>
      <c r="AM379" s="32"/>
      <c r="AN379" s="146"/>
      <c r="AO379" s="32"/>
      <c r="AP379" s="146"/>
      <c r="AQ379" s="32"/>
      <c r="AR379" s="146"/>
      <c r="AS379" s="32"/>
      <c r="AT379" s="146"/>
      <c r="AU379" s="32"/>
      <c r="AV379" s="146"/>
      <c r="AW379" s="32"/>
      <c r="AX379" s="146"/>
      <c r="AY379" s="32"/>
      <c r="AZ379" s="146"/>
      <c r="BA379" s="32"/>
      <c r="BB379" s="146"/>
      <c r="BC379" s="32"/>
      <c r="BD379" s="146"/>
      <c r="BE379" s="32"/>
      <c r="BF379" s="146"/>
      <c r="BG379" s="32"/>
      <c r="BH379" s="146"/>
      <c r="BI379" s="32"/>
      <c r="BJ379" s="146"/>
      <c r="BK379" s="32"/>
      <c r="BL379" s="146"/>
      <c r="BM379" s="32"/>
      <c r="BN379" s="146"/>
      <c r="BO379" s="32"/>
      <c r="BP379" s="146"/>
      <c r="BQ379" s="32"/>
      <c r="BR379" s="146"/>
      <c r="BS379" s="32"/>
      <c r="BT379" s="146">
        <v>450</v>
      </c>
      <c r="BU379" s="32">
        <v>539</v>
      </c>
      <c r="BV379" s="146">
        <v>499</v>
      </c>
      <c r="BW379" s="32">
        <v>493</v>
      </c>
    </row>
    <row r="380" spans="1:75" ht="13" x14ac:dyDescent="0.25">
      <c r="A380" s="186">
        <v>5929</v>
      </c>
      <c r="B380" s="187" t="s">
        <v>402</v>
      </c>
      <c r="C380" s="46">
        <v>1161</v>
      </c>
      <c r="D380" s="142">
        <v>632</v>
      </c>
      <c r="E380" s="145">
        <f t="shared" si="5"/>
        <v>0.54435831180017225</v>
      </c>
      <c r="F380" s="146">
        <v>307</v>
      </c>
      <c r="G380" s="32">
        <v>273</v>
      </c>
      <c r="H380" s="146"/>
      <c r="I380" s="32"/>
      <c r="J380" s="146"/>
      <c r="K380" s="32"/>
      <c r="L380" s="146"/>
      <c r="M380" s="32"/>
      <c r="N380" s="146"/>
      <c r="O380" s="32"/>
      <c r="P380" s="146"/>
      <c r="Q380" s="32"/>
      <c r="R380" s="146"/>
      <c r="S380" s="32"/>
      <c r="T380" s="146"/>
      <c r="U380" s="32"/>
      <c r="V380" s="146"/>
      <c r="W380" s="32"/>
      <c r="X380" s="146"/>
      <c r="Y380" s="32"/>
      <c r="Z380" s="146"/>
      <c r="AA380" s="32"/>
      <c r="AB380" s="146"/>
      <c r="AC380" s="32"/>
      <c r="AD380" s="146"/>
      <c r="AE380" s="32"/>
      <c r="AF380" s="146"/>
      <c r="AG380" s="32"/>
      <c r="AH380" s="146"/>
      <c r="AI380" s="32"/>
      <c r="AJ380" s="146"/>
      <c r="AK380" s="32"/>
      <c r="AL380" s="146"/>
      <c r="AM380" s="32"/>
      <c r="AN380" s="146"/>
      <c r="AO380" s="32"/>
      <c r="AP380" s="146"/>
      <c r="AQ380" s="32"/>
      <c r="AR380" s="146"/>
      <c r="AS380" s="32"/>
      <c r="AT380" s="146"/>
      <c r="AU380" s="32"/>
      <c r="AV380" s="146"/>
      <c r="AW380" s="32"/>
      <c r="AX380" s="146"/>
      <c r="AY380" s="32"/>
      <c r="AZ380" s="146"/>
      <c r="BA380" s="32"/>
      <c r="BB380" s="146"/>
      <c r="BC380" s="32"/>
      <c r="BD380" s="146"/>
      <c r="BE380" s="32"/>
      <c r="BF380" s="146"/>
      <c r="BG380" s="32"/>
      <c r="BH380" s="146"/>
      <c r="BI380" s="32"/>
      <c r="BJ380" s="146">
        <v>12</v>
      </c>
      <c r="BK380" s="32">
        <v>8</v>
      </c>
      <c r="BL380" s="146"/>
      <c r="BM380" s="32"/>
      <c r="BN380" s="146"/>
      <c r="BO380" s="32"/>
      <c r="BP380" s="146"/>
      <c r="BQ380" s="32"/>
      <c r="BR380" s="146"/>
      <c r="BS380" s="32"/>
      <c r="BT380" s="146">
        <v>347</v>
      </c>
      <c r="BU380" s="32">
        <v>240</v>
      </c>
      <c r="BV380" s="146">
        <v>372</v>
      </c>
      <c r="BW380" s="32">
        <v>212</v>
      </c>
    </row>
    <row r="381" spans="1:75" ht="13" x14ac:dyDescent="0.25">
      <c r="A381" s="186">
        <v>5930</v>
      </c>
      <c r="B381" s="187" t="s">
        <v>403</v>
      </c>
      <c r="C381" s="46">
        <v>961</v>
      </c>
      <c r="D381" s="142">
        <v>589</v>
      </c>
      <c r="E381" s="145">
        <f t="shared" si="5"/>
        <v>0.61290322580645162</v>
      </c>
      <c r="F381" s="146">
        <v>382</v>
      </c>
      <c r="G381" s="32">
        <v>171</v>
      </c>
      <c r="H381" s="146"/>
      <c r="I381" s="32"/>
      <c r="J381" s="146"/>
      <c r="K381" s="32"/>
      <c r="L381" s="146"/>
      <c r="M381" s="32"/>
      <c r="N381" s="146"/>
      <c r="O381" s="32"/>
      <c r="P381" s="146"/>
      <c r="Q381" s="32"/>
      <c r="R381" s="146"/>
      <c r="S381" s="32"/>
      <c r="T381" s="146"/>
      <c r="U381" s="32"/>
      <c r="V381" s="146"/>
      <c r="W381" s="32"/>
      <c r="X381" s="146"/>
      <c r="Y381" s="32"/>
      <c r="Z381" s="146"/>
      <c r="AA381" s="32"/>
      <c r="AB381" s="146"/>
      <c r="AC381" s="32"/>
      <c r="AD381" s="146"/>
      <c r="AE381" s="32"/>
      <c r="AF381" s="146"/>
      <c r="AG381" s="32"/>
      <c r="AH381" s="146"/>
      <c r="AI381" s="32"/>
      <c r="AJ381" s="146"/>
      <c r="AK381" s="32"/>
      <c r="AL381" s="146"/>
      <c r="AM381" s="32"/>
      <c r="AN381" s="146"/>
      <c r="AO381" s="32"/>
      <c r="AP381" s="146"/>
      <c r="AQ381" s="32"/>
      <c r="AR381" s="146"/>
      <c r="AS381" s="32"/>
      <c r="AT381" s="146"/>
      <c r="AU381" s="32"/>
      <c r="AV381" s="146"/>
      <c r="AW381" s="32"/>
      <c r="AX381" s="146"/>
      <c r="AY381" s="32"/>
      <c r="AZ381" s="146"/>
      <c r="BA381" s="32"/>
      <c r="BB381" s="146"/>
      <c r="BC381" s="32"/>
      <c r="BD381" s="146"/>
      <c r="BE381" s="32"/>
      <c r="BF381" s="146"/>
      <c r="BG381" s="32"/>
      <c r="BH381" s="146"/>
      <c r="BI381" s="32"/>
      <c r="BJ381" s="146"/>
      <c r="BK381" s="32"/>
      <c r="BL381" s="146"/>
      <c r="BM381" s="32"/>
      <c r="BN381" s="146"/>
      <c r="BO381" s="32"/>
      <c r="BP381" s="146"/>
      <c r="BQ381" s="32"/>
      <c r="BR381" s="146"/>
      <c r="BS381" s="32"/>
      <c r="BT381" s="146">
        <v>371</v>
      </c>
      <c r="BU381" s="32">
        <v>187</v>
      </c>
      <c r="BV381" s="146">
        <v>388</v>
      </c>
      <c r="BW381" s="32">
        <v>164</v>
      </c>
    </row>
    <row r="382" spans="1:75" ht="13" x14ac:dyDescent="0.25">
      <c r="A382" s="186">
        <v>5931</v>
      </c>
      <c r="B382" s="187" t="s">
        <v>404</v>
      </c>
      <c r="C382" s="46">
        <v>1162</v>
      </c>
      <c r="D382" s="142">
        <v>843</v>
      </c>
      <c r="E382" s="145">
        <f t="shared" si="5"/>
        <v>0.72547332185886404</v>
      </c>
      <c r="F382" s="146">
        <v>334</v>
      </c>
      <c r="G382" s="32">
        <v>457</v>
      </c>
      <c r="H382" s="146"/>
      <c r="I382" s="32"/>
      <c r="J382" s="146"/>
      <c r="K382" s="32"/>
      <c r="L382" s="146"/>
      <c r="M382" s="32"/>
      <c r="N382" s="146"/>
      <c r="O382" s="32"/>
      <c r="P382" s="146"/>
      <c r="Q382" s="32"/>
      <c r="R382" s="146"/>
      <c r="S382" s="32"/>
      <c r="T382" s="146"/>
      <c r="U382" s="32"/>
      <c r="V382" s="146"/>
      <c r="W382" s="32"/>
      <c r="X382" s="146"/>
      <c r="Y382" s="32"/>
      <c r="Z382" s="146"/>
      <c r="AA382" s="32"/>
      <c r="AB382" s="146"/>
      <c r="AC382" s="32"/>
      <c r="AD382" s="146"/>
      <c r="AE382" s="32"/>
      <c r="AF382" s="146"/>
      <c r="AG382" s="32"/>
      <c r="AH382" s="146"/>
      <c r="AI382" s="32"/>
      <c r="AJ382" s="146"/>
      <c r="AK382" s="32"/>
      <c r="AL382" s="146"/>
      <c r="AM382" s="32"/>
      <c r="AN382" s="146"/>
      <c r="AO382" s="32"/>
      <c r="AP382" s="146"/>
      <c r="AQ382" s="32"/>
      <c r="AR382" s="146"/>
      <c r="AS382" s="32"/>
      <c r="AT382" s="146"/>
      <c r="AU382" s="32"/>
      <c r="AV382" s="146"/>
      <c r="AW382" s="32"/>
      <c r="AX382" s="146"/>
      <c r="AY382" s="32"/>
      <c r="AZ382" s="146"/>
      <c r="BA382" s="32"/>
      <c r="BB382" s="146"/>
      <c r="BC382" s="32"/>
      <c r="BD382" s="146"/>
      <c r="BE382" s="32"/>
      <c r="BF382" s="146"/>
      <c r="BG382" s="32"/>
      <c r="BH382" s="146"/>
      <c r="BI382" s="32"/>
      <c r="BJ382" s="146"/>
      <c r="BK382" s="32"/>
      <c r="BL382" s="146"/>
      <c r="BM382" s="32"/>
      <c r="BN382" s="146"/>
      <c r="BO382" s="32"/>
      <c r="BP382" s="146"/>
      <c r="BQ382" s="32"/>
      <c r="BR382" s="146"/>
      <c r="BS382" s="32"/>
      <c r="BT382" s="146">
        <v>416</v>
      </c>
      <c r="BU382" s="32">
        <v>372</v>
      </c>
      <c r="BV382" s="146">
        <v>460</v>
      </c>
      <c r="BW382" s="32">
        <v>328</v>
      </c>
    </row>
    <row r="383" spans="1:75" ht="13" x14ac:dyDescent="0.25">
      <c r="A383" s="186">
        <v>5932</v>
      </c>
      <c r="B383" s="187" t="s">
        <v>405</v>
      </c>
      <c r="C383" s="46">
        <v>492</v>
      </c>
      <c r="D383" s="142">
        <v>314</v>
      </c>
      <c r="E383" s="145">
        <f t="shared" si="5"/>
        <v>0.63821138211382111</v>
      </c>
      <c r="F383" s="146">
        <v>150</v>
      </c>
      <c r="G383" s="32">
        <v>143</v>
      </c>
      <c r="H383" s="146"/>
      <c r="I383" s="32"/>
      <c r="J383" s="146"/>
      <c r="K383" s="32"/>
      <c r="L383" s="146"/>
      <c r="M383" s="32"/>
      <c r="N383" s="146"/>
      <c r="O383" s="32"/>
      <c r="P383" s="146"/>
      <c r="Q383" s="32"/>
      <c r="R383" s="146"/>
      <c r="S383" s="32"/>
      <c r="T383" s="146"/>
      <c r="U383" s="32"/>
      <c r="V383" s="146"/>
      <c r="W383" s="32"/>
      <c r="X383" s="146"/>
      <c r="Y383" s="32"/>
      <c r="Z383" s="146"/>
      <c r="AA383" s="32"/>
      <c r="AB383" s="146"/>
      <c r="AC383" s="32"/>
      <c r="AD383" s="146"/>
      <c r="AE383" s="32"/>
      <c r="AF383" s="146"/>
      <c r="AG383" s="32"/>
      <c r="AH383" s="146"/>
      <c r="AI383" s="32"/>
      <c r="AJ383" s="146"/>
      <c r="AK383" s="32"/>
      <c r="AL383" s="146"/>
      <c r="AM383" s="32"/>
      <c r="AN383" s="146"/>
      <c r="AO383" s="32"/>
      <c r="AP383" s="146"/>
      <c r="AQ383" s="32"/>
      <c r="AR383" s="146"/>
      <c r="AS383" s="32"/>
      <c r="AT383" s="146"/>
      <c r="AU383" s="32"/>
      <c r="AV383" s="146"/>
      <c r="AW383" s="32"/>
      <c r="AX383" s="146"/>
      <c r="AY383" s="32"/>
      <c r="AZ383" s="146"/>
      <c r="BA383" s="32"/>
      <c r="BB383" s="146"/>
      <c r="BC383" s="32"/>
      <c r="BD383" s="146"/>
      <c r="BE383" s="32"/>
      <c r="BF383" s="146"/>
      <c r="BG383" s="32"/>
      <c r="BH383" s="146"/>
      <c r="BI383" s="32"/>
      <c r="BJ383" s="146"/>
      <c r="BK383" s="32"/>
      <c r="BL383" s="146"/>
      <c r="BM383" s="32"/>
      <c r="BN383" s="146"/>
      <c r="BO383" s="32"/>
      <c r="BP383" s="146"/>
      <c r="BQ383" s="32"/>
      <c r="BR383" s="146"/>
      <c r="BS383" s="32"/>
      <c r="BT383" s="146">
        <v>162</v>
      </c>
      <c r="BU383" s="32">
        <v>126</v>
      </c>
      <c r="BV383" s="146">
        <v>179</v>
      </c>
      <c r="BW383" s="32">
        <v>113</v>
      </c>
    </row>
    <row r="384" spans="1:75" ht="13" x14ac:dyDescent="0.25">
      <c r="A384" s="186">
        <v>5933</v>
      </c>
      <c r="B384" s="187" t="s">
        <v>406</v>
      </c>
      <c r="C384" s="46">
        <v>1204</v>
      </c>
      <c r="D384" s="142">
        <v>833</v>
      </c>
      <c r="E384" s="145">
        <f t="shared" si="5"/>
        <v>0.69186046511627908</v>
      </c>
      <c r="F384" s="146">
        <v>410</v>
      </c>
      <c r="G384" s="32">
        <v>380</v>
      </c>
      <c r="H384" s="146"/>
      <c r="I384" s="32"/>
      <c r="J384" s="146"/>
      <c r="K384" s="32"/>
      <c r="L384" s="146"/>
      <c r="M384" s="32"/>
      <c r="N384" s="146"/>
      <c r="O384" s="32"/>
      <c r="P384" s="146"/>
      <c r="Q384" s="32"/>
      <c r="R384" s="146"/>
      <c r="S384" s="32"/>
      <c r="T384" s="146"/>
      <c r="U384" s="32"/>
      <c r="V384" s="146"/>
      <c r="W384" s="32"/>
      <c r="X384" s="146"/>
      <c r="Y384" s="32"/>
      <c r="Z384" s="146"/>
      <c r="AA384" s="32"/>
      <c r="AB384" s="146"/>
      <c r="AC384" s="32"/>
      <c r="AD384" s="146"/>
      <c r="AE384" s="32"/>
      <c r="AF384" s="146"/>
      <c r="AG384" s="32"/>
      <c r="AH384" s="146"/>
      <c r="AI384" s="32"/>
      <c r="AJ384" s="146"/>
      <c r="AK384" s="32"/>
      <c r="AL384" s="146"/>
      <c r="AM384" s="32"/>
      <c r="AN384" s="146"/>
      <c r="AO384" s="32"/>
      <c r="AP384" s="146"/>
      <c r="AQ384" s="32"/>
      <c r="AR384" s="146"/>
      <c r="AS384" s="32"/>
      <c r="AT384" s="146"/>
      <c r="AU384" s="32"/>
      <c r="AV384" s="146"/>
      <c r="AW384" s="32"/>
      <c r="AX384" s="146"/>
      <c r="AY384" s="32"/>
      <c r="AZ384" s="146"/>
      <c r="BA384" s="32"/>
      <c r="BB384" s="146"/>
      <c r="BC384" s="32"/>
      <c r="BD384" s="146"/>
      <c r="BE384" s="32"/>
      <c r="BF384" s="146"/>
      <c r="BG384" s="32"/>
      <c r="BH384" s="146"/>
      <c r="BI384" s="32"/>
      <c r="BJ384" s="146">
        <v>269</v>
      </c>
      <c r="BK384" s="32">
        <v>425</v>
      </c>
      <c r="BL384" s="146"/>
      <c r="BM384" s="32"/>
      <c r="BN384" s="146"/>
      <c r="BO384" s="32"/>
      <c r="BP384" s="146"/>
      <c r="BQ384" s="32"/>
      <c r="BR384" s="146"/>
      <c r="BS384" s="32"/>
      <c r="BT384" s="146">
        <v>426</v>
      </c>
      <c r="BU384" s="32">
        <v>371</v>
      </c>
      <c r="BV384" s="146">
        <v>454</v>
      </c>
      <c r="BW384" s="32">
        <v>344</v>
      </c>
    </row>
    <row r="385" spans="1:75" ht="13" x14ac:dyDescent="0.25">
      <c r="A385" s="186">
        <v>5934</v>
      </c>
      <c r="B385" s="187" t="s">
        <v>407</v>
      </c>
      <c r="C385" s="46">
        <v>1083</v>
      </c>
      <c r="D385" s="142">
        <v>654</v>
      </c>
      <c r="E385" s="145">
        <f t="shared" si="5"/>
        <v>0.60387811634349031</v>
      </c>
      <c r="F385" s="146">
        <v>326</v>
      </c>
      <c r="G385" s="32">
        <v>296</v>
      </c>
      <c r="H385" s="146"/>
      <c r="I385" s="32"/>
      <c r="J385" s="146"/>
      <c r="K385" s="32"/>
      <c r="L385" s="146"/>
      <c r="M385" s="32"/>
      <c r="N385" s="146"/>
      <c r="O385" s="32"/>
      <c r="P385" s="146"/>
      <c r="Q385" s="32"/>
      <c r="R385" s="146"/>
      <c r="S385" s="32"/>
      <c r="T385" s="146"/>
      <c r="U385" s="32"/>
      <c r="V385" s="146"/>
      <c r="W385" s="32"/>
      <c r="X385" s="146"/>
      <c r="Y385" s="32"/>
      <c r="Z385" s="146"/>
      <c r="AA385" s="32"/>
      <c r="AB385" s="146"/>
      <c r="AC385" s="32"/>
      <c r="AD385" s="146"/>
      <c r="AE385" s="32"/>
      <c r="AF385" s="146"/>
      <c r="AG385" s="32"/>
      <c r="AH385" s="146"/>
      <c r="AI385" s="32"/>
      <c r="AJ385" s="146"/>
      <c r="AK385" s="32"/>
      <c r="AL385" s="146"/>
      <c r="AM385" s="32"/>
      <c r="AN385" s="146"/>
      <c r="AO385" s="32"/>
      <c r="AP385" s="146"/>
      <c r="AQ385" s="32"/>
      <c r="AR385" s="146"/>
      <c r="AS385" s="32"/>
      <c r="AT385" s="146"/>
      <c r="AU385" s="32"/>
      <c r="AV385" s="146"/>
      <c r="AW385" s="32"/>
      <c r="AX385" s="146"/>
      <c r="AY385" s="32"/>
      <c r="AZ385" s="146"/>
      <c r="BA385" s="32"/>
      <c r="BB385" s="146"/>
      <c r="BC385" s="32"/>
      <c r="BD385" s="146"/>
      <c r="BE385" s="32"/>
      <c r="BF385" s="146"/>
      <c r="BG385" s="32"/>
      <c r="BH385" s="146"/>
      <c r="BI385" s="32"/>
      <c r="BJ385" s="146"/>
      <c r="BK385" s="32"/>
      <c r="BL385" s="146"/>
      <c r="BM385" s="32"/>
      <c r="BN385" s="146"/>
      <c r="BO385" s="32"/>
      <c r="BP385" s="146"/>
      <c r="BQ385" s="32"/>
      <c r="BR385" s="146"/>
      <c r="BS385" s="32"/>
      <c r="BT385" s="146">
        <v>341</v>
      </c>
      <c r="BU385" s="32">
        <v>274</v>
      </c>
      <c r="BV385" s="146">
        <v>369</v>
      </c>
      <c r="BW385" s="32">
        <v>246</v>
      </c>
    </row>
    <row r="386" spans="1:75" ht="13" x14ac:dyDescent="0.25">
      <c r="A386" s="186">
        <v>5935</v>
      </c>
      <c r="B386" s="187" t="s">
        <v>408</v>
      </c>
      <c r="C386" s="46">
        <v>492</v>
      </c>
      <c r="D386" s="142">
        <v>386</v>
      </c>
      <c r="E386" s="145">
        <f t="shared" si="5"/>
        <v>0.78455284552845528</v>
      </c>
      <c r="F386" s="146">
        <v>154</v>
      </c>
      <c r="G386" s="32">
        <v>211</v>
      </c>
      <c r="H386" s="146"/>
      <c r="I386" s="32"/>
      <c r="J386" s="146"/>
      <c r="K386" s="32"/>
      <c r="L386" s="146"/>
      <c r="M386" s="32"/>
      <c r="N386" s="146"/>
      <c r="O386" s="32"/>
      <c r="P386" s="146"/>
      <c r="Q386" s="32"/>
      <c r="R386" s="146"/>
      <c r="S386" s="32"/>
      <c r="T386" s="146"/>
      <c r="U386" s="32"/>
      <c r="V386" s="146"/>
      <c r="W386" s="32"/>
      <c r="X386" s="146"/>
      <c r="Y386" s="32"/>
      <c r="Z386" s="146"/>
      <c r="AA386" s="32"/>
      <c r="AB386" s="146"/>
      <c r="AC386" s="32"/>
      <c r="AD386" s="146"/>
      <c r="AE386" s="32"/>
      <c r="AF386" s="146"/>
      <c r="AG386" s="32"/>
      <c r="AH386" s="146"/>
      <c r="AI386" s="32"/>
      <c r="AJ386" s="146"/>
      <c r="AK386" s="32"/>
      <c r="AL386" s="146"/>
      <c r="AM386" s="32"/>
      <c r="AN386" s="146"/>
      <c r="AO386" s="32"/>
      <c r="AP386" s="146"/>
      <c r="AQ386" s="32"/>
      <c r="AR386" s="146"/>
      <c r="AS386" s="32"/>
      <c r="AT386" s="146"/>
      <c r="AU386" s="32"/>
      <c r="AV386" s="146"/>
      <c r="AW386" s="32"/>
      <c r="AX386" s="146"/>
      <c r="AY386" s="32"/>
      <c r="AZ386" s="146"/>
      <c r="BA386" s="32"/>
      <c r="BB386" s="146"/>
      <c r="BC386" s="32"/>
      <c r="BD386" s="146"/>
      <c r="BE386" s="32"/>
      <c r="BF386" s="146"/>
      <c r="BG386" s="32"/>
      <c r="BH386" s="146"/>
      <c r="BI386" s="32"/>
      <c r="BJ386" s="146"/>
      <c r="BK386" s="32"/>
      <c r="BL386" s="146"/>
      <c r="BM386" s="32"/>
      <c r="BN386" s="146"/>
      <c r="BO386" s="32"/>
      <c r="BP386" s="146"/>
      <c r="BQ386" s="32"/>
      <c r="BR386" s="146"/>
      <c r="BS386" s="32"/>
      <c r="BT386" s="146">
        <v>176</v>
      </c>
      <c r="BU386" s="32">
        <v>189</v>
      </c>
      <c r="BV386" s="146">
        <v>190</v>
      </c>
      <c r="BW386" s="32">
        <v>175</v>
      </c>
    </row>
    <row r="387" spans="1:75" ht="13" x14ac:dyDescent="0.25">
      <c r="A387" s="186">
        <v>5936</v>
      </c>
      <c r="B387" s="187" t="s">
        <v>409</v>
      </c>
      <c r="C387" s="46">
        <v>1256</v>
      </c>
      <c r="D387" s="142">
        <v>900</v>
      </c>
      <c r="E387" s="145">
        <f t="shared" si="5"/>
        <v>0.71656050955414008</v>
      </c>
      <c r="F387" s="146">
        <v>422</v>
      </c>
      <c r="G387" s="32">
        <v>432</v>
      </c>
      <c r="H387" s="146"/>
      <c r="I387" s="32"/>
      <c r="J387" s="146"/>
      <c r="K387" s="32"/>
      <c r="L387" s="146"/>
      <c r="M387" s="32"/>
      <c r="N387" s="146"/>
      <c r="O387" s="32"/>
      <c r="P387" s="146"/>
      <c r="Q387" s="32"/>
      <c r="R387" s="146"/>
      <c r="S387" s="32"/>
      <c r="T387" s="146"/>
      <c r="U387" s="32"/>
      <c r="V387" s="146"/>
      <c r="W387" s="32"/>
      <c r="X387" s="146"/>
      <c r="Y387" s="32"/>
      <c r="Z387" s="146"/>
      <c r="AA387" s="32"/>
      <c r="AB387" s="146"/>
      <c r="AC387" s="32"/>
      <c r="AD387" s="146"/>
      <c r="AE387" s="32"/>
      <c r="AF387" s="146"/>
      <c r="AG387" s="32"/>
      <c r="AH387" s="146"/>
      <c r="AI387" s="32"/>
      <c r="AJ387" s="146"/>
      <c r="AK387" s="32"/>
      <c r="AL387" s="146"/>
      <c r="AM387" s="32"/>
      <c r="AN387" s="146"/>
      <c r="AO387" s="32"/>
      <c r="AP387" s="146"/>
      <c r="AQ387" s="32"/>
      <c r="AR387" s="146"/>
      <c r="AS387" s="32"/>
      <c r="AT387" s="146"/>
      <c r="AU387" s="32"/>
      <c r="AV387" s="146"/>
      <c r="AW387" s="32"/>
      <c r="AX387" s="146"/>
      <c r="AY387" s="32"/>
      <c r="AZ387" s="146"/>
      <c r="BA387" s="32"/>
      <c r="BB387" s="146"/>
      <c r="BC387" s="32"/>
      <c r="BD387" s="146"/>
      <c r="BE387" s="32"/>
      <c r="BF387" s="146"/>
      <c r="BG387" s="32"/>
      <c r="BH387" s="146"/>
      <c r="BI387" s="32"/>
      <c r="BJ387" s="146"/>
      <c r="BK387" s="32"/>
      <c r="BL387" s="146"/>
      <c r="BM387" s="32"/>
      <c r="BN387" s="146"/>
      <c r="BO387" s="32"/>
      <c r="BP387" s="146"/>
      <c r="BQ387" s="32"/>
      <c r="BR387" s="146"/>
      <c r="BS387" s="32"/>
      <c r="BT387" s="146">
        <v>482</v>
      </c>
      <c r="BU387" s="32">
        <v>376</v>
      </c>
      <c r="BV387" s="146">
        <v>502</v>
      </c>
      <c r="BW387" s="32">
        <v>352</v>
      </c>
    </row>
    <row r="388" spans="1:75" ht="13" x14ac:dyDescent="0.25">
      <c r="A388" s="186">
        <v>5937</v>
      </c>
      <c r="B388" s="187" t="s">
        <v>410</v>
      </c>
      <c r="C388" s="46">
        <v>1354</v>
      </c>
      <c r="D388" s="142">
        <v>919</v>
      </c>
      <c r="E388" s="145">
        <f t="shared" si="5"/>
        <v>0.67872968980797632</v>
      </c>
      <c r="F388" s="146">
        <v>518</v>
      </c>
      <c r="G388" s="32">
        <v>361</v>
      </c>
      <c r="H388" s="146"/>
      <c r="I388" s="32"/>
      <c r="J388" s="146"/>
      <c r="K388" s="32"/>
      <c r="L388" s="146"/>
      <c r="M388" s="32"/>
      <c r="N388" s="146"/>
      <c r="O388" s="32"/>
      <c r="P388" s="146"/>
      <c r="Q388" s="32"/>
      <c r="R388" s="146"/>
      <c r="S388" s="32"/>
      <c r="T388" s="146"/>
      <c r="U388" s="32"/>
      <c r="V388" s="146"/>
      <c r="W388" s="32"/>
      <c r="X388" s="146"/>
      <c r="Y388" s="32"/>
      <c r="Z388" s="146"/>
      <c r="AA388" s="32"/>
      <c r="AB388" s="146"/>
      <c r="AC388" s="32"/>
      <c r="AD388" s="146"/>
      <c r="AE388" s="32"/>
      <c r="AF388" s="146"/>
      <c r="AG388" s="32"/>
      <c r="AH388" s="146"/>
      <c r="AI388" s="32"/>
      <c r="AJ388" s="146"/>
      <c r="AK388" s="32"/>
      <c r="AL388" s="146"/>
      <c r="AM388" s="32"/>
      <c r="AN388" s="146"/>
      <c r="AO388" s="32"/>
      <c r="AP388" s="146"/>
      <c r="AQ388" s="32"/>
      <c r="AR388" s="146"/>
      <c r="AS388" s="32"/>
      <c r="AT388" s="146"/>
      <c r="AU388" s="32"/>
      <c r="AV388" s="146"/>
      <c r="AW388" s="32"/>
      <c r="AX388" s="146"/>
      <c r="AY388" s="32"/>
      <c r="AZ388" s="146"/>
      <c r="BA388" s="32"/>
      <c r="BB388" s="146"/>
      <c r="BC388" s="32"/>
      <c r="BD388" s="146"/>
      <c r="BE388" s="32"/>
      <c r="BF388" s="146"/>
      <c r="BG388" s="32"/>
      <c r="BH388" s="146"/>
      <c r="BI388" s="32"/>
      <c r="BJ388" s="146"/>
      <c r="BK388" s="32"/>
      <c r="BL388" s="146"/>
      <c r="BM388" s="32"/>
      <c r="BN388" s="146"/>
      <c r="BO388" s="32"/>
      <c r="BP388" s="146"/>
      <c r="BQ388" s="32"/>
      <c r="BR388" s="146"/>
      <c r="BS388" s="32"/>
      <c r="BT388" s="146">
        <v>589</v>
      </c>
      <c r="BU388" s="32">
        <v>285</v>
      </c>
      <c r="BV388" s="146">
        <v>617</v>
      </c>
      <c r="BW388" s="32">
        <v>253</v>
      </c>
    </row>
    <row r="389" spans="1:75" ht="13" x14ac:dyDescent="0.25">
      <c r="A389" s="186">
        <v>5938</v>
      </c>
      <c r="B389" s="187" t="s">
        <v>411</v>
      </c>
      <c r="C389" s="46">
        <v>706</v>
      </c>
      <c r="D389" s="142">
        <v>522</v>
      </c>
      <c r="E389" s="145">
        <f t="shared" si="5"/>
        <v>0.73937677053824358</v>
      </c>
      <c r="F389" s="146">
        <v>280</v>
      </c>
      <c r="G389" s="32">
        <v>213</v>
      </c>
      <c r="H389" s="146"/>
      <c r="I389" s="32"/>
      <c r="J389" s="146"/>
      <c r="K389" s="32"/>
      <c r="L389" s="146"/>
      <c r="M389" s="32"/>
      <c r="N389" s="146"/>
      <c r="O389" s="32"/>
      <c r="P389" s="146"/>
      <c r="Q389" s="32"/>
      <c r="R389" s="146"/>
      <c r="S389" s="32"/>
      <c r="T389" s="146"/>
      <c r="U389" s="32"/>
      <c r="V389" s="146"/>
      <c r="W389" s="32"/>
      <c r="X389" s="146"/>
      <c r="Y389" s="32"/>
      <c r="Z389" s="146"/>
      <c r="AA389" s="32"/>
      <c r="AB389" s="146"/>
      <c r="AC389" s="32"/>
      <c r="AD389" s="146"/>
      <c r="AE389" s="32"/>
      <c r="AF389" s="146"/>
      <c r="AG389" s="32"/>
      <c r="AH389" s="146"/>
      <c r="AI389" s="32"/>
      <c r="AJ389" s="146"/>
      <c r="AK389" s="32"/>
      <c r="AL389" s="146"/>
      <c r="AM389" s="32"/>
      <c r="AN389" s="146"/>
      <c r="AO389" s="32"/>
      <c r="AP389" s="146"/>
      <c r="AQ389" s="32"/>
      <c r="AR389" s="146"/>
      <c r="AS389" s="32"/>
      <c r="AT389" s="146"/>
      <c r="AU389" s="32"/>
      <c r="AV389" s="146"/>
      <c r="AW389" s="32"/>
      <c r="AX389" s="146"/>
      <c r="AY389" s="32"/>
      <c r="AZ389" s="146"/>
      <c r="BA389" s="32"/>
      <c r="BB389" s="146"/>
      <c r="BC389" s="32"/>
      <c r="BD389" s="146"/>
      <c r="BE389" s="32"/>
      <c r="BF389" s="146"/>
      <c r="BG389" s="32"/>
      <c r="BH389" s="146"/>
      <c r="BI389" s="32"/>
      <c r="BJ389" s="146"/>
      <c r="BK389" s="32"/>
      <c r="BL389" s="146"/>
      <c r="BM389" s="32"/>
      <c r="BN389" s="146"/>
      <c r="BO389" s="32"/>
      <c r="BP389" s="146"/>
      <c r="BQ389" s="32"/>
      <c r="BR389" s="146"/>
      <c r="BS389" s="32"/>
      <c r="BT389" s="146">
        <v>298</v>
      </c>
      <c r="BU389" s="32">
        <v>200</v>
      </c>
      <c r="BV389" s="146">
        <v>307</v>
      </c>
      <c r="BW389" s="32">
        <v>191</v>
      </c>
    </row>
    <row r="390" spans="1:75" ht="13" x14ac:dyDescent="0.25">
      <c r="A390" s="186">
        <v>6201</v>
      </c>
      <c r="B390" s="187" t="s">
        <v>412</v>
      </c>
      <c r="C390" s="46">
        <v>161</v>
      </c>
      <c r="D390" s="142">
        <v>126</v>
      </c>
      <c r="E390" s="145">
        <f t="shared" si="5"/>
        <v>0.78260869565217395</v>
      </c>
      <c r="F390" s="146">
        <v>82</v>
      </c>
      <c r="G390" s="32">
        <v>43</v>
      </c>
      <c r="H390" s="146"/>
      <c r="I390" s="32"/>
      <c r="J390" s="146"/>
      <c r="K390" s="32"/>
      <c r="L390" s="146"/>
      <c r="M390" s="32"/>
      <c r="N390" s="146"/>
      <c r="O390" s="32"/>
      <c r="P390" s="146"/>
      <c r="Q390" s="32"/>
      <c r="R390" s="146"/>
      <c r="S390" s="32"/>
      <c r="T390" s="146"/>
      <c r="U390" s="32"/>
      <c r="V390" s="146"/>
      <c r="W390" s="32"/>
      <c r="X390" s="146"/>
      <c r="Y390" s="32"/>
      <c r="Z390" s="146"/>
      <c r="AA390" s="32"/>
      <c r="AB390" s="146"/>
      <c r="AC390" s="32"/>
      <c r="AD390" s="146"/>
      <c r="AE390" s="32"/>
      <c r="AF390" s="146"/>
      <c r="AG390" s="32"/>
      <c r="AH390" s="146"/>
      <c r="AI390" s="32"/>
      <c r="AJ390" s="146"/>
      <c r="AK390" s="32"/>
      <c r="AL390" s="146"/>
      <c r="AM390" s="32"/>
      <c r="AN390" s="146"/>
      <c r="AO390" s="32"/>
      <c r="AP390" s="146"/>
      <c r="AQ390" s="32"/>
      <c r="AR390" s="146"/>
      <c r="AS390" s="32"/>
      <c r="AT390" s="146"/>
      <c r="AU390" s="32"/>
      <c r="AV390" s="146"/>
      <c r="AW390" s="32"/>
      <c r="AX390" s="146"/>
      <c r="AY390" s="32"/>
      <c r="AZ390" s="146"/>
      <c r="BA390" s="32"/>
      <c r="BB390" s="146"/>
      <c r="BC390" s="32"/>
      <c r="BD390" s="146"/>
      <c r="BE390" s="32"/>
      <c r="BF390" s="146"/>
      <c r="BG390" s="32"/>
      <c r="BH390" s="146"/>
      <c r="BI390" s="32"/>
      <c r="BJ390" s="146"/>
      <c r="BK390" s="32"/>
      <c r="BL390" s="146"/>
      <c r="BM390" s="32"/>
      <c r="BN390" s="146"/>
      <c r="BO390" s="32"/>
      <c r="BP390" s="146"/>
      <c r="BQ390" s="32"/>
      <c r="BR390" s="146">
        <v>89</v>
      </c>
      <c r="BS390" s="32">
        <v>33</v>
      </c>
      <c r="BT390" s="146">
        <v>96</v>
      </c>
      <c r="BU390" s="32">
        <v>24</v>
      </c>
      <c r="BV390" s="146">
        <v>100</v>
      </c>
      <c r="BW390" s="32">
        <v>22</v>
      </c>
    </row>
    <row r="391" spans="1:75" ht="13" x14ac:dyDescent="0.25">
      <c r="A391" s="186">
        <v>6202</v>
      </c>
      <c r="B391" s="187" t="s">
        <v>413</v>
      </c>
      <c r="C391" s="46">
        <v>378</v>
      </c>
      <c r="D391" s="142">
        <v>284</v>
      </c>
      <c r="E391" s="145">
        <f t="shared" si="5"/>
        <v>0.75132275132275128</v>
      </c>
      <c r="F391" s="146">
        <v>177</v>
      </c>
      <c r="G391" s="32">
        <v>96</v>
      </c>
      <c r="H391" s="146"/>
      <c r="I391" s="32"/>
      <c r="J391" s="146"/>
      <c r="K391" s="32"/>
      <c r="L391" s="146"/>
      <c r="M391" s="32"/>
      <c r="N391" s="146"/>
      <c r="O391" s="32"/>
      <c r="P391" s="146"/>
      <c r="Q391" s="32"/>
      <c r="R391" s="146"/>
      <c r="S391" s="32"/>
      <c r="T391" s="146"/>
      <c r="U391" s="32"/>
      <c r="V391" s="146"/>
      <c r="W391" s="32"/>
      <c r="X391" s="146"/>
      <c r="Y391" s="32"/>
      <c r="Z391" s="146"/>
      <c r="AA391" s="32"/>
      <c r="AB391" s="146"/>
      <c r="AC391" s="32"/>
      <c r="AD391" s="146"/>
      <c r="AE391" s="32"/>
      <c r="AF391" s="146"/>
      <c r="AG391" s="32"/>
      <c r="AH391" s="146"/>
      <c r="AI391" s="32"/>
      <c r="AJ391" s="146"/>
      <c r="AK391" s="32"/>
      <c r="AL391" s="146"/>
      <c r="AM391" s="32"/>
      <c r="AN391" s="146"/>
      <c r="AO391" s="32"/>
      <c r="AP391" s="146"/>
      <c r="AQ391" s="32"/>
      <c r="AR391" s="146"/>
      <c r="AS391" s="32"/>
      <c r="AT391" s="146"/>
      <c r="AU391" s="32"/>
      <c r="AV391" s="146"/>
      <c r="AW391" s="32"/>
      <c r="AX391" s="146"/>
      <c r="AY391" s="32"/>
      <c r="AZ391" s="146"/>
      <c r="BA391" s="32"/>
      <c r="BB391" s="146"/>
      <c r="BC391" s="32"/>
      <c r="BD391" s="146"/>
      <c r="BE391" s="32"/>
      <c r="BF391" s="146"/>
      <c r="BG391" s="32"/>
      <c r="BH391" s="146"/>
      <c r="BI391" s="32"/>
      <c r="BJ391" s="146"/>
      <c r="BK391" s="32"/>
      <c r="BL391" s="146"/>
      <c r="BM391" s="32"/>
      <c r="BN391" s="146"/>
      <c r="BO391" s="32"/>
      <c r="BP391" s="146"/>
      <c r="BQ391" s="32"/>
      <c r="BR391" s="146">
        <v>205</v>
      </c>
      <c r="BS391" s="32">
        <v>69</v>
      </c>
      <c r="BT391" s="146">
        <v>186</v>
      </c>
      <c r="BU391" s="32">
        <v>90</v>
      </c>
      <c r="BV391" s="146">
        <v>195</v>
      </c>
      <c r="BW391" s="32">
        <v>83</v>
      </c>
    </row>
    <row r="392" spans="1:75" ht="13" x14ac:dyDescent="0.25">
      <c r="A392" s="186">
        <v>6203</v>
      </c>
      <c r="B392" s="187" t="s">
        <v>414</v>
      </c>
      <c r="C392" s="46">
        <v>429</v>
      </c>
      <c r="D392" s="142">
        <v>366</v>
      </c>
      <c r="E392" s="145">
        <f t="shared" si="5"/>
        <v>0.85314685314685312</v>
      </c>
      <c r="F392" s="146">
        <v>252</v>
      </c>
      <c r="G392" s="32">
        <v>103</v>
      </c>
      <c r="H392" s="146"/>
      <c r="I392" s="32"/>
      <c r="J392" s="146"/>
      <c r="K392" s="32"/>
      <c r="L392" s="146"/>
      <c r="M392" s="32"/>
      <c r="N392" s="146"/>
      <c r="O392" s="32"/>
      <c r="P392" s="146"/>
      <c r="Q392" s="32"/>
      <c r="R392" s="146"/>
      <c r="S392" s="32"/>
      <c r="T392" s="146"/>
      <c r="U392" s="32"/>
      <c r="V392" s="146"/>
      <c r="W392" s="32"/>
      <c r="X392" s="146"/>
      <c r="Y392" s="32"/>
      <c r="Z392" s="146"/>
      <c r="AA392" s="32"/>
      <c r="AB392" s="146"/>
      <c r="AC392" s="32"/>
      <c r="AD392" s="146"/>
      <c r="AE392" s="32"/>
      <c r="AF392" s="146"/>
      <c r="AG392" s="32"/>
      <c r="AH392" s="146"/>
      <c r="AI392" s="32"/>
      <c r="AJ392" s="146"/>
      <c r="AK392" s="32"/>
      <c r="AL392" s="146"/>
      <c r="AM392" s="32"/>
      <c r="AN392" s="146"/>
      <c r="AO392" s="32"/>
      <c r="AP392" s="146"/>
      <c r="AQ392" s="32"/>
      <c r="AR392" s="146"/>
      <c r="AS392" s="32"/>
      <c r="AT392" s="146"/>
      <c r="AU392" s="32"/>
      <c r="AV392" s="146"/>
      <c r="AW392" s="32"/>
      <c r="AX392" s="146"/>
      <c r="AY392" s="32"/>
      <c r="AZ392" s="146"/>
      <c r="BA392" s="32"/>
      <c r="BB392" s="146"/>
      <c r="BC392" s="32"/>
      <c r="BD392" s="146"/>
      <c r="BE392" s="32"/>
      <c r="BF392" s="146"/>
      <c r="BG392" s="32"/>
      <c r="BH392" s="146"/>
      <c r="BI392" s="32"/>
      <c r="BJ392" s="146"/>
      <c r="BK392" s="32"/>
      <c r="BL392" s="146"/>
      <c r="BM392" s="32"/>
      <c r="BN392" s="146"/>
      <c r="BO392" s="32"/>
      <c r="BP392" s="146"/>
      <c r="BQ392" s="32"/>
      <c r="BR392" s="146">
        <v>323</v>
      </c>
      <c r="BS392" s="32">
        <v>35</v>
      </c>
      <c r="BT392" s="146">
        <v>274</v>
      </c>
      <c r="BU392" s="32">
        <v>73</v>
      </c>
      <c r="BV392" s="146">
        <v>285</v>
      </c>
      <c r="BW392" s="32">
        <v>70</v>
      </c>
    </row>
    <row r="393" spans="1:75" ht="13" x14ac:dyDescent="0.25">
      <c r="A393" s="186">
        <v>6204</v>
      </c>
      <c r="B393" s="187" t="s">
        <v>415</v>
      </c>
      <c r="C393" s="46">
        <v>589</v>
      </c>
      <c r="D393" s="142">
        <v>356</v>
      </c>
      <c r="E393" s="145">
        <f t="shared" si="5"/>
        <v>0.60441426146010191</v>
      </c>
      <c r="F393" s="146">
        <v>250</v>
      </c>
      <c r="G393" s="32">
        <v>93</v>
      </c>
      <c r="H393" s="146"/>
      <c r="I393" s="32"/>
      <c r="J393" s="146"/>
      <c r="K393" s="32"/>
      <c r="L393" s="146"/>
      <c r="M393" s="32"/>
      <c r="N393" s="146"/>
      <c r="O393" s="32"/>
      <c r="P393" s="146"/>
      <c r="Q393" s="32"/>
      <c r="R393" s="146"/>
      <c r="S393" s="32"/>
      <c r="T393" s="146"/>
      <c r="U393" s="32"/>
      <c r="V393" s="146"/>
      <c r="W393" s="32"/>
      <c r="X393" s="146"/>
      <c r="Y393" s="32"/>
      <c r="Z393" s="146"/>
      <c r="AA393" s="32"/>
      <c r="AB393" s="146"/>
      <c r="AC393" s="32"/>
      <c r="AD393" s="146"/>
      <c r="AE393" s="32"/>
      <c r="AF393" s="146"/>
      <c r="AG393" s="32"/>
      <c r="AH393" s="146"/>
      <c r="AI393" s="32"/>
      <c r="AJ393" s="146"/>
      <c r="AK393" s="32"/>
      <c r="AL393" s="146"/>
      <c r="AM393" s="32"/>
      <c r="AN393" s="146"/>
      <c r="AO393" s="32"/>
      <c r="AP393" s="146"/>
      <c r="AQ393" s="32"/>
      <c r="AR393" s="146"/>
      <c r="AS393" s="32"/>
      <c r="AT393" s="146"/>
      <c r="AU393" s="32"/>
      <c r="AV393" s="146"/>
      <c r="AW393" s="32"/>
      <c r="AX393" s="146"/>
      <c r="AY393" s="32"/>
      <c r="AZ393" s="146"/>
      <c r="BA393" s="32"/>
      <c r="BB393" s="146"/>
      <c r="BC393" s="32"/>
      <c r="BD393" s="146"/>
      <c r="BE393" s="32"/>
      <c r="BF393" s="146"/>
      <c r="BG393" s="32"/>
      <c r="BH393" s="146"/>
      <c r="BI393" s="32"/>
      <c r="BJ393" s="146"/>
      <c r="BK393" s="32"/>
      <c r="BL393" s="146"/>
      <c r="BM393" s="32"/>
      <c r="BN393" s="146"/>
      <c r="BO393" s="32"/>
      <c r="BP393" s="146"/>
      <c r="BQ393" s="32"/>
      <c r="BR393" s="146">
        <v>238</v>
      </c>
      <c r="BS393" s="32">
        <v>91</v>
      </c>
      <c r="BT393" s="146">
        <v>269</v>
      </c>
      <c r="BU393" s="32">
        <v>67</v>
      </c>
      <c r="BV393" s="146">
        <v>274</v>
      </c>
      <c r="BW393" s="32">
        <v>63</v>
      </c>
    </row>
    <row r="394" spans="1:75" ht="13" x14ac:dyDescent="0.25">
      <c r="A394" s="186">
        <v>6205</v>
      </c>
      <c r="B394" s="187" t="s">
        <v>416</v>
      </c>
      <c r="C394" s="46">
        <v>343</v>
      </c>
      <c r="D394" s="142">
        <v>233</v>
      </c>
      <c r="E394" s="145">
        <f t="shared" si="5"/>
        <v>0.67930029154518945</v>
      </c>
      <c r="F394" s="146">
        <v>139</v>
      </c>
      <c r="G394" s="32">
        <v>83</v>
      </c>
      <c r="H394" s="146"/>
      <c r="I394" s="32"/>
      <c r="J394" s="146"/>
      <c r="K394" s="32"/>
      <c r="L394" s="146"/>
      <c r="M394" s="32"/>
      <c r="N394" s="146"/>
      <c r="O394" s="32"/>
      <c r="P394" s="146"/>
      <c r="Q394" s="32"/>
      <c r="R394" s="146"/>
      <c r="S394" s="32"/>
      <c r="T394" s="146"/>
      <c r="U394" s="32"/>
      <c r="V394" s="146"/>
      <c r="W394" s="32"/>
      <c r="X394" s="146"/>
      <c r="Y394" s="32"/>
      <c r="Z394" s="146"/>
      <c r="AA394" s="32"/>
      <c r="AB394" s="146"/>
      <c r="AC394" s="32"/>
      <c r="AD394" s="146"/>
      <c r="AE394" s="32"/>
      <c r="AF394" s="146"/>
      <c r="AG394" s="32"/>
      <c r="AH394" s="146"/>
      <c r="AI394" s="32"/>
      <c r="AJ394" s="146"/>
      <c r="AK394" s="32"/>
      <c r="AL394" s="146"/>
      <c r="AM394" s="32"/>
      <c r="AN394" s="146"/>
      <c r="AO394" s="32"/>
      <c r="AP394" s="146"/>
      <c r="AQ394" s="32"/>
      <c r="AR394" s="146"/>
      <c r="AS394" s="32"/>
      <c r="AT394" s="146"/>
      <c r="AU394" s="32"/>
      <c r="AV394" s="146"/>
      <c r="AW394" s="32"/>
      <c r="AX394" s="146"/>
      <c r="AY394" s="32"/>
      <c r="AZ394" s="146"/>
      <c r="BA394" s="32"/>
      <c r="BB394" s="146"/>
      <c r="BC394" s="32"/>
      <c r="BD394" s="146"/>
      <c r="BE394" s="32"/>
      <c r="BF394" s="146"/>
      <c r="BG394" s="32"/>
      <c r="BH394" s="146"/>
      <c r="BI394" s="32"/>
      <c r="BJ394" s="146"/>
      <c r="BK394" s="32"/>
      <c r="BL394" s="146"/>
      <c r="BM394" s="32"/>
      <c r="BN394" s="146"/>
      <c r="BO394" s="32"/>
      <c r="BP394" s="146"/>
      <c r="BQ394" s="32"/>
      <c r="BR394" s="146">
        <v>175</v>
      </c>
      <c r="BS394" s="32">
        <v>50</v>
      </c>
      <c r="BT394" s="146">
        <v>163</v>
      </c>
      <c r="BU394" s="32">
        <v>65</v>
      </c>
      <c r="BV394" s="146">
        <v>163</v>
      </c>
      <c r="BW394" s="32">
        <v>63</v>
      </c>
    </row>
    <row r="395" spans="1:75" ht="13" x14ac:dyDescent="0.25">
      <c r="A395" s="186">
        <v>6206</v>
      </c>
      <c r="B395" s="187" t="s">
        <v>417</v>
      </c>
      <c r="C395" s="46">
        <v>638</v>
      </c>
      <c r="D395" s="142">
        <v>475</v>
      </c>
      <c r="E395" s="145">
        <f t="shared" si="5"/>
        <v>0.74451410658307215</v>
      </c>
      <c r="F395" s="146">
        <v>262</v>
      </c>
      <c r="G395" s="32">
        <v>190</v>
      </c>
      <c r="H395" s="146"/>
      <c r="I395" s="32"/>
      <c r="J395" s="146"/>
      <c r="K395" s="32"/>
      <c r="L395" s="146"/>
      <c r="M395" s="32"/>
      <c r="N395" s="146"/>
      <c r="O395" s="32"/>
      <c r="P395" s="146"/>
      <c r="Q395" s="32"/>
      <c r="R395" s="146"/>
      <c r="S395" s="32"/>
      <c r="T395" s="146"/>
      <c r="U395" s="32"/>
      <c r="V395" s="146"/>
      <c r="W395" s="32"/>
      <c r="X395" s="146"/>
      <c r="Y395" s="32"/>
      <c r="Z395" s="146"/>
      <c r="AA395" s="32"/>
      <c r="AB395" s="146"/>
      <c r="AC395" s="32"/>
      <c r="AD395" s="146"/>
      <c r="AE395" s="32"/>
      <c r="AF395" s="146"/>
      <c r="AG395" s="32"/>
      <c r="AH395" s="146"/>
      <c r="AI395" s="32"/>
      <c r="AJ395" s="146"/>
      <c r="AK395" s="32"/>
      <c r="AL395" s="146"/>
      <c r="AM395" s="32"/>
      <c r="AN395" s="146"/>
      <c r="AO395" s="32"/>
      <c r="AP395" s="146"/>
      <c r="AQ395" s="32"/>
      <c r="AR395" s="146"/>
      <c r="AS395" s="32"/>
      <c r="AT395" s="146"/>
      <c r="AU395" s="32"/>
      <c r="AV395" s="146"/>
      <c r="AW395" s="32"/>
      <c r="AX395" s="146"/>
      <c r="AY395" s="32"/>
      <c r="AZ395" s="146"/>
      <c r="BA395" s="32"/>
      <c r="BB395" s="146"/>
      <c r="BC395" s="32"/>
      <c r="BD395" s="146"/>
      <c r="BE395" s="32"/>
      <c r="BF395" s="146"/>
      <c r="BG395" s="32"/>
      <c r="BH395" s="146"/>
      <c r="BI395" s="32"/>
      <c r="BJ395" s="146"/>
      <c r="BK395" s="32"/>
      <c r="BL395" s="146"/>
      <c r="BM395" s="32"/>
      <c r="BN395" s="146"/>
      <c r="BO395" s="32"/>
      <c r="BP395" s="146"/>
      <c r="BQ395" s="32"/>
      <c r="BR395" s="146">
        <v>366</v>
      </c>
      <c r="BS395" s="32">
        <v>84</v>
      </c>
      <c r="BT395" s="146">
        <v>333</v>
      </c>
      <c r="BU395" s="32">
        <v>108</v>
      </c>
      <c r="BV395" s="146">
        <v>348</v>
      </c>
      <c r="BW395" s="32">
        <v>95</v>
      </c>
    </row>
    <row r="396" spans="1:75" ht="13" x14ac:dyDescent="0.25">
      <c r="A396" s="186">
        <v>6207</v>
      </c>
      <c r="B396" s="187" t="s">
        <v>418</v>
      </c>
      <c r="C396" s="46">
        <v>816</v>
      </c>
      <c r="D396" s="142">
        <v>594</v>
      </c>
      <c r="E396" s="145">
        <f t="shared" si="5"/>
        <v>0.7279411764705882</v>
      </c>
      <c r="F396" s="146">
        <v>339</v>
      </c>
      <c r="G396" s="32">
        <v>224</v>
      </c>
      <c r="H396" s="146"/>
      <c r="I396" s="32"/>
      <c r="J396" s="146"/>
      <c r="K396" s="32"/>
      <c r="L396" s="146"/>
      <c r="M396" s="32"/>
      <c r="N396" s="146"/>
      <c r="O396" s="32"/>
      <c r="P396" s="146"/>
      <c r="Q396" s="32"/>
      <c r="R396" s="146"/>
      <c r="S396" s="32"/>
      <c r="T396" s="146"/>
      <c r="U396" s="32"/>
      <c r="V396" s="146"/>
      <c r="W396" s="32"/>
      <c r="X396" s="146"/>
      <c r="Y396" s="32"/>
      <c r="Z396" s="146"/>
      <c r="AA396" s="32"/>
      <c r="AB396" s="146"/>
      <c r="AC396" s="32"/>
      <c r="AD396" s="146"/>
      <c r="AE396" s="32"/>
      <c r="AF396" s="146"/>
      <c r="AG396" s="32"/>
      <c r="AH396" s="146"/>
      <c r="AI396" s="32"/>
      <c r="AJ396" s="146"/>
      <c r="AK396" s="32"/>
      <c r="AL396" s="146"/>
      <c r="AM396" s="32"/>
      <c r="AN396" s="146"/>
      <c r="AO396" s="32"/>
      <c r="AP396" s="146"/>
      <c r="AQ396" s="32"/>
      <c r="AR396" s="146"/>
      <c r="AS396" s="32"/>
      <c r="AT396" s="146"/>
      <c r="AU396" s="32"/>
      <c r="AV396" s="146"/>
      <c r="AW396" s="32"/>
      <c r="AX396" s="146"/>
      <c r="AY396" s="32"/>
      <c r="AZ396" s="146"/>
      <c r="BA396" s="32"/>
      <c r="BB396" s="146"/>
      <c r="BC396" s="32"/>
      <c r="BD396" s="146"/>
      <c r="BE396" s="32"/>
      <c r="BF396" s="146">
        <v>353</v>
      </c>
      <c r="BG396" s="32">
        <v>222</v>
      </c>
      <c r="BH396" s="146"/>
      <c r="BI396" s="32"/>
      <c r="BJ396" s="146"/>
      <c r="BK396" s="32"/>
      <c r="BL396" s="146"/>
      <c r="BM396" s="32"/>
      <c r="BN396" s="146"/>
      <c r="BO396" s="32"/>
      <c r="BP396" s="146"/>
      <c r="BQ396" s="32"/>
      <c r="BR396" s="146">
        <v>439</v>
      </c>
      <c r="BS396" s="32">
        <v>129</v>
      </c>
      <c r="BT396" s="146">
        <v>406</v>
      </c>
      <c r="BU396" s="32">
        <v>160</v>
      </c>
      <c r="BV396" s="146">
        <v>424</v>
      </c>
      <c r="BW396" s="32">
        <v>144</v>
      </c>
    </row>
    <row r="397" spans="1:75" ht="13" x14ac:dyDescent="0.25">
      <c r="A397" s="186">
        <v>6208</v>
      </c>
      <c r="B397" s="187" t="s">
        <v>419</v>
      </c>
      <c r="C397" s="46">
        <v>1</v>
      </c>
      <c r="D397" s="142">
        <v>1</v>
      </c>
      <c r="E397" s="145">
        <f t="shared" si="5"/>
        <v>1</v>
      </c>
      <c r="F397" s="146">
        <v>1</v>
      </c>
      <c r="G397" s="32">
        <v>0</v>
      </c>
      <c r="H397" s="146"/>
      <c r="I397" s="32"/>
      <c r="J397" s="146"/>
      <c r="K397" s="32"/>
      <c r="L397" s="146"/>
      <c r="M397" s="32"/>
      <c r="N397" s="146"/>
      <c r="O397" s="32"/>
      <c r="P397" s="146"/>
      <c r="Q397" s="32"/>
      <c r="R397" s="146"/>
      <c r="S397" s="32"/>
      <c r="T397" s="146"/>
      <c r="U397" s="32"/>
      <c r="V397" s="146"/>
      <c r="W397" s="32"/>
      <c r="X397" s="146"/>
      <c r="Y397" s="32"/>
      <c r="Z397" s="146"/>
      <c r="AA397" s="32"/>
      <c r="AB397" s="146"/>
      <c r="AC397" s="32"/>
      <c r="AD397" s="146"/>
      <c r="AE397" s="32"/>
      <c r="AF397" s="146"/>
      <c r="AG397" s="32"/>
      <c r="AH397" s="146"/>
      <c r="AI397" s="32"/>
      <c r="AJ397" s="146"/>
      <c r="AK397" s="32"/>
      <c r="AL397" s="146"/>
      <c r="AM397" s="32"/>
      <c r="AN397" s="146"/>
      <c r="AO397" s="32"/>
      <c r="AP397" s="146"/>
      <c r="AQ397" s="32"/>
      <c r="AR397" s="146"/>
      <c r="AS397" s="32"/>
      <c r="AT397" s="146"/>
      <c r="AU397" s="32"/>
      <c r="AV397" s="146"/>
      <c r="AW397" s="32"/>
      <c r="AX397" s="146"/>
      <c r="AY397" s="32"/>
      <c r="AZ397" s="146"/>
      <c r="BA397" s="32"/>
      <c r="BB397" s="146"/>
      <c r="BC397" s="32"/>
      <c r="BD397" s="146"/>
      <c r="BE397" s="32"/>
      <c r="BF397" s="146"/>
      <c r="BG397" s="32"/>
      <c r="BH397" s="146"/>
      <c r="BI397" s="32"/>
      <c r="BJ397" s="146"/>
      <c r="BK397" s="32"/>
      <c r="BL397" s="146"/>
      <c r="BM397" s="32"/>
      <c r="BN397" s="146"/>
      <c r="BO397" s="32"/>
      <c r="BP397" s="146"/>
      <c r="BQ397" s="32"/>
      <c r="BR397" s="146">
        <v>1</v>
      </c>
      <c r="BS397" s="32">
        <v>0</v>
      </c>
      <c r="BT397" s="146">
        <v>1</v>
      </c>
      <c r="BU397" s="32">
        <v>0</v>
      </c>
      <c r="BV397" s="146">
        <v>1</v>
      </c>
      <c r="BW397" s="32">
        <v>0</v>
      </c>
    </row>
    <row r="398" spans="1:75" ht="13" x14ac:dyDescent="0.25">
      <c r="A398" s="186">
        <v>6209</v>
      </c>
      <c r="B398" s="187" t="s">
        <v>420</v>
      </c>
      <c r="C398" s="46">
        <v>92</v>
      </c>
      <c r="D398" s="142">
        <v>64</v>
      </c>
      <c r="E398" s="145">
        <f t="shared" si="5"/>
        <v>0.69565217391304346</v>
      </c>
      <c r="F398" s="146">
        <v>40</v>
      </c>
      <c r="G398" s="32">
        <v>21</v>
      </c>
      <c r="H398" s="146"/>
      <c r="I398" s="32"/>
      <c r="J398" s="146"/>
      <c r="K398" s="32"/>
      <c r="L398" s="146"/>
      <c r="M398" s="32"/>
      <c r="N398" s="146"/>
      <c r="O398" s="32"/>
      <c r="P398" s="146"/>
      <c r="Q398" s="32"/>
      <c r="R398" s="146"/>
      <c r="S398" s="32"/>
      <c r="T398" s="146"/>
      <c r="U398" s="32"/>
      <c r="V398" s="146"/>
      <c r="W398" s="32"/>
      <c r="X398" s="146"/>
      <c r="Y398" s="32"/>
      <c r="Z398" s="146"/>
      <c r="AA398" s="32"/>
      <c r="AB398" s="146"/>
      <c r="AC398" s="32"/>
      <c r="AD398" s="146"/>
      <c r="AE398" s="32"/>
      <c r="AF398" s="146"/>
      <c r="AG398" s="32"/>
      <c r="AH398" s="146"/>
      <c r="AI398" s="32"/>
      <c r="AJ398" s="146"/>
      <c r="AK398" s="32"/>
      <c r="AL398" s="146"/>
      <c r="AM398" s="32"/>
      <c r="AN398" s="146"/>
      <c r="AO398" s="32"/>
      <c r="AP398" s="146"/>
      <c r="AQ398" s="32"/>
      <c r="AR398" s="146"/>
      <c r="AS398" s="32"/>
      <c r="AT398" s="146"/>
      <c r="AU398" s="32"/>
      <c r="AV398" s="146"/>
      <c r="AW398" s="32"/>
      <c r="AX398" s="146"/>
      <c r="AY398" s="32"/>
      <c r="AZ398" s="146"/>
      <c r="BA398" s="32"/>
      <c r="BB398" s="146"/>
      <c r="BC398" s="32"/>
      <c r="BD398" s="146"/>
      <c r="BE398" s="32"/>
      <c r="BF398" s="146"/>
      <c r="BG398" s="32"/>
      <c r="BH398" s="146"/>
      <c r="BI398" s="32"/>
      <c r="BJ398" s="146"/>
      <c r="BK398" s="32"/>
      <c r="BL398" s="146"/>
      <c r="BM398" s="32"/>
      <c r="BN398" s="146"/>
      <c r="BO398" s="32"/>
      <c r="BP398" s="146"/>
      <c r="BQ398" s="32"/>
      <c r="BR398" s="146">
        <v>41</v>
      </c>
      <c r="BS398" s="32">
        <v>17</v>
      </c>
      <c r="BT398" s="146">
        <v>36</v>
      </c>
      <c r="BU398" s="32">
        <v>22</v>
      </c>
      <c r="BV398" s="146">
        <v>39</v>
      </c>
      <c r="BW398" s="32">
        <v>20</v>
      </c>
    </row>
    <row r="399" spans="1:75" ht="13" x14ac:dyDescent="0.25">
      <c r="A399" s="186">
        <v>6401</v>
      </c>
      <c r="B399" s="187" t="s">
        <v>421</v>
      </c>
      <c r="C399" s="46">
        <v>1545</v>
      </c>
      <c r="D399" s="142">
        <v>1211</v>
      </c>
      <c r="E399" s="145">
        <f t="shared" si="5"/>
        <v>0.78381877022653723</v>
      </c>
      <c r="F399" s="146">
        <v>313</v>
      </c>
      <c r="G399" s="32">
        <v>827</v>
      </c>
      <c r="H399" s="146"/>
      <c r="I399" s="32"/>
      <c r="J399" s="146"/>
      <c r="K399" s="32"/>
      <c r="L399" s="146"/>
      <c r="M399" s="32"/>
      <c r="N399" s="146"/>
      <c r="O399" s="32"/>
      <c r="P399" s="146"/>
      <c r="Q399" s="32"/>
      <c r="R399" s="146"/>
      <c r="S399" s="32"/>
      <c r="T399" s="146"/>
      <c r="U399" s="32"/>
      <c r="V399" s="146"/>
      <c r="W399" s="32"/>
      <c r="X399" s="146"/>
      <c r="Y399" s="32"/>
      <c r="Z399" s="146"/>
      <c r="AA399" s="32"/>
      <c r="AB399" s="146"/>
      <c r="AC399" s="32"/>
      <c r="AD399" s="146"/>
      <c r="AE399" s="32"/>
      <c r="AF399" s="146"/>
      <c r="AG399" s="32"/>
      <c r="AH399" s="146"/>
      <c r="AI399" s="32"/>
      <c r="AJ399" s="146"/>
      <c r="AK399" s="32"/>
      <c r="AL399" s="146"/>
      <c r="AM399" s="32"/>
      <c r="AN399" s="146"/>
      <c r="AO399" s="32"/>
      <c r="AP399" s="146"/>
      <c r="AQ399" s="32"/>
      <c r="AR399" s="146"/>
      <c r="AS399" s="32"/>
      <c r="AT399" s="146"/>
      <c r="AU399" s="32"/>
      <c r="AV399" s="146"/>
      <c r="AW399" s="32"/>
      <c r="AX399" s="146"/>
      <c r="AY399" s="32"/>
      <c r="AZ399" s="146"/>
      <c r="BA399" s="32"/>
      <c r="BB399" s="146"/>
      <c r="BC399" s="32"/>
      <c r="BD399" s="146"/>
      <c r="BE399" s="32"/>
      <c r="BF399" s="146"/>
      <c r="BG399" s="32"/>
      <c r="BH399" s="146"/>
      <c r="BI399" s="32"/>
      <c r="BJ399" s="146"/>
      <c r="BK399" s="32"/>
      <c r="BL399" s="146"/>
      <c r="BM399" s="32"/>
      <c r="BN399" s="146"/>
      <c r="BO399" s="32"/>
      <c r="BP399" s="146"/>
      <c r="BQ399" s="32"/>
      <c r="BR399" s="146"/>
      <c r="BS399" s="32"/>
      <c r="BT399" s="146">
        <v>467</v>
      </c>
      <c r="BU399" s="32">
        <v>661</v>
      </c>
      <c r="BV399" s="146">
        <v>545</v>
      </c>
      <c r="BW399" s="32">
        <v>586</v>
      </c>
    </row>
    <row r="400" spans="1:75" ht="13" x14ac:dyDescent="0.25">
      <c r="A400" s="186">
        <v>6402</v>
      </c>
      <c r="B400" s="187" t="s">
        <v>422</v>
      </c>
      <c r="C400" s="46">
        <v>1358</v>
      </c>
      <c r="D400" s="142">
        <v>1083</v>
      </c>
      <c r="E400" s="145">
        <f t="shared" si="5"/>
        <v>0.79749631811487487</v>
      </c>
      <c r="F400" s="146">
        <v>248</v>
      </c>
      <c r="G400" s="32">
        <v>778</v>
      </c>
      <c r="H400" s="146"/>
      <c r="I400" s="32"/>
      <c r="J400" s="146"/>
      <c r="K400" s="32"/>
      <c r="L400" s="146"/>
      <c r="M400" s="32"/>
      <c r="N400" s="146"/>
      <c r="O400" s="32"/>
      <c r="P400" s="146"/>
      <c r="Q400" s="32"/>
      <c r="R400" s="146"/>
      <c r="S400" s="32"/>
      <c r="T400" s="146"/>
      <c r="U400" s="32"/>
      <c r="V400" s="146"/>
      <c r="W400" s="32"/>
      <c r="X400" s="146"/>
      <c r="Y400" s="32"/>
      <c r="Z400" s="146"/>
      <c r="AA400" s="32"/>
      <c r="AB400" s="146"/>
      <c r="AC400" s="32"/>
      <c r="AD400" s="146"/>
      <c r="AE400" s="32"/>
      <c r="AF400" s="146"/>
      <c r="AG400" s="32"/>
      <c r="AH400" s="146"/>
      <c r="AI400" s="32"/>
      <c r="AJ400" s="146"/>
      <c r="AK400" s="32"/>
      <c r="AL400" s="146"/>
      <c r="AM400" s="32"/>
      <c r="AN400" s="146"/>
      <c r="AO400" s="32"/>
      <c r="AP400" s="146"/>
      <c r="AQ400" s="32"/>
      <c r="AR400" s="146"/>
      <c r="AS400" s="32"/>
      <c r="AT400" s="146"/>
      <c r="AU400" s="32"/>
      <c r="AV400" s="146"/>
      <c r="AW400" s="32"/>
      <c r="AX400" s="146"/>
      <c r="AY400" s="32"/>
      <c r="AZ400" s="146"/>
      <c r="BA400" s="32"/>
      <c r="BB400" s="146"/>
      <c r="BC400" s="32"/>
      <c r="BD400" s="146"/>
      <c r="BE400" s="32"/>
      <c r="BF400" s="146"/>
      <c r="BG400" s="32"/>
      <c r="BH400" s="146"/>
      <c r="BI400" s="32"/>
      <c r="BJ400" s="146"/>
      <c r="BK400" s="32"/>
      <c r="BL400" s="146"/>
      <c r="BM400" s="32"/>
      <c r="BN400" s="146"/>
      <c r="BO400" s="32"/>
      <c r="BP400" s="146"/>
      <c r="BQ400" s="32"/>
      <c r="BR400" s="146"/>
      <c r="BS400" s="32"/>
      <c r="BT400" s="146">
        <v>359</v>
      </c>
      <c r="BU400" s="32">
        <v>667</v>
      </c>
      <c r="BV400" s="146">
        <v>410</v>
      </c>
      <c r="BW400" s="32">
        <v>612</v>
      </c>
    </row>
    <row r="401" spans="1:75" ht="13" x14ac:dyDescent="0.25">
      <c r="A401" s="186">
        <v>6501</v>
      </c>
      <c r="B401" s="187" t="s">
        <v>423</v>
      </c>
      <c r="C401" s="46">
        <v>1303</v>
      </c>
      <c r="D401" s="142">
        <v>837</v>
      </c>
      <c r="E401" s="145">
        <f t="shared" si="5"/>
        <v>0.64236377590176519</v>
      </c>
      <c r="F401" s="146">
        <v>342</v>
      </c>
      <c r="G401" s="32">
        <v>442</v>
      </c>
      <c r="H401" s="146"/>
      <c r="I401" s="32"/>
      <c r="J401" s="146"/>
      <c r="K401" s="32"/>
      <c r="L401" s="146"/>
      <c r="M401" s="32"/>
      <c r="N401" s="146"/>
      <c r="O401" s="32"/>
      <c r="P401" s="146"/>
      <c r="Q401" s="32"/>
      <c r="R401" s="146"/>
      <c r="S401" s="32"/>
      <c r="T401" s="146"/>
      <c r="U401" s="32"/>
      <c r="V401" s="146"/>
      <c r="W401" s="32"/>
      <c r="X401" s="146"/>
      <c r="Y401" s="32"/>
      <c r="Z401" s="146"/>
      <c r="AA401" s="32"/>
      <c r="AB401" s="146"/>
      <c r="AC401" s="32"/>
      <c r="AD401" s="146"/>
      <c r="AE401" s="32"/>
      <c r="AF401" s="146"/>
      <c r="AG401" s="32"/>
      <c r="AH401" s="146"/>
      <c r="AI401" s="32"/>
      <c r="AJ401" s="146"/>
      <c r="AK401" s="32"/>
      <c r="AL401" s="146"/>
      <c r="AM401" s="32"/>
      <c r="AN401" s="146"/>
      <c r="AO401" s="32"/>
      <c r="AP401" s="146"/>
      <c r="AQ401" s="32"/>
      <c r="AR401" s="146"/>
      <c r="AS401" s="32"/>
      <c r="AT401" s="146"/>
      <c r="AU401" s="32"/>
      <c r="AV401" s="146"/>
      <c r="AW401" s="32"/>
      <c r="AX401" s="146"/>
      <c r="AY401" s="32"/>
      <c r="AZ401" s="146"/>
      <c r="BA401" s="32"/>
      <c r="BB401" s="146"/>
      <c r="BC401" s="32"/>
      <c r="BD401" s="146"/>
      <c r="BE401" s="32"/>
      <c r="BF401" s="146"/>
      <c r="BG401" s="32"/>
      <c r="BH401" s="146"/>
      <c r="BI401" s="32"/>
      <c r="BJ401" s="146"/>
      <c r="BK401" s="32"/>
      <c r="BL401" s="146"/>
      <c r="BM401" s="32"/>
      <c r="BN401" s="146"/>
      <c r="BO401" s="32"/>
      <c r="BP401" s="146"/>
      <c r="BQ401" s="32"/>
      <c r="BR401" s="146"/>
      <c r="BS401" s="32"/>
      <c r="BT401" s="146">
        <v>409</v>
      </c>
      <c r="BU401" s="32">
        <v>367</v>
      </c>
      <c r="BV401" s="146">
        <v>449</v>
      </c>
      <c r="BW401" s="32">
        <v>327</v>
      </c>
    </row>
    <row r="402" spans="1:75" ht="13" x14ac:dyDescent="0.25">
      <c r="A402" s="186">
        <v>6502</v>
      </c>
      <c r="B402" s="187" t="s">
        <v>424</v>
      </c>
      <c r="C402" s="46">
        <v>1189</v>
      </c>
      <c r="D402" s="142">
        <v>759</v>
      </c>
      <c r="E402" s="145">
        <f t="shared" si="5"/>
        <v>0.63835155592935244</v>
      </c>
      <c r="F402" s="146">
        <v>301</v>
      </c>
      <c r="G402" s="32">
        <v>414</v>
      </c>
      <c r="H402" s="146"/>
      <c r="I402" s="32"/>
      <c r="J402" s="146"/>
      <c r="K402" s="32"/>
      <c r="L402" s="146"/>
      <c r="M402" s="32"/>
      <c r="N402" s="146"/>
      <c r="O402" s="32"/>
      <c r="P402" s="146"/>
      <c r="Q402" s="32"/>
      <c r="R402" s="146"/>
      <c r="S402" s="32"/>
      <c r="T402" s="146"/>
      <c r="U402" s="32"/>
      <c r="V402" s="146"/>
      <c r="W402" s="32"/>
      <c r="X402" s="146"/>
      <c r="Y402" s="32"/>
      <c r="Z402" s="146"/>
      <c r="AA402" s="32"/>
      <c r="AB402" s="146"/>
      <c r="AC402" s="32"/>
      <c r="AD402" s="146"/>
      <c r="AE402" s="32"/>
      <c r="AF402" s="146"/>
      <c r="AG402" s="32"/>
      <c r="AH402" s="146"/>
      <c r="AI402" s="32"/>
      <c r="AJ402" s="146"/>
      <c r="AK402" s="32"/>
      <c r="AL402" s="146"/>
      <c r="AM402" s="32"/>
      <c r="AN402" s="146"/>
      <c r="AO402" s="32"/>
      <c r="AP402" s="146"/>
      <c r="AQ402" s="32"/>
      <c r="AR402" s="146"/>
      <c r="AS402" s="32"/>
      <c r="AT402" s="146"/>
      <c r="AU402" s="32"/>
      <c r="AV402" s="146"/>
      <c r="AW402" s="32"/>
      <c r="AX402" s="146"/>
      <c r="AY402" s="32"/>
      <c r="AZ402" s="146"/>
      <c r="BA402" s="32"/>
      <c r="BB402" s="146"/>
      <c r="BC402" s="32"/>
      <c r="BD402" s="146"/>
      <c r="BE402" s="32"/>
      <c r="BF402" s="146"/>
      <c r="BG402" s="32"/>
      <c r="BH402" s="146"/>
      <c r="BI402" s="32"/>
      <c r="BJ402" s="146"/>
      <c r="BK402" s="32"/>
      <c r="BL402" s="146"/>
      <c r="BM402" s="32"/>
      <c r="BN402" s="146"/>
      <c r="BO402" s="32"/>
      <c r="BP402" s="146"/>
      <c r="BQ402" s="32"/>
      <c r="BR402" s="146"/>
      <c r="BS402" s="32"/>
      <c r="BT402" s="146">
        <v>364</v>
      </c>
      <c r="BU402" s="32">
        <v>355</v>
      </c>
      <c r="BV402" s="146">
        <v>411</v>
      </c>
      <c r="BW402" s="32">
        <v>306</v>
      </c>
    </row>
    <row r="403" spans="1:75" ht="13" x14ac:dyDescent="0.25">
      <c r="A403" s="186">
        <v>6503</v>
      </c>
      <c r="B403" s="187" t="s">
        <v>425</v>
      </c>
      <c r="C403" s="46">
        <v>1147</v>
      </c>
      <c r="D403" s="142">
        <v>923</v>
      </c>
      <c r="E403" s="145">
        <f t="shared" si="5"/>
        <v>0.80470793374019178</v>
      </c>
      <c r="F403" s="146">
        <v>308</v>
      </c>
      <c r="G403" s="32">
        <v>562</v>
      </c>
      <c r="H403" s="146"/>
      <c r="I403" s="32"/>
      <c r="J403" s="146"/>
      <c r="K403" s="32"/>
      <c r="L403" s="146"/>
      <c r="M403" s="32"/>
      <c r="N403" s="146"/>
      <c r="O403" s="32"/>
      <c r="P403" s="146"/>
      <c r="Q403" s="32"/>
      <c r="R403" s="146"/>
      <c r="S403" s="32"/>
      <c r="T403" s="146"/>
      <c r="U403" s="32"/>
      <c r="V403" s="146"/>
      <c r="W403" s="32"/>
      <c r="X403" s="146"/>
      <c r="Y403" s="32"/>
      <c r="Z403" s="146"/>
      <c r="AA403" s="32"/>
      <c r="AB403" s="146"/>
      <c r="AC403" s="32"/>
      <c r="AD403" s="146"/>
      <c r="AE403" s="32"/>
      <c r="AF403" s="146"/>
      <c r="AG403" s="32"/>
      <c r="AH403" s="146"/>
      <c r="AI403" s="32"/>
      <c r="AJ403" s="146"/>
      <c r="AK403" s="32"/>
      <c r="AL403" s="146"/>
      <c r="AM403" s="32"/>
      <c r="AN403" s="146"/>
      <c r="AO403" s="32"/>
      <c r="AP403" s="146"/>
      <c r="AQ403" s="32"/>
      <c r="AR403" s="146"/>
      <c r="AS403" s="32"/>
      <c r="AT403" s="146"/>
      <c r="AU403" s="32"/>
      <c r="AV403" s="146"/>
      <c r="AW403" s="32"/>
      <c r="AX403" s="146"/>
      <c r="AY403" s="32"/>
      <c r="AZ403" s="146"/>
      <c r="BA403" s="32"/>
      <c r="BB403" s="146"/>
      <c r="BC403" s="32"/>
      <c r="BD403" s="146"/>
      <c r="BE403" s="32"/>
      <c r="BF403" s="146"/>
      <c r="BG403" s="32"/>
      <c r="BH403" s="146"/>
      <c r="BI403" s="32"/>
      <c r="BJ403" s="146"/>
      <c r="BK403" s="32"/>
      <c r="BL403" s="146"/>
      <c r="BM403" s="32"/>
      <c r="BN403" s="146"/>
      <c r="BO403" s="32"/>
      <c r="BP403" s="146"/>
      <c r="BQ403" s="32"/>
      <c r="BR403" s="146"/>
      <c r="BS403" s="32"/>
      <c r="BT403" s="146">
        <v>428</v>
      </c>
      <c r="BU403" s="32">
        <v>444</v>
      </c>
      <c r="BV403" s="146">
        <v>474</v>
      </c>
      <c r="BW403" s="32">
        <v>401</v>
      </c>
    </row>
    <row r="404" spans="1:75" ht="13" x14ac:dyDescent="0.25">
      <c r="A404" s="186">
        <v>6504</v>
      </c>
      <c r="B404" s="187" t="s">
        <v>426</v>
      </c>
      <c r="C404" s="46">
        <v>959</v>
      </c>
      <c r="D404" s="142">
        <v>691</v>
      </c>
      <c r="E404" s="145">
        <f t="shared" si="5"/>
        <v>0.72054223149113661</v>
      </c>
      <c r="F404" s="146">
        <v>265</v>
      </c>
      <c r="G404" s="32">
        <v>392</v>
      </c>
      <c r="H404" s="146"/>
      <c r="I404" s="32"/>
      <c r="J404" s="146"/>
      <c r="K404" s="32"/>
      <c r="L404" s="146"/>
      <c r="M404" s="32"/>
      <c r="N404" s="146"/>
      <c r="O404" s="32"/>
      <c r="P404" s="146"/>
      <c r="Q404" s="32"/>
      <c r="R404" s="146"/>
      <c r="S404" s="32"/>
      <c r="T404" s="146"/>
      <c r="U404" s="32"/>
      <c r="V404" s="146"/>
      <c r="W404" s="32"/>
      <c r="X404" s="146"/>
      <c r="Y404" s="32"/>
      <c r="Z404" s="146"/>
      <c r="AA404" s="32"/>
      <c r="AB404" s="146"/>
      <c r="AC404" s="32"/>
      <c r="AD404" s="146"/>
      <c r="AE404" s="32"/>
      <c r="AF404" s="146"/>
      <c r="AG404" s="32"/>
      <c r="AH404" s="146"/>
      <c r="AI404" s="32"/>
      <c r="AJ404" s="146"/>
      <c r="AK404" s="32"/>
      <c r="AL404" s="146"/>
      <c r="AM404" s="32"/>
      <c r="AN404" s="146"/>
      <c r="AO404" s="32"/>
      <c r="AP404" s="146"/>
      <c r="AQ404" s="32"/>
      <c r="AR404" s="146"/>
      <c r="AS404" s="32"/>
      <c r="AT404" s="146"/>
      <c r="AU404" s="32"/>
      <c r="AV404" s="146"/>
      <c r="AW404" s="32"/>
      <c r="AX404" s="146"/>
      <c r="AY404" s="32"/>
      <c r="AZ404" s="146"/>
      <c r="BA404" s="32"/>
      <c r="BB404" s="146"/>
      <c r="BC404" s="32"/>
      <c r="BD404" s="146"/>
      <c r="BE404" s="32"/>
      <c r="BF404" s="146"/>
      <c r="BG404" s="32"/>
      <c r="BH404" s="146"/>
      <c r="BI404" s="32"/>
      <c r="BJ404" s="146"/>
      <c r="BK404" s="32"/>
      <c r="BL404" s="146"/>
      <c r="BM404" s="32"/>
      <c r="BN404" s="146"/>
      <c r="BO404" s="32"/>
      <c r="BP404" s="146"/>
      <c r="BQ404" s="32"/>
      <c r="BR404" s="146"/>
      <c r="BS404" s="32"/>
      <c r="BT404" s="146">
        <v>321</v>
      </c>
      <c r="BU404" s="32">
        <v>326</v>
      </c>
      <c r="BV404" s="146">
        <v>361</v>
      </c>
      <c r="BW404" s="32">
        <v>285</v>
      </c>
    </row>
    <row r="405" spans="1:75" ht="13" x14ac:dyDescent="0.25">
      <c r="A405" s="186">
        <v>6505</v>
      </c>
      <c r="B405" s="187" t="s">
        <v>427</v>
      </c>
      <c r="C405" s="46">
        <v>1003</v>
      </c>
      <c r="D405" s="142">
        <v>867</v>
      </c>
      <c r="E405" s="145">
        <f t="shared" si="5"/>
        <v>0.86440677966101698</v>
      </c>
      <c r="F405" s="146">
        <v>215</v>
      </c>
      <c r="G405" s="32">
        <v>609</v>
      </c>
      <c r="H405" s="146"/>
      <c r="I405" s="32"/>
      <c r="J405" s="146"/>
      <c r="K405" s="32"/>
      <c r="L405" s="146"/>
      <c r="M405" s="32"/>
      <c r="N405" s="146"/>
      <c r="O405" s="32"/>
      <c r="P405" s="146"/>
      <c r="Q405" s="32"/>
      <c r="R405" s="146"/>
      <c r="S405" s="32"/>
      <c r="T405" s="146"/>
      <c r="U405" s="32"/>
      <c r="V405" s="146"/>
      <c r="W405" s="32"/>
      <c r="X405" s="146"/>
      <c r="Y405" s="32"/>
      <c r="Z405" s="146"/>
      <c r="AA405" s="32"/>
      <c r="AB405" s="146"/>
      <c r="AC405" s="32"/>
      <c r="AD405" s="146"/>
      <c r="AE405" s="32"/>
      <c r="AF405" s="146"/>
      <c r="AG405" s="32"/>
      <c r="AH405" s="146"/>
      <c r="AI405" s="32"/>
      <c r="AJ405" s="146"/>
      <c r="AK405" s="32"/>
      <c r="AL405" s="146"/>
      <c r="AM405" s="32"/>
      <c r="AN405" s="146"/>
      <c r="AO405" s="32"/>
      <c r="AP405" s="146"/>
      <c r="AQ405" s="32"/>
      <c r="AR405" s="146"/>
      <c r="AS405" s="32"/>
      <c r="AT405" s="146"/>
      <c r="AU405" s="32"/>
      <c r="AV405" s="146"/>
      <c r="AW405" s="32"/>
      <c r="AX405" s="146"/>
      <c r="AY405" s="32"/>
      <c r="AZ405" s="146"/>
      <c r="BA405" s="32"/>
      <c r="BB405" s="146"/>
      <c r="BC405" s="32"/>
      <c r="BD405" s="146"/>
      <c r="BE405" s="32"/>
      <c r="BF405" s="146"/>
      <c r="BG405" s="32"/>
      <c r="BH405" s="146"/>
      <c r="BI405" s="32"/>
      <c r="BJ405" s="146"/>
      <c r="BK405" s="32"/>
      <c r="BL405" s="146"/>
      <c r="BM405" s="32"/>
      <c r="BN405" s="146"/>
      <c r="BO405" s="32"/>
      <c r="BP405" s="146"/>
      <c r="BQ405" s="32"/>
      <c r="BR405" s="146"/>
      <c r="BS405" s="32"/>
      <c r="BT405" s="146">
        <v>364</v>
      </c>
      <c r="BU405" s="32">
        <v>452</v>
      </c>
      <c r="BV405" s="146">
        <v>407</v>
      </c>
      <c r="BW405" s="32">
        <v>412</v>
      </c>
    </row>
    <row r="406" spans="1:75" ht="13" x14ac:dyDescent="0.25">
      <c r="A406" s="186">
        <v>6506</v>
      </c>
      <c r="B406" s="187" t="s">
        <v>428</v>
      </c>
      <c r="C406" s="46">
        <v>1242</v>
      </c>
      <c r="D406" s="142">
        <v>918</v>
      </c>
      <c r="E406" s="145">
        <f t="shared" si="5"/>
        <v>0.73913043478260865</v>
      </c>
      <c r="F406" s="146">
        <v>360</v>
      </c>
      <c r="G406" s="32">
        <v>522</v>
      </c>
      <c r="H406" s="146"/>
      <c r="I406" s="32"/>
      <c r="J406" s="146"/>
      <c r="K406" s="32"/>
      <c r="L406" s="146"/>
      <c r="M406" s="32"/>
      <c r="N406" s="146"/>
      <c r="O406" s="32"/>
      <c r="P406" s="146"/>
      <c r="Q406" s="32"/>
      <c r="R406" s="146"/>
      <c r="S406" s="32"/>
      <c r="T406" s="146"/>
      <c r="U406" s="32"/>
      <c r="V406" s="146"/>
      <c r="W406" s="32"/>
      <c r="X406" s="146"/>
      <c r="Y406" s="32"/>
      <c r="Z406" s="146"/>
      <c r="AA406" s="32"/>
      <c r="AB406" s="146"/>
      <c r="AC406" s="32"/>
      <c r="AD406" s="146"/>
      <c r="AE406" s="32"/>
      <c r="AF406" s="146"/>
      <c r="AG406" s="32"/>
      <c r="AH406" s="146"/>
      <c r="AI406" s="32"/>
      <c r="AJ406" s="146"/>
      <c r="AK406" s="32"/>
      <c r="AL406" s="146"/>
      <c r="AM406" s="32"/>
      <c r="AN406" s="146"/>
      <c r="AO406" s="32"/>
      <c r="AP406" s="146"/>
      <c r="AQ406" s="32"/>
      <c r="AR406" s="146"/>
      <c r="AS406" s="32"/>
      <c r="AT406" s="146"/>
      <c r="AU406" s="32"/>
      <c r="AV406" s="146"/>
      <c r="AW406" s="32"/>
      <c r="AX406" s="146"/>
      <c r="AY406" s="32"/>
      <c r="AZ406" s="146"/>
      <c r="BA406" s="32"/>
      <c r="BB406" s="146"/>
      <c r="BC406" s="32"/>
      <c r="BD406" s="146"/>
      <c r="BE406" s="32"/>
      <c r="BF406" s="146"/>
      <c r="BG406" s="32"/>
      <c r="BH406" s="146"/>
      <c r="BI406" s="32"/>
      <c r="BJ406" s="146"/>
      <c r="BK406" s="32"/>
      <c r="BL406" s="146"/>
      <c r="BM406" s="32"/>
      <c r="BN406" s="146"/>
      <c r="BO406" s="32"/>
      <c r="BP406" s="146"/>
      <c r="BQ406" s="32"/>
      <c r="BR406" s="146"/>
      <c r="BS406" s="32"/>
      <c r="BT406" s="146">
        <v>441</v>
      </c>
      <c r="BU406" s="32">
        <v>427</v>
      </c>
      <c r="BV406" s="146">
        <v>505</v>
      </c>
      <c r="BW406" s="32">
        <v>366</v>
      </c>
    </row>
    <row r="407" spans="1:75" ht="13" x14ac:dyDescent="0.25">
      <c r="A407" s="186">
        <v>6507</v>
      </c>
      <c r="B407" s="187" t="s">
        <v>429</v>
      </c>
      <c r="C407" s="46">
        <v>1231</v>
      </c>
      <c r="D407" s="142">
        <v>1015</v>
      </c>
      <c r="E407" s="145">
        <f t="shared" si="5"/>
        <v>0.82453290008123481</v>
      </c>
      <c r="F407" s="146">
        <v>261</v>
      </c>
      <c r="G407" s="32">
        <v>707</v>
      </c>
      <c r="H407" s="146"/>
      <c r="I407" s="32"/>
      <c r="J407" s="146"/>
      <c r="K407" s="32"/>
      <c r="L407" s="146"/>
      <c r="M407" s="32"/>
      <c r="N407" s="146"/>
      <c r="O407" s="32"/>
      <c r="P407" s="146"/>
      <c r="Q407" s="32"/>
      <c r="R407" s="146"/>
      <c r="S407" s="32"/>
      <c r="T407" s="146"/>
      <c r="U407" s="32"/>
      <c r="V407" s="146"/>
      <c r="W407" s="32"/>
      <c r="X407" s="146"/>
      <c r="Y407" s="32"/>
      <c r="Z407" s="146"/>
      <c r="AA407" s="32"/>
      <c r="AB407" s="146"/>
      <c r="AC407" s="32"/>
      <c r="AD407" s="146"/>
      <c r="AE407" s="32"/>
      <c r="AF407" s="146"/>
      <c r="AG407" s="32"/>
      <c r="AH407" s="146"/>
      <c r="AI407" s="32"/>
      <c r="AJ407" s="146"/>
      <c r="AK407" s="32"/>
      <c r="AL407" s="146"/>
      <c r="AM407" s="32"/>
      <c r="AN407" s="146"/>
      <c r="AO407" s="32"/>
      <c r="AP407" s="146"/>
      <c r="AQ407" s="32"/>
      <c r="AR407" s="146"/>
      <c r="AS407" s="32"/>
      <c r="AT407" s="146"/>
      <c r="AU407" s="32"/>
      <c r="AV407" s="146"/>
      <c r="AW407" s="32"/>
      <c r="AX407" s="146"/>
      <c r="AY407" s="32"/>
      <c r="AZ407" s="146"/>
      <c r="BA407" s="32"/>
      <c r="BB407" s="146"/>
      <c r="BC407" s="32"/>
      <c r="BD407" s="146"/>
      <c r="BE407" s="32"/>
      <c r="BF407" s="146"/>
      <c r="BG407" s="32"/>
      <c r="BH407" s="146"/>
      <c r="BI407" s="32"/>
      <c r="BJ407" s="146"/>
      <c r="BK407" s="32"/>
      <c r="BL407" s="146"/>
      <c r="BM407" s="32"/>
      <c r="BN407" s="146"/>
      <c r="BO407" s="32"/>
      <c r="BP407" s="146"/>
      <c r="BQ407" s="32"/>
      <c r="BR407" s="146"/>
      <c r="BS407" s="32"/>
      <c r="BT407" s="146">
        <v>460</v>
      </c>
      <c r="BU407" s="32">
        <v>500</v>
      </c>
      <c r="BV407" s="146">
        <v>500</v>
      </c>
      <c r="BW407" s="32">
        <v>455</v>
      </c>
    </row>
    <row r="408" spans="1:75" ht="13" x14ac:dyDescent="0.25">
      <c r="A408" s="186">
        <v>6508</v>
      </c>
      <c r="B408" s="187" t="s">
        <v>430</v>
      </c>
      <c r="C408" s="46">
        <v>1362</v>
      </c>
      <c r="D408" s="142">
        <v>1078</v>
      </c>
      <c r="E408" s="145">
        <f t="shared" si="5"/>
        <v>0.7914831130690162</v>
      </c>
      <c r="F408" s="146">
        <v>367</v>
      </c>
      <c r="G408" s="32">
        <v>671</v>
      </c>
      <c r="H408" s="146"/>
      <c r="I408" s="32"/>
      <c r="J408" s="146"/>
      <c r="K408" s="32"/>
      <c r="L408" s="146"/>
      <c r="M408" s="32"/>
      <c r="N408" s="146"/>
      <c r="O408" s="32"/>
      <c r="P408" s="146"/>
      <c r="Q408" s="32"/>
      <c r="R408" s="146"/>
      <c r="S408" s="32"/>
      <c r="T408" s="146"/>
      <c r="U408" s="32"/>
      <c r="V408" s="146"/>
      <c r="W408" s="32"/>
      <c r="X408" s="146"/>
      <c r="Y408" s="32"/>
      <c r="Z408" s="146"/>
      <c r="AA408" s="32"/>
      <c r="AB408" s="146"/>
      <c r="AC408" s="32"/>
      <c r="AD408" s="146"/>
      <c r="AE408" s="32"/>
      <c r="AF408" s="146"/>
      <c r="AG408" s="32"/>
      <c r="AH408" s="146"/>
      <c r="AI408" s="32"/>
      <c r="AJ408" s="146"/>
      <c r="AK408" s="32"/>
      <c r="AL408" s="146"/>
      <c r="AM408" s="32"/>
      <c r="AN408" s="146"/>
      <c r="AO408" s="32"/>
      <c r="AP408" s="146"/>
      <c r="AQ408" s="32"/>
      <c r="AR408" s="146"/>
      <c r="AS408" s="32"/>
      <c r="AT408" s="146"/>
      <c r="AU408" s="32"/>
      <c r="AV408" s="146"/>
      <c r="AW408" s="32"/>
      <c r="AX408" s="146"/>
      <c r="AY408" s="32"/>
      <c r="AZ408" s="146"/>
      <c r="BA408" s="32"/>
      <c r="BB408" s="146"/>
      <c r="BC408" s="32"/>
      <c r="BD408" s="146"/>
      <c r="BE408" s="32"/>
      <c r="BF408" s="146"/>
      <c r="BG408" s="32"/>
      <c r="BH408" s="146"/>
      <c r="BI408" s="32"/>
      <c r="BJ408" s="146"/>
      <c r="BK408" s="32"/>
      <c r="BL408" s="146"/>
      <c r="BM408" s="32"/>
      <c r="BN408" s="146"/>
      <c r="BO408" s="32"/>
      <c r="BP408" s="146"/>
      <c r="BQ408" s="32"/>
      <c r="BR408" s="146"/>
      <c r="BS408" s="32"/>
      <c r="BT408" s="146">
        <v>489</v>
      </c>
      <c r="BU408" s="32">
        <v>522</v>
      </c>
      <c r="BV408" s="146">
        <v>548</v>
      </c>
      <c r="BW408" s="32">
        <v>458</v>
      </c>
    </row>
    <row r="409" spans="1:75" ht="13" x14ac:dyDescent="0.25">
      <c r="A409" s="186">
        <v>6509</v>
      </c>
      <c r="B409" s="187" t="s">
        <v>431</v>
      </c>
      <c r="C409" s="46">
        <v>690</v>
      </c>
      <c r="D409" s="142">
        <v>509</v>
      </c>
      <c r="E409" s="145">
        <f t="shared" ref="E409:E472" si="6">SUM(D409/C409)</f>
        <v>0.73768115942028989</v>
      </c>
      <c r="F409" s="146">
        <v>189</v>
      </c>
      <c r="G409" s="32">
        <v>282</v>
      </c>
      <c r="H409" s="146"/>
      <c r="I409" s="32"/>
      <c r="J409" s="146"/>
      <c r="K409" s="32"/>
      <c r="L409" s="146"/>
      <c r="M409" s="32"/>
      <c r="N409" s="146"/>
      <c r="O409" s="32"/>
      <c r="P409" s="146"/>
      <c r="Q409" s="32"/>
      <c r="R409" s="146"/>
      <c r="S409" s="32"/>
      <c r="T409" s="146"/>
      <c r="U409" s="32"/>
      <c r="V409" s="146"/>
      <c r="W409" s="32"/>
      <c r="X409" s="146"/>
      <c r="Y409" s="32"/>
      <c r="Z409" s="146"/>
      <c r="AA409" s="32"/>
      <c r="AB409" s="146"/>
      <c r="AC409" s="32"/>
      <c r="AD409" s="146"/>
      <c r="AE409" s="32"/>
      <c r="AF409" s="146"/>
      <c r="AG409" s="32"/>
      <c r="AH409" s="146"/>
      <c r="AI409" s="32"/>
      <c r="AJ409" s="146"/>
      <c r="AK409" s="32"/>
      <c r="AL409" s="146"/>
      <c r="AM409" s="32"/>
      <c r="AN409" s="146"/>
      <c r="AO409" s="32"/>
      <c r="AP409" s="146"/>
      <c r="AQ409" s="32"/>
      <c r="AR409" s="146"/>
      <c r="AS409" s="32"/>
      <c r="AT409" s="146"/>
      <c r="AU409" s="32"/>
      <c r="AV409" s="146"/>
      <c r="AW409" s="32"/>
      <c r="AX409" s="146"/>
      <c r="AY409" s="32"/>
      <c r="AZ409" s="146"/>
      <c r="BA409" s="32"/>
      <c r="BB409" s="146"/>
      <c r="BC409" s="32"/>
      <c r="BD409" s="146"/>
      <c r="BE409" s="32"/>
      <c r="BF409" s="146"/>
      <c r="BG409" s="32"/>
      <c r="BH409" s="146"/>
      <c r="BI409" s="32"/>
      <c r="BJ409" s="146"/>
      <c r="BK409" s="32"/>
      <c r="BL409" s="146"/>
      <c r="BM409" s="32"/>
      <c r="BN409" s="146"/>
      <c r="BO409" s="32"/>
      <c r="BP409" s="146"/>
      <c r="BQ409" s="32"/>
      <c r="BR409" s="146"/>
      <c r="BS409" s="32"/>
      <c r="BT409" s="146">
        <v>238</v>
      </c>
      <c r="BU409" s="32">
        <v>243</v>
      </c>
      <c r="BV409" s="146">
        <v>265</v>
      </c>
      <c r="BW409" s="32">
        <v>215</v>
      </c>
    </row>
    <row r="410" spans="1:75" ht="13" x14ac:dyDescent="0.25">
      <c r="A410" s="186">
        <v>6510</v>
      </c>
      <c r="B410" s="187" t="s">
        <v>432</v>
      </c>
      <c r="C410" s="46">
        <v>1358</v>
      </c>
      <c r="D410" s="142">
        <v>983</v>
      </c>
      <c r="E410" s="145">
        <f t="shared" si="6"/>
        <v>0.72385861561119291</v>
      </c>
      <c r="F410" s="146">
        <v>364</v>
      </c>
      <c r="G410" s="32">
        <v>556</v>
      </c>
      <c r="H410" s="146"/>
      <c r="I410" s="32"/>
      <c r="J410" s="146"/>
      <c r="K410" s="32"/>
      <c r="L410" s="146"/>
      <c r="M410" s="32"/>
      <c r="N410" s="146"/>
      <c r="O410" s="32"/>
      <c r="P410" s="146"/>
      <c r="Q410" s="32"/>
      <c r="R410" s="146"/>
      <c r="S410" s="32"/>
      <c r="T410" s="146"/>
      <c r="U410" s="32"/>
      <c r="V410" s="146"/>
      <c r="W410" s="32"/>
      <c r="X410" s="146"/>
      <c r="Y410" s="32"/>
      <c r="Z410" s="146"/>
      <c r="AA410" s="32"/>
      <c r="AB410" s="146"/>
      <c r="AC410" s="32"/>
      <c r="AD410" s="146"/>
      <c r="AE410" s="32"/>
      <c r="AF410" s="146"/>
      <c r="AG410" s="32"/>
      <c r="AH410" s="146"/>
      <c r="AI410" s="32"/>
      <c r="AJ410" s="146"/>
      <c r="AK410" s="32"/>
      <c r="AL410" s="146"/>
      <c r="AM410" s="32"/>
      <c r="AN410" s="146"/>
      <c r="AO410" s="32"/>
      <c r="AP410" s="146"/>
      <c r="AQ410" s="32"/>
      <c r="AR410" s="146"/>
      <c r="AS410" s="32"/>
      <c r="AT410" s="146"/>
      <c r="AU410" s="32"/>
      <c r="AV410" s="146"/>
      <c r="AW410" s="32"/>
      <c r="AX410" s="146"/>
      <c r="AY410" s="32"/>
      <c r="AZ410" s="146"/>
      <c r="BA410" s="32"/>
      <c r="BB410" s="146"/>
      <c r="BC410" s="32"/>
      <c r="BD410" s="146"/>
      <c r="BE410" s="32"/>
      <c r="BF410" s="146"/>
      <c r="BG410" s="32"/>
      <c r="BH410" s="146"/>
      <c r="BI410" s="32"/>
      <c r="BJ410" s="146"/>
      <c r="BK410" s="32"/>
      <c r="BL410" s="146"/>
      <c r="BM410" s="32"/>
      <c r="BN410" s="146"/>
      <c r="BO410" s="32"/>
      <c r="BP410" s="146"/>
      <c r="BQ410" s="32"/>
      <c r="BR410" s="146"/>
      <c r="BS410" s="32"/>
      <c r="BT410" s="146">
        <v>460</v>
      </c>
      <c r="BU410" s="32">
        <v>450</v>
      </c>
      <c r="BV410" s="146">
        <v>519</v>
      </c>
      <c r="BW410" s="32">
        <v>399</v>
      </c>
    </row>
    <row r="411" spans="1:75" ht="13" x14ac:dyDescent="0.25">
      <c r="A411" s="186">
        <v>6511</v>
      </c>
      <c r="B411" s="187" t="s">
        <v>433</v>
      </c>
      <c r="C411" s="46">
        <v>854</v>
      </c>
      <c r="D411" s="142">
        <v>714</v>
      </c>
      <c r="E411" s="145">
        <f t="shared" si="6"/>
        <v>0.83606557377049184</v>
      </c>
      <c r="F411" s="146">
        <v>254</v>
      </c>
      <c r="G411" s="32">
        <v>425</v>
      </c>
      <c r="H411" s="146"/>
      <c r="I411" s="32"/>
      <c r="J411" s="146"/>
      <c r="K411" s="32"/>
      <c r="L411" s="146"/>
      <c r="M411" s="32"/>
      <c r="N411" s="146"/>
      <c r="O411" s="32"/>
      <c r="P411" s="146"/>
      <c r="Q411" s="32"/>
      <c r="R411" s="146"/>
      <c r="S411" s="32"/>
      <c r="T411" s="146"/>
      <c r="U411" s="32"/>
      <c r="V411" s="146"/>
      <c r="W411" s="32"/>
      <c r="X411" s="146"/>
      <c r="Y411" s="32"/>
      <c r="Z411" s="146"/>
      <c r="AA411" s="32"/>
      <c r="AB411" s="146"/>
      <c r="AC411" s="32"/>
      <c r="AD411" s="146"/>
      <c r="AE411" s="32"/>
      <c r="AF411" s="146"/>
      <c r="AG411" s="32"/>
      <c r="AH411" s="146"/>
      <c r="AI411" s="32"/>
      <c r="AJ411" s="146"/>
      <c r="AK411" s="32"/>
      <c r="AL411" s="146"/>
      <c r="AM411" s="32"/>
      <c r="AN411" s="146"/>
      <c r="AO411" s="32"/>
      <c r="AP411" s="146"/>
      <c r="AQ411" s="32"/>
      <c r="AR411" s="146"/>
      <c r="AS411" s="32"/>
      <c r="AT411" s="146"/>
      <c r="AU411" s="32"/>
      <c r="AV411" s="146"/>
      <c r="AW411" s="32"/>
      <c r="AX411" s="146"/>
      <c r="AY411" s="32"/>
      <c r="AZ411" s="146"/>
      <c r="BA411" s="32"/>
      <c r="BB411" s="146"/>
      <c r="BC411" s="32"/>
      <c r="BD411" s="146"/>
      <c r="BE411" s="32"/>
      <c r="BF411" s="146"/>
      <c r="BG411" s="32"/>
      <c r="BH411" s="146"/>
      <c r="BI411" s="32"/>
      <c r="BJ411" s="146"/>
      <c r="BK411" s="32"/>
      <c r="BL411" s="146"/>
      <c r="BM411" s="32"/>
      <c r="BN411" s="146"/>
      <c r="BO411" s="32"/>
      <c r="BP411" s="146"/>
      <c r="BQ411" s="32"/>
      <c r="BR411" s="146"/>
      <c r="BS411" s="32"/>
      <c r="BT411" s="146">
        <v>317</v>
      </c>
      <c r="BU411" s="32">
        <v>370</v>
      </c>
      <c r="BV411" s="146">
        <v>367</v>
      </c>
      <c r="BW411" s="32">
        <v>319</v>
      </c>
    </row>
    <row r="412" spans="1:75" ht="13" x14ac:dyDescent="0.25">
      <c r="A412" s="186">
        <v>6512</v>
      </c>
      <c r="B412" s="187" t="s">
        <v>434</v>
      </c>
      <c r="C412" s="46">
        <v>1091</v>
      </c>
      <c r="D412" s="142">
        <v>888</v>
      </c>
      <c r="E412" s="145">
        <f t="shared" si="6"/>
        <v>0.81393217231897341</v>
      </c>
      <c r="F412" s="146">
        <v>289</v>
      </c>
      <c r="G412" s="32">
        <v>548</v>
      </c>
      <c r="H412" s="146"/>
      <c r="I412" s="32"/>
      <c r="J412" s="146"/>
      <c r="K412" s="32"/>
      <c r="L412" s="146"/>
      <c r="M412" s="32"/>
      <c r="N412" s="146"/>
      <c r="O412" s="32"/>
      <c r="P412" s="146"/>
      <c r="Q412" s="32"/>
      <c r="R412" s="146"/>
      <c r="S412" s="32"/>
      <c r="T412" s="146"/>
      <c r="U412" s="32"/>
      <c r="V412" s="146"/>
      <c r="W412" s="32"/>
      <c r="X412" s="146"/>
      <c r="Y412" s="32"/>
      <c r="Z412" s="146"/>
      <c r="AA412" s="32"/>
      <c r="AB412" s="146"/>
      <c r="AC412" s="32"/>
      <c r="AD412" s="146"/>
      <c r="AE412" s="32"/>
      <c r="AF412" s="146"/>
      <c r="AG412" s="32"/>
      <c r="AH412" s="146"/>
      <c r="AI412" s="32"/>
      <c r="AJ412" s="146"/>
      <c r="AK412" s="32"/>
      <c r="AL412" s="146"/>
      <c r="AM412" s="32"/>
      <c r="AN412" s="146"/>
      <c r="AO412" s="32"/>
      <c r="AP412" s="146"/>
      <c r="AQ412" s="32"/>
      <c r="AR412" s="146"/>
      <c r="AS412" s="32"/>
      <c r="AT412" s="146"/>
      <c r="AU412" s="32"/>
      <c r="AV412" s="146"/>
      <c r="AW412" s="32"/>
      <c r="AX412" s="146"/>
      <c r="AY412" s="32"/>
      <c r="AZ412" s="146"/>
      <c r="BA412" s="32"/>
      <c r="BB412" s="146"/>
      <c r="BC412" s="32"/>
      <c r="BD412" s="146"/>
      <c r="BE412" s="32"/>
      <c r="BF412" s="146"/>
      <c r="BG412" s="32"/>
      <c r="BH412" s="146"/>
      <c r="BI412" s="32"/>
      <c r="BJ412" s="146"/>
      <c r="BK412" s="32"/>
      <c r="BL412" s="146"/>
      <c r="BM412" s="32"/>
      <c r="BN412" s="146"/>
      <c r="BO412" s="32"/>
      <c r="BP412" s="146"/>
      <c r="BQ412" s="32"/>
      <c r="BR412" s="146"/>
      <c r="BS412" s="32"/>
      <c r="BT412" s="146">
        <v>403</v>
      </c>
      <c r="BU412" s="32">
        <v>430</v>
      </c>
      <c r="BV412" s="146">
        <v>470</v>
      </c>
      <c r="BW412" s="32">
        <v>362</v>
      </c>
    </row>
    <row r="413" spans="1:75" ht="13" x14ac:dyDescent="0.25">
      <c r="A413" s="186">
        <v>6513</v>
      </c>
      <c r="B413" s="187" t="s">
        <v>435</v>
      </c>
      <c r="C413" s="46">
        <v>1166</v>
      </c>
      <c r="D413" s="142">
        <v>858</v>
      </c>
      <c r="E413" s="145">
        <f t="shared" si="6"/>
        <v>0.73584905660377353</v>
      </c>
      <c r="F413" s="146">
        <v>303</v>
      </c>
      <c r="G413" s="32">
        <v>509</v>
      </c>
      <c r="H413" s="146"/>
      <c r="I413" s="32"/>
      <c r="J413" s="146"/>
      <c r="K413" s="32"/>
      <c r="L413" s="146"/>
      <c r="M413" s="32"/>
      <c r="N413" s="146"/>
      <c r="O413" s="32"/>
      <c r="P413" s="146"/>
      <c r="Q413" s="32"/>
      <c r="R413" s="146"/>
      <c r="S413" s="32"/>
      <c r="T413" s="146"/>
      <c r="U413" s="32"/>
      <c r="V413" s="146"/>
      <c r="W413" s="32"/>
      <c r="X413" s="146"/>
      <c r="Y413" s="32"/>
      <c r="Z413" s="146"/>
      <c r="AA413" s="32"/>
      <c r="AB413" s="146"/>
      <c r="AC413" s="32"/>
      <c r="AD413" s="146"/>
      <c r="AE413" s="32"/>
      <c r="AF413" s="146"/>
      <c r="AG413" s="32"/>
      <c r="AH413" s="146"/>
      <c r="AI413" s="32"/>
      <c r="AJ413" s="146"/>
      <c r="AK413" s="32"/>
      <c r="AL413" s="146"/>
      <c r="AM413" s="32"/>
      <c r="AN413" s="146"/>
      <c r="AO413" s="32"/>
      <c r="AP413" s="146"/>
      <c r="AQ413" s="32"/>
      <c r="AR413" s="146"/>
      <c r="AS413" s="32"/>
      <c r="AT413" s="146"/>
      <c r="AU413" s="32"/>
      <c r="AV413" s="146"/>
      <c r="AW413" s="32"/>
      <c r="AX413" s="146"/>
      <c r="AY413" s="32"/>
      <c r="AZ413" s="146"/>
      <c r="BA413" s="32"/>
      <c r="BB413" s="146"/>
      <c r="BC413" s="32"/>
      <c r="BD413" s="146"/>
      <c r="BE413" s="32"/>
      <c r="BF413" s="146"/>
      <c r="BG413" s="32"/>
      <c r="BH413" s="146"/>
      <c r="BI413" s="32"/>
      <c r="BJ413" s="146"/>
      <c r="BK413" s="32"/>
      <c r="BL413" s="146"/>
      <c r="BM413" s="32"/>
      <c r="BN413" s="146"/>
      <c r="BO413" s="32"/>
      <c r="BP413" s="146"/>
      <c r="BQ413" s="32"/>
      <c r="BR413" s="146"/>
      <c r="BS413" s="32"/>
      <c r="BT413" s="146">
        <v>380</v>
      </c>
      <c r="BU413" s="32">
        <v>435</v>
      </c>
      <c r="BV413" s="146">
        <v>422</v>
      </c>
      <c r="BW413" s="32">
        <v>395</v>
      </c>
    </row>
    <row r="414" spans="1:75" ht="13" x14ac:dyDescent="0.25">
      <c r="A414" s="186">
        <v>6514</v>
      </c>
      <c r="B414" s="187" t="s">
        <v>436</v>
      </c>
      <c r="C414" s="46">
        <v>635</v>
      </c>
      <c r="D414" s="142">
        <v>459</v>
      </c>
      <c r="E414" s="145">
        <f t="shared" si="6"/>
        <v>0.72283464566929134</v>
      </c>
      <c r="F414" s="146">
        <v>177</v>
      </c>
      <c r="G414" s="32">
        <v>248</v>
      </c>
      <c r="H414" s="146"/>
      <c r="I414" s="32"/>
      <c r="J414" s="146"/>
      <c r="K414" s="32"/>
      <c r="L414" s="146"/>
      <c r="M414" s="32"/>
      <c r="N414" s="146"/>
      <c r="O414" s="32"/>
      <c r="P414" s="146"/>
      <c r="Q414" s="32"/>
      <c r="R414" s="146"/>
      <c r="S414" s="32"/>
      <c r="T414" s="146"/>
      <c r="U414" s="32"/>
      <c r="V414" s="146"/>
      <c r="W414" s="32"/>
      <c r="X414" s="146"/>
      <c r="Y414" s="32"/>
      <c r="Z414" s="146"/>
      <c r="AA414" s="32"/>
      <c r="AB414" s="146"/>
      <c r="AC414" s="32"/>
      <c r="AD414" s="146"/>
      <c r="AE414" s="32"/>
      <c r="AF414" s="146"/>
      <c r="AG414" s="32"/>
      <c r="AH414" s="146"/>
      <c r="AI414" s="32"/>
      <c r="AJ414" s="146"/>
      <c r="AK414" s="32"/>
      <c r="AL414" s="146"/>
      <c r="AM414" s="32"/>
      <c r="AN414" s="146"/>
      <c r="AO414" s="32"/>
      <c r="AP414" s="146"/>
      <c r="AQ414" s="32"/>
      <c r="AR414" s="146"/>
      <c r="AS414" s="32"/>
      <c r="AT414" s="146"/>
      <c r="AU414" s="32"/>
      <c r="AV414" s="146"/>
      <c r="AW414" s="32"/>
      <c r="AX414" s="146"/>
      <c r="AY414" s="32"/>
      <c r="AZ414" s="146"/>
      <c r="BA414" s="32"/>
      <c r="BB414" s="146"/>
      <c r="BC414" s="32"/>
      <c r="BD414" s="146"/>
      <c r="BE414" s="32"/>
      <c r="BF414" s="146"/>
      <c r="BG414" s="32"/>
      <c r="BH414" s="146"/>
      <c r="BI414" s="32"/>
      <c r="BJ414" s="146"/>
      <c r="BK414" s="32"/>
      <c r="BL414" s="146"/>
      <c r="BM414" s="32"/>
      <c r="BN414" s="146"/>
      <c r="BO414" s="32"/>
      <c r="BP414" s="146"/>
      <c r="BQ414" s="32"/>
      <c r="BR414" s="146"/>
      <c r="BS414" s="32"/>
      <c r="BT414" s="146">
        <v>228</v>
      </c>
      <c r="BU414" s="32">
        <v>201</v>
      </c>
      <c r="BV414" s="146">
        <v>245</v>
      </c>
      <c r="BW414" s="32">
        <v>182</v>
      </c>
    </row>
    <row r="415" spans="1:75" ht="13" x14ac:dyDescent="0.25">
      <c r="A415" s="186">
        <v>6515</v>
      </c>
      <c r="B415" s="187" t="s">
        <v>437</v>
      </c>
      <c r="C415" s="46">
        <v>1232</v>
      </c>
      <c r="D415" s="142">
        <v>992</v>
      </c>
      <c r="E415" s="145">
        <f t="shared" si="6"/>
        <v>0.80519480519480524</v>
      </c>
      <c r="F415" s="146">
        <v>362</v>
      </c>
      <c r="G415" s="32">
        <v>575</v>
      </c>
      <c r="H415" s="146"/>
      <c r="I415" s="32"/>
      <c r="J415" s="146"/>
      <c r="K415" s="32"/>
      <c r="L415" s="146"/>
      <c r="M415" s="32"/>
      <c r="N415" s="146"/>
      <c r="O415" s="32"/>
      <c r="P415" s="146"/>
      <c r="Q415" s="32"/>
      <c r="R415" s="146"/>
      <c r="S415" s="32"/>
      <c r="T415" s="146"/>
      <c r="U415" s="32"/>
      <c r="V415" s="146"/>
      <c r="W415" s="32"/>
      <c r="X415" s="146"/>
      <c r="Y415" s="32"/>
      <c r="Z415" s="146"/>
      <c r="AA415" s="32"/>
      <c r="AB415" s="146"/>
      <c r="AC415" s="32"/>
      <c r="AD415" s="146"/>
      <c r="AE415" s="32"/>
      <c r="AF415" s="146"/>
      <c r="AG415" s="32"/>
      <c r="AH415" s="146"/>
      <c r="AI415" s="32"/>
      <c r="AJ415" s="146"/>
      <c r="AK415" s="32"/>
      <c r="AL415" s="146"/>
      <c r="AM415" s="32"/>
      <c r="AN415" s="146"/>
      <c r="AO415" s="32"/>
      <c r="AP415" s="146"/>
      <c r="AQ415" s="32"/>
      <c r="AR415" s="146"/>
      <c r="AS415" s="32"/>
      <c r="AT415" s="146"/>
      <c r="AU415" s="32"/>
      <c r="AV415" s="146"/>
      <c r="AW415" s="32"/>
      <c r="AX415" s="146"/>
      <c r="AY415" s="32"/>
      <c r="AZ415" s="146"/>
      <c r="BA415" s="32"/>
      <c r="BB415" s="146"/>
      <c r="BC415" s="32"/>
      <c r="BD415" s="146"/>
      <c r="BE415" s="32"/>
      <c r="BF415" s="146"/>
      <c r="BG415" s="32"/>
      <c r="BH415" s="146"/>
      <c r="BI415" s="32"/>
      <c r="BJ415" s="146"/>
      <c r="BK415" s="32"/>
      <c r="BL415" s="146"/>
      <c r="BM415" s="32"/>
      <c r="BN415" s="146"/>
      <c r="BO415" s="32"/>
      <c r="BP415" s="146"/>
      <c r="BQ415" s="32"/>
      <c r="BR415" s="146"/>
      <c r="BS415" s="32"/>
      <c r="BT415" s="146">
        <v>468</v>
      </c>
      <c r="BU415" s="32">
        <v>470</v>
      </c>
      <c r="BV415" s="146">
        <v>540</v>
      </c>
      <c r="BW415" s="32">
        <v>403</v>
      </c>
    </row>
    <row r="416" spans="1:75" ht="13" x14ac:dyDescent="0.25">
      <c r="A416" s="186">
        <v>6516</v>
      </c>
      <c r="B416" s="187" t="s">
        <v>438</v>
      </c>
      <c r="C416" s="46">
        <v>1030</v>
      </c>
      <c r="D416" s="142">
        <v>814</v>
      </c>
      <c r="E416" s="145">
        <f t="shared" si="6"/>
        <v>0.79029126213592238</v>
      </c>
      <c r="F416" s="146">
        <v>266</v>
      </c>
      <c r="G416" s="32">
        <v>510</v>
      </c>
      <c r="H416" s="146"/>
      <c r="I416" s="32"/>
      <c r="J416" s="146"/>
      <c r="K416" s="32"/>
      <c r="L416" s="146"/>
      <c r="M416" s="32"/>
      <c r="N416" s="146"/>
      <c r="O416" s="32"/>
      <c r="P416" s="146"/>
      <c r="Q416" s="32"/>
      <c r="R416" s="146"/>
      <c r="S416" s="32"/>
      <c r="T416" s="146"/>
      <c r="U416" s="32"/>
      <c r="V416" s="146"/>
      <c r="W416" s="32"/>
      <c r="X416" s="146"/>
      <c r="Y416" s="32"/>
      <c r="Z416" s="146"/>
      <c r="AA416" s="32"/>
      <c r="AB416" s="146"/>
      <c r="AC416" s="32"/>
      <c r="AD416" s="146"/>
      <c r="AE416" s="32"/>
      <c r="AF416" s="146"/>
      <c r="AG416" s="32"/>
      <c r="AH416" s="146"/>
      <c r="AI416" s="32"/>
      <c r="AJ416" s="146"/>
      <c r="AK416" s="32"/>
      <c r="AL416" s="146"/>
      <c r="AM416" s="32"/>
      <c r="AN416" s="146"/>
      <c r="AO416" s="32"/>
      <c r="AP416" s="146"/>
      <c r="AQ416" s="32"/>
      <c r="AR416" s="146"/>
      <c r="AS416" s="32"/>
      <c r="AT416" s="146"/>
      <c r="AU416" s="32"/>
      <c r="AV416" s="146"/>
      <c r="AW416" s="32"/>
      <c r="AX416" s="146"/>
      <c r="AY416" s="32"/>
      <c r="AZ416" s="146"/>
      <c r="BA416" s="32"/>
      <c r="BB416" s="146"/>
      <c r="BC416" s="32"/>
      <c r="BD416" s="146"/>
      <c r="BE416" s="32"/>
      <c r="BF416" s="146"/>
      <c r="BG416" s="32"/>
      <c r="BH416" s="146"/>
      <c r="BI416" s="32"/>
      <c r="BJ416" s="146"/>
      <c r="BK416" s="32"/>
      <c r="BL416" s="146"/>
      <c r="BM416" s="32"/>
      <c r="BN416" s="146"/>
      <c r="BO416" s="32"/>
      <c r="BP416" s="146"/>
      <c r="BQ416" s="32"/>
      <c r="BR416" s="146"/>
      <c r="BS416" s="32"/>
      <c r="BT416" s="146">
        <v>379</v>
      </c>
      <c r="BU416" s="32">
        <v>398</v>
      </c>
      <c r="BV416" s="146">
        <v>433</v>
      </c>
      <c r="BW416" s="32">
        <v>347</v>
      </c>
    </row>
    <row r="417" spans="1:75" ht="13" x14ac:dyDescent="0.25">
      <c r="A417" s="186">
        <v>6517</v>
      </c>
      <c r="B417" s="187" t="s">
        <v>439</v>
      </c>
      <c r="C417" s="46">
        <v>1160</v>
      </c>
      <c r="D417" s="142">
        <v>1001</v>
      </c>
      <c r="E417" s="145">
        <f t="shared" si="6"/>
        <v>0.86293103448275865</v>
      </c>
      <c r="F417" s="146">
        <v>296</v>
      </c>
      <c r="G417" s="32">
        <v>670</v>
      </c>
      <c r="H417" s="146"/>
      <c r="I417" s="32"/>
      <c r="J417" s="146"/>
      <c r="K417" s="32"/>
      <c r="L417" s="146"/>
      <c r="M417" s="32"/>
      <c r="N417" s="146"/>
      <c r="O417" s="32"/>
      <c r="P417" s="146"/>
      <c r="Q417" s="32"/>
      <c r="R417" s="146"/>
      <c r="S417" s="32"/>
      <c r="T417" s="146"/>
      <c r="U417" s="32"/>
      <c r="V417" s="146"/>
      <c r="W417" s="32"/>
      <c r="X417" s="146"/>
      <c r="Y417" s="32"/>
      <c r="Z417" s="146"/>
      <c r="AA417" s="32"/>
      <c r="AB417" s="146"/>
      <c r="AC417" s="32"/>
      <c r="AD417" s="146"/>
      <c r="AE417" s="32"/>
      <c r="AF417" s="146"/>
      <c r="AG417" s="32"/>
      <c r="AH417" s="146"/>
      <c r="AI417" s="32"/>
      <c r="AJ417" s="146"/>
      <c r="AK417" s="32"/>
      <c r="AL417" s="146"/>
      <c r="AM417" s="32"/>
      <c r="AN417" s="146"/>
      <c r="AO417" s="32"/>
      <c r="AP417" s="146"/>
      <c r="AQ417" s="32"/>
      <c r="AR417" s="146"/>
      <c r="AS417" s="32"/>
      <c r="AT417" s="146"/>
      <c r="AU417" s="32"/>
      <c r="AV417" s="146"/>
      <c r="AW417" s="32"/>
      <c r="AX417" s="146"/>
      <c r="AY417" s="32"/>
      <c r="AZ417" s="146"/>
      <c r="BA417" s="32"/>
      <c r="BB417" s="146"/>
      <c r="BC417" s="32"/>
      <c r="BD417" s="146"/>
      <c r="BE417" s="32"/>
      <c r="BF417" s="146"/>
      <c r="BG417" s="32"/>
      <c r="BH417" s="146"/>
      <c r="BI417" s="32"/>
      <c r="BJ417" s="146"/>
      <c r="BK417" s="32"/>
      <c r="BL417" s="146"/>
      <c r="BM417" s="32"/>
      <c r="BN417" s="146"/>
      <c r="BO417" s="32"/>
      <c r="BP417" s="146"/>
      <c r="BQ417" s="32"/>
      <c r="BR417" s="146"/>
      <c r="BS417" s="32"/>
      <c r="BT417" s="146">
        <v>457</v>
      </c>
      <c r="BU417" s="32">
        <v>495</v>
      </c>
      <c r="BV417" s="146">
        <v>478</v>
      </c>
      <c r="BW417" s="32">
        <v>473</v>
      </c>
    </row>
    <row r="418" spans="1:75" ht="13" x14ac:dyDescent="0.25">
      <c r="A418" s="186">
        <v>6518</v>
      </c>
      <c r="B418" s="187" t="s">
        <v>440</v>
      </c>
      <c r="C418" s="46">
        <v>904</v>
      </c>
      <c r="D418" s="142">
        <v>634</v>
      </c>
      <c r="E418" s="145">
        <f t="shared" si="6"/>
        <v>0.70132743362831862</v>
      </c>
      <c r="F418" s="146">
        <v>270</v>
      </c>
      <c r="G418" s="32">
        <v>324</v>
      </c>
      <c r="H418" s="146"/>
      <c r="I418" s="32"/>
      <c r="J418" s="146"/>
      <c r="K418" s="32"/>
      <c r="L418" s="146"/>
      <c r="M418" s="32"/>
      <c r="N418" s="146"/>
      <c r="O418" s="32"/>
      <c r="P418" s="146"/>
      <c r="Q418" s="32"/>
      <c r="R418" s="146"/>
      <c r="S418" s="32"/>
      <c r="T418" s="146"/>
      <c r="U418" s="32"/>
      <c r="V418" s="146"/>
      <c r="W418" s="32"/>
      <c r="X418" s="146"/>
      <c r="Y418" s="32"/>
      <c r="Z418" s="146"/>
      <c r="AA418" s="32"/>
      <c r="AB418" s="146"/>
      <c r="AC418" s="32"/>
      <c r="AD418" s="146"/>
      <c r="AE418" s="32"/>
      <c r="AF418" s="146"/>
      <c r="AG418" s="32"/>
      <c r="AH418" s="146"/>
      <c r="AI418" s="32"/>
      <c r="AJ418" s="146"/>
      <c r="AK418" s="32"/>
      <c r="AL418" s="146"/>
      <c r="AM418" s="32"/>
      <c r="AN418" s="146"/>
      <c r="AO418" s="32"/>
      <c r="AP418" s="146"/>
      <c r="AQ418" s="32"/>
      <c r="AR418" s="146"/>
      <c r="AS418" s="32"/>
      <c r="AT418" s="146"/>
      <c r="AU418" s="32"/>
      <c r="AV418" s="146"/>
      <c r="AW418" s="32"/>
      <c r="AX418" s="146"/>
      <c r="AY418" s="32"/>
      <c r="AZ418" s="146"/>
      <c r="BA418" s="32"/>
      <c r="BB418" s="146"/>
      <c r="BC418" s="32"/>
      <c r="BD418" s="146"/>
      <c r="BE418" s="32"/>
      <c r="BF418" s="146"/>
      <c r="BG418" s="32"/>
      <c r="BH418" s="146"/>
      <c r="BI418" s="32"/>
      <c r="BJ418" s="146"/>
      <c r="BK418" s="32"/>
      <c r="BL418" s="146"/>
      <c r="BM418" s="32"/>
      <c r="BN418" s="146"/>
      <c r="BO418" s="32"/>
      <c r="BP418" s="146"/>
      <c r="BQ418" s="32"/>
      <c r="BR418" s="146"/>
      <c r="BS418" s="32"/>
      <c r="BT418" s="146">
        <v>370</v>
      </c>
      <c r="BU418" s="32">
        <v>222</v>
      </c>
      <c r="BV418" s="146">
        <v>394</v>
      </c>
      <c r="BW418" s="32">
        <v>198</v>
      </c>
    </row>
    <row r="419" spans="1:75" ht="13" x14ac:dyDescent="0.25">
      <c r="A419" s="186">
        <v>6519</v>
      </c>
      <c r="B419" s="187" t="s">
        <v>441</v>
      </c>
      <c r="C419" s="46">
        <v>1098</v>
      </c>
      <c r="D419" s="142">
        <v>857</v>
      </c>
      <c r="E419" s="145">
        <f t="shared" si="6"/>
        <v>0.78051001821493626</v>
      </c>
      <c r="F419" s="146">
        <v>314</v>
      </c>
      <c r="G419" s="32">
        <v>497</v>
      </c>
      <c r="H419" s="146"/>
      <c r="I419" s="32"/>
      <c r="J419" s="146"/>
      <c r="K419" s="32"/>
      <c r="L419" s="146"/>
      <c r="M419" s="32"/>
      <c r="N419" s="146"/>
      <c r="O419" s="32"/>
      <c r="P419" s="146"/>
      <c r="Q419" s="32"/>
      <c r="R419" s="146"/>
      <c r="S419" s="32"/>
      <c r="T419" s="146"/>
      <c r="U419" s="32"/>
      <c r="V419" s="146"/>
      <c r="W419" s="32"/>
      <c r="X419" s="146"/>
      <c r="Y419" s="32"/>
      <c r="Z419" s="146"/>
      <c r="AA419" s="32"/>
      <c r="AB419" s="146"/>
      <c r="AC419" s="32"/>
      <c r="AD419" s="146"/>
      <c r="AE419" s="32"/>
      <c r="AF419" s="146"/>
      <c r="AG419" s="32"/>
      <c r="AH419" s="146"/>
      <c r="AI419" s="32"/>
      <c r="AJ419" s="146"/>
      <c r="AK419" s="32"/>
      <c r="AL419" s="146"/>
      <c r="AM419" s="32"/>
      <c r="AN419" s="146"/>
      <c r="AO419" s="32"/>
      <c r="AP419" s="146"/>
      <c r="AQ419" s="32"/>
      <c r="AR419" s="146"/>
      <c r="AS419" s="32"/>
      <c r="AT419" s="146"/>
      <c r="AU419" s="32"/>
      <c r="AV419" s="146"/>
      <c r="AW419" s="32"/>
      <c r="AX419" s="146"/>
      <c r="AY419" s="32"/>
      <c r="AZ419" s="146"/>
      <c r="BA419" s="32"/>
      <c r="BB419" s="146"/>
      <c r="BC419" s="32"/>
      <c r="BD419" s="146"/>
      <c r="BE419" s="32"/>
      <c r="BF419" s="146"/>
      <c r="BG419" s="32"/>
      <c r="BH419" s="146"/>
      <c r="BI419" s="32"/>
      <c r="BJ419" s="146"/>
      <c r="BK419" s="32"/>
      <c r="BL419" s="146"/>
      <c r="BM419" s="32"/>
      <c r="BN419" s="146"/>
      <c r="BO419" s="32"/>
      <c r="BP419" s="146"/>
      <c r="BQ419" s="32"/>
      <c r="BR419" s="146"/>
      <c r="BS419" s="32"/>
      <c r="BT419" s="146">
        <v>364</v>
      </c>
      <c r="BU419" s="32">
        <v>438</v>
      </c>
      <c r="BV419" s="146">
        <v>411</v>
      </c>
      <c r="BW419" s="32">
        <v>391</v>
      </c>
    </row>
    <row r="420" spans="1:75" ht="13" x14ac:dyDescent="0.25">
      <c r="A420" s="186">
        <v>6701</v>
      </c>
      <c r="B420" s="187" t="s">
        <v>442</v>
      </c>
      <c r="C420" s="46">
        <v>1114</v>
      </c>
      <c r="D420" s="142">
        <v>527</v>
      </c>
      <c r="E420" s="145">
        <f t="shared" si="6"/>
        <v>0.47307001795332138</v>
      </c>
      <c r="F420" s="146">
        <v>238</v>
      </c>
      <c r="G420" s="32">
        <v>243</v>
      </c>
      <c r="H420" s="146"/>
      <c r="I420" s="32"/>
      <c r="J420" s="146"/>
      <c r="K420" s="32"/>
      <c r="L420" s="146"/>
      <c r="M420" s="32"/>
      <c r="N420" s="146"/>
      <c r="O420" s="32"/>
      <c r="P420" s="146"/>
      <c r="Q420" s="32"/>
      <c r="R420" s="146"/>
      <c r="S420" s="32"/>
      <c r="T420" s="146"/>
      <c r="U420" s="32"/>
      <c r="V420" s="146"/>
      <c r="W420" s="32"/>
      <c r="X420" s="146"/>
      <c r="Y420" s="32"/>
      <c r="Z420" s="146"/>
      <c r="AA420" s="32"/>
      <c r="AB420" s="146"/>
      <c r="AC420" s="32"/>
      <c r="AD420" s="146"/>
      <c r="AE420" s="32"/>
      <c r="AF420" s="146"/>
      <c r="AG420" s="32"/>
      <c r="AH420" s="146"/>
      <c r="AI420" s="32"/>
      <c r="AJ420" s="146"/>
      <c r="AK420" s="32"/>
      <c r="AL420" s="146"/>
      <c r="AM420" s="32"/>
      <c r="AN420" s="146"/>
      <c r="AO420" s="32"/>
      <c r="AP420" s="146"/>
      <c r="AQ420" s="32"/>
      <c r="AR420" s="146"/>
      <c r="AS420" s="32"/>
      <c r="AT420" s="146"/>
      <c r="AU420" s="32"/>
      <c r="AV420" s="146"/>
      <c r="AW420" s="32"/>
      <c r="AX420" s="146"/>
      <c r="AY420" s="32"/>
      <c r="AZ420" s="146"/>
      <c r="BA420" s="32"/>
      <c r="BB420" s="146"/>
      <c r="BC420" s="32"/>
      <c r="BD420" s="146"/>
      <c r="BE420" s="32"/>
      <c r="BF420" s="146"/>
      <c r="BG420" s="32"/>
      <c r="BH420" s="146"/>
      <c r="BI420" s="32"/>
      <c r="BJ420" s="146"/>
      <c r="BK420" s="32"/>
      <c r="BL420" s="146"/>
      <c r="BM420" s="32"/>
      <c r="BN420" s="146"/>
      <c r="BO420" s="32"/>
      <c r="BP420" s="146"/>
      <c r="BQ420" s="32"/>
      <c r="BR420" s="146"/>
      <c r="BS420" s="32"/>
      <c r="BT420" s="146">
        <v>268</v>
      </c>
      <c r="BU420" s="32">
        <v>217</v>
      </c>
      <c r="BV420" s="146">
        <v>299</v>
      </c>
      <c r="BW420" s="32">
        <v>185</v>
      </c>
    </row>
    <row r="421" spans="1:75" ht="13" x14ac:dyDescent="0.25">
      <c r="A421" s="186">
        <v>6801</v>
      </c>
      <c r="B421" s="187" t="s">
        <v>443</v>
      </c>
      <c r="C421" s="46">
        <v>1143</v>
      </c>
      <c r="D421" s="142">
        <v>977</v>
      </c>
      <c r="E421" s="145">
        <f t="shared" si="6"/>
        <v>0.85476815398075245</v>
      </c>
      <c r="F421" s="146">
        <v>495</v>
      </c>
      <c r="G421" s="32">
        <v>445</v>
      </c>
      <c r="H421" s="146"/>
      <c r="I421" s="32"/>
      <c r="J421" s="146"/>
      <c r="K421" s="32"/>
      <c r="L421" s="146"/>
      <c r="M421" s="32"/>
      <c r="N421" s="146"/>
      <c r="O421" s="32"/>
      <c r="P421" s="146"/>
      <c r="Q421" s="32"/>
      <c r="R421" s="146"/>
      <c r="S421" s="32"/>
      <c r="T421" s="146"/>
      <c r="U421" s="32"/>
      <c r="V421" s="146"/>
      <c r="W421" s="32"/>
      <c r="X421" s="146"/>
      <c r="Y421" s="32"/>
      <c r="Z421" s="146"/>
      <c r="AA421" s="32"/>
      <c r="AB421" s="146"/>
      <c r="AC421" s="32"/>
      <c r="AD421" s="146"/>
      <c r="AE421" s="32"/>
      <c r="AF421" s="146"/>
      <c r="AG421" s="32"/>
      <c r="AH421" s="146"/>
      <c r="AI421" s="32"/>
      <c r="AJ421" s="146"/>
      <c r="AK421" s="32"/>
      <c r="AL421" s="146"/>
      <c r="AM421" s="32"/>
      <c r="AN421" s="146"/>
      <c r="AO421" s="32"/>
      <c r="AP421" s="146"/>
      <c r="AQ421" s="32"/>
      <c r="AR421" s="146"/>
      <c r="AS421" s="32"/>
      <c r="AT421" s="146"/>
      <c r="AU421" s="32"/>
      <c r="AV421" s="146"/>
      <c r="AW421" s="32"/>
      <c r="AX421" s="146"/>
      <c r="AY421" s="32"/>
      <c r="AZ421" s="146"/>
      <c r="BA421" s="32"/>
      <c r="BB421" s="146"/>
      <c r="BC421" s="32"/>
      <c r="BD421" s="146"/>
      <c r="BE421" s="32"/>
      <c r="BF421" s="146"/>
      <c r="BG421" s="32"/>
      <c r="BH421" s="146"/>
      <c r="BI421" s="32"/>
      <c r="BJ421" s="146"/>
      <c r="BK421" s="32"/>
      <c r="BL421" s="146">
        <v>458</v>
      </c>
      <c r="BM421" s="32">
        <v>493</v>
      </c>
      <c r="BN421" s="146"/>
      <c r="BO421" s="32"/>
      <c r="BP421" s="146"/>
      <c r="BQ421" s="32"/>
      <c r="BR421" s="146"/>
      <c r="BS421" s="32"/>
      <c r="BT421" s="146">
        <v>620</v>
      </c>
      <c r="BU421" s="32">
        <v>331</v>
      </c>
      <c r="BV421" s="146">
        <v>627</v>
      </c>
      <c r="BW421" s="32">
        <v>325</v>
      </c>
    </row>
    <row r="422" spans="1:75" ht="13" x14ac:dyDescent="0.25">
      <c r="A422" s="186">
        <v>6802</v>
      </c>
      <c r="B422" s="187" t="s">
        <v>444</v>
      </c>
      <c r="C422" s="46">
        <v>923</v>
      </c>
      <c r="D422" s="142">
        <v>768</v>
      </c>
      <c r="E422" s="145">
        <f t="shared" si="6"/>
        <v>0.83206933911159264</v>
      </c>
      <c r="F422" s="146">
        <v>290</v>
      </c>
      <c r="G422" s="32">
        <v>445</v>
      </c>
      <c r="H422" s="146"/>
      <c r="I422" s="32"/>
      <c r="J422" s="146"/>
      <c r="K422" s="32"/>
      <c r="L422" s="146"/>
      <c r="M422" s="32"/>
      <c r="N422" s="146"/>
      <c r="O422" s="32"/>
      <c r="P422" s="146"/>
      <c r="Q422" s="32"/>
      <c r="R422" s="146"/>
      <c r="S422" s="32"/>
      <c r="T422" s="146"/>
      <c r="U422" s="32"/>
      <c r="V422" s="146"/>
      <c r="W422" s="32"/>
      <c r="X422" s="146"/>
      <c r="Y422" s="32"/>
      <c r="Z422" s="146"/>
      <c r="AA422" s="32"/>
      <c r="AB422" s="146"/>
      <c r="AC422" s="32"/>
      <c r="AD422" s="146"/>
      <c r="AE422" s="32"/>
      <c r="AF422" s="146"/>
      <c r="AG422" s="32"/>
      <c r="AH422" s="146"/>
      <c r="AI422" s="32"/>
      <c r="AJ422" s="146"/>
      <c r="AK422" s="32"/>
      <c r="AL422" s="146"/>
      <c r="AM422" s="32"/>
      <c r="AN422" s="146"/>
      <c r="AO422" s="32"/>
      <c r="AP422" s="146"/>
      <c r="AQ422" s="32"/>
      <c r="AR422" s="146"/>
      <c r="AS422" s="32"/>
      <c r="AT422" s="146"/>
      <c r="AU422" s="32"/>
      <c r="AV422" s="146"/>
      <c r="AW422" s="32"/>
      <c r="AX422" s="146"/>
      <c r="AY422" s="32"/>
      <c r="AZ422" s="146"/>
      <c r="BA422" s="32"/>
      <c r="BB422" s="146"/>
      <c r="BC422" s="32"/>
      <c r="BD422" s="146"/>
      <c r="BE422" s="32"/>
      <c r="BF422" s="146"/>
      <c r="BG422" s="32"/>
      <c r="BH422" s="146"/>
      <c r="BI422" s="32"/>
      <c r="BJ422" s="146"/>
      <c r="BK422" s="32"/>
      <c r="BL422" s="146">
        <v>279</v>
      </c>
      <c r="BM422" s="32">
        <v>444</v>
      </c>
      <c r="BN422" s="146"/>
      <c r="BO422" s="32"/>
      <c r="BP422" s="146"/>
      <c r="BQ422" s="32"/>
      <c r="BR422" s="146"/>
      <c r="BS422" s="32"/>
      <c r="BT422" s="146">
        <v>438</v>
      </c>
      <c r="BU422" s="32">
        <v>288</v>
      </c>
      <c r="BV422" s="146">
        <v>446</v>
      </c>
      <c r="BW422" s="32">
        <v>280</v>
      </c>
    </row>
    <row r="423" spans="1:75" ht="13" x14ac:dyDescent="0.25">
      <c r="A423" s="186">
        <v>6803</v>
      </c>
      <c r="B423" s="187" t="s">
        <v>445</v>
      </c>
      <c r="C423" s="46">
        <v>250</v>
      </c>
      <c r="D423" s="142">
        <v>201</v>
      </c>
      <c r="E423" s="145">
        <f t="shared" si="6"/>
        <v>0.80400000000000005</v>
      </c>
      <c r="F423" s="146">
        <v>112</v>
      </c>
      <c r="G423" s="32">
        <v>78</v>
      </c>
      <c r="H423" s="146"/>
      <c r="I423" s="32"/>
      <c r="J423" s="146"/>
      <c r="K423" s="32"/>
      <c r="L423" s="146"/>
      <c r="M423" s="32"/>
      <c r="N423" s="146"/>
      <c r="O423" s="32"/>
      <c r="P423" s="146"/>
      <c r="Q423" s="32"/>
      <c r="R423" s="146"/>
      <c r="S423" s="32"/>
      <c r="T423" s="146"/>
      <c r="U423" s="32"/>
      <c r="V423" s="146"/>
      <c r="W423" s="32"/>
      <c r="X423" s="146"/>
      <c r="Y423" s="32"/>
      <c r="Z423" s="146"/>
      <c r="AA423" s="32"/>
      <c r="AB423" s="146"/>
      <c r="AC423" s="32"/>
      <c r="AD423" s="146"/>
      <c r="AE423" s="32"/>
      <c r="AF423" s="146"/>
      <c r="AG423" s="32"/>
      <c r="AH423" s="146"/>
      <c r="AI423" s="32"/>
      <c r="AJ423" s="146"/>
      <c r="AK423" s="32"/>
      <c r="AL423" s="146"/>
      <c r="AM423" s="32"/>
      <c r="AN423" s="146"/>
      <c r="AO423" s="32"/>
      <c r="AP423" s="146"/>
      <c r="AQ423" s="32"/>
      <c r="AR423" s="146"/>
      <c r="AS423" s="32"/>
      <c r="AT423" s="146"/>
      <c r="AU423" s="32"/>
      <c r="AV423" s="146"/>
      <c r="AW423" s="32"/>
      <c r="AX423" s="146"/>
      <c r="AY423" s="32"/>
      <c r="AZ423" s="146"/>
      <c r="BA423" s="32"/>
      <c r="BB423" s="146"/>
      <c r="BC423" s="32"/>
      <c r="BD423" s="146"/>
      <c r="BE423" s="32"/>
      <c r="BF423" s="146"/>
      <c r="BG423" s="32"/>
      <c r="BH423" s="146"/>
      <c r="BI423" s="32"/>
      <c r="BJ423" s="146"/>
      <c r="BK423" s="32"/>
      <c r="BL423" s="146"/>
      <c r="BM423" s="32"/>
      <c r="BN423" s="146"/>
      <c r="BO423" s="32"/>
      <c r="BP423" s="146"/>
      <c r="BQ423" s="32"/>
      <c r="BR423" s="146"/>
      <c r="BS423" s="32"/>
      <c r="BT423" s="146">
        <v>132</v>
      </c>
      <c r="BU423" s="32">
        <v>53</v>
      </c>
      <c r="BV423" s="146">
        <v>135</v>
      </c>
      <c r="BW423" s="32">
        <v>51</v>
      </c>
    </row>
    <row r="424" spans="1:75" ht="13" x14ac:dyDescent="0.25">
      <c r="A424" s="186">
        <v>6901</v>
      </c>
      <c r="B424" s="187" t="s">
        <v>446</v>
      </c>
      <c r="C424" s="46">
        <v>1344</v>
      </c>
      <c r="D424" s="142">
        <v>1029</v>
      </c>
      <c r="E424" s="145">
        <f t="shared" si="6"/>
        <v>0.765625</v>
      </c>
      <c r="F424" s="146">
        <v>534</v>
      </c>
      <c r="G424" s="32">
        <v>435</v>
      </c>
      <c r="H424" s="146"/>
      <c r="I424" s="32"/>
      <c r="J424" s="146"/>
      <c r="K424" s="32"/>
      <c r="L424" s="146"/>
      <c r="M424" s="32"/>
      <c r="N424" s="146"/>
      <c r="O424" s="32"/>
      <c r="P424" s="146"/>
      <c r="Q424" s="32"/>
      <c r="R424" s="146"/>
      <c r="S424" s="32"/>
      <c r="T424" s="146"/>
      <c r="U424" s="32"/>
      <c r="V424" s="146"/>
      <c r="W424" s="32"/>
      <c r="X424" s="146"/>
      <c r="Y424" s="32"/>
      <c r="Z424" s="146"/>
      <c r="AA424" s="32"/>
      <c r="AB424" s="146"/>
      <c r="AC424" s="32"/>
      <c r="AD424" s="146"/>
      <c r="AE424" s="32"/>
      <c r="AF424" s="146"/>
      <c r="AG424" s="32"/>
      <c r="AH424" s="146"/>
      <c r="AI424" s="32"/>
      <c r="AJ424" s="146"/>
      <c r="AK424" s="32"/>
      <c r="AL424" s="146"/>
      <c r="AM424" s="32"/>
      <c r="AN424" s="146"/>
      <c r="AO424" s="32"/>
      <c r="AP424" s="146"/>
      <c r="AQ424" s="32"/>
      <c r="AR424" s="146"/>
      <c r="AS424" s="32"/>
      <c r="AT424" s="146"/>
      <c r="AU424" s="32"/>
      <c r="AV424" s="146"/>
      <c r="AW424" s="32"/>
      <c r="AX424" s="146"/>
      <c r="AY424" s="32"/>
      <c r="AZ424" s="146"/>
      <c r="BA424" s="32"/>
      <c r="BB424" s="146"/>
      <c r="BC424" s="32"/>
      <c r="BD424" s="146"/>
      <c r="BE424" s="32"/>
      <c r="BF424" s="146">
        <v>536</v>
      </c>
      <c r="BG424" s="32">
        <v>454</v>
      </c>
      <c r="BH424" s="146"/>
      <c r="BI424" s="32"/>
      <c r="BJ424" s="146"/>
      <c r="BK424" s="32"/>
      <c r="BL424" s="146"/>
      <c r="BM424" s="32"/>
      <c r="BN424" s="146"/>
      <c r="BO424" s="32"/>
      <c r="BP424" s="146"/>
      <c r="BQ424" s="32"/>
      <c r="BR424" s="146"/>
      <c r="BS424" s="32"/>
      <c r="BT424" s="146">
        <v>598</v>
      </c>
      <c r="BU424" s="32">
        <v>371</v>
      </c>
      <c r="BV424" s="146">
        <v>643</v>
      </c>
      <c r="BW424" s="32">
        <v>329</v>
      </c>
    </row>
    <row r="425" spans="1:75" ht="13" x14ac:dyDescent="0.25">
      <c r="A425" s="186">
        <v>7001</v>
      </c>
      <c r="B425" s="187" t="s">
        <v>447</v>
      </c>
      <c r="C425" s="46">
        <v>1000</v>
      </c>
      <c r="D425" s="142">
        <v>820</v>
      </c>
      <c r="E425" s="145">
        <f t="shared" si="6"/>
        <v>0.82</v>
      </c>
      <c r="F425" s="146">
        <v>394</v>
      </c>
      <c r="G425" s="32">
        <v>397</v>
      </c>
      <c r="H425" s="146"/>
      <c r="I425" s="32"/>
      <c r="J425" s="146"/>
      <c r="K425" s="32"/>
      <c r="L425" s="146"/>
      <c r="M425" s="32"/>
      <c r="N425" s="146"/>
      <c r="O425" s="32"/>
      <c r="P425" s="146"/>
      <c r="Q425" s="32"/>
      <c r="R425" s="146"/>
      <c r="S425" s="32"/>
      <c r="T425" s="146"/>
      <c r="U425" s="32"/>
      <c r="V425" s="146"/>
      <c r="W425" s="32"/>
      <c r="X425" s="146"/>
      <c r="Y425" s="32"/>
      <c r="Z425" s="146"/>
      <c r="AA425" s="32"/>
      <c r="AB425" s="146"/>
      <c r="AC425" s="32"/>
      <c r="AD425" s="146">
        <v>543</v>
      </c>
      <c r="AE425" s="32">
        <v>249</v>
      </c>
      <c r="AF425" s="146"/>
      <c r="AG425" s="32"/>
      <c r="AH425" s="146"/>
      <c r="AI425" s="32"/>
      <c r="AJ425" s="146"/>
      <c r="AK425" s="32"/>
      <c r="AL425" s="146"/>
      <c r="AM425" s="32"/>
      <c r="AN425" s="146"/>
      <c r="AO425" s="32"/>
      <c r="AP425" s="146"/>
      <c r="AQ425" s="32"/>
      <c r="AR425" s="146"/>
      <c r="AS425" s="32"/>
      <c r="AT425" s="146"/>
      <c r="AU425" s="32"/>
      <c r="AV425" s="146"/>
      <c r="AW425" s="32"/>
      <c r="AX425" s="146"/>
      <c r="AY425" s="32"/>
      <c r="AZ425" s="146"/>
      <c r="BA425" s="32"/>
      <c r="BB425" s="146"/>
      <c r="BC425" s="32"/>
      <c r="BD425" s="146"/>
      <c r="BE425" s="32"/>
      <c r="BF425" s="146"/>
      <c r="BG425" s="32"/>
      <c r="BH425" s="146"/>
      <c r="BI425" s="32"/>
      <c r="BJ425" s="146"/>
      <c r="BK425" s="32"/>
      <c r="BL425" s="146">
        <v>380</v>
      </c>
      <c r="BM425" s="32">
        <v>414</v>
      </c>
      <c r="BN425" s="146"/>
      <c r="BO425" s="32"/>
      <c r="BP425" s="146"/>
      <c r="BQ425" s="32"/>
      <c r="BR425" s="146"/>
      <c r="BS425" s="32"/>
      <c r="BT425" s="146">
        <v>505</v>
      </c>
      <c r="BU425" s="32">
        <v>279</v>
      </c>
      <c r="BV425" s="146">
        <v>535</v>
      </c>
      <c r="BW425" s="32">
        <v>253</v>
      </c>
    </row>
    <row r="426" spans="1:75" ht="13" x14ac:dyDescent="0.25">
      <c r="A426" s="186">
        <v>7002</v>
      </c>
      <c r="B426" s="187" t="s">
        <v>448</v>
      </c>
      <c r="C426" s="46">
        <v>1121</v>
      </c>
      <c r="D426" s="142">
        <v>898</v>
      </c>
      <c r="E426" s="145">
        <f t="shared" si="6"/>
        <v>0.80107047279214982</v>
      </c>
      <c r="F426" s="146">
        <v>444</v>
      </c>
      <c r="G426" s="32">
        <v>431</v>
      </c>
      <c r="H426" s="146"/>
      <c r="I426" s="32"/>
      <c r="J426" s="146"/>
      <c r="K426" s="32"/>
      <c r="L426" s="146"/>
      <c r="M426" s="32"/>
      <c r="N426" s="146"/>
      <c r="O426" s="32"/>
      <c r="P426" s="146"/>
      <c r="Q426" s="32"/>
      <c r="R426" s="146"/>
      <c r="S426" s="32"/>
      <c r="T426" s="146"/>
      <c r="U426" s="32"/>
      <c r="V426" s="146"/>
      <c r="W426" s="32"/>
      <c r="X426" s="146"/>
      <c r="Y426" s="32"/>
      <c r="Z426" s="146"/>
      <c r="AA426" s="32"/>
      <c r="AB426" s="146"/>
      <c r="AC426" s="32"/>
      <c r="AD426" s="146">
        <v>614</v>
      </c>
      <c r="AE426" s="32">
        <v>246</v>
      </c>
      <c r="AF426" s="146"/>
      <c r="AG426" s="32"/>
      <c r="AH426" s="146"/>
      <c r="AI426" s="32"/>
      <c r="AJ426" s="146"/>
      <c r="AK426" s="32"/>
      <c r="AL426" s="146"/>
      <c r="AM426" s="32"/>
      <c r="AN426" s="146"/>
      <c r="AO426" s="32"/>
      <c r="AP426" s="146"/>
      <c r="AQ426" s="32"/>
      <c r="AR426" s="146"/>
      <c r="AS426" s="32"/>
      <c r="AT426" s="146"/>
      <c r="AU426" s="32"/>
      <c r="AV426" s="146"/>
      <c r="AW426" s="32"/>
      <c r="AX426" s="146"/>
      <c r="AY426" s="32"/>
      <c r="AZ426" s="146"/>
      <c r="BA426" s="32"/>
      <c r="BB426" s="146"/>
      <c r="BC426" s="32"/>
      <c r="BD426" s="146"/>
      <c r="BE426" s="32"/>
      <c r="BF426" s="146"/>
      <c r="BG426" s="32"/>
      <c r="BH426" s="146"/>
      <c r="BI426" s="32"/>
      <c r="BJ426" s="146"/>
      <c r="BK426" s="32"/>
      <c r="BL426" s="146">
        <v>399</v>
      </c>
      <c r="BM426" s="32">
        <v>457</v>
      </c>
      <c r="BN426" s="146"/>
      <c r="BO426" s="32"/>
      <c r="BP426" s="146"/>
      <c r="BQ426" s="32"/>
      <c r="BR426" s="146"/>
      <c r="BS426" s="32"/>
      <c r="BT426" s="146">
        <v>551</v>
      </c>
      <c r="BU426" s="32">
        <v>297</v>
      </c>
      <c r="BV426" s="146">
        <v>579</v>
      </c>
      <c r="BW426" s="32">
        <v>273</v>
      </c>
    </row>
    <row r="427" spans="1:75" ht="13" x14ac:dyDescent="0.25">
      <c r="A427" s="186">
        <v>7101</v>
      </c>
      <c r="B427" s="187" t="s">
        <v>449</v>
      </c>
      <c r="C427" s="46">
        <v>1416</v>
      </c>
      <c r="D427" s="142">
        <v>920</v>
      </c>
      <c r="E427" s="145">
        <f t="shared" si="6"/>
        <v>0.64971751412429379</v>
      </c>
      <c r="F427" s="146">
        <v>565</v>
      </c>
      <c r="G427" s="32">
        <v>296</v>
      </c>
      <c r="H427" s="146"/>
      <c r="I427" s="32"/>
      <c r="J427" s="146"/>
      <c r="K427" s="32"/>
      <c r="L427" s="146"/>
      <c r="M427" s="32"/>
      <c r="N427" s="146"/>
      <c r="O427" s="32"/>
      <c r="P427" s="146"/>
      <c r="Q427" s="32"/>
      <c r="R427" s="146"/>
      <c r="S427" s="32"/>
      <c r="T427" s="146"/>
      <c r="U427" s="32"/>
      <c r="V427" s="146"/>
      <c r="W427" s="32"/>
      <c r="X427" s="146"/>
      <c r="Y427" s="32"/>
      <c r="Z427" s="146"/>
      <c r="AA427" s="32"/>
      <c r="AB427" s="146"/>
      <c r="AC427" s="32"/>
      <c r="AD427" s="146"/>
      <c r="AE427" s="32"/>
      <c r="AF427" s="146">
        <v>450</v>
      </c>
      <c r="AG427" s="32">
        <v>412</v>
      </c>
      <c r="AH427" s="146"/>
      <c r="AI427" s="32"/>
      <c r="AJ427" s="146"/>
      <c r="AK427" s="32"/>
      <c r="AL427" s="146"/>
      <c r="AM427" s="32"/>
      <c r="AN427" s="146"/>
      <c r="AO427" s="32"/>
      <c r="AP427" s="146"/>
      <c r="AQ427" s="32"/>
      <c r="AR427" s="146"/>
      <c r="AS427" s="32"/>
      <c r="AT427" s="146"/>
      <c r="AU427" s="32"/>
      <c r="AV427" s="146"/>
      <c r="AW427" s="32"/>
      <c r="AX427" s="146"/>
      <c r="AY427" s="32"/>
      <c r="AZ427" s="146"/>
      <c r="BA427" s="32"/>
      <c r="BB427" s="146"/>
      <c r="BC427" s="32"/>
      <c r="BD427" s="146"/>
      <c r="BE427" s="32"/>
      <c r="BF427" s="146"/>
      <c r="BG427" s="32"/>
      <c r="BH427" s="146"/>
      <c r="BI427" s="32"/>
      <c r="BJ427" s="146"/>
      <c r="BK427" s="32"/>
      <c r="BL427" s="146"/>
      <c r="BM427" s="32"/>
      <c r="BN427" s="146"/>
      <c r="BO427" s="32"/>
      <c r="BP427" s="146"/>
      <c r="BQ427" s="32"/>
      <c r="BR427" s="146"/>
      <c r="BS427" s="32"/>
      <c r="BT427" s="146">
        <v>555</v>
      </c>
      <c r="BU427" s="32">
        <v>314</v>
      </c>
      <c r="BV427" s="146">
        <v>567</v>
      </c>
      <c r="BW427" s="32">
        <v>305</v>
      </c>
    </row>
    <row r="428" spans="1:75" ht="13" x14ac:dyDescent="0.25">
      <c r="A428" s="186">
        <v>7102</v>
      </c>
      <c r="B428" s="187" t="s">
        <v>450</v>
      </c>
      <c r="C428" s="46">
        <v>1267</v>
      </c>
      <c r="D428" s="142">
        <v>853</v>
      </c>
      <c r="E428" s="145">
        <f t="shared" si="6"/>
        <v>0.6732438831886346</v>
      </c>
      <c r="F428" s="146">
        <v>618</v>
      </c>
      <c r="G428" s="32">
        <v>180</v>
      </c>
      <c r="H428" s="146"/>
      <c r="I428" s="32"/>
      <c r="J428" s="146"/>
      <c r="K428" s="32"/>
      <c r="L428" s="146"/>
      <c r="M428" s="32"/>
      <c r="N428" s="146"/>
      <c r="O428" s="32"/>
      <c r="P428" s="146"/>
      <c r="Q428" s="32"/>
      <c r="R428" s="146"/>
      <c r="S428" s="32"/>
      <c r="T428" s="146"/>
      <c r="U428" s="32"/>
      <c r="V428" s="146"/>
      <c r="W428" s="32"/>
      <c r="X428" s="146"/>
      <c r="Y428" s="32"/>
      <c r="Z428" s="146"/>
      <c r="AA428" s="32"/>
      <c r="AB428" s="146"/>
      <c r="AC428" s="32"/>
      <c r="AD428" s="146"/>
      <c r="AE428" s="32"/>
      <c r="AF428" s="146">
        <v>434</v>
      </c>
      <c r="AG428" s="32">
        <v>376</v>
      </c>
      <c r="AH428" s="146"/>
      <c r="AI428" s="32"/>
      <c r="AJ428" s="146"/>
      <c r="AK428" s="32"/>
      <c r="AL428" s="146"/>
      <c r="AM428" s="32"/>
      <c r="AN428" s="146"/>
      <c r="AO428" s="32"/>
      <c r="AP428" s="146"/>
      <c r="AQ428" s="32"/>
      <c r="AR428" s="146"/>
      <c r="AS428" s="32"/>
      <c r="AT428" s="146"/>
      <c r="AU428" s="32"/>
      <c r="AV428" s="146"/>
      <c r="AW428" s="32"/>
      <c r="AX428" s="146"/>
      <c r="AY428" s="32"/>
      <c r="AZ428" s="146"/>
      <c r="BA428" s="32"/>
      <c r="BB428" s="146"/>
      <c r="BC428" s="32"/>
      <c r="BD428" s="146"/>
      <c r="BE428" s="32"/>
      <c r="BF428" s="146"/>
      <c r="BG428" s="32"/>
      <c r="BH428" s="146"/>
      <c r="BI428" s="32"/>
      <c r="BJ428" s="146"/>
      <c r="BK428" s="32"/>
      <c r="BL428" s="146"/>
      <c r="BM428" s="32"/>
      <c r="BN428" s="146"/>
      <c r="BO428" s="32"/>
      <c r="BP428" s="146"/>
      <c r="BQ428" s="32"/>
      <c r="BR428" s="146"/>
      <c r="BS428" s="32"/>
      <c r="BT428" s="146">
        <v>572</v>
      </c>
      <c r="BU428" s="32">
        <v>239</v>
      </c>
      <c r="BV428" s="146">
        <v>579</v>
      </c>
      <c r="BW428" s="32">
        <v>231</v>
      </c>
    </row>
    <row r="429" spans="1:75" ht="13" x14ac:dyDescent="0.25">
      <c r="A429" s="186">
        <v>7301</v>
      </c>
      <c r="B429" s="187" t="s">
        <v>451</v>
      </c>
      <c r="C429" s="46">
        <v>1191</v>
      </c>
      <c r="D429" s="142">
        <v>925</v>
      </c>
      <c r="E429" s="145">
        <f t="shared" si="6"/>
        <v>0.77665827036104118</v>
      </c>
      <c r="F429" s="146">
        <v>340</v>
      </c>
      <c r="G429" s="32">
        <v>541</v>
      </c>
      <c r="H429" s="146"/>
      <c r="I429" s="32"/>
      <c r="J429" s="146"/>
      <c r="K429" s="32"/>
      <c r="L429" s="146"/>
      <c r="M429" s="32"/>
      <c r="N429" s="146"/>
      <c r="O429" s="32"/>
      <c r="P429" s="146"/>
      <c r="Q429" s="32"/>
      <c r="R429" s="146"/>
      <c r="S429" s="32"/>
      <c r="T429" s="146"/>
      <c r="U429" s="32"/>
      <c r="V429" s="146"/>
      <c r="W429" s="32"/>
      <c r="X429" s="146"/>
      <c r="Y429" s="32"/>
      <c r="Z429" s="146"/>
      <c r="AA429" s="32"/>
      <c r="AB429" s="146"/>
      <c r="AC429" s="32"/>
      <c r="AD429" s="146"/>
      <c r="AE429" s="32"/>
      <c r="AF429" s="146"/>
      <c r="AG429" s="32"/>
      <c r="AH429" s="146"/>
      <c r="AI429" s="32"/>
      <c r="AJ429" s="146"/>
      <c r="AK429" s="32"/>
      <c r="AL429" s="146"/>
      <c r="AM429" s="32"/>
      <c r="AN429" s="146"/>
      <c r="AO429" s="32"/>
      <c r="AP429" s="146"/>
      <c r="AQ429" s="32"/>
      <c r="AR429" s="146"/>
      <c r="AS429" s="32"/>
      <c r="AT429" s="146"/>
      <c r="AU429" s="32"/>
      <c r="AV429" s="146"/>
      <c r="AW429" s="32"/>
      <c r="AX429" s="146"/>
      <c r="AY429" s="32"/>
      <c r="AZ429" s="146"/>
      <c r="BA429" s="32"/>
      <c r="BB429" s="146"/>
      <c r="BC429" s="32"/>
      <c r="BD429" s="146"/>
      <c r="BE429" s="32"/>
      <c r="BF429" s="146"/>
      <c r="BG429" s="32"/>
      <c r="BH429" s="146"/>
      <c r="BI429" s="32"/>
      <c r="BJ429" s="146"/>
      <c r="BK429" s="32"/>
      <c r="BL429" s="146"/>
      <c r="BM429" s="32"/>
      <c r="BN429" s="146"/>
      <c r="BO429" s="32"/>
      <c r="BP429" s="146"/>
      <c r="BQ429" s="32"/>
      <c r="BR429" s="146"/>
      <c r="BS429" s="32"/>
      <c r="BT429" s="146">
        <v>463</v>
      </c>
      <c r="BU429" s="32">
        <v>411</v>
      </c>
      <c r="BV429" s="146">
        <v>510</v>
      </c>
      <c r="BW429" s="32">
        <v>367</v>
      </c>
    </row>
    <row r="430" spans="1:75" ht="13" x14ac:dyDescent="0.25">
      <c r="A430" s="186">
        <v>7302</v>
      </c>
      <c r="B430" s="187" t="s">
        <v>452</v>
      </c>
      <c r="C430" s="46">
        <v>1240</v>
      </c>
      <c r="D430" s="142">
        <v>959</v>
      </c>
      <c r="E430" s="145">
        <f t="shared" si="6"/>
        <v>0.77338709677419359</v>
      </c>
      <c r="F430" s="146">
        <v>417</v>
      </c>
      <c r="G430" s="32">
        <v>499</v>
      </c>
      <c r="H430" s="146"/>
      <c r="I430" s="32"/>
      <c r="J430" s="146"/>
      <c r="K430" s="32"/>
      <c r="L430" s="146"/>
      <c r="M430" s="32"/>
      <c r="N430" s="146"/>
      <c r="O430" s="32"/>
      <c r="P430" s="146"/>
      <c r="Q430" s="32"/>
      <c r="R430" s="146"/>
      <c r="S430" s="32"/>
      <c r="T430" s="146"/>
      <c r="U430" s="32"/>
      <c r="V430" s="146"/>
      <c r="W430" s="32"/>
      <c r="X430" s="146"/>
      <c r="Y430" s="32"/>
      <c r="Z430" s="146"/>
      <c r="AA430" s="32"/>
      <c r="AB430" s="146"/>
      <c r="AC430" s="32"/>
      <c r="AD430" s="146"/>
      <c r="AE430" s="32"/>
      <c r="AF430" s="146"/>
      <c r="AG430" s="32"/>
      <c r="AH430" s="146"/>
      <c r="AI430" s="32"/>
      <c r="AJ430" s="146"/>
      <c r="AK430" s="32"/>
      <c r="AL430" s="146"/>
      <c r="AM430" s="32"/>
      <c r="AN430" s="146"/>
      <c r="AO430" s="32"/>
      <c r="AP430" s="146"/>
      <c r="AQ430" s="32"/>
      <c r="AR430" s="146"/>
      <c r="AS430" s="32"/>
      <c r="AT430" s="146"/>
      <c r="AU430" s="32"/>
      <c r="AV430" s="146"/>
      <c r="AW430" s="32"/>
      <c r="AX430" s="146"/>
      <c r="AY430" s="32"/>
      <c r="AZ430" s="146"/>
      <c r="BA430" s="32"/>
      <c r="BB430" s="146"/>
      <c r="BC430" s="32"/>
      <c r="BD430" s="146"/>
      <c r="BE430" s="32"/>
      <c r="BF430" s="146"/>
      <c r="BG430" s="32"/>
      <c r="BH430" s="146"/>
      <c r="BI430" s="32"/>
      <c r="BJ430" s="146"/>
      <c r="BK430" s="32"/>
      <c r="BL430" s="146"/>
      <c r="BM430" s="32"/>
      <c r="BN430" s="146"/>
      <c r="BO430" s="32"/>
      <c r="BP430" s="146"/>
      <c r="BQ430" s="32"/>
      <c r="BR430" s="146"/>
      <c r="BS430" s="32"/>
      <c r="BT430" s="146">
        <v>509</v>
      </c>
      <c r="BU430" s="32">
        <v>410</v>
      </c>
      <c r="BV430" s="146">
        <v>551</v>
      </c>
      <c r="BW430" s="32">
        <v>372</v>
      </c>
    </row>
    <row r="431" spans="1:75" ht="13" x14ac:dyDescent="0.25">
      <c r="A431" s="186">
        <v>7303</v>
      </c>
      <c r="B431" s="187" t="s">
        <v>453</v>
      </c>
      <c r="C431" s="46">
        <v>980</v>
      </c>
      <c r="D431" s="142">
        <v>750</v>
      </c>
      <c r="E431" s="145">
        <f t="shared" si="6"/>
        <v>0.76530612244897955</v>
      </c>
      <c r="F431" s="146">
        <v>341</v>
      </c>
      <c r="G431" s="32">
        <v>361</v>
      </c>
      <c r="H431" s="146"/>
      <c r="I431" s="32"/>
      <c r="J431" s="146"/>
      <c r="K431" s="32"/>
      <c r="L431" s="146"/>
      <c r="M431" s="32"/>
      <c r="N431" s="146"/>
      <c r="O431" s="32"/>
      <c r="P431" s="146"/>
      <c r="Q431" s="32"/>
      <c r="R431" s="146"/>
      <c r="S431" s="32"/>
      <c r="T431" s="146"/>
      <c r="U431" s="32"/>
      <c r="V431" s="146"/>
      <c r="W431" s="32"/>
      <c r="X431" s="146"/>
      <c r="Y431" s="32"/>
      <c r="Z431" s="146"/>
      <c r="AA431" s="32"/>
      <c r="AB431" s="146"/>
      <c r="AC431" s="32"/>
      <c r="AD431" s="146"/>
      <c r="AE431" s="32"/>
      <c r="AF431" s="146"/>
      <c r="AG431" s="32"/>
      <c r="AH431" s="146"/>
      <c r="AI431" s="32"/>
      <c r="AJ431" s="146"/>
      <c r="AK431" s="32"/>
      <c r="AL431" s="146"/>
      <c r="AM431" s="32"/>
      <c r="AN431" s="146"/>
      <c r="AO431" s="32"/>
      <c r="AP431" s="146"/>
      <c r="AQ431" s="32"/>
      <c r="AR431" s="146"/>
      <c r="AS431" s="32"/>
      <c r="AT431" s="146"/>
      <c r="AU431" s="32"/>
      <c r="AV431" s="146"/>
      <c r="AW431" s="32"/>
      <c r="AX431" s="146"/>
      <c r="AY431" s="32"/>
      <c r="AZ431" s="146"/>
      <c r="BA431" s="32"/>
      <c r="BB431" s="146"/>
      <c r="BC431" s="32"/>
      <c r="BD431" s="146"/>
      <c r="BE431" s="32"/>
      <c r="BF431" s="146"/>
      <c r="BG431" s="32"/>
      <c r="BH431" s="146"/>
      <c r="BI431" s="32"/>
      <c r="BJ431" s="146"/>
      <c r="BK431" s="32"/>
      <c r="BL431" s="146"/>
      <c r="BM431" s="32"/>
      <c r="BN431" s="146"/>
      <c r="BO431" s="32"/>
      <c r="BP431" s="146"/>
      <c r="BQ431" s="32"/>
      <c r="BR431" s="146"/>
      <c r="BS431" s="32"/>
      <c r="BT431" s="146">
        <v>413</v>
      </c>
      <c r="BU431" s="32">
        <v>280</v>
      </c>
      <c r="BV431" s="146">
        <v>442</v>
      </c>
      <c r="BW431" s="32">
        <v>253</v>
      </c>
    </row>
    <row r="432" spans="1:75" ht="13" x14ac:dyDescent="0.25">
      <c r="A432" s="186">
        <v>7304</v>
      </c>
      <c r="B432" s="187" t="s">
        <v>454</v>
      </c>
      <c r="C432" s="46">
        <v>1297</v>
      </c>
      <c r="D432" s="142">
        <v>1017</v>
      </c>
      <c r="E432" s="145">
        <f t="shared" si="6"/>
        <v>0.78411719352351583</v>
      </c>
      <c r="F432" s="146">
        <v>370</v>
      </c>
      <c r="G432" s="32">
        <v>599</v>
      </c>
      <c r="H432" s="146"/>
      <c r="I432" s="32"/>
      <c r="J432" s="146"/>
      <c r="K432" s="32"/>
      <c r="L432" s="146"/>
      <c r="M432" s="32"/>
      <c r="N432" s="146"/>
      <c r="O432" s="32"/>
      <c r="P432" s="146"/>
      <c r="Q432" s="32"/>
      <c r="R432" s="146"/>
      <c r="S432" s="32"/>
      <c r="T432" s="146"/>
      <c r="U432" s="32"/>
      <c r="V432" s="146"/>
      <c r="W432" s="32"/>
      <c r="X432" s="146"/>
      <c r="Y432" s="32"/>
      <c r="Z432" s="146"/>
      <c r="AA432" s="32"/>
      <c r="AB432" s="146"/>
      <c r="AC432" s="32"/>
      <c r="AD432" s="146"/>
      <c r="AE432" s="32"/>
      <c r="AF432" s="146"/>
      <c r="AG432" s="32"/>
      <c r="AH432" s="146"/>
      <c r="AI432" s="32"/>
      <c r="AJ432" s="146"/>
      <c r="AK432" s="32"/>
      <c r="AL432" s="146"/>
      <c r="AM432" s="32"/>
      <c r="AN432" s="146"/>
      <c r="AO432" s="32"/>
      <c r="AP432" s="146"/>
      <c r="AQ432" s="32"/>
      <c r="AR432" s="146"/>
      <c r="AS432" s="32"/>
      <c r="AT432" s="146"/>
      <c r="AU432" s="32"/>
      <c r="AV432" s="146"/>
      <c r="AW432" s="32"/>
      <c r="AX432" s="146"/>
      <c r="AY432" s="32"/>
      <c r="AZ432" s="146"/>
      <c r="BA432" s="32"/>
      <c r="BB432" s="146"/>
      <c r="BC432" s="32"/>
      <c r="BD432" s="146"/>
      <c r="BE432" s="32"/>
      <c r="BF432" s="146"/>
      <c r="BG432" s="32"/>
      <c r="BH432" s="146"/>
      <c r="BI432" s="32"/>
      <c r="BJ432" s="146"/>
      <c r="BK432" s="32"/>
      <c r="BL432" s="146"/>
      <c r="BM432" s="32"/>
      <c r="BN432" s="146"/>
      <c r="BO432" s="32"/>
      <c r="BP432" s="146"/>
      <c r="BQ432" s="32"/>
      <c r="BR432" s="146"/>
      <c r="BS432" s="32"/>
      <c r="BT432" s="146">
        <v>535</v>
      </c>
      <c r="BU432" s="32">
        <v>430</v>
      </c>
      <c r="BV432" s="146">
        <v>557</v>
      </c>
      <c r="BW432" s="32">
        <v>409</v>
      </c>
    </row>
    <row r="433" spans="1:75" ht="13" x14ac:dyDescent="0.25">
      <c r="A433" s="186">
        <v>7305</v>
      </c>
      <c r="B433" s="187" t="s">
        <v>455</v>
      </c>
      <c r="C433" s="46">
        <v>1300</v>
      </c>
      <c r="D433" s="142">
        <v>1097</v>
      </c>
      <c r="E433" s="145">
        <f t="shared" si="6"/>
        <v>0.8438461538461538</v>
      </c>
      <c r="F433" s="146">
        <v>382</v>
      </c>
      <c r="G433" s="32">
        <v>684</v>
      </c>
      <c r="H433" s="146"/>
      <c r="I433" s="32"/>
      <c r="J433" s="146"/>
      <c r="K433" s="32"/>
      <c r="L433" s="146"/>
      <c r="M433" s="32"/>
      <c r="N433" s="146"/>
      <c r="O433" s="32"/>
      <c r="P433" s="146"/>
      <c r="Q433" s="32"/>
      <c r="R433" s="146"/>
      <c r="S433" s="32"/>
      <c r="T433" s="146"/>
      <c r="U433" s="32"/>
      <c r="V433" s="146"/>
      <c r="W433" s="32"/>
      <c r="X433" s="146"/>
      <c r="Y433" s="32"/>
      <c r="Z433" s="146"/>
      <c r="AA433" s="32"/>
      <c r="AB433" s="146"/>
      <c r="AC433" s="32"/>
      <c r="AD433" s="146"/>
      <c r="AE433" s="32"/>
      <c r="AF433" s="146"/>
      <c r="AG433" s="32"/>
      <c r="AH433" s="146"/>
      <c r="AI433" s="32"/>
      <c r="AJ433" s="146"/>
      <c r="AK433" s="32"/>
      <c r="AL433" s="146"/>
      <c r="AM433" s="32"/>
      <c r="AN433" s="146"/>
      <c r="AO433" s="32"/>
      <c r="AP433" s="146"/>
      <c r="AQ433" s="32"/>
      <c r="AR433" s="146"/>
      <c r="AS433" s="32"/>
      <c r="AT433" s="146"/>
      <c r="AU433" s="32"/>
      <c r="AV433" s="146"/>
      <c r="AW433" s="32"/>
      <c r="AX433" s="146"/>
      <c r="AY433" s="32"/>
      <c r="AZ433" s="146"/>
      <c r="BA433" s="32"/>
      <c r="BB433" s="146"/>
      <c r="BC433" s="32"/>
      <c r="BD433" s="146"/>
      <c r="BE433" s="32"/>
      <c r="BF433" s="146"/>
      <c r="BG433" s="32"/>
      <c r="BH433" s="146"/>
      <c r="BI433" s="32"/>
      <c r="BJ433" s="146"/>
      <c r="BK433" s="32"/>
      <c r="BL433" s="146"/>
      <c r="BM433" s="32"/>
      <c r="BN433" s="146"/>
      <c r="BO433" s="32"/>
      <c r="BP433" s="146"/>
      <c r="BQ433" s="32"/>
      <c r="BR433" s="146"/>
      <c r="BS433" s="32"/>
      <c r="BT433" s="146">
        <v>567</v>
      </c>
      <c r="BU433" s="32">
        <v>464</v>
      </c>
      <c r="BV433" s="146">
        <v>604</v>
      </c>
      <c r="BW433" s="32">
        <v>428</v>
      </c>
    </row>
    <row r="434" spans="1:75" ht="13" x14ac:dyDescent="0.25">
      <c r="A434" s="186">
        <v>7306</v>
      </c>
      <c r="B434" s="187" t="s">
        <v>456</v>
      </c>
      <c r="C434" s="46">
        <v>1172</v>
      </c>
      <c r="D434" s="142">
        <v>886</v>
      </c>
      <c r="E434" s="145">
        <f t="shared" si="6"/>
        <v>0.75597269624573382</v>
      </c>
      <c r="F434" s="146">
        <v>288</v>
      </c>
      <c r="G434" s="32">
        <v>540</v>
      </c>
      <c r="H434" s="146"/>
      <c r="I434" s="32"/>
      <c r="J434" s="146"/>
      <c r="K434" s="32"/>
      <c r="L434" s="146"/>
      <c r="M434" s="32"/>
      <c r="N434" s="146"/>
      <c r="O434" s="32"/>
      <c r="P434" s="146"/>
      <c r="Q434" s="32"/>
      <c r="R434" s="146"/>
      <c r="S434" s="32"/>
      <c r="T434" s="146"/>
      <c r="U434" s="32"/>
      <c r="V434" s="146"/>
      <c r="W434" s="32"/>
      <c r="X434" s="146"/>
      <c r="Y434" s="32"/>
      <c r="Z434" s="146"/>
      <c r="AA434" s="32"/>
      <c r="AB434" s="146"/>
      <c r="AC434" s="32"/>
      <c r="AD434" s="146"/>
      <c r="AE434" s="32"/>
      <c r="AF434" s="146"/>
      <c r="AG434" s="32"/>
      <c r="AH434" s="146"/>
      <c r="AI434" s="32"/>
      <c r="AJ434" s="146"/>
      <c r="AK434" s="32"/>
      <c r="AL434" s="146"/>
      <c r="AM434" s="32"/>
      <c r="AN434" s="146"/>
      <c r="AO434" s="32"/>
      <c r="AP434" s="146"/>
      <c r="AQ434" s="32"/>
      <c r="AR434" s="146"/>
      <c r="AS434" s="32"/>
      <c r="AT434" s="146"/>
      <c r="AU434" s="32"/>
      <c r="AV434" s="146"/>
      <c r="AW434" s="32"/>
      <c r="AX434" s="146"/>
      <c r="AY434" s="32"/>
      <c r="AZ434" s="146"/>
      <c r="BA434" s="32"/>
      <c r="BB434" s="146"/>
      <c r="BC434" s="32"/>
      <c r="BD434" s="146"/>
      <c r="BE434" s="32"/>
      <c r="BF434" s="146"/>
      <c r="BG434" s="32"/>
      <c r="BH434" s="146"/>
      <c r="BI434" s="32"/>
      <c r="BJ434" s="146"/>
      <c r="BK434" s="32"/>
      <c r="BL434" s="146"/>
      <c r="BM434" s="32"/>
      <c r="BN434" s="146"/>
      <c r="BO434" s="32"/>
      <c r="BP434" s="146"/>
      <c r="BQ434" s="32"/>
      <c r="BR434" s="146"/>
      <c r="BS434" s="32"/>
      <c r="BT434" s="146">
        <v>402</v>
      </c>
      <c r="BU434" s="32">
        <v>413</v>
      </c>
      <c r="BV434" s="146">
        <v>472</v>
      </c>
      <c r="BW434" s="32">
        <v>345</v>
      </c>
    </row>
    <row r="435" spans="1:75" ht="13" x14ac:dyDescent="0.25">
      <c r="A435" s="186">
        <v>7307</v>
      </c>
      <c r="B435" s="187" t="s">
        <v>457</v>
      </c>
      <c r="C435" s="46">
        <v>836</v>
      </c>
      <c r="D435" s="142">
        <v>724</v>
      </c>
      <c r="E435" s="145">
        <f t="shared" si="6"/>
        <v>0.86602870813397126</v>
      </c>
      <c r="F435" s="146">
        <v>178</v>
      </c>
      <c r="G435" s="32">
        <v>511</v>
      </c>
      <c r="H435" s="146"/>
      <c r="I435" s="32"/>
      <c r="J435" s="146"/>
      <c r="K435" s="32"/>
      <c r="L435" s="146"/>
      <c r="M435" s="32"/>
      <c r="N435" s="146"/>
      <c r="O435" s="32"/>
      <c r="P435" s="146"/>
      <c r="Q435" s="32"/>
      <c r="R435" s="146"/>
      <c r="S435" s="32"/>
      <c r="T435" s="146"/>
      <c r="U435" s="32"/>
      <c r="V435" s="146"/>
      <c r="W435" s="32"/>
      <c r="X435" s="146"/>
      <c r="Y435" s="32"/>
      <c r="Z435" s="146"/>
      <c r="AA435" s="32"/>
      <c r="AB435" s="146"/>
      <c r="AC435" s="32"/>
      <c r="AD435" s="146"/>
      <c r="AE435" s="32"/>
      <c r="AF435" s="146"/>
      <c r="AG435" s="32"/>
      <c r="AH435" s="146"/>
      <c r="AI435" s="32"/>
      <c r="AJ435" s="146"/>
      <c r="AK435" s="32"/>
      <c r="AL435" s="146"/>
      <c r="AM435" s="32"/>
      <c r="AN435" s="146"/>
      <c r="AO435" s="32"/>
      <c r="AP435" s="146"/>
      <c r="AQ435" s="32"/>
      <c r="AR435" s="146"/>
      <c r="AS435" s="32"/>
      <c r="AT435" s="146"/>
      <c r="AU435" s="32"/>
      <c r="AV435" s="146"/>
      <c r="AW435" s="32"/>
      <c r="AX435" s="146"/>
      <c r="AY435" s="32"/>
      <c r="AZ435" s="146"/>
      <c r="BA435" s="32"/>
      <c r="BB435" s="146"/>
      <c r="BC435" s="32"/>
      <c r="BD435" s="146"/>
      <c r="BE435" s="32"/>
      <c r="BF435" s="146"/>
      <c r="BG435" s="32"/>
      <c r="BH435" s="146"/>
      <c r="BI435" s="32"/>
      <c r="BJ435" s="146"/>
      <c r="BK435" s="32"/>
      <c r="BL435" s="146"/>
      <c r="BM435" s="32"/>
      <c r="BN435" s="146"/>
      <c r="BO435" s="32"/>
      <c r="BP435" s="146"/>
      <c r="BQ435" s="32"/>
      <c r="BR435" s="146"/>
      <c r="BS435" s="32"/>
      <c r="BT435" s="146">
        <v>299</v>
      </c>
      <c r="BU435" s="32">
        <v>379</v>
      </c>
      <c r="BV435" s="146">
        <v>327</v>
      </c>
      <c r="BW435" s="32">
        <v>353</v>
      </c>
    </row>
    <row r="436" spans="1:75" ht="13" x14ac:dyDescent="0.25">
      <c r="A436" s="186">
        <v>7308</v>
      </c>
      <c r="B436" s="187" t="s">
        <v>458</v>
      </c>
      <c r="C436" s="46">
        <v>836</v>
      </c>
      <c r="D436" s="142">
        <v>617</v>
      </c>
      <c r="E436" s="145">
        <f t="shared" si="6"/>
        <v>0.73803827751196172</v>
      </c>
      <c r="F436" s="146">
        <v>318</v>
      </c>
      <c r="G436" s="32">
        <v>277</v>
      </c>
      <c r="H436" s="146"/>
      <c r="I436" s="32"/>
      <c r="J436" s="146"/>
      <c r="K436" s="32"/>
      <c r="L436" s="146"/>
      <c r="M436" s="32"/>
      <c r="N436" s="146"/>
      <c r="O436" s="32"/>
      <c r="P436" s="146"/>
      <c r="Q436" s="32"/>
      <c r="R436" s="146"/>
      <c r="S436" s="32"/>
      <c r="T436" s="146"/>
      <c r="U436" s="32"/>
      <c r="V436" s="146"/>
      <c r="W436" s="32"/>
      <c r="X436" s="146"/>
      <c r="Y436" s="32"/>
      <c r="Z436" s="146"/>
      <c r="AA436" s="32"/>
      <c r="AB436" s="146"/>
      <c r="AC436" s="32"/>
      <c r="AD436" s="146"/>
      <c r="AE436" s="32"/>
      <c r="AF436" s="146"/>
      <c r="AG436" s="32"/>
      <c r="AH436" s="146"/>
      <c r="AI436" s="32"/>
      <c r="AJ436" s="146"/>
      <c r="AK436" s="32"/>
      <c r="AL436" s="146"/>
      <c r="AM436" s="32"/>
      <c r="AN436" s="146"/>
      <c r="AO436" s="32"/>
      <c r="AP436" s="146"/>
      <c r="AQ436" s="32"/>
      <c r="AR436" s="146"/>
      <c r="AS436" s="32"/>
      <c r="AT436" s="146"/>
      <c r="AU436" s="32"/>
      <c r="AV436" s="146"/>
      <c r="AW436" s="32"/>
      <c r="AX436" s="146"/>
      <c r="AY436" s="32"/>
      <c r="AZ436" s="146"/>
      <c r="BA436" s="32"/>
      <c r="BB436" s="146"/>
      <c r="BC436" s="32"/>
      <c r="BD436" s="146"/>
      <c r="BE436" s="32"/>
      <c r="BF436" s="146"/>
      <c r="BG436" s="32"/>
      <c r="BH436" s="146"/>
      <c r="BI436" s="32"/>
      <c r="BJ436" s="146"/>
      <c r="BK436" s="32"/>
      <c r="BL436" s="146"/>
      <c r="BM436" s="32"/>
      <c r="BN436" s="146"/>
      <c r="BO436" s="32"/>
      <c r="BP436" s="146"/>
      <c r="BQ436" s="32"/>
      <c r="BR436" s="146"/>
      <c r="BS436" s="32"/>
      <c r="BT436" s="146">
        <v>336</v>
      </c>
      <c r="BU436" s="32">
        <v>255</v>
      </c>
      <c r="BV436" s="146">
        <v>364</v>
      </c>
      <c r="BW436" s="32">
        <v>230</v>
      </c>
    </row>
    <row r="437" spans="1:75" ht="13" x14ac:dyDescent="0.25">
      <c r="A437" s="186">
        <v>7309</v>
      </c>
      <c r="B437" s="187" t="s">
        <v>459</v>
      </c>
      <c r="C437" s="46">
        <v>1207</v>
      </c>
      <c r="D437" s="142">
        <v>872</v>
      </c>
      <c r="E437" s="145">
        <f t="shared" si="6"/>
        <v>0.72245236122618062</v>
      </c>
      <c r="F437" s="146">
        <v>317</v>
      </c>
      <c r="G437" s="32">
        <v>505</v>
      </c>
      <c r="H437" s="146"/>
      <c r="I437" s="32"/>
      <c r="J437" s="146"/>
      <c r="K437" s="32"/>
      <c r="L437" s="146"/>
      <c r="M437" s="32"/>
      <c r="N437" s="146"/>
      <c r="O437" s="32"/>
      <c r="P437" s="146"/>
      <c r="Q437" s="32"/>
      <c r="R437" s="146"/>
      <c r="S437" s="32"/>
      <c r="T437" s="146"/>
      <c r="U437" s="32"/>
      <c r="V437" s="146"/>
      <c r="W437" s="32"/>
      <c r="X437" s="146"/>
      <c r="Y437" s="32"/>
      <c r="Z437" s="146"/>
      <c r="AA437" s="32"/>
      <c r="AB437" s="146"/>
      <c r="AC437" s="32"/>
      <c r="AD437" s="146"/>
      <c r="AE437" s="32"/>
      <c r="AF437" s="146"/>
      <c r="AG437" s="32"/>
      <c r="AH437" s="146"/>
      <c r="AI437" s="32"/>
      <c r="AJ437" s="146"/>
      <c r="AK437" s="32"/>
      <c r="AL437" s="146"/>
      <c r="AM437" s="32"/>
      <c r="AN437" s="146"/>
      <c r="AO437" s="32"/>
      <c r="AP437" s="146"/>
      <c r="AQ437" s="32"/>
      <c r="AR437" s="146"/>
      <c r="AS437" s="32"/>
      <c r="AT437" s="146"/>
      <c r="AU437" s="32"/>
      <c r="AV437" s="146"/>
      <c r="AW437" s="32"/>
      <c r="AX437" s="146"/>
      <c r="AY437" s="32"/>
      <c r="AZ437" s="146"/>
      <c r="BA437" s="32"/>
      <c r="BB437" s="146"/>
      <c r="BC437" s="32"/>
      <c r="BD437" s="146"/>
      <c r="BE437" s="32"/>
      <c r="BF437" s="146"/>
      <c r="BG437" s="32"/>
      <c r="BH437" s="146"/>
      <c r="BI437" s="32"/>
      <c r="BJ437" s="146"/>
      <c r="BK437" s="32"/>
      <c r="BL437" s="146"/>
      <c r="BM437" s="32"/>
      <c r="BN437" s="146"/>
      <c r="BO437" s="32"/>
      <c r="BP437" s="146"/>
      <c r="BQ437" s="32"/>
      <c r="BR437" s="146"/>
      <c r="BS437" s="32"/>
      <c r="BT437" s="146">
        <v>438</v>
      </c>
      <c r="BU437" s="32">
        <v>387</v>
      </c>
      <c r="BV437" s="146">
        <v>499</v>
      </c>
      <c r="BW437" s="32">
        <v>329</v>
      </c>
    </row>
    <row r="438" spans="1:75" ht="13" x14ac:dyDescent="0.25">
      <c r="A438" s="186">
        <v>7310</v>
      </c>
      <c r="B438" s="187" t="s">
        <v>460</v>
      </c>
      <c r="C438" s="46">
        <v>920</v>
      </c>
      <c r="D438" s="142">
        <v>760</v>
      </c>
      <c r="E438" s="145">
        <f t="shared" si="6"/>
        <v>0.82608695652173914</v>
      </c>
      <c r="F438" s="146">
        <v>277</v>
      </c>
      <c r="G438" s="32">
        <v>457</v>
      </c>
      <c r="H438" s="146"/>
      <c r="I438" s="32"/>
      <c r="J438" s="146"/>
      <c r="K438" s="32"/>
      <c r="L438" s="146"/>
      <c r="M438" s="32"/>
      <c r="N438" s="146"/>
      <c r="O438" s="32"/>
      <c r="P438" s="146"/>
      <c r="Q438" s="32"/>
      <c r="R438" s="146"/>
      <c r="S438" s="32"/>
      <c r="T438" s="146"/>
      <c r="U438" s="32"/>
      <c r="V438" s="146"/>
      <c r="W438" s="32"/>
      <c r="X438" s="146"/>
      <c r="Y438" s="32"/>
      <c r="Z438" s="146"/>
      <c r="AA438" s="32"/>
      <c r="AB438" s="146"/>
      <c r="AC438" s="32"/>
      <c r="AD438" s="146"/>
      <c r="AE438" s="32"/>
      <c r="AF438" s="146"/>
      <c r="AG438" s="32"/>
      <c r="AH438" s="146"/>
      <c r="AI438" s="32"/>
      <c r="AJ438" s="146"/>
      <c r="AK438" s="32"/>
      <c r="AL438" s="146"/>
      <c r="AM438" s="32"/>
      <c r="AN438" s="146"/>
      <c r="AO438" s="32"/>
      <c r="AP438" s="146"/>
      <c r="AQ438" s="32"/>
      <c r="AR438" s="146"/>
      <c r="AS438" s="32"/>
      <c r="AT438" s="146"/>
      <c r="AU438" s="32"/>
      <c r="AV438" s="146"/>
      <c r="AW438" s="32"/>
      <c r="AX438" s="146"/>
      <c r="AY438" s="32"/>
      <c r="AZ438" s="146"/>
      <c r="BA438" s="32"/>
      <c r="BB438" s="146"/>
      <c r="BC438" s="32"/>
      <c r="BD438" s="146"/>
      <c r="BE438" s="32"/>
      <c r="BF438" s="146"/>
      <c r="BG438" s="32"/>
      <c r="BH438" s="146"/>
      <c r="BI438" s="32"/>
      <c r="BJ438" s="146"/>
      <c r="BK438" s="32"/>
      <c r="BL438" s="146"/>
      <c r="BM438" s="32"/>
      <c r="BN438" s="146"/>
      <c r="BO438" s="32"/>
      <c r="BP438" s="146"/>
      <c r="BQ438" s="32"/>
      <c r="BR438" s="146"/>
      <c r="BS438" s="32"/>
      <c r="BT438" s="146">
        <v>357</v>
      </c>
      <c r="BU438" s="32">
        <v>361</v>
      </c>
      <c r="BV438" s="146">
        <v>361</v>
      </c>
      <c r="BW438" s="32">
        <v>358</v>
      </c>
    </row>
    <row r="439" spans="1:75" ht="13" x14ac:dyDescent="0.25">
      <c r="A439" s="186">
        <v>7311</v>
      </c>
      <c r="B439" s="187" t="s">
        <v>461</v>
      </c>
      <c r="C439" s="46">
        <v>1239</v>
      </c>
      <c r="D439" s="142">
        <v>1033</v>
      </c>
      <c r="E439" s="145">
        <f t="shared" si="6"/>
        <v>0.83373688458434225</v>
      </c>
      <c r="F439" s="146">
        <v>374</v>
      </c>
      <c r="G439" s="32">
        <v>610</v>
      </c>
      <c r="H439" s="146"/>
      <c r="I439" s="32"/>
      <c r="J439" s="146"/>
      <c r="K439" s="32"/>
      <c r="L439" s="146"/>
      <c r="M439" s="32"/>
      <c r="N439" s="146"/>
      <c r="O439" s="32"/>
      <c r="P439" s="146"/>
      <c r="Q439" s="32"/>
      <c r="R439" s="146"/>
      <c r="S439" s="32"/>
      <c r="T439" s="146"/>
      <c r="U439" s="32"/>
      <c r="V439" s="146"/>
      <c r="W439" s="32"/>
      <c r="X439" s="146"/>
      <c r="Y439" s="32"/>
      <c r="Z439" s="146"/>
      <c r="AA439" s="32"/>
      <c r="AB439" s="146"/>
      <c r="AC439" s="32"/>
      <c r="AD439" s="146"/>
      <c r="AE439" s="32"/>
      <c r="AF439" s="146"/>
      <c r="AG439" s="32"/>
      <c r="AH439" s="146"/>
      <c r="AI439" s="32"/>
      <c r="AJ439" s="146"/>
      <c r="AK439" s="32"/>
      <c r="AL439" s="146"/>
      <c r="AM439" s="32"/>
      <c r="AN439" s="146"/>
      <c r="AO439" s="32"/>
      <c r="AP439" s="146"/>
      <c r="AQ439" s="32"/>
      <c r="AR439" s="146"/>
      <c r="AS439" s="32"/>
      <c r="AT439" s="146"/>
      <c r="AU439" s="32"/>
      <c r="AV439" s="146"/>
      <c r="AW439" s="32"/>
      <c r="AX439" s="146"/>
      <c r="AY439" s="32"/>
      <c r="AZ439" s="146"/>
      <c r="BA439" s="32"/>
      <c r="BB439" s="146"/>
      <c r="BC439" s="32"/>
      <c r="BD439" s="146"/>
      <c r="BE439" s="32"/>
      <c r="BF439" s="146"/>
      <c r="BG439" s="32"/>
      <c r="BH439" s="146"/>
      <c r="BI439" s="32"/>
      <c r="BJ439" s="146"/>
      <c r="BK439" s="32"/>
      <c r="BL439" s="146"/>
      <c r="BM439" s="32"/>
      <c r="BN439" s="146"/>
      <c r="BO439" s="32"/>
      <c r="BP439" s="146"/>
      <c r="BQ439" s="32"/>
      <c r="BR439" s="146"/>
      <c r="BS439" s="32"/>
      <c r="BT439" s="146">
        <v>527</v>
      </c>
      <c r="BU439" s="32">
        <v>442</v>
      </c>
      <c r="BV439" s="146">
        <v>539</v>
      </c>
      <c r="BW439" s="32">
        <v>434</v>
      </c>
    </row>
    <row r="440" spans="1:75" ht="13" x14ac:dyDescent="0.25">
      <c r="A440" s="186">
        <v>7312</v>
      </c>
      <c r="B440" s="187" t="s">
        <v>462</v>
      </c>
      <c r="C440" s="46">
        <v>1337</v>
      </c>
      <c r="D440" s="142">
        <v>1068</v>
      </c>
      <c r="E440" s="145">
        <f t="shared" si="6"/>
        <v>0.79880329094988778</v>
      </c>
      <c r="F440" s="146">
        <v>378</v>
      </c>
      <c r="G440" s="32">
        <v>645</v>
      </c>
      <c r="H440" s="146"/>
      <c r="I440" s="32"/>
      <c r="J440" s="146"/>
      <c r="K440" s="32"/>
      <c r="L440" s="146"/>
      <c r="M440" s="32"/>
      <c r="N440" s="146"/>
      <c r="O440" s="32"/>
      <c r="P440" s="146"/>
      <c r="Q440" s="32"/>
      <c r="R440" s="146"/>
      <c r="S440" s="32"/>
      <c r="T440" s="146"/>
      <c r="U440" s="32"/>
      <c r="V440" s="146"/>
      <c r="W440" s="32"/>
      <c r="X440" s="146"/>
      <c r="Y440" s="32"/>
      <c r="Z440" s="146"/>
      <c r="AA440" s="32"/>
      <c r="AB440" s="146"/>
      <c r="AC440" s="32"/>
      <c r="AD440" s="146"/>
      <c r="AE440" s="32"/>
      <c r="AF440" s="146"/>
      <c r="AG440" s="32"/>
      <c r="AH440" s="146"/>
      <c r="AI440" s="32"/>
      <c r="AJ440" s="146"/>
      <c r="AK440" s="32"/>
      <c r="AL440" s="146"/>
      <c r="AM440" s="32"/>
      <c r="AN440" s="146"/>
      <c r="AO440" s="32"/>
      <c r="AP440" s="146"/>
      <c r="AQ440" s="32"/>
      <c r="AR440" s="146"/>
      <c r="AS440" s="32"/>
      <c r="AT440" s="146"/>
      <c r="AU440" s="32"/>
      <c r="AV440" s="146"/>
      <c r="AW440" s="32"/>
      <c r="AX440" s="146"/>
      <c r="AY440" s="32"/>
      <c r="AZ440" s="146"/>
      <c r="BA440" s="32"/>
      <c r="BB440" s="146"/>
      <c r="BC440" s="32"/>
      <c r="BD440" s="146"/>
      <c r="BE440" s="32"/>
      <c r="BF440" s="146"/>
      <c r="BG440" s="32"/>
      <c r="BH440" s="146"/>
      <c r="BI440" s="32"/>
      <c r="BJ440" s="146"/>
      <c r="BK440" s="32"/>
      <c r="BL440" s="146"/>
      <c r="BM440" s="32"/>
      <c r="BN440" s="146"/>
      <c r="BO440" s="32"/>
      <c r="BP440" s="146"/>
      <c r="BQ440" s="32"/>
      <c r="BR440" s="146"/>
      <c r="BS440" s="32"/>
      <c r="BT440" s="146">
        <v>567</v>
      </c>
      <c r="BU440" s="32">
        <v>445</v>
      </c>
      <c r="BV440" s="146">
        <v>603</v>
      </c>
      <c r="BW440" s="32">
        <v>409</v>
      </c>
    </row>
    <row r="441" spans="1:75" ht="13" x14ac:dyDescent="0.25">
      <c r="A441" s="186">
        <v>7313</v>
      </c>
      <c r="B441" s="187" t="s">
        <v>463</v>
      </c>
      <c r="C441" s="46">
        <v>723</v>
      </c>
      <c r="D441" s="142">
        <v>608</v>
      </c>
      <c r="E441" s="145">
        <f t="shared" si="6"/>
        <v>0.8409405255878285</v>
      </c>
      <c r="F441" s="146">
        <v>170</v>
      </c>
      <c r="G441" s="32">
        <v>412</v>
      </c>
      <c r="H441" s="146"/>
      <c r="I441" s="32"/>
      <c r="J441" s="146"/>
      <c r="K441" s="32"/>
      <c r="L441" s="146"/>
      <c r="M441" s="32"/>
      <c r="N441" s="146"/>
      <c r="O441" s="32"/>
      <c r="P441" s="146"/>
      <c r="Q441" s="32"/>
      <c r="R441" s="146"/>
      <c r="S441" s="32"/>
      <c r="T441" s="146"/>
      <c r="U441" s="32"/>
      <c r="V441" s="146"/>
      <c r="W441" s="32"/>
      <c r="X441" s="146"/>
      <c r="Y441" s="32"/>
      <c r="Z441" s="146"/>
      <c r="AA441" s="32"/>
      <c r="AB441" s="146"/>
      <c r="AC441" s="32"/>
      <c r="AD441" s="146"/>
      <c r="AE441" s="32"/>
      <c r="AF441" s="146"/>
      <c r="AG441" s="32"/>
      <c r="AH441" s="146"/>
      <c r="AI441" s="32"/>
      <c r="AJ441" s="146"/>
      <c r="AK441" s="32"/>
      <c r="AL441" s="146"/>
      <c r="AM441" s="32"/>
      <c r="AN441" s="146"/>
      <c r="AO441" s="32"/>
      <c r="AP441" s="146"/>
      <c r="AQ441" s="32"/>
      <c r="AR441" s="146"/>
      <c r="AS441" s="32"/>
      <c r="AT441" s="146"/>
      <c r="AU441" s="32"/>
      <c r="AV441" s="146"/>
      <c r="AW441" s="32"/>
      <c r="AX441" s="146"/>
      <c r="AY441" s="32"/>
      <c r="AZ441" s="146"/>
      <c r="BA441" s="32"/>
      <c r="BB441" s="146"/>
      <c r="BC441" s="32"/>
      <c r="BD441" s="146"/>
      <c r="BE441" s="32"/>
      <c r="BF441" s="146"/>
      <c r="BG441" s="32"/>
      <c r="BH441" s="146"/>
      <c r="BI441" s="32"/>
      <c r="BJ441" s="146"/>
      <c r="BK441" s="32"/>
      <c r="BL441" s="146"/>
      <c r="BM441" s="32"/>
      <c r="BN441" s="146"/>
      <c r="BO441" s="32"/>
      <c r="BP441" s="146"/>
      <c r="BQ441" s="32"/>
      <c r="BR441" s="146"/>
      <c r="BS441" s="32"/>
      <c r="BT441" s="146">
        <v>272</v>
      </c>
      <c r="BU441" s="32">
        <v>301</v>
      </c>
      <c r="BV441" s="146">
        <v>301</v>
      </c>
      <c r="BW441" s="32">
        <v>271</v>
      </c>
    </row>
    <row r="442" spans="1:75" ht="13" x14ac:dyDescent="0.25">
      <c r="A442" s="186">
        <v>7314</v>
      </c>
      <c r="B442" s="187" t="s">
        <v>464</v>
      </c>
      <c r="C442" s="46">
        <v>1371</v>
      </c>
      <c r="D442" s="142">
        <v>1000</v>
      </c>
      <c r="E442" s="145">
        <f t="shared" si="6"/>
        <v>0.7293946024799417</v>
      </c>
      <c r="F442" s="146">
        <v>338</v>
      </c>
      <c r="G442" s="32">
        <v>603</v>
      </c>
      <c r="H442" s="146"/>
      <c r="I442" s="32"/>
      <c r="J442" s="146"/>
      <c r="K442" s="32"/>
      <c r="L442" s="146"/>
      <c r="M442" s="32"/>
      <c r="N442" s="146"/>
      <c r="O442" s="32"/>
      <c r="P442" s="146"/>
      <c r="Q442" s="32"/>
      <c r="R442" s="146"/>
      <c r="S442" s="32"/>
      <c r="T442" s="146"/>
      <c r="U442" s="32"/>
      <c r="V442" s="146"/>
      <c r="W442" s="32"/>
      <c r="X442" s="146"/>
      <c r="Y442" s="32"/>
      <c r="Z442" s="146"/>
      <c r="AA442" s="32"/>
      <c r="AB442" s="146"/>
      <c r="AC442" s="32"/>
      <c r="AD442" s="146"/>
      <c r="AE442" s="32"/>
      <c r="AF442" s="146"/>
      <c r="AG442" s="32"/>
      <c r="AH442" s="146"/>
      <c r="AI442" s="32"/>
      <c r="AJ442" s="146"/>
      <c r="AK442" s="32"/>
      <c r="AL442" s="146"/>
      <c r="AM442" s="32"/>
      <c r="AN442" s="146"/>
      <c r="AO442" s="32"/>
      <c r="AP442" s="146"/>
      <c r="AQ442" s="32"/>
      <c r="AR442" s="146"/>
      <c r="AS442" s="32"/>
      <c r="AT442" s="146"/>
      <c r="AU442" s="32"/>
      <c r="AV442" s="146"/>
      <c r="AW442" s="32"/>
      <c r="AX442" s="146"/>
      <c r="AY442" s="32"/>
      <c r="AZ442" s="146"/>
      <c r="BA442" s="32"/>
      <c r="BB442" s="146"/>
      <c r="BC442" s="32"/>
      <c r="BD442" s="146"/>
      <c r="BE442" s="32"/>
      <c r="BF442" s="146"/>
      <c r="BG442" s="32"/>
      <c r="BH442" s="146"/>
      <c r="BI442" s="32"/>
      <c r="BJ442" s="146"/>
      <c r="BK442" s="32"/>
      <c r="BL442" s="146"/>
      <c r="BM442" s="32"/>
      <c r="BN442" s="146"/>
      <c r="BO442" s="32"/>
      <c r="BP442" s="146"/>
      <c r="BQ442" s="32"/>
      <c r="BR442" s="146"/>
      <c r="BS442" s="32"/>
      <c r="BT442" s="146">
        <v>451</v>
      </c>
      <c r="BU442" s="32">
        <v>486</v>
      </c>
      <c r="BV442" s="146">
        <v>535</v>
      </c>
      <c r="BW442" s="32">
        <v>401</v>
      </c>
    </row>
    <row r="443" spans="1:75" ht="13" x14ac:dyDescent="0.25">
      <c r="A443" s="186">
        <v>7315</v>
      </c>
      <c r="B443" s="187" t="s">
        <v>465</v>
      </c>
      <c r="C443" s="46">
        <v>1367</v>
      </c>
      <c r="D443" s="142">
        <v>994</v>
      </c>
      <c r="E443" s="145">
        <f t="shared" si="6"/>
        <v>0.72713972201901977</v>
      </c>
      <c r="F443" s="146">
        <v>438</v>
      </c>
      <c r="G443" s="32">
        <v>496</v>
      </c>
      <c r="H443" s="146"/>
      <c r="I443" s="32"/>
      <c r="J443" s="146"/>
      <c r="K443" s="32"/>
      <c r="L443" s="146"/>
      <c r="M443" s="32"/>
      <c r="N443" s="146"/>
      <c r="O443" s="32"/>
      <c r="P443" s="146"/>
      <c r="Q443" s="32"/>
      <c r="R443" s="146"/>
      <c r="S443" s="32"/>
      <c r="T443" s="146"/>
      <c r="U443" s="32"/>
      <c r="V443" s="146"/>
      <c r="W443" s="32"/>
      <c r="X443" s="146"/>
      <c r="Y443" s="32"/>
      <c r="Z443" s="146"/>
      <c r="AA443" s="32"/>
      <c r="AB443" s="146"/>
      <c r="AC443" s="32"/>
      <c r="AD443" s="146"/>
      <c r="AE443" s="32"/>
      <c r="AF443" s="146"/>
      <c r="AG443" s="32"/>
      <c r="AH443" s="146"/>
      <c r="AI443" s="32"/>
      <c r="AJ443" s="146"/>
      <c r="AK443" s="32"/>
      <c r="AL443" s="146"/>
      <c r="AM443" s="32"/>
      <c r="AN443" s="146"/>
      <c r="AO443" s="32"/>
      <c r="AP443" s="146"/>
      <c r="AQ443" s="32"/>
      <c r="AR443" s="146"/>
      <c r="AS443" s="32"/>
      <c r="AT443" s="146"/>
      <c r="AU443" s="32"/>
      <c r="AV443" s="146"/>
      <c r="AW443" s="32"/>
      <c r="AX443" s="146"/>
      <c r="AY443" s="32"/>
      <c r="AZ443" s="146"/>
      <c r="BA443" s="32"/>
      <c r="BB443" s="146"/>
      <c r="BC443" s="32"/>
      <c r="BD443" s="146"/>
      <c r="BE443" s="32"/>
      <c r="BF443" s="146"/>
      <c r="BG443" s="32"/>
      <c r="BH443" s="146"/>
      <c r="BI443" s="32"/>
      <c r="BJ443" s="146"/>
      <c r="BK443" s="32"/>
      <c r="BL443" s="146"/>
      <c r="BM443" s="32"/>
      <c r="BN443" s="146"/>
      <c r="BO443" s="32"/>
      <c r="BP443" s="146"/>
      <c r="BQ443" s="32"/>
      <c r="BR443" s="146"/>
      <c r="BS443" s="32"/>
      <c r="BT443" s="146">
        <v>517</v>
      </c>
      <c r="BU443" s="32">
        <v>416</v>
      </c>
      <c r="BV443" s="146">
        <v>537</v>
      </c>
      <c r="BW443" s="32">
        <v>392</v>
      </c>
    </row>
    <row r="444" spans="1:75" ht="13" x14ac:dyDescent="0.25">
      <c r="A444" s="186">
        <v>7316</v>
      </c>
      <c r="B444" s="187" t="s">
        <v>466</v>
      </c>
      <c r="C444" s="46">
        <v>1074</v>
      </c>
      <c r="D444" s="142">
        <v>879</v>
      </c>
      <c r="E444" s="145">
        <f t="shared" si="6"/>
        <v>0.81843575418994419</v>
      </c>
      <c r="F444" s="146">
        <v>259</v>
      </c>
      <c r="G444" s="32">
        <v>587</v>
      </c>
      <c r="H444" s="146"/>
      <c r="I444" s="32"/>
      <c r="J444" s="146"/>
      <c r="K444" s="32"/>
      <c r="L444" s="146"/>
      <c r="M444" s="32"/>
      <c r="N444" s="146"/>
      <c r="O444" s="32"/>
      <c r="P444" s="146"/>
      <c r="Q444" s="32"/>
      <c r="R444" s="146"/>
      <c r="S444" s="32"/>
      <c r="T444" s="146"/>
      <c r="U444" s="32"/>
      <c r="V444" s="146"/>
      <c r="W444" s="32"/>
      <c r="X444" s="146"/>
      <c r="Y444" s="32"/>
      <c r="Z444" s="146"/>
      <c r="AA444" s="32"/>
      <c r="AB444" s="146"/>
      <c r="AC444" s="32"/>
      <c r="AD444" s="146"/>
      <c r="AE444" s="32"/>
      <c r="AF444" s="146"/>
      <c r="AG444" s="32"/>
      <c r="AH444" s="146"/>
      <c r="AI444" s="32"/>
      <c r="AJ444" s="146"/>
      <c r="AK444" s="32"/>
      <c r="AL444" s="146"/>
      <c r="AM444" s="32"/>
      <c r="AN444" s="146"/>
      <c r="AO444" s="32"/>
      <c r="AP444" s="146"/>
      <c r="AQ444" s="32"/>
      <c r="AR444" s="146"/>
      <c r="AS444" s="32"/>
      <c r="AT444" s="146"/>
      <c r="AU444" s="32"/>
      <c r="AV444" s="146"/>
      <c r="AW444" s="32"/>
      <c r="AX444" s="146"/>
      <c r="AY444" s="32"/>
      <c r="AZ444" s="146"/>
      <c r="BA444" s="32"/>
      <c r="BB444" s="146"/>
      <c r="BC444" s="32"/>
      <c r="BD444" s="146"/>
      <c r="BE444" s="32"/>
      <c r="BF444" s="146"/>
      <c r="BG444" s="32"/>
      <c r="BH444" s="146"/>
      <c r="BI444" s="32"/>
      <c r="BJ444" s="146"/>
      <c r="BK444" s="32"/>
      <c r="BL444" s="146"/>
      <c r="BM444" s="32"/>
      <c r="BN444" s="146"/>
      <c r="BO444" s="32"/>
      <c r="BP444" s="146"/>
      <c r="BQ444" s="32"/>
      <c r="BR444" s="146"/>
      <c r="BS444" s="32"/>
      <c r="BT444" s="146">
        <v>351</v>
      </c>
      <c r="BU444" s="32">
        <v>482</v>
      </c>
      <c r="BV444" s="146">
        <v>367</v>
      </c>
      <c r="BW444" s="32">
        <v>467</v>
      </c>
    </row>
    <row r="445" spans="1:75" ht="13" x14ac:dyDescent="0.25">
      <c r="A445" s="186">
        <v>7317</v>
      </c>
      <c r="B445" s="187" t="s">
        <v>467</v>
      </c>
      <c r="C445" s="46">
        <v>1225</v>
      </c>
      <c r="D445" s="142">
        <v>1014</v>
      </c>
      <c r="E445" s="145">
        <f t="shared" si="6"/>
        <v>0.82775510204081637</v>
      </c>
      <c r="F445" s="146">
        <v>292</v>
      </c>
      <c r="G445" s="32">
        <v>686</v>
      </c>
      <c r="H445" s="146"/>
      <c r="I445" s="32"/>
      <c r="J445" s="146"/>
      <c r="K445" s="32"/>
      <c r="L445" s="146"/>
      <c r="M445" s="32"/>
      <c r="N445" s="146"/>
      <c r="O445" s="32"/>
      <c r="P445" s="146"/>
      <c r="Q445" s="32"/>
      <c r="R445" s="146"/>
      <c r="S445" s="32"/>
      <c r="T445" s="146"/>
      <c r="U445" s="32"/>
      <c r="V445" s="146"/>
      <c r="W445" s="32"/>
      <c r="X445" s="146"/>
      <c r="Y445" s="32"/>
      <c r="Z445" s="146"/>
      <c r="AA445" s="32"/>
      <c r="AB445" s="146"/>
      <c r="AC445" s="32"/>
      <c r="AD445" s="146"/>
      <c r="AE445" s="32"/>
      <c r="AF445" s="146"/>
      <c r="AG445" s="32"/>
      <c r="AH445" s="146"/>
      <c r="AI445" s="32"/>
      <c r="AJ445" s="146"/>
      <c r="AK445" s="32"/>
      <c r="AL445" s="146"/>
      <c r="AM445" s="32"/>
      <c r="AN445" s="146"/>
      <c r="AO445" s="32"/>
      <c r="AP445" s="146"/>
      <c r="AQ445" s="32"/>
      <c r="AR445" s="146"/>
      <c r="AS445" s="32"/>
      <c r="AT445" s="146"/>
      <c r="AU445" s="32"/>
      <c r="AV445" s="146"/>
      <c r="AW445" s="32"/>
      <c r="AX445" s="146"/>
      <c r="AY445" s="32"/>
      <c r="AZ445" s="146"/>
      <c r="BA445" s="32"/>
      <c r="BB445" s="146"/>
      <c r="BC445" s="32"/>
      <c r="BD445" s="146"/>
      <c r="BE445" s="32"/>
      <c r="BF445" s="146"/>
      <c r="BG445" s="32"/>
      <c r="BH445" s="146"/>
      <c r="BI445" s="32"/>
      <c r="BJ445" s="146"/>
      <c r="BK445" s="32"/>
      <c r="BL445" s="146"/>
      <c r="BM445" s="32"/>
      <c r="BN445" s="146"/>
      <c r="BO445" s="32"/>
      <c r="BP445" s="146"/>
      <c r="BQ445" s="32"/>
      <c r="BR445" s="146"/>
      <c r="BS445" s="32"/>
      <c r="BT445" s="146">
        <v>438</v>
      </c>
      <c r="BU445" s="32">
        <v>540</v>
      </c>
      <c r="BV445" s="146">
        <v>497</v>
      </c>
      <c r="BW445" s="32">
        <v>483</v>
      </c>
    </row>
    <row r="446" spans="1:75" ht="13" x14ac:dyDescent="0.25">
      <c r="A446" s="186">
        <v>7318</v>
      </c>
      <c r="B446" s="187" t="s">
        <v>468</v>
      </c>
      <c r="C446" s="46">
        <v>747</v>
      </c>
      <c r="D446" s="142">
        <v>602</v>
      </c>
      <c r="E446" s="145">
        <f t="shared" si="6"/>
        <v>0.80589022757697459</v>
      </c>
      <c r="F446" s="146">
        <v>146</v>
      </c>
      <c r="G446" s="32">
        <v>433</v>
      </c>
      <c r="H446" s="146"/>
      <c r="I446" s="32"/>
      <c r="J446" s="146"/>
      <c r="K446" s="32"/>
      <c r="L446" s="146"/>
      <c r="M446" s="32"/>
      <c r="N446" s="146"/>
      <c r="O446" s="32"/>
      <c r="P446" s="146"/>
      <c r="Q446" s="32"/>
      <c r="R446" s="146"/>
      <c r="S446" s="32"/>
      <c r="T446" s="146"/>
      <c r="U446" s="32"/>
      <c r="V446" s="146"/>
      <c r="W446" s="32"/>
      <c r="X446" s="146"/>
      <c r="Y446" s="32"/>
      <c r="Z446" s="146"/>
      <c r="AA446" s="32"/>
      <c r="AB446" s="146"/>
      <c r="AC446" s="32"/>
      <c r="AD446" s="146"/>
      <c r="AE446" s="32"/>
      <c r="AF446" s="146"/>
      <c r="AG446" s="32"/>
      <c r="AH446" s="146"/>
      <c r="AI446" s="32"/>
      <c r="AJ446" s="146"/>
      <c r="AK446" s="32"/>
      <c r="AL446" s="146"/>
      <c r="AM446" s="32"/>
      <c r="AN446" s="146"/>
      <c r="AO446" s="32"/>
      <c r="AP446" s="146"/>
      <c r="AQ446" s="32"/>
      <c r="AR446" s="146"/>
      <c r="AS446" s="32"/>
      <c r="AT446" s="146"/>
      <c r="AU446" s="32"/>
      <c r="AV446" s="146"/>
      <c r="AW446" s="32"/>
      <c r="AX446" s="146"/>
      <c r="AY446" s="32"/>
      <c r="AZ446" s="146"/>
      <c r="BA446" s="32"/>
      <c r="BB446" s="146"/>
      <c r="BC446" s="32"/>
      <c r="BD446" s="146"/>
      <c r="BE446" s="32"/>
      <c r="BF446" s="146"/>
      <c r="BG446" s="32"/>
      <c r="BH446" s="146"/>
      <c r="BI446" s="32"/>
      <c r="BJ446" s="146"/>
      <c r="BK446" s="32"/>
      <c r="BL446" s="146"/>
      <c r="BM446" s="32"/>
      <c r="BN446" s="146"/>
      <c r="BO446" s="32"/>
      <c r="BP446" s="146"/>
      <c r="BQ446" s="32"/>
      <c r="BR446" s="146"/>
      <c r="BS446" s="32"/>
      <c r="BT446" s="146">
        <v>230</v>
      </c>
      <c r="BU446" s="32">
        <v>330</v>
      </c>
      <c r="BV446" s="146">
        <v>258</v>
      </c>
      <c r="BW446" s="32">
        <v>303</v>
      </c>
    </row>
    <row r="447" spans="1:75" ht="13" x14ac:dyDescent="0.25">
      <c r="A447" s="186">
        <v>7319</v>
      </c>
      <c r="B447" s="187" t="s">
        <v>469</v>
      </c>
      <c r="C447" s="46">
        <v>1292</v>
      </c>
      <c r="D447" s="142">
        <v>903</v>
      </c>
      <c r="E447" s="145">
        <f t="shared" si="6"/>
        <v>0.69891640866873062</v>
      </c>
      <c r="F447" s="146">
        <v>325</v>
      </c>
      <c r="G447" s="32">
        <v>527</v>
      </c>
      <c r="H447" s="146"/>
      <c r="I447" s="32"/>
      <c r="J447" s="146"/>
      <c r="K447" s="32"/>
      <c r="L447" s="146"/>
      <c r="M447" s="32"/>
      <c r="N447" s="146"/>
      <c r="O447" s="32"/>
      <c r="P447" s="146"/>
      <c r="Q447" s="32"/>
      <c r="R447" s="146"/>
      <c r="S447" s="32"/>
      <c r="T447" s="146"/>
      <c r="U447" s="32"/>
      <c r="V447" s="146"/>
      <c r="W447" s="32"/>
      <c r="X447" s="146"/>
      <c r="Y447" s="32"/>
      <c r="Z447" s="146"/>
      <c r="AA447" s="32"/>
      <c r="AB447" s="146"/>
      <c r="AC447" s="32"/>
      <c r="AD447" s="146"/>
      <c r="AE447" s="32"/>
      <c r="AF447" s="146"/>
      <c r="AG447" s="32"/>
      <c r="AH447" s="146"/>
      <c r="AI447" s="32"/>
      <c r="AJ447" s="146"/>
      <c r="AK447" s="32"/>
      <c r="AL447" s="146"/>
      <c r="AM447" s="32"/>
      <c r="AN447" s="146"/>
      <c r="AO447" s="32"/>
      <c r="AP447" s="146"/>
      <c r="AQ447" s="32"/>
      <c r="AR447" s="146"/>
      <c r="AS447" s="32"/>
      <c r="AT447" s="146"/>
      <c r="AU447" s="32"/>
      <c r="AV447" s="146"/>
      <c r="AW447" s="32"/>
      <c r="AX447" s="146"/>
      <c r="AY447" s="32"/>
      <c r="AZ447" s="146"/>
      <c r="BA447" s="32"/>
      <c r="BB447" s="146"/>
      <c r="BC447" s="32"/>
      <c r="BD447" s="146"/>
      <c r="BE447" s="32"/>
      <c r="BF447" s="146"/>
      <c r="BG447" s="32"/>
      <c r="BH447" s="146"/>
      <c r="BI447" s="32"/>
      <c r="BJ447" s="146"/>
      <c r="BK447" s="32"/>
      <c r="BL447" s="146"/>
      <c r="BM447" s="32"/>
      <c r="BN447" s="146"/>
      <c r="BO447" s="32"/>
      <c r="BP447" s="146"/>
      <c r="BQ447" s="32"/>
      <c r="BR447" s="146"/>
      <c r="BS447" s="32"/>
      <c r="BT447" s="146">
        <v>431</v>
      </c>
      <c r="BU447" s="32">
        <v>416</v>
      </c>
      <c r="BV447" s="146">
        <v>470</v>
      </c>
      <c r="BW447" s="32">
        <v>380</v>
      </c>
    </row>
    <row r="448" spans="1:75" ht="13" x14ac:dyDescent="0.25">
      <c r="A448" s="186">
        <v>7320</v>
      </c>
      <c r="B448" s="187" t="s">
        <v>470</v>
      </c>
      <c r="C448" s="46">
        <v>550</v>
      </c>
      <c r="D448" s="142">
        <v>408</v>
      </c>
      <c r="E448" s="145">
        <f t="shared" si="6"/>
        <v>0.74181818181818182</v>
      </c>
      <c r="F448" s="146">
        <v>151</v>
      </c>
      <c r="G448" s="32">
        <v>231</v>
      </c>
      <c r="H448" s="146"/>
      <c r="I448" s="32"/>
      <c r="J448" s="146"/>
      <c r="K448" s="32"/>
      <c r="L448" s="146"/>
      <c r="M448" s="32"/>
      <c r="N448" s="146"/>
      <c r="O448" s="32"/>
      <c r="P448" s="146"/>
      <c r="Q448" s="32"/>
      <c r="R448" s="146"/>
      <c r="S448" s="32"/>
      <c r="T448" s="146"/>
      <c r="U448" s="32"/>
      <c r="V448" s="146"/>
      <c r="W448" s="32"/>
      <c r="X448" s="146"/>
      <c r="Y448" s="32"/>
      <c r="Z448" s="146"/>
      <c r="AA448" s="32"/>
      <c r="AB448" s="146"/>
      <c r="AC448" s="32"/>
      <c r="AD448" s="146"/>
      <c r="AE448" s="32"/>
      <c r="AF448" s="146"/>
      <c r="AG448" s="32"/>
      <c r="AH448" s="146"/>
      <c r="AI448" s="32"/>
      <c r="AJ448" s="146"/>
      <c r="AK448" s="32"/>
      <c r="AL448" s="146"/>
      <c r="AM448" s="32"/>
      <c r="AN448" s="146"/>
      <c r="AO448" s="32"/>
      <c r="AP448" s="146"/>
      <c r="AQ448" s="32"/>
      <c r="AR448" s="146"/>
      <c r="AS448" s="32"/>
      <c r="AT448" s="146"/>
      <c r="AU448" s="32"/>
      <c r="AV448" s="146"/>
      <c r="AW448" s="32"/>
      <c r="AX448" s="146"/>
      <c r="AY448" s="32"/>
      <c r="AZ448" s="146"/>
      <c r="BA448" s="32"/>
      <c r="BB448" s="146"/>
      <c r="BC448" s="32"/>
      <c r="BD448" s="146"/>
      <c r="BE448" s="32"/>
      <c r="BF448" s="146"/>
      <c r="BG448" s="32"/>
      <c r="BH448" s="146"/>
      <c r="BI448" s="32"/>
      <c r="BJ448" s="146"/>
      <c r="BK448" s="32"/>
      <c r="BL448" s="146"/>
      <c r="BM448" s="32"/>
      <c r="BN448" s="146"/>
      <c r="BO448" s="32"/>
      <c r="BP448" s="146"/>
      <c r="BQ448" s="32"/>
      <c r="BR448" s="146"/>
      <c r="BS448" s="32"/>
      <c r="BT448" s="146">
        <v>196</v>
      </c>
      <c r="BU448" s="32">
        <v>188</v>
      </c>
      <c r="BV448" s="146">
        <v>230</v>
      </c>
      <c r="BW448" s="32">
        <v>158</v>
      </c>
    </row>
    <row r="449" spans="1:75" ht="13" x14ac:dyDescent="0.25">
      <c r="A449" s="186">
        <v>7321</v>
      </c>
      <c r="B449" s="187" t="s">
        <v>471</v>
      </c>
      <c r="C449" s="46">
        <v>712</v>
      </c>
      <c r="D449" s="142">
        <v>588</v>
      </c>
      <c r="E449" s="145">
        <f t="shared" si="6"/>
        <v>0.8258426966292135</v>
      </c>
      <c r="F449" s="146">
        <v>164</v>
      </c>
      <c r="G449" s="32">
        <v>389</v>
      </c>
      <c r="H449" s="146"/>
      <c r="I449" s="32"/>
      <c r="J449" s="146"/>
      <c r="K449" s="32"/>
      <c r="L449" s="146"/>
      <c r="M449" s="32"/>
      <c r="N449" s="146"/>
      <c r="O449" s="32"/>
      <c r="P449" s="146"/>
      <c r="Q449" s="32"/>
      <c r="R449" s="146"/>
      <c r="S449" s="32"/>
      <c r="T449" s="146"/>
      <c r="U449" s="32"/>
      <c r="V449" s="146"/>
      <c r="W449" s="32"/>
      <c r="X449" s="146"/>
      <c r="Y449" s="32"/>
      <c r="Z449" s="146"/>
      <c r="AA449" s="32"/>
      <c r="AB449" s="146"/>
      <c r="AC449" s="32"/>
      <c r="AD449" s="146"/>
      <c r="AE449" s="32"/>
      <c r="AF449" s="146"/>
      <c r="AG449" s="32"/>
      <c r="AH449" s="146"/>
      <c r="AI449" s="32"/>
      <c r="AJ449" s="146"/>
      <c r="AK449" s="32"/>
      <c r="AL449" s="146"/>
      <c r="AM449" s="32"/>
      <c r="AN449" s="146"/>
      <c r="AO449" s="32"/>
      <c r="AP449" s="146"/>
      <c r="AQ449" s="32"/>
      <c r="AR449" s="146"/>
      <c r="AS449" s="32"/>
      <c r="AT449" s="146"/>
      <c r="AU449" s="32"/>
      <c r="AV449" s="146"/>
      <c r="AW449" s="32"/>
      <c r="AX449" s="146"/>
      <c r="AY449" s="32"/>
      <c r="AZ449" s="146"/>
      <c r="BA449" s="32"/>
      <c r="BB449" s="146"/>
      <c r="BC449" s="32"/>
      <c r="BD449" s="146"/>
      <c r="BE449" s="32"/>
      <c r="BF449" s="146"/>
      <c r="BG449" s="32"/>
      <c r="BH449" s="146"/>
      <c r="BI449" s="32"/>
      <c r="BJ449" s="146"/>
      <c r="BK449" s="32"/>
      <c r="BL449" s="146"/>
      <c r="BM449" s="32"/>
      <c r="BN449" s="146"/>
      <c r="BO449" s="32"/>
      <c r="BP449" s="146"/>
      <c r="BQ449" s="32"/>
      <c r="BR449" s="146"/>
      <c r="BS449" s="32"/>
      <c r="BT449" s="146">
        <v>263</v>
      </c>
      <c r="BU449" s="32">
        <v>286</v>
      </c>
      <c r="BV449" s="146">
        <v>303</v>
      </c>
      <c r="BW449" s="32">
        <v>247</v>
      </c>
    </row>
    <row r="450" spans="1:75" ht="13" x14ac:dyDescent="0.25">
      <c r="A450" s="186">
        <v>7322</v>
      </c>
      <c r="B450" s="187" t="s">
        <v>472</v>
      </c>
      <c r="C450" s="46">
        <v>1097</v>
      </c>
      <c r="D450" s="142">
        <v>817</v>
      </c>
      <c r="E450" s="145">
        <f t="shared" si="6"/>
        <v>0.74475843208751136</v>
      </c>
      <c r="F450" s="146">
        <v>321</v>
      </c>
      <c r="G450" s="32">
        <v>457</v>
      </c>
      <c r="H450" s="146"/>
      <c r="I450" s="32"/>
      <c r="J450" s="146"/>
      <c r="K450" s="32"/>
      <c r="L450" s="146"/>
      <c r="M450" s="32"/>
      <c r="N450" s="146"/>
      <c r="O450" s="32"/>
      <c r="P450" s="146"/>
      <c r="Q450" s="32"/>
      <c r="R450" s="146"/>
      <c r="S450" s="32"/>
      <c r="T450" s="146"/>
      <c r="U450" s="32"/>
      <c r="V450" s="146"/>
      <c r="W450" s="32"/>
      <c r="X450" s="146"/>
      <c r="Y450" s="32"/>
      <c r="Z450" s="146"/>
      <c r="AA450" s="32"/>
      <c r="AB450" s="146"/>
      <c r="AC450" s="32"/>
      <c r="AD450" s="146"/>
      <c r="AE450" s="32"/>
      <c r="AF450" s="146"/>
      <c r="AG450" s="32"/>
      <c r="AH450" s="146"/>
      <c r="AI450" s="32"/>
      <c r="AJ450" s="146"/>
      <c r="AK450" s="32"/>
      <c r="AL450" s="146"/>
      <c r="AM450" s="32"/>
      <c r="AN450" s="146"/>
      <c r="AO450" s="32"/>
      <c r="AP450" s="146"/>
      <c r="AQ450" s="32"/>
      <c r="AR450" s="146"/>
      <c r="AS450" s="32"/>
      <c r="AT450" s="146"/>
      <c r="AU450" s="32"/>
      <c r="AV450" s="146"/>
      <c r="AW450" s="32"/>
      <c r="AX450" s="146"/>
      <c r="AY450" s="32"/>
      <c r="AZ450" s="146"/>
      <c r="BA450" s="32"/>
      <c r="BB450" s="146"/>
      <c r="BC450" s="32"/>
      <c r="BD450" s="146"/>
      <c r="BE450" s="32"/>
      <c r="BF450" s="146"/>
      <c r="BG450" s="32"/>
      <c r="BH450" s="146"/>
      <c r="BI450" s="32"/>
      <c r="BJ450" s="146"/>
      <c r="BK450" s="32"/>
      <c r="BL450" s="146"/>
      <c r="BM450" s="32"/>
      <c r="BN450" s="146"/>
      <c r="BO450" s="32"/>
      <c r="BP450" s="146"/>
      <c r="BQ450" s="32"/>
      <c r="BR450" s="146"/>
      <c r="BS450" s="32"/>
      <c r="BT450" s="146">
        <v>419</v>
      </c>
      <c r="BU450" s="32">
        <v>341</v>
      </c>
      <c r="BV450" s="146">
        <v>457</v>
      </c>
      <c r="BW450" s="32">
        <v>308</v>
      </c>
    </row>
    <row r="451" spans="1:75" ht="13" x14ac:dyDescent="0.25">
      <c r="A451" s="186">
        <v>7323</v>
      </c>
      <c r="B451" s="187" t="s">
        <v>473</v>
      </c>
      <c r="C451" s="46">
        <v>1348</v>
      </c>
      <c r="D451" s="142">
        <v>1183</v>
      </c>
      <c r="E451" s="145">
        <f t="shared" si="6"/>
        <v>0.87759643916913943</v>
      </c>
      <c r="F451" s="146">
        <v>312</v>
      </c>
      <c r="G451" s="32">
        <v>835</v>
      </c>
      <c r="H451" s="146"/>
      <c r="I451" s="32"/>
      <c r="J451" s="146"/>
      <c r="K451" s="32"/>
      <c r="L451" s="146"/>
      <c r="M451" s="32"/>
      <c r="N451" s="146"/>
      <c r="O451" s="32"/>
      <c r="P451" s="146"/>
      <c r="Q451" s="32"/>
      <c r="R451" s="146"/>
      <c r="S451" s="32"/>
      <c r="T451" s="146"/>
      <c r="U451" s="32"/>
      <c r="V451" s="146"/>
      <c r="W451" s="32"/>
      <c r="X451" s="146"/>
      <c r="Y451" s="32"/>
      <c r="Z451" s="146"/>
      <c r="AA451" s="32"/>
      <c r="AB451" s="146"/>
      <c r="AC451" s="32"/>
      <c r="AD451" s="146"/>
      <c r="AE451" s="32"/>
      <c r="AF451" s="146"/>
      <c r="AG451" s="32"/>
      <c r="AH451" s="146"/>
      <c r="AI451" s="32"/>
      <c r="AJ451" s="146"/>
      <c r="AK451" s="32"/>
      <c r="AL451" s="146"/>
      <c r="AM451" s="32"/>
      <c r="AN451" s="146"/>
      <c r="AO451" s="32"/>
      <c r="AP451" s="146"/>
      <c r="AQ451" s="32"/>
      <c r="AR451" s="146"/>
      <c r="AS451" s="32"/>
      <c r="AT451" s="146"/>
      <c r="AU451" s="32"/>
      <c r="AV451" s="146"/>
      <c r="AW451" s="32"/>
      <c r="AX451" s="146"/>
      <c r="AY451" s="32"/>
      <c r="AZ451" s="146"/>
      <c r="BA451" s="32"/>
      <c r="BB451" s="146"/>
      <c r="BC451" s="32"/>
      <c r="BD451" s="146"/>
      <c r="BE451" s="32"/>
      <c r="BF451" s="146"/>
      <c r="BG451" s="32"/>
      <c r="BH451" s="146"/>
      <c r="BI451" s="32"/>
      <c r="BJ451" s="146"/>
      <c r="BK451" s="32"/>
      <c r="BL451" s="146"/>
      <c r="BM451" s="32"/>
      <c r="BN451" s="146"/>
      <c r="BO451" s="32"/>
      <c r="BP451" s="146"/>
      <c r="BQ451" s="32"/>
      <c r="BR451" s="146"/>
      <c r="BS451" s="32"/>
      <c r="BT451" s="146">
        <v>516</v>
      </c>
      <c r="BU451" s="32">
        <v>614</v>
      </c>
      <c r="BV451" s="146">
        <v>575</v>
      </c>
      <c r="BW451" s="32">
        <v>555</v>
      </c>
    </row>
    <row r="452" spans="1:75" ht="13" x14ac:dyDescent="0.25">
      <c r="A452" s="186">
        <v>7324</v>
      </c>
      <c r="B452" s="187" t="s">
        <v>474</v>
      </c>
      <c r="C452" s="46">
        <v>1364</v>
      </c>
      <c r="D452" s="142">
        <v>1097</v>
      </c>
      <c r="E452" s="145">
        <f t="shared" si="6"/>
        <v>0.80425219941348969</v>
      </c>
      <c r="F452" s="146">
        <v>375</v>
      </c>
      <c r="G452" s="32">
        <v>677</v>
      </c>
      <c r="H452" s="146"/>
      <c r="I452" s="32"/>
      <c r="J452" s="146"/>
      <c r="K452" s="32"/>
      <c r="L452" s="146"/>
      <c r="M452" s="32"/>
      <c r="N452" s="146"/>
      <c r="O452" s="32"/>
      <c r="P452" s="146"/>
      <c r="Q452" s="32"/>
      <c r="R452" s="146"/>
      <c r="S452" s="32"/>
      <c r="T452" s="146"/>
      <c r="U452" s="32"/>
      <c r="V452" s="146"/>
      <c r="W452" s="32"/>
      <c r="X452" s="146"/>
      <c r="Y452" s="32"/>
      <c r="Z452" s="146"/>
      <c r="AA452" s="32"/>
      <c r="AB452" s="146"/>
      <c r="AC452" s="32"/>
      <c r="AD452" s="146"/>
      <c r="AE452" s="32"/>
      <c r="AF452" s="146"/>
      <c r="AG452" s="32"/>
      <c r="AH452" s="146"/>
      <c r="AI452" s="32"/>
      <c r="AJ452" s="146"/>
      <c r="AK452" s="32"/>
      <c r="AL452" s="146"/>
      <c r="AM452" s="32"/>
      <c r="AN452" s="146"/>
      <c r="AO452" s="32"/>
      <c r="AP452" s="146"/>
      <c r="AQ452" s="32"/>
      <c r="AR452" s="146"/>
      <c r="AS452" s="32"/>
      <c r="AT452" s="146"/>
      <c r="AU452" s="32"/>
      <c r="AV452" s="146"/>
      <c r="AW452" s="32"/>
      <c r="AX452" s="146"/>
      <c r="AY452" s="32"/>
      <c r="AZ452" s="146"/>
      <c r="BA452" s="32"/>
      <c r="BB452" s="146"/>
      <c r="BC452" s="32"/>
      <c r="BD452" s="146"/>
      <c r="BE452" s="32"/>
      <c r="BF452" s="146"/>
      <c r="BG452" s="32"/>
      <c r="BH452" s="146"/>
      <c r="BI452" s="32"/>
      <c r="BJ452" s="146"/>
      <c r="BK452" s="32"/>
      <c r="BL452" s="146"/>
      <c r="BM452" s="32"/>
      <c r="BN452" s="146"/>
      <c r="BO452" s="32"/>
      <c r="BP452" s="146"/>
      <c r="BQ452" s="32"/>
      <c r="BR452" s="146"/>
      <c r="BS452" s="32"/>
      <c r="BT452" s="146">
        <v>513</v>
      </c>
      <c r="BU452" s="32">
        <v>535</v>
      </c>
      <c r="BV452" s="146">
        <v>565</v>
      </c>
      <c r="BW452" s="32">
        <v>483</v>
      </c>
    </row>
    <row r="453" spans="1:75" ht="13" x14ac:dyDescent="0.25">
      <c r="A453" s="186">
        <v>7325</v>
      </c>
      <c r="B453" s="187" t="s">
        <v>475</v>
      </c>
      <c r="C453" s="46">
        <v>967</v>
      </c>
      <c r="D453" s="142">
        <v>826</v>
      </c>
      <c r="E453" s="145">
        <f t="shared" si="6"/>
        <v>0.85418821096173736</v>
      </c>
      <c r="F453" s="146">
        <v>258</v>
      </c>
      <c r="G453" s="32">
        <v>540</v>
      </c>
      <c r="H453" s="146"/>
      <c r="I453" s="32"/>
      <c r="J453" s="146"/>
      <c r="K453" s="32"/>
      <c r="L453" s="146"/>
      <c r="M453" s="32"/>
      <c r="N453" s="146"/>
      <c r="O453" s="32"/>
      <c r="P453" s="146"/>
      <c r="Q453" s="32"/>
      <c r="R453" s="146"/>
      <c r="S453" s="32"/>
      <c r="T453" s="146"/>
      <c r="U453" s="32"/>
      <c r="V453" s="146"/>
      <c r="W453" s="32"/>
      <c r="X453" s="146"/>
      <c r="Y453" s="32"/>
      <c r="Z453" s="146"/>
      <c r="AA453" s="32"/>
      <c r="AB453" s="146"/>
      <c r="AC453" s="32"/>
      <c r="AD453" s="146"/>
      <c r="AE453" s="32"/>
      <c r="AF453" s="146"/>
      <c r="AG453" s="32"/>
      <c r="AH453" s="146"/>
      <c r="AI453" s="32"/>
      <c r="AJ453" s="146"/>
      <c r="AK453" s="32"/>
      <c r="AL453" s="146"/>
      <c r="AM453" s="32"/>
      <c r="AN453" s="146"/>
      <c r="AO453" s="32"/>
      <c r="AP453" s="146"/>
      <c r="AQ453" s="32"/>
      <c r="AR453" s="146"/>
      <c r="AS453" s="32"/>
      <c r="AT453" s="146"/>
      <c r="AU453" s="32"/>
      <c r="AV453" s="146"/>
      <c r="AW453" s="32"/>
      <c r="AX453" s="146"/>
      <c r="AY453" s="32"/>
      <c r="AZ453" s="146"/>
      <c r="BA453" s="32"/>
      <c r="BB453" s="146"/>
      <c r="BC453" s="32"/>
      <c r="BD453" s="146"/>
      <c r="BE453" s="32"/>
      <c r="BF453" s="146"/>
      <c r="BG453" s="32"/>
      <c r="BH453" s="146"/>
      <c r="BI453" s="32"/>
      <c r="BJ453" s="146"/>
      <c r="BK453" s="32"/>
      <c r="BL453" s="146"/>
      <c r="BM453" s="32"/>
      <c r="BN453" s="146"/>
      <c r="BO453" s="32"/>
      <c r="BP453" s="146"/>
      <c r="BQ453" s="32"/>
      <c r="BR453" s="146"/>
      <c r="BS453" s="32"/>
      <c r="BT453" s="146">
        <v>374</v>
      </c>
      <c r="BU453" s="32">
        <v>415</v>
      </c>
      <c r="BV453" s="146">
        <v>404</v>
      </c>
      <c r="BW453" s="32">
        <v>386</v>
      </c>
    </row>
    <row r="454" spans="1:75" ht="13" x14ac:dyDescent="0.25">
      <c r="A454" s="186">
        <v>7326</v>
      </c>
      <c r="B454" s="187" t="s">
        <v>476</v>
      </c>
      <c r="C454" s="46">
        <v>1408</v>
      </c>
      <c r="D454" s="142">
        <v>1180</v>
      </c>
      <c r="E454" s="145">
        <f t="shared" si="6"/>
        <v>0.83806818181818177</v>
      </c>
      <c r="F454" s="146">
        <v>406</v>
      </c>
      <c r="G454" s="32">
        <v>713</v>
      </c>
      <c r="H454" s="146"/>
      <c r="I454" s="32"/>
      <c r="J454" s="146"/>
      <c r="K454" s="32"/>
      <c r="L454" s="146"/>
      <c r="M454" s="32"/>
      <c r="N454" s="146"/>
      <c r="O454" s="32"/>
      <c r="P454" s="146"/>
      <c r="Q454" s="32"/>
      <c r="R454" s="146"/>
      <c r="S454" s="32"/>
      <c r="T454" s="146"/>
      <c r="U454" s="32"/>
      <c r="V454" s="146"/>
      <c r="W454" s="32"/>
      <c r="X454" s="146"/>
      <c r="Y454" s="32"/>
      <c r="Z454" s="146"/>
      <c r="AA454" s="32"/>
      <c r="AB454" s="146"/>
      <c r="AC454" s="32"/>
      <c r="AD454" s="146"/>
      <c r="AE454" s="32"/>
      <c r="AF454" s="146"/>
      <c r="AG454" s="32"/>
      <c r="AH454" s="146"/>
      <c r="AI454" s="32"/>
      <c r="AJ454" s="146"/>
      <c r="AK454" s="32"/>
      <c r="AL454" s="146"/>
      <c r="AM454" s="32"/>
      <c r="AN454" s="146"/>
      <c r="AO454" s="32"/>
      <c r="AP454" s="146"/>
      <c r="AQ454" s="32"/>
      <c r="AR454" s="146"/>
      <c r="AS454" s="32"/>
      <c r="AT454" s="146"/>
      <c r="AU454" s="32"/>
      <c r="AV454" s="146"/>
      <c r="AW454" s="32"/>
      <c r="AX454" s="146"/>
      <c r="AY454" s="32"/>
      <c r="AZ454" s="146"/>
      <c r="BA454" s="32"/>
      <c r="BB454" s="146"/>
      <c r="BC454" s="32"/>
      <c r="BD454" s="146"/>
      <c r="BE454" s="32"/>
      <c r="BF454" s="146"/>
      <c r="BG454" s="32"/>
      <c r="BH454" s="146"/>
      <c r="BI454" s="32"/>
      <c r="BJ454" s="146"/>
      <c r="BK454" s="32"/>
      <c r="BL454" s="146"/>
      <c r="BM454" s="32"/>
      <c r="BN454" s="146"/>
      <c r="BO454" s="32"/>
      <c r="BP454" s="146"/>
      <c r="BQ454" s="32"/>
      <c r="BR454" s="146"/>
      <c r="BS454" s="32"/>
      <c r="BT454" s="146">
        <v>595</v>
      </c>
      <c r="BU454" s="32">
        <v>517</v>
      </c>
      <c r="BV454" s="146">
        <v>660</v>
      </c>
      <c r="BW454" s="32">
        <v>454</v>
      </c>
    </row>
    <row r="455" spans="1:75" ht="13" x14ac:dyDescent="0.25">
      <c r="A455" s="186">
        <v>7327</v>
      </c>
      <c r="B455" s="187" t="s">
        <v>477</v>
      </c>
      <c r="C455" s="46">
        <v>967</v>
      </c>
      <c r="D455" s="142">
        <v>816</v>
      </c>
      <c r="E455" s="145">
        <f t="shared" si="6"/>
        <v>0.84384694932781801</v>
      </c>
      <c r="F455" s="146">
        <v>249</v>
      </c>
      <c r="G455" s="32">
        <v>522</v>
      </c>
      <c r="H455" s="146"/>
      <c r="I455" s="32"/>
      <c r="J455" s="146"/>
      <c r="K455" s="32"/>
      <c r="L455" s="146"/>
      <c r="M455" s="32"/>
      <c r="N455" s="146"/>
      <c r="O455" s="32"/>
      <c r="P455" s="146"/>
      <c r="Q455" s="32"/>
      <c r="R455" s="146"/>
      <c r="S455" s="32"/>
      <c r="T455" s="146"/>
      <c r="U455" s="32"/>
      <c r="V455" s="146"/>
      <c r="W455" s="32"/>
      <c r="X455" s="146"/>
      <c r="Y455" s="32"/>
      <c r="Z455" s="146"/>
      <c r="AA455" s="32"/>
      <c r="AB455" s="146"/>
      <c r="AC455" s="32"/>
      <c r="AD455" s="146"/>
      <c r="AE455" s="32"/>
      <c r="AF455" s="146"/>
      <c r="AG455" s="32"/>
      <c r="AH455" s="146"/>
      <c r="AI455" s="32"/>
      <c r="AJ455" s="146"/>
      <c r="AK455" s="32"/>
      <c r="AL455" s="146"/>
      <c r="AM455" s="32"/>
      <c r="AN455" s="146"/>
      <c r="AO455" s="32"/>
      <c r="AP455" s="146"/>
      <c r="AQ455" s="32"/>
      <c r="AR455" s="146"/>
      <c r="AS455" s="32"/>
      <c r="AT455" s="146"/>
      <c r="AU455" s="32"/>
      <c r="AV455" s="146"/>
      <c r="AW455" s="32"/>
      <c r="AX455" s="146"/>
      <c r="AY455" s="32"/>
      <c r="AZ455" s="146"/>
      <c r="BA455" s="32"/>
      <c r="BB455" s="146"/>
      <c r="BC455" s="32"/>
      <c r="BD455" s="146"/>
      <c r="BE455" s="32"/>
      <c r="BF455" s="146"/>
      <c r="BG455" s="32"/>
      <c r="BH455" s="146"/>
      <c r="BI455" s="32"/>
      <c r="BJ455" s="146"/>
      <c r="BK455" s="32"/>
      <c r="BL455" s="146"/>
      <c r="BM455" s="32"/>
      <c r="BN455" s="146"/>
      <c r="BO455" s="32"/>
      <c r="BP455" s="146"/>
      <c r="BQ455" s="32"/>
      <c r="BR455" s="146"/>
      <c r="BS455" s="32"/>
      <c r="BT455" s="146">
        <v>372</v>
      </c>
      <c r="BU455" s="32">
        <v>400</v>
      </c>
      <c r="BV455" s="146">
        <v>400</v>
      </c>
      <c r="BW455" s="32">
        <v>375</v>
      </c>
    </row>
    <row r="456" spans="1:75" ht="13" x14ac:dyDescent="0.25">
      <c r="A456" s="186">
        <v>7328</v>
      </c>
      <c r="B456" s="187" t="s">
        <v>478</v>
      </c>
      <c r="C456" s="46">
        <v>1068</v>
      </c>
      <c r="D456" s="142">
        <v>786</v>
      </c>
      <c r="E456" s="145">
        <f t="shared" si="6"/>
        <v>0.7359550561797753</v>
      </c>
      <c r="F456" s="146">
        <v>262</v>
      </c>
      <c r="G456" s="32">
        <v>487</v>
      </c>
      <c r="H456" s="146"/>
      <c r="I456" s="32"/>
      <c r="J456" s="146"/>
      <c r="K456" s="32"/>
      <c r="L456" s="146"/>
      <c r="M456" s="32"/>
      <c r="N456" s="146"/>
      <c r="O456" s="32"/>
      <c r="P456" s="146"/>
      <c r="Q456" s="32"/>
      <c r="R456" s="146"/>
      <c r="S456" s="32"/>
      <c r="T456" s="146"/>
      <c r="U456" s="32"/>
      <c r="V456" s="146"/>
      <c r="W456" s="32"/>
      <c r="X456" s="146"/>
      <c r="Y456" s="32"/>
      <c r="Z456" s="146"/>
      <c r="AA456" s="32"/>
      <c r="AB456" s="146"/>
      <c r="AC456" s="32"/>
      <c r="AD456" s="146"/>
      <c r="AE456" s="32"/>
      <c r="AF456" s="146"/>
      <c r="AG456" s="32"/>
      <c r="AH456" s="146"/>
      <c r="AI456" s="32"/>
      <c r="AJ456" s="146"/>
      <c r="AK456" s="32"/>
      <c r="AL456" s="146"/>
      <c r="AM456" s="32"/>
      <c r="AN456" s="146"/>
      <c r="AO456" s="32"/>
      <c r="AP456" s="146"/>
      <c r="AQ456" s="32"/>
      <c r="AR456" s="146"/>
      <c r="AS456" s="32"/>
      <c r="AT456" s="146"/>
      <c r="AU456" s="32"/>
      <c r="AV456" s="146"/>
      <c r="AW456" s="32"/>
      <c r="AX456" s="146"/>
      <c r="AY456" s="32"/>
      <c r="AZ456" s="146"/>
      <c r="BA456" s="32"/>
      <c r="BB456" s="146"/>
      <c r="BC456" s="32"/>
      <c r="BD456" s="146"/>
      <c r="BE456" s="32"/>
      <c r="BF456" s="146"/>
      <c r="BG456" s="32"/>
      <c r="BH456" s="146"/>
      <c r="BI456" s="32"/>
      <c r="BJ456" s="146"/>
      <c r="BK456" s="32"/>
      <c r="BL456" s="146"/>
      <c r="BM456" s="32"/>
      <c r="BN456" s="146"/>
      <c r="BO456" s="32"/>
      <c r="BP456" s="146"/>
      <c r="BQ456" s="32"/>
      <c r="BR456" s="146"/>
      <c r="BS456" s="32"/>
      <c r="BT456" s="146">
        <v>333</v>
      </c>
      <c r="BU456" s="32">
        <v>409</v>
      </c>
      <c r="BV456" s="146">
        <v>378</v>
      </c>
      <c r="BW456" s="32">
        <v>364</v>
      </c>
    </row>
    <row r="457" spans="1:75" ht="13" x14ac:dyDescent="0.25">
      <c r="A457" s="186">
        <v>7329</v>
      </c>
      <c r="B457" s="187" t="s">
        <v>479</v>
      </c>
      <c r="C457" s="46">
        <v>1158</v>
      </c>
      <c r="D457" s="142">
        <v>814</v>
      </c>
      <c r="E457" s="145">
        <f t="shared" si="6"/>
        <v>0.70293609671848012</v>
      </c>
      <c r="F457" s="146">
        <v>290</v>
      </c>
      <c r="G457" s="32">
        <v>491</v>
      </c>
      <c r="H457" s="146"/>
      <c r="I457" s="32"/>
      <c r="J457" s="146"/>
      <c r="K457" s="32"/>
      <c r="L457" s="146"/>
      <c r="M457" s="32"/>
      <c r="N457" s="146"/>
      <c r="O457" s="32"/>
      <c r="P457" s="146"/>
      <c r="Q457" s="32"/>
      <c r="R457" s="146"/>
      <c r="S457" s="32"/>
      <c r="T457" s="146"/>
      <c r="U457" s="32"/>
      <c r="V457" s="146"/>
      <c r="W457" s="32"/>
      <c r="X457" s="146"/>
      <c r="Y457" s="32"/>
      <c r="Z457" s="146"/>
      <c r="AA457" s="32"/>
      <c r="AB457" s="146"/>
      <c r="AC457" s="32"/>
      <c r="AD457" s="146"/>
      <c r="AE457" s="32"/>
      <c r="AF457" s="146"/>
      <c r="AG457" s="32"/>
      <c r="AH457" s="146"/>
      <c r="AI457" s="32"/>
      <c r="AJ457" s="146"/>
      <c r="AK457" s="32"/>
      <c r="AL457" s="146"/>
      <c r="AM457" s="32"/>
      <c r="AN457" s="146"/>
      <c r="AO457" s="32"/>
      <c r="AP457" s="146"/>
      <c r="AQ457" s="32"/>
      <c r="AR457" s="146"/>
      <c r="AS457" s="32"/>
      <c r="AT457" s="146"/>
      <c r="AU457" s="32"/>
      <c r="AV457" s="146"/>
      <c r="AW457" s="32"/>
      <c r="AX457" s="146"/>
      <c r="AY457" s="32"/>
      <c r="AZ457" s="146"/>
      <c r="BA457" s="32"/>
      <c r="BB457" s="146"/>
      <c r="BC457" s="32"/>
      <c r="BD457" s="146"/>
      <c r="BE457" s="32"/>
      <c r="BF457" s="146"/>
      <c r="BG457" s="32"/>
      <c r="BH457" s="146"/>
      <c r="BI457" s="32"/>
      <c r="BJ457" s="146"/>
      <c r="BK457" s="32"/>
      <c r="BL457" s="146"/>
      <c r="BM457" s="32"/>
      <c r="BN457" s="146"/>
      <c r="BO457" s="32"/>
      <c r="BP457" s="146"/>
      <c r="BQ457" s="32"/>
      <c r="BR457" s="146"/>
      <c r="BS457" s="32"/>
      <c r="BT457" s="146">
        <v>393</v>
      </c>
      <c r="BU457" s="32">
        <v>379</v>
      </c>
      <c r="BV457" s="146">
        <v>423</v>
      </c>
      <c r="BW457" s="32">
        <v>348</v>
      </c>
    </row>
    <row r="458" spans="1:75" ht="13" x14ac:dyDescent="0.25">
      <c r="A458" s="186">
        <v>7330</v>
      </c>
      <c r="B458" s="187" t="s">
        <v>480</v>
      </c>
      <c r="C458" s="46">
        <v>934</v>
      </c>
      <c r="D458" s="142">
        <v>740</v>
      </c>
      <c r="E458" s="145">
        <f t="shared" si="6"/>
        <v>0.79229122055674517</v>
      </c>
      <c r="F458" s="146">
        <v>292</v>
      </c>
      <c r="G458" s="32">
        <v>421</v>
      </c>
      <c r="H458" s="146"/>
      <c r="I458" s="32"/>
      <c r="J458" s="146"/>
      <c r="K458" s="32"/>
      <c r="L458" s="146"/>
      <c r="M458" s="32"/>
      <c r="N458" s="146"/>
      <c r="O458" s="32"/>
      <c r="P458" s="146"/>
      <c r="Q458" s="32"/>
      <c r="R458" s="146"/>
      <c r="S458" s="32"/>
      <c r="T458" s="146"/>
      <c r="U458" s="32"/>
      <c r="V458" s="146"/>
      <c r="W458" s="32"/>
      <c r="X458" s="146"/>
      <c r="Y458" s="32"/>
      <c r="Z458" s="146"/>
      <c r="AA458" s="32"/>
      <c r="AB458" s="146"/>
      <c r="AC458" s="32"/>
      <c r="AD458" s="146"/>
      <c r="AE458" s="32"/>
      <c r="AF458" s="146"/>
      <c r="AG458" s="32"/>
      <c r="AH458" s="146"/>
      <c r="AI458" s="32"/>
      <c r="AJ458" s="146"/>
      <c r="AK458" s="32"/>
      <c r="AL458" s="146"/>
      <c r="AM458" s="32"/>
      <c r="AN458" s="146"/>
      <c r="AO458" s="32"/>
      <c r="AP458" s="146"/>
      <c r="AQ458" s="32"/>
      <c r="AR458" s="146"/>
      <c r="AS458" s="32"/>
      <c r="AT458" s="146"/>
      <c r="AU458" s="32"/>
      <c r="AV458" s="146"/>
      <c r="AW458" s="32"/>
      <c r="AX458" s="146"/>
      <c r="AY458" s="32"/>
      <c r="AZ458" s="146"/>
      <c r="BA458" s="32"/>
      <c r="BB458" s="146"/>
      <c r="BC458" s="32"/>
      <c r="BD458" s="146"/>
      <c r="BE458" s="32"/>
      <c r="BF458" s="146"/>
      <c r="BG458" s="32"/>
      <c r="BH458" s="146"/>
      <c r="BI458" s="32"/>
      <c r="BJ458" s="146"/>
      <c r="BK458" s="32"/>
      <c r="BL458" s="146"/>
      <c r="BM458" s="32"/>
      <c r="BN458" s="146"/>
      <c r="BO458" s="32"/>
      <c r="BP458" s="146"/>
      <c r="BQ458" s="32"/>
      <c r="BR458" s="146"/>
      <c r="BS458" s="32"/>
      <c r="BT458" s="146">
        <v>360</v>
      </c>
      <c r="BU458" s="32">
        <v>344</v>
      </c>
      <c r="BV458" s="146">
        <v>422</v>
      </c>
      <c r="BW458" s="32">
        <v>282</v>
      </c>
    </row>
    <row r="459" spans="1:75" ht="13" x14ac:dyDescent="0.25">
      <c r="A459" s="186">
        <v>7331</v>
      </c>
      <c r="B459" s="187" t="s">
        <v>481</v>
      </c>
      <c r="C459" s="46">
        <v>1084</v>
      </c>
      <c r="D459" s="142">
        <v>831</v>
      </c>
      <c r="E459" s="145">
        <f t="shared" si="6"/>
        <v>0.76660516605166051</v>
      </c>
      <c r="F459" s="146">
        <v>348</v>
      </c>
      <c r="G459" s="32">
        <v>438</v>
      </c>
      <c r="H459" s="146"/>
      <c r="I459" s="32"/>
      <c r="J459" s="146"/>
      <c r="K459" s="32"/>
      <c r="L459" s="146"/>
      <c r="M459" s="32"/>
      <c r="N459" s="146"/>
      <c r="O459" s="32"/>
      <c r="P459" s="146"/>
      <c r="Q459" s="32"/>
      <c r="R459" s="146"/>
      <c r="S459" s="32"/>
      <c r="T459" s="146"/>
      <c r="U459" s="32"/>
      <c r="V459" s="146"/>
      <c r="W459" s="32"/>
      <c r="X459" s="146"/>
      <c r="Y459" s="32"/>
      <c r="Z459" s="146"/>
      <c r="AA459" s="32"/>
      <c r="AB459" s="146"/>
      <c r="AC459" s="32"/>
      <c r="AD459" s="146"/>
      <c r="AE459" s="32"/>
      <c r="AF459" s="146"/>
      <c r="AG459" s="32"/>
      <c r="AH459" s="146"/>
      <c r="AI459" s="32"/>
      <c r="AJ459" s="146"/>
      <c r="AK459" s="32"/>
      <c r="AL459" s="146"/>
      <c r="AM459" s="32"/>
      <c r="AN459" s="146"/>
      <c r="AO459" s="32"/>
      <c r="AP459" s="146"/>
      <c r="AQ459" s="32"/>
      <c r="AR459" s="146"/>
      <c r="AS459" s="32"/>
      <c r="AT459" s="146"/>
      <c r="AU459" s="32"/>
      <c r="AV459" s="146"/>
      <c r="AW459" s="32"/>
      <c r="AX459" s="146"/>
      <c r="AY459" s="32"/>
      <c r="AZ459" s="146"/>
      <c r="BA459" s="32"/>
      <c r="BB459" s="146"/>
      <c r="BC459" s="32"/>
      <c r="BD459" s="146"/>
      <c r="BE459" s="32"/>
      <c r="BF459" s="146"/>
      <c r="BG459" s="32"/>
      <c r="BH459" s="146"/>
      <c r="BI459" s="32"/>
      <c r="BJ459" s="146"/>
      <c r="BK459" s="32"/>
      <c r="BL459" s="146"/>
      <c r="BM459" s="32"/>
      <c r="BN459" s="146"/>
      <c r="BO459" s="32"/>
      <c r="BP459" s="146"/>
      <c r="BQ459" s="32"/>
      <c r="BR459" s="146"/>
      <c r="BS459" s="32"/>
      <c r="BT459" s="146">
        <v>430</v>
      </c>
      <c r="BU459" s="32">
        <v>347</v>
      </c>
      <c r="BV459" s="146">
        <v>469</v>
      </c>
      <c r="BW459" s="32">
        <v>311</v>
      </c>
    </row>
    <row r="460" spans="1:75" ht="13" x14ac:dyDescent="0.25">
      <c r="A460" s="186">
        <v>7332</v>
      </c>
      <c r="B460" s="187" t="s">
        <v>482</v>
      </c>
      <c r="C460" s="46">
        <v>1011</v>
      </c>
      <c r="D460" s="142">
        <v>790</v>
      </c>
      <c r="E460" s="145">
        <f t="shared" si="6"/>
        <v>0.78140454995054398</v>
      </c>
      <c r="F460" s="146">
        <v>319</v>
      </c>
      <c r="G460" s="32">
        <v>432</v>
      </c>
      <c r="H460" s="146"/>
      <c r="I460" s="32"/>
      <c r="J460" s="146"/>
      <c r="K460" s="32"/>
      <c r="L460" s="146"/>
      <c r="M460" s="32"/>
      <c r="N460" s="146"/>
      <c r="O460" s="32"/>
      <c r="P460" s="146"/>
      <c r="Q460" s="32"/>
      <c r="R460" s="146"/>
      <c r="S460" s="32"/>
      <c r="T460" s="146"/>
      <c r="U460" s="32"/>
      <c r="V460" s="146"/>
      <c r="W460" s="32"/>
      <c r="X460" s="146"/>
      <c r="Y460" s="32"/>
      <c r="Z460" s="146"/>
      <c r="AA460" s="32"/>
      <c r="AB460" s="146"/>
      <c r="AC460" s="32"/>
      <c r="AD460" s="146"/>
      <c r="AE460" s="32"/>
      <c r="AF460" s="146"/>
      <c r="AG460" s="32"/>
      <c r="AH460" s="146"/>
      <c r="AI460" s="32"/>
      <c r="AJ460" s="146"/>
      <c r="AK460" s="32"/>
      <c r="AL460" s="146"/>
      <c r="AM460" s="32"/>
      <c r="AN460" s="146"/>
      <c r="AO460" s="32"/>
      <c r="AP460" s="146"/>
      <c r="AQ460" s="32"/>
      <c r="AR460" s="146"/>
      <c r="AS460" s="32"/>
      <c r="AT460" s="146"/>
      <c r="AU460" s="32"/>
      <c r="AV460" s="146"/>
      <c r="AW460" s="32"/>
      <c r="AX460" s="146"/>
      <c r="AY460" s="32"/>
      <c r="AZ460" s="146"/>
      <c r="BA460" s="32"/>
      <c r="BB460" s="146"/>
      <c r="BC460" s="32"/>
      <c r="BD460" s="146"/>
      <c r="BE460" s="32"/>
      <c r="BF460" s="146"/>
      <c r="BG460" s="32"/>
      <c r="BH460" s="146"/>
      <c r="BI460" s="32"/>
      <c r="BJ460" s="146"/>
      <c r="BK460" s="32"/>
      <c r="BL460" s="146"/>
      <c r="BM460" s="32"/>
      <c r="BN460" s="146"/>
      <c r="BO460" s="32"/>
      <c r="BP460" s="146"/>
      <c r="BQ460" s="32"/>
      <c r="BR460" s="146"/>
      <c r="BS460" s="32"/>
      <c r="BT460" s="146">
        <v>398</v>
      </c>
      <c r="BU460" s="32">
        <v>361</v>
      </c>
      <c r="BV460" s="146">
        <v>430</v>
      </c>
      <c r="BW460" s="32">
        <v>325</v>
      </c>
    </row>
    <row r="461" spans="1:75" ht="13" x14ac:dyDescent="0.25">
      <c r="A461" s="186">
        <v>7333</v>
      </c>
      <c r="B461" s="187" t="s">
        <v>483</v>
      </c>
      <c r="C461" s="46">
        <v>1260</v>
      </c>
      <c r="D461" s="142">
        <v>1034</v>
      </c>
      <c r="E461" s="145">
        <f t="shared" si="6"/>
        <v>0.82063492063492061</v>
      </c>
      <c r="F461" s="146">
        <v>323</v>
      </c>
      <c r="G461" s="32">
        <v>654</v>
      </c>
      <c r="H461" s="146"/>
      <c r="I461" s="32"/>
      <c r="J461" s="146"/>
      <c r="K461" s="32"/>
      <c r="L461" s="146"/>
      <c r="M461" s="32"/>
      <c r="N461" s="146"/>
      <c r="O461" s="32"/>
      <c r="P461" s="146"/>
      <c r="Q461" s="32"/>
      <c r="R461" s="146"/>
      <c r="S461" s="32"/>
      <c r="T461" s="146"/>
      <c r="U461" s="32"/>
      <c r="V461" s="146"/>
      <c r="W461" s="32"/>
      <c r="X461" s="146"/>
      <c r="Y461" s="32"/>
      <c r="Z461" s="146"/>
      <c r="AA461" s="32"/>
      <c r="AB461" s="146"/>
      <c r="AC461" s="32"/>
      <c r="AD461" s="146"/>
      <c r="AE461" s="32"/>
      <c r="AF461" s="146"/>
      <c r="AG461" s="32"/>
      <c r="AH461" s="146"/>
      <c r="AI461" s="32"/>
      <c r="AJ461" s="146"/>
      <c r="AK461" s="32"/>
      <c r="AL461" s="146"/>
      <c r="AM461" s="32"/>
      <c r="AN461" s="146"/>
      <c r="AO461" s="32"/>
      <c r="AP461" s="146"/>
      <c r="AQ461" s="32"/>
      <c r="AR461" s="146"/>
      <c r="AS461" s="32"/>
      <c r="AT461" s="146"/>
      <c r="AU461" s="32"/>
      <c r="AV461" s="146"/>
      <c r="AW461" s="32"/>
      <c r="AX461" s="146"/>
      <c r="AY461" s="32"/>
      <c r="AZ461" s="146"/>
      <c r="BA461" s="32"/>
      <c r="BB461" s="146"/>
      <c r="BC461" s="32"/>
      <c r="BD461" s="146"/>
      <c r="BE461" s="32"/>
      <c r="BF461" s="146"/>
      <c r="BG461" s="32"/>
      <c r="BH461" s="146"/>
      <c r="BI461" s="32"/>
      <c r="BJ461" s="146"/>
      <c r="BK461" s="32"/>
      <c r="BL461" s="146"/>
      <c r="BM461" s="32"/>
      <c r="BN461" s="146"/>
      <c r="BO461" s="32"/>
      <c r="BP461" s="146"/>
      <c r="BQ461" s="32"/>
      <c r="BR461" s="146"/>
      <c r="BS461" s="32"/>
      <c r="BT461" s="146">
        <v>492</v>
      </c>
      <c r="BU461" s="32">
        <v>497</v>
      </c>
      <c r="BV461" s="146">
        <v>566</v>
      </c>
      <c r="BW461" s="32">
        <v>428</v>
      </c>
    </row>
    <row r="462" spans="1:75" ht="13" x14ac:dyDescent="0.25">
      <c r="A462" s="186">
        <v>7334</v>
      </c>
      <c r="B462" s="187" t="s">
        <v>484</v>
      </c>
      <c r="C462" s="46">
        <v>1276</v>
      </c>
      <c r="D462" s="142">
        <v>995</v>
      </c>
      <c r="E462" s="145">
        <f t="shared" si="6"/>
        <v>0.77978056426332287</v>
      </c>
      <c r="F462" s="146">
        <v>344</v>
      </c>
      <c r="G462" s="32">
        <v>592</v>
      </c>
      <c r="H462" s="146"/>
      <c r="I462" s="32"/>
      <c r="J462" s="146"/>
      <c r="K462" s="32"/>
      <c r="L462" s="146"/>
      <c r="M462" s="32"/>
      <c r="N462" s="146"/>
      <c r="O462" s="32"/>
      <c r="P462" s="146"/>
      <c r="Q462" s="32"/>
      <c r="R462" s="146"/>
      <c r="S462" s="32"/>
      <c r="T462" s="146"/>
      <c r="U462" s="32"/>
      <c r="V462" s="146"/>
      <c r="W462" s="32"/>
      <c r="X462" s="146"/>
      <c r="Y462" s="32"/>
      <c r="Z462" s="146"/>
      <c r="AA462" s="32"/>
      <c r="AB462" s="146"/>
      <c r="AC462" s="32"/>
      <c r="AD462" s="146"/>
      <c r="AE462" s="32"/>
      <c r="AF462" s="146"/>
      <c r="AG462" s="32"/>
      <c r="AH462" s="146"/>
      <c r="AI462" s="32"/>
      <c r="AJ462" s="146"/>
      <c r="AK462" s="32"/>
      <c r="AL462" s="146"/>
      <c r="AM462" s="32"/>
      <c r="AN462" s="146"/>
      <c r="AO462" s="32"/>
      <c r="AP462" s="146"/>
      <c r="AQ462" s="32"/>
      <c r="AR462" s="146"/>
      <c r="AS462" s="32"/>
      <c r="AT462" s="146"/>
      <c r="AU462" s="32"/>
      <c r="AV462" s="146"/>
      <c r="AW462" s="32"/>
      <c r="AX462" s="146"/>
      <c r="AY462" s="32"/>
      <c r="AZ462" s="146"/>
      <c r="BA462" s="32"/>
      <c r="BB462" s="146"/>
      <c r="BC462" s="32"/>
      <c r="BD462" s="146"/>
      <c r="BE462" s="32"/>
      <c r="BF462" s="146"/>
      <c r="BG462" s="32"/>
      <c r="BH462" s="146"/>
      <c r="BI462" s="32"/>
      <c r="BJ462" s="146"/>
      <c r="BK462" s="32"/>
      <c r="BL462" s="146"/>
      <c r="BM462" s="32"/>
      <c r="BN462" s="146"/>
      <c r="BO462" s="32"/>
      <c r="BP462" s="146"/>
      <c r="BQ462" s="32"/>
      <c r="BR462" s="146"/>
      <c r="BS462" s="32"/>
      <c r="BT462" s="146">
        <v>439</v>
      </c>
      <c r="BU462" s="32">
        <v>513</v>
      </c>
      <c r="BV462" s="146">
        <v>493</v>
      </c>
      <c r="BW462" s="32">
        <v>457</v>
      </c>
    </row>
    <row r="463" spans="1:75" ht="13" x14ac:dyDescent="0.25">
      <c r="A463" s="186">
        <v>7335</v>
      </c>
      <c r="B463" s="187" t="s">
        <v>485</v>
      </c>
      <c r="C463" s="46">
        <v>713</v>
      </c>
      <c r="D463" s="142">
        <v>496</v>
      </c>
      <c r="E463" s="145">
        <f t="shared" si="6"/>
        <v>0.69565217391304346</v>
      </c>
      <c r="F463" s="146">
        <v>248</v>
      </c>
      <c r="G463" s="32">
        <v>210</v>
      </c>
      <c r="H463" s="146"/>
      <c r="I463" s="32"/>
      <c r="J463" s="146"/>
      <c r="K463" s="32"/>
      <c r="L463" s="146"/>
      <c r="M463" s="32"/>
      <c r="N463" s="146"/>
      <c r="O463" s="32"/>
      <c r="P463" s="146"/>
      <c r="Q463" s="32"/>
      <c r="R463" s="146"/>
      <c r="S463" s="32"/>
      <c r="T463" s="146"/>
      <c r="U463" s="32"/>
      <c r="V463" s="146"/>
      <c r="W463" s="32"/>
      <c r="X463" s="146"/>
      <c r="Y463" s="32"/>
      <c r="Z463" s="146"/>
      <c r="AA463" s="32"/>
      <c r="AB463" s="146"/>
      <c r="AC463" s="32"/>
      <c r="AD463" s="146"/>
      <c r="AE463" s="32"/>
      <c r="AF463" s="146"/>
      <c r="AG463" s="32"/>
      <c r="AH463" s="146"/>
      <c r="AI463" s="32"/>
      <c r="AJ463" s="146"/>
      <c r="AK463" s="32"/>
      <c r="AL463" s="146"/>
      <c r="AM463" s="32"/>
      <c r="AN463" s="146"/>
      <c r="AO463" s="32"/>
      <c r="AP463" s="146"/>
      <c r="AQ463" s="32"/>
      <c r="AR463" s="146"/>
      <c r="AS463" s="32"/>
      <c r="AT463" s="146"/>
      <c r="AU463" s="32"/>
      <c r="AV463" s="146"/>
      <c r="AW463" s="32"/>
      <c r="AX463" s="146"/>
      <c r="AY463" s="32"/>
      <c r="AZ463" s="146"/>
      <c r="BA463" s="32"/>
      <c r="BB463" s="146"/>
      <c r="BC463" s="32"/>
      <c r="BD463" s="146"/>
      <c r="BE463" s="32"/>
      <c r="BF463" s="146"/>
      <c r="BG463" s="32"/>
      <c r="BH463" s="146"/>
      <c r="BI463" s="32"/>
      <c r="BJ463" s="146"/>
      <c r="BK463" s="32"/>
      <c r="BL463" s="146"/>
      <c r="BM463" s="32"/>
      <c r="BN463" s="146"/>
      <c r="BO463" s="32"/>
      <c r="BP463" s="146"/>
      <c r="BQ463" s="32"/>
      <c r="BR463" s="146"/>
      <c r="BS463" s="32"/>
      <c r="BT463" s="146">
        <v>288</v>
      </c>
      <c r="BU463" s="32">
        <v>175</v>
      </c>
      <c r="BV463" s="146">
        <v>298</v>
      </c>
      <c r="BW463" s="32">
        <v>163</v>
      </c>
    </row>
    <row r="464" spans="1:75" ht="13" x14ac:dyDescent="0.25">
      <c r="A464" s="186">
        <v>7336</v>
      </c>
      <c r="B464" s="187" t="s">
        <v>486</v>
      </c>
      <c r="C464" s="46">
        <v>1217</v>
      </c>
      <c r="D464" s="142">
        <v>903</v>
      </c>
      <c r="E464" s="145">
        <f t="shared" si="6"/>
        <v>0.74198849630238295</v>
      </c>
      <c r="F464" s="146">
        <v>345</v>
      </c>
      <c r="G464" s="32">
        <v>507</v>
      </c>
      <c r="H464" s="146"/>
      <c r="I464" s="32"/>
      <c r="J464" s="146"/>
      <c r="K464" s="32"/>
      <c r="L464" s="146"/>
      <c r="M464" s="32"/>
      <c r="N464" s="146"/>
      <c r="O464" s="32"/>
      <c r="P464" s="146"/>
      <c r="Q464" s="32"/>
      <c r="R464" s="146"/>
      <c r="S464" s="32"/>
      <c r="T464" s="146"/>
      <c r="U464" s="32"/>
      <c r="V464" s="146"/>
      <c r="W464" s="32"/>
      <c r="X464" s="146"/>
      <c r="Y464" s="32"/>
      <c r="Z464" s="146"/>
      <c r="AA464" s="32"/>
      <c r="AB464" s="146"/>
      <c r="AC464" s="32"/>
      <c r="AD464" s="146"/>
      <c r="AE464" s="32"/>
      <c r="AF464" s="146"/>
      <c r="AG464" s="32"/>
      <c r="AH464" s="146"/>
      <c r="AI464" s="32"/>
      <c r="AJ464" s="146"/>
      <c r="AK464" s="32"/>
      <c r="AL464" s="146"/>
      <c r="AM464" s="32"/>
      <c r="AN464" s="146"/>
      <c r="AO464" s="32"/>
      <c r="AP464" s="146"/>
      <c r="AQ464" s="32"/>
      <c r="AR464" s="146"/>
      <c r="AS464" s="32"/>
      <c r="AT464" s="146"/>
      <c r="AU464" s="32"/>
      <c r="AV464" s="146"/>
      <c r="AW464" s="32"/>
      <c r="AX464" s="146"/>
      <c r="AY464" s="32"/>
      <c r="AZ464" s="146"/>
      <c r="BA464" s="32"/>
      <c r="BB464" s="146"/>
      <c r="BC464" s="32"/>
      <c r="BD464" s="146"/>
      <c r="BE464" s="32"/>
      <c r="BF464" s="146"/>
      <c r="BG464" s="32"/>
      <c r="BH464" s="146"/>
      <c r="BI464" s="32"/>
      <c r="BJ464" s="146"/>
      <c r="BK464" s="32"/>
      <c r="BL464" s="146"/>
      <c r="BM464" s="32"/>
      <c r="BN464" s="146"/>
      <c r="BO464" s="32"/>
      <c r="BP464" s="146"/>
      <c r="BQ464" s="32"/>
      <c r="BR464" s="146"/>
      <c r="BS464" s="32"/>
      <c r="BT464" s="146">
        <v>425</v>
      </c>
      <c r="BU464" s="32">
        <v>417</v>
      </c>
      <c r="BV464" s="146">
        <v>478</v>
      </c>
      <c r="BW464" s="32">
        <v>366</v>
      </c>
    </row>
    <row r="465" spans="1:75" ht="13" x14ac:dyDescent="0.25">
      <c r="A465" s="186">
        <v>7337</v>
      </c>
      <c r="B465" s="187" t="s">
        <v>487</v>
      </c>
      <c r="C465" s="46">
        <v>1130</v>
      </c>
      <c r="D465" s="142">
        <v>940</v>
      </c>
      <c r="E465" s="145">
        <f t="shared" si="6"/>
        <v>0.83185840707964598</v>
      </c>
      <c r="F465" s="146">
        <v>275</v>
      </c>
      <c r="G465" s="32">
        <v>619</v>
      </c>
      <c r="H465" s="146"/>
      <c r="I465" s="32"/>
      <c r="J465" s="146"/>
      <c r="K465" s="32"/>
      <c r="L465" s="146"/>
      <c r="M465" s="32"/>
      <c r="N465" s="146"/>
      <c r="O465" s="32"/>
      <c r="P465" s="146"/>
      <c r="Q465" s="32"/>
      <c r="R465" s="146"/>
      <c r="S465" s="32"/>
      <c r="T465" s="146"/>
      <c r="U465" s="32"/>
      <c r="V465" s="146"/>
      <c r="W465" s="32"/>
      <c r="X465" s="146"/>
      <c r="Y465" s="32"/>
      <c r="Z465" s="146"/>
      <c r="AA465" s="32"/>
      <c r="AB465" s="146"/>
      <c r="AC465" s="32"/>
      <c r="AD465" s="146"/>
      <c r="AE465" s="32"/>
      <c r="AF465" s="146"/>
      <c r="AG465" s="32"/>
      <c r="AH465" s="146"/>
      <c r="AI465" s="32"/>
      <c r="AJ465" s="146"/>
      <c r="AK465" s="32"/>
      <c r="AL465" s="146"/>
      <c r="AM465" s="32"/>
      <c r="AN465" s="146"/>
      <c r="AO465" s="32"/>
      <c r="AP465" s="146"/>
      <c r="AQ465" s="32"/>
      <c r="AR465" s="146"/>
      <c r="AS465" s="32"/>
      <c r="AT465" s="146"/>
      <c r="AU465" s="32"/>
      <c r="AV465" s="146"/>
      <c r="AW465" s="32"/>
      <c r="AX465" s="146"/>
      <c r="AY465" s="32"/>
      <c r="AZ465" s="146"/>
      <c r="BA465" s="32"/>
      <c r="BB465" s="146"/>
      <c r="BC465" s="32"/>
      <c r="BD465" s="146"/>
      <c r="BE465" s="32"/>
      <c r="BF465" s="146"/>
      <c r="BG465" s="32"/>
      <c r="BH465" s="146"/>
      <c r="BI465" s="32"/>
      <c r="BJ465" s="146"/>
      <c r="BK465" s="32"/>
      <c r="BL465" s="146"/>
      <c r="BM465" s="32"/>
      <c r="BN465" s="146"/>
      <c r="BO465" s="32"/>
      <c r="BP465" s="146"/>
      <c r="BQ465" s="32"/>
      <c r="BR465" s="146"/>
      <c r="BS465" s="32"/>
      <c r="BT465" s="146">
        <v>382</v>
      </c>
      <c r="BU465" s="32">
        <v>495</v>
      </c>
      <c r="BV465" s="146">
        <v>436</v>
      </c>
      <c r="BW465" s="32">
        <v>446</v>
      </c>
    </row>
    <row r="466" spans="1:75" ht="13" x14ac:dyDescent="0.25">
      <c r="A466" s="186">
        <v>7338</v>
      </c>
      <c r="B466" s="187" t="s">
        <v>488</v>
      </c>
      <c r="C466" s="46">
        <v>973</v>
      </c>
      <c r="D466" s="142">
        <v>813</v>
      </c>
      <c r="E466" s="145">
        <f t="shared" si="6"/>
        <v>0.83556012332990748</v>
      </c>
      <c r="F466" s="146">
        <v>246</v>
      </c>
      <c r="G466" s="32">
        <v>533</v>
      </c>
      <c r="H466" s="146"/>
      <c r="I466" s="32"/>
      <c r="J466" s="146"/>
      <c r="K466" s="32"/>
      <c r="L466" s="146"/>
      <c r="M466" s="32"/>
      <c r="N466" s="146"/>
      <c r="O466" s="32"/>
      <c r="P466" s="146"/>
      <c r="Q466" s="32"/>
      <c r="R466" s="146"/>
      <c r="S466" s="32"/>
      <c r="T466" s="146"/>
      <c r="U466" s="32"/>
      <c r="V466" s="146"/>
      <c r="W466" s="32"/>
      <c r="X466" s="146"/>
      <c r="Y466" s="32"/>
      <c r="Z466" s="146"/>
      <c r="AA466" s="32"/>
      <c r="AB466" s="146"/>
      <c r="AC466" s="32"/>
      <c r="AD466" s="146"/>
      <c r="AE466" s="32"/>
      <c r="AF466" s="146"/>
      <c r="AG466" s="32"/>
      <c r="AH466" s="146"/>
      <c r="AI466" s="32"/>
      <c r="AJ466" s="146"/>
      <c r="AK466" s="32"/>
      <c r="AL466" s="146"/>
      <c r="AM466" s="32"/>
      <c r="AN466" s="146"/>
      <c r="AO466" s="32"/>
      <c r="AP466" s="146"/>
      <c r="AQ466" s="32"/>
      <c r="AR466" s="146"/>
      <c r="AS466" s="32"/>
      <c r="AT466" s="146"/>
      <c r="AU466" s="32"/>
      <c r="AV466" s="146"/>
      <c r="AW466" s="32"/>
      <c r="AX466" s="146"/>
      <c r="AY466" s="32"/>
      <c r="AZ466" s="146"/>
      <c r="BA466" s="32"/>
      <c r="BB466" s="146"/>
      <c r="BC466" s="32"/>
      <c r="BD466" s="146"/>
      <c r="BE466" s="32"/>
      <c r="BF466" s="146"/>
      <c r="BG466" s="32"/>
      <c r="BH466" s="146"/>
      <c r="BI466" s="32"/>
      <c r="BJ466" s="146"/>
      <c r="BK466" s="32"/>
      <c r="BL466" s="146"/>
      <c r="BM466" s="32"/>
      <c r="BN466" s="146"/>
      <c r="BO466" s="32"/>
      <c r="BP466" s="146"/>
      <c r="BQ466" s="32"/>
      <c r="BR466" s="146"/>
      <c r="BS466" s="32"/>
      <c r="BT466" s="146">
        <v>399</v>
      </c>
      <c r="BU466" s="32">
        <v>375</v>
      </c>
      <c r="BV466" s="146">
        <v>427</v>
      </c>
      <c r="BW466" s="32">
        <v>346</v>
      </c>
    </row>
    <row r="467" spans="1:75" ht="13" x14ac:dyDescent="0.25">
      <c r="A467" s="186">
        <v>7339</v>
      </c>
      <c r="B467" s="187" t="s">
        <v>489</v>
      </c>
      <c r="C467" s="46">
        <v>704</v>
      </c>
      <c r="D467" s="142">
        <v>599</v>
      </c>
      <c r="E467" s="145">
        <f t="shared" si="6"/>
        <v>0.85085227272727271</v>
      </c>
      <c r="F467" s="146">
        <v>164</v>
      </c>
      <c r="G467" s="32">
        <v>405</v>
      </c>
      <c r="H467" s="146"/>
      <c r="I467" s="32"/>
      <c r="J467" s="146"/>
      <c r="K467" s="32"/>
      <c r="L467" s="146"/>
      <c r="M467" s="32"/>
      <c r="N467" s="146"/>
      <c r="O467" s="32"/>
      <c r="P467" s="146"/>
      <c r="Q467" s="32"/>
      <c r="R467" s="146"/>
      <c r="S467" s="32"/>
      <c r="T467" s="146"/>
      <c r="U467" s="32"/>
      <c r="V467" s="146"/>
      <c r="W467" s="32"/>
      <c r="X467" s="146"/>
      <c r="Y467" s="32"/>
      <c r="Z467" s="146"/>
      <c r="AA467" s="32"/>
      <c r="AB467" s="146"/>
      <c r="AC467" s="32"/>
      <c r="AD467" s="146"/>
      <c r="AE467" s="32"/>
      <c r="AF467" s="146"/>
      <c r="AG467" s="32"/>
      <c r="AH467" s="146"/>
      <c r="AI467" s="32"/>
      <c r="AJ467" s="146"/>
      <c r="AK467" s="32"/>
      <c r="AL467" s="146"/>
      <c r="AM467" s="32"/>
      <c r="AN467" s="146"/>
      <c r="AO467" s="32"/>
      <c r="AP467" s="146"/>
      <c r="AQ467" s="32"/>
      <c r="AR467" s="146"/>
      <c r="AS467" s="32"/>
      <c r="AT467" s="146"/>
      <c r="AU467" s="32"/>
      <c r="AV467" s="146"/>
      <c r="AW467" s="32"/>
      <c r="AX467" s="146"/>
      <c r="AY467" s="32"/>
      <c r="AZ467" s="146"/>
      <c r="BA467" s="32"/>
      <c r="BB467" s="146"/>
      <c r="BC467" s="32"/>
      <c r="BD467" s="146"/>
      <c r="BE467" s="32"/>
      <c r="BF467" s="146"/>
      <c r="BG467" s="32"/>
      <c r="BH467" s="146"/>
      <c r="BI467" s="32"/>
      <c r="BJ467" s="146"/>
      <c r="BK467" s="32"/>
      <c r="BL467" s="146"/>
      <c r="BM467" s="32"/>
      <c r="BN467" s="146"/>
      <c r="BO467" s="32"/>
      <c r="BP467" s="146"/>
      <c r="BQ467" s="32"/>
      <c r="BR467" s="146"/>
      <c r="BS467" s="32"/>
      <c r="BT467" s="146">
        <v>268</v>
      </c>
      <c r="BU467" s="32">
        <v>287</v>
      </c>
      <c r="BV467" s="146">
        <v>302</v>
      </c>
      <c r="BW467" s="32">
        <v>257</v>
      </c>
    </row>
    <row r="468" spans="1:75" ht="13" x14ac:dyDescent="0.25">
      <c r="A468" s="186">
        <v>7340</v>
      </c>
      <c r="B468" s="187" t="s">
        <v>490</v>
      </c>
      <c r="C468" s="46">
        <v>677</v>
      </c>
      <c r="D468" s="142">
        <v>568</v>
      </c>
      <c r="E468" s="145">
        <f t="shared" si="6"/>
        <v>0.83899556868537661</v>
      </c>
      <c r="F468" s="146">
        <v>163</v>
      </c>
      <c r="G468" s="32">
        <v>384</v>
      </c>
      <c r="H468" s="146"/>
      <c r="I468" s="32"/>
      <c r="J468" s="146"/>
      <c r="K468" s="32"/>
      <c r="L468" s="146"/>
      <c r="M468" s="32"/>
      <c r="N468" s="146"/>
      <c r="O468" s="32"/>
      <c r="P468" s="146"/>
      <c r="Q468" s="32"/>
      <c r="R468" s="146"/>
      <c r="S468" s="32"/>
      <c r="T468" s="146"/>
      <c r="U468" s="32"/>
      <c r="V468" s="146"/>
      <c r="W468" s="32"/>
      <c r="X468" s="146"/>
      <c r="Y468" s="32"/>
      <c r="Z468" s="146"/>
      <c r="AA468" s="32"/>
      <c r="AB468" s="146"/>
      <c r="AC468" s="32"/>
      <c r="AD468" s="146"/>
      <c r="AE468" s="32"/>
      <c r="AF468" s="146"/>
      <c r="AG468" s="32"/>
      <c r="AH468" s="146"/>
      <c r="AI468" s="32"/>
      <c r="AJ468" s="146"/>
      <c r="AK468" s="32"/>
      <c r="AL468" s="146"/>
      <c r="AM468" s="32"/>
      <c r="AN468" s="146"/>
      <c r="AO468" s="32"/>
      <c r="AP468" s="146"/>
      <c r="AQ468" s="32"/>
      <c r="AR468" s="146"/>
      <c r="AS468" s="32"/>
      <c r="AT468" s="146"/>
      <c r="AU468" s="32"/>
      <c r="AV468" s="146"/>
      <c r="AW468" s="32"/>
      <c r="AX468" s="146"/>
      <c r="AY468" s="32"/>
      <c r="AZ468" s="146"/>
      <c r="BA468" s="32"/>
      <c r="BB468" s="146"/>
      <c r="BC468" s="32"/>
      <c r="BD468" s="146"/>
      <c r="BE468" s="32"/>
      <c r="BF468" s="146"/>
      <c r="BG468" s="32"/>
      <c r="BH468" s="146"/>
      <c r="BI468" s="32"/>
      <c r="BJ468" s="146"/>
      <c r="BK468" s="32"/>
      <c r="BL468" s="146"/>
      <c r="BM468" s="32"/>
      <c r="BN468" s="146"/>
      <c r="BO468" s="32"/>
      <c r="BP468" s="146"/>
      <c r="BQ468" s="32"/>
      <c r="BR468" s="146"/>
      <c r="BS468" s="32"/>
      <c r="BT468" s="146">
        <v>234</v>
      </c>
      <c r="BU468" s="32">
        <v>302</v>
      </c>
      <c r="BV468" s="146">
        <v>252</v>
      </c>
      <c r="BW468" s="32">
        <v>286</v>
      </c>
    </row>
    <row r="469" spans="1:75" ht="13" x14ac:dyDescent="0.25">
      <c r="A469" s="186">
        <v>7341</v>
      </c>
      <c r="B469" s="187" t="s">
        <v>491</v>
      </c>
      <c r="C469" s="46">
        <v>628</v>
      </c>
      <c r="D469" s="142">
        <v>510</v>
      </c>
      <c r="E469" s="145">
        <f t="shared" si="6"/>
        <v>0.81210191082802552</v>
      </c>
      <c r="F469" s="146">
        <v>147</v>
      </c>
      <c r="G469" s="32">
        <v>344</v>
      </c>
      <c r="H469" s="146"/>
      <c r="I469" s="32"/>
      <c r="J469" s="146"/>
      <c r="K469" s="32"/>
      <c r="L469" s="146"/>
      <c r="M469" s="32"/>
      <c r="N469" s="146"/>
      <c r="O469" s="32"/>
      <c r="P469" s="146"/>
      <c r="Q469" s="32"/>
      <c r="R469" s="146"/>
      <c r="S469" s="32"/>
      <c r="T469" s="146"/>
      <c r="U469" s="32"/>
      <c r="V469" s="146"/>
      <c r="W469" s="32"/>
      <c r="X469" s="146"/>
      <c r="Y469" s="32"/>
      <c r="Z469" s="146"/>
      <c r="AA469" s="32"/>
      <c r="AB469" s="146"/>
      <c r="AC469" s="32"/>
      <c r="AD469" s="146"/>
      <c r="AE469" s="32"/>
      <c r="AF469" s="146"/>
      <c r="AG469" s="32"/>
      <c r="AH469" s="146"/>
      <c r="AI469" s="32"/>
      <c r="AJ469" s="146"/>
      <c r="AK469" s="32"/>
      <c r="AL469" s="146"/>
      <c r="AM469" s="32"/>
      <c r="AN469" s="146"/>
      <c r="AO469" s="32"/>
      <c r="AP469" s="146"/>
      <c r="AQ469" s="32"/>
      <c r="AR469" s="146"/>
      <c r="AS469" s="32"/>
      <c r="AT469" s="146"/>
      <c r="AU469" s="32"/>
      <c r="AV469" s="146"/>
      <c r="AW469" s="32"/>
      <c r="AX469" s="146"/>
      <c r="AY469" s="32"/>
      <c r="AZ469" s="146"/>
      <c r="BA469" s="32"/>
      <c r="BB469" s="146"/>
      <c r="BC469" s="32"/>
      <c r="BD469" s="146"/>
      <c r="BE469" s="32"/>
      <c r="BF469" s="146"/>
      <c r="BG469" s="32"/>
      <c r="BH469" s="146"/>
      <c r="BI469" s="32"/>
      <c r="BJ469" s="146"/>
      <c r="BK469" s="32"/>
      <c r="BL469" s="146"/>
      <c r="BM469" s="32"/>
      <c r="BN469" s="146"/>
      <c r="BO469" s="32"/>
      <c r="BP469" s="146"/>
      <c r="BQ469" s="32"/>
      <c r="BR469" s="146"/>
      <c r="BS469" s="32"/>
      <c r="BT469" s="146">
        <v>241</v>
      </c>
      <c r="BU469" s="32">
        <v>228</v>
      </c>
      <c r="BV469" s="146">
        <v>277</v>
      </c>
      <c r="BW469" s="32">
        <v>193</v>
      </c>
    </row>
    <row r="470" spans="1:75" ht="13" x14ac:dyDescent="0.25">
      <c r="A470" s="186">
        <v>7342</v>
      </c>
      <c r="B470" s="187" t="s">
        <v>492</v>
      </c>
      <c r="C470" s="46">
        <v>1344</v>
      </c>
      <c r="D470" s="142">
        <v>1113</v>
      </c>
      <c r="E470" s="145">
        <f t="shared" si="6"/>
        <v>0.828125</v>
      </c>
      <c r="F470" s="146">
        <v>317</v>
      </c>
      <c r="G470" s="32">
        <v>747</v>
      </c>
      <c r="H470" s="146"/>
      <c r="I470" s="32"/>
      <c r="J470" s="146"/>
      <c r="K470" s="32"/>
      <c r="L470" s="146"/>
      <c r="M470" s="32"/>
      <c r="N470" s="146"/>
      <c r="O470" s="32"/>
      <c r="P470" s="146"/>
      <c r="Q470" s="32"/>
      <c r="R470" s="146"/>
      <c r="S470" s="32"/>
      <c r="T470" s="146"/>
      <c r="U470" s="32"/>
      <c r="V470" s="146"/>
      <c r="W470" s="32"/>
      <c r="X470" s="146"/>
      <c r="Y470" s="32"/>
      <c r="Z470" s="146"/>
      <c r="AA470" s="32"/>
      <c r="AB470" s="146"/>
      <c r="AC470" s="32"/>
      <c r="AD470" s="146"/>
      <c r="AE470" s="32"/>
      <c r="AF470" s="146"/>
      <c r="AG470" s="32"/>
      <c r="AH470" s="146"/>
      <c r="AI470" s="32"/>
      <c r="AJ470" s="146"/>
      <c r="AK470" s="32"/>
      <c r="AL470" s="146"/>
      <c r="AM470" s="32"/>
      <c r="AN470" s="146"/>
      <c r="AO470" s="32"/>
      <c r="AP470" s="146"/>
      <c r="AQ470" s="32"/>
      <c r="AR470" s="146"/>
      <c r="AS470" s="32"/>
      <c r="AT470" s="146"/>
      <c r="AU470" s="32"/>
      <c r="AV470" s="146"/>
      <c r="AW470" s="32"/>
      <c r="AX470" s="146"/>
      <c r="AY470" s="32"/>
      <c r="AZ470" s="146"/>
      <c r="BA470" s="32"/>
      <c r="BB470" s="146"/>
      <c r="BC470" s="32"/>
      <c r="BD470" s="146"/>
      <c r="BE470" s="32"/>
      <c r="BF470" s="146"/>
      <c r="BG470" s="32"/>
      <c r="BH470" s="146"/>
      <c r="BI470" s="32"/>
      <c r="BJ470" s="146"/>
      <c r="BK470" s="32"/>
      <c r="BL470" s="146"/>
      <c r="BM470" s="32"/>
      <c r="BN470" s="146"/>
      <c r="BO470" s="32"/>
      <c r="BP470" s="146"/>
      <c r="BQ470" s="32"/>
      <c r="BR470" s="146"/>
      <c r="BS470" s="32"/>
      <c r="BT470" s="146">
        <v>494</v>
      </c>
      <c r="BU470" s="32">
        <v>552</v>
      </c>
      <c r="BV470" s="146">
        <v>571</v>
      </c>
      <c r="BW470" s="32">
        <v>474</v>
      </c>
    </row>
    <row r="471" spans="1:75" ht="13" x14ac:dyDescent="0.25">
      <c r="A471" s="186">
        <v>7343</v>
      </c>
      <c r="B471" s="187" t="s">
        <v>493</v>
      </c>
      <c r="C471" s="46">
        <v>1177</v>
      </c>
      <c r="D471" s="142">
        <v>1016</v>
      </c>
      <c r="E471" s="145">
        <f t="shared" si="6"/>
        <v>0.86321155480033984</v>
      </c>
      <c r="F471" s="146">
        <v>285</v>
      </c>
      <c r="G471" s="32">
        <v>693</v>
      </c>
      <c r="H471" s="146"/>
      <c r="I471" s="32"/>
      <c r="J471" s="146"/>
      <c r="K471" s="32"/>
      <c r="L471" s="146"/>
      <c r="M471" s="32"/>
      <c r="N471" s="146"/>
      <c r="O471" s="32"/>
      <c r="P471" s="146"/>
      <c r="Q471" s="32"/>
      <c r="R471" s="146"/>
      <c r="S471" s="32"/>
      <c r="T471" s="146"/>
      <c r="U471" s="32"/>
      <c r="V471" s="146"/>
      <c r="W471" s="32"/>
      <c r="X471" s="146"/>
      <c r="Y471" s="32"/>
      <c r="Z471" s="146"/>
      <c r="AA471" s="32"/>
      <c r="AB471" s="146"/>
      <c r="AC471" s="32"/>
      <c r="AD471" s="146"/>
      <c r="AE471" s="32"/>
      <c r="AF471" s="146"/>
      <c r="AG471" s="32"/>
      <c r="AH471" s="146"/>
      <c r="AI471" s="32"/>
      <c r="AJ471" s="146"/>
      <c r="AK471" s="32"/>
      <c r="AL471" s="146"/>
      <c r="AM471" s="32"/>
      <c r="AN471" s="146"/>
      <c r="AO471" s="32"/>
      <c r="AP471" s="146"/>
      <c r="AQ471" s="32"/>
      <c r="AR471" s="146"/>
      <c r="AS471" s="32"/>
      <c r="AT471" s="146"/>
      <c r="AU471" s="32"/>
      <c r="AV471" s="146"/>
      <c r="AW471" s="32"/>
      <c r="AX471" s="146"/>
      <c r="AY471" s="32"/>
      <c r="AZ471" s="146"/>
      <c r="BA471" s="32"/>
      <c r="BB471" s="146"/>
      <c r="BC471" s="32"/>
      <c r="BD471" s="146"/>
      <c r="BE471" s="32"/>
      <c r="BF471" s="146"/>
      <c r="BG471" s="32"/>
      <c r="BH471" s="146"/>
      <c r="BI471" s="32"/>
      <c r="BJ471" s="146"/>
      <c r="BK471" s="32"/>
      <c r="BL471" s="146"/>
      <c r="BM471" s="32"/>
      <c r="BN471" s="146"/>
      <c r="BO471" s="32"/>
      <c r="BP471" s="146"/>
      <c r="BQ471" s="32"/>
      <c r="BR471" s="146"/>
      <c r="BS471" s="32"/>
      <c r="BT471" s="146">
        <v>449</v>
      </c>
      <c r="BU471" s="32">
        <v>511</v>
      </c>
      <c r="BV471" s="146">
        <v>474</v>
      </c>
      <c r="BW471" s="32">
        <v>488</v>
      </c>
    </row>
    <row r="472" spans="1:75" ht="13" x14ac:dyDescent="0.25">
      <c r="A472" s="186">
        <v>7401</v>
      </c>
      <c r="B472" s="187" t="s">
        <v>494</v>
      </c>
      <c r="C472" s="46">
        <v>592</v>
      </c>
      <c r="D472" s="142">
        <v>396</v>
      </c>
      <c r="E472" s="145">
        <f t="shared" si="6"/>
        <v>0.66891891891891897</v>
      </c>
      <c r="F472" s="146">
        <v>205</v>
      </c>
      <c r="G472" s="32">
        <v>173</v>
      </c>
      <c r="H472" s="146"/>
      <c r="I472" s="32"/>
      <c r="J472" s="146"/>
      <c r="K472" s="32"/>
      <c r="L472" s="146"/>
      <c r="M472" s="32"/>
      <c r="N472" s="146"/>
      <c r="O472" s="32"/>
      <c r="P472" s="146"/>
      <c r="Q472" s="32"/>
      <c r="R472" s="146"/>
      <c r="S472" s="32"/>
      <c r="T472" s="146"/>
      <c r="U472" s="32"/>
      <c r="V472" s="146"/>
      <c r="W472" s="32"/>
      <c r="X472" s="146"/>
      <c r="Y472" s="32"/>
      <c r="Z472" s="146"/>
      <c r="AA472" s="32"/>
      <c r="AB472" s="146"/>
      <c r="AC472" s="32"/>
      <c r="AD472" s="146"/>
      <c r="AE472" s="32"/>
      <c r="AF472" s="146"/>
      <c r="AG472" s="32"/>
      <c r="AH472" s="146">
        <v>256</v>
      </c>
      <c r="AI472" s="32">
        <v>131</v>
      </c>
      <c r="AJ472" s="146">
        <v>271</v>
      </c>
      <c r="AK472" s="32">
        <v>116</v>
      </c>
      <c r="AL472" s="146"/>
      <c r="AM472" s="32"/>
      <c r="AN472" s="146"/>
      <c r="AO472" s="32"/>
      <c r="AP472" s="146"/>
      <c r="AQ472" s="32"/>
      <c r="AR472" s="146"/>
      <c r="AS472" s="32"/>
      <c r="AT472" s="146"/>
      <c r="AU472" s="32"/>
      <c r="AV472" s="146"/>
      <c r="AW472" s="32"/>
      <c r="AX472" s="146"/>
      <c r="AY472" s="32"/>
      <c r="AZ472" s="146"/>
      <c r="BA472" s="32"/>
      <c r="BB472" s="146"/>
      <c r="BC472" s="32"/>
      <c r="BD472" s="146"/>
      <c r="BE472" s="32"/>
      <c r="BF472" s="146"/>
      <c r="BG472" s="32"/>
      <c r="BH472" s="146"/>
      <c r="BI472" s="32"/>
      <c r="BJ472" s="146"/>
      <c r="BK472" s="32"/>
      <c r="BL472" s="146"/>
      <c r="BM472" s="32"/>
      <c r="BN472" s="146"/>
      <c r="BO472" s="32"/>
      <c r="BP472" s="146"/>
      <c r="BQ472" s="32"/>
      <c r="BR472" s="146"/>
      <c r="BS472" s="32"/>
      <c r="BT472" s="146">
        <v>256</v>
      </c>
      <c r="BU472" s="32">
        <v>126</v>
      </c>
      <c r="BV472" s="146">
        <v>251</v>
      </c>
      <c r="BW472" s="32">
        <v>130</v>
      </c>
    </row>
    <row r="473" spans="1:75" ht="13" x14ac:dyDescent="0.25">
      <c r="A473" s="186">
        <v>7402</v>
      </c>
      <c r="B473" s="187" t="s">
        <v>495</v>
      </c>
      <c r="C473" s="46">
        <v>1043</v>
      </c>
      <c r="D473" s="142">
        <v>816</v>
      </c>
      <c r="E473" s="145">
        <f t="shared" ref="E473:E536" si="7">SUM(D473/C473)</f>
        <v>0.78235858101629918</v>
      </c>
      <c r="F473" s="146">
        <v>387</v>
      </c>
      <c r="G473" s="32">
        <v>394</v>
      </c>
      <c r="H473" s="146"/>
      <c r="I473" s="32"/>
      <c r="J473" s="146"/>
      <c r="K473" s="32"/>
      <c r="L473" s="146"/>
      <c r="M473" s="32"/>
      <c r="N473" s="146"/>
      <c r="O473" s="32"/>
      <c r="P473" s="146"/>
      <c r="Q473" s="32"/>
      <c r="R473" s="146"/>
      <c r="S473" s="32"/>
      <c r="T473" s="146"/>
      <c r="U473" s="32"/>
      <c r="V473" s="146"/>
      <c r="W473" s="32"/>
      <c r="X473" s="146"/>
      <c r="Y473" s="32"/>
      <c r="Z473" s="146"/>
      <c r="AA473" s="32"/>
      <c r="AB473" s="146"/>
      <c r="AC473" s="32"/>
      <c r="AD473" s="146"/>
      <c r="AE473" s="32"/>
      <c r="AF473" s="146"/>
      <c r="AG473" s="32"/>
      <c r="AH473" s="146">
        <v>532</v>
      </c>
      <c r="AI473" s="32">
        <v>255</v>
      </c>
      <c r="AJ473" s="146">
        <v>549</v>
      </c>
      <c r="AK473" s="32">
        <v>232</v>
      </c>
      <c r="AL473" s="146"/>
      <c r="AM473" s="32"/>
      <c r="AN473" s="146"/>
      <c r="AO473" s="32"/>
      <c r="AP473" s="146"/>
      <c r="AQ473" s="32"/>
      <c r="AR473" s="146"/>
      <c r="AS473" s="32"/>
      <c r="AT473" s="146"/>
      <c r="AU473" s="32"/>
      <c r="AV473" s="146"/>
      <c r="AW473" s="32"/>
      <c r="AX473" s="146"/>
      <c r="AY473" s="32"/>
      <c r="AZ473" s="146"/>
      <c r="BA473" s="32"/>
      <c r="BB473" s="146"/>
      <c r="BC473" s="32"/>
      <c r="BD473" s="146"/>
      <c r="BE473" s="32"/>
      <c r="BF473" s="146"/>
      <c r="BG473" s="32"/>
      <c r="BH473" s="146"/>
      <c r="BI473" s="32"/>
      <c r="BJ473" s="146"/>
      <c r="BK473" s="32"/>
      <c r="BL473" s="146"/>
      <c r="BM473" s="32"/>
      <c r="BN473" s="146"/>
      <c r="BO473" s="32"/>
      <c r="BP473" s="146"/>
      <c r="BQ473" s="32"/>
      <c r="BR473" s="146"/>
      <c r="BS473" s="32"/>
      <c r="BT473" s="146">
        <v>474</v>
      </c>
      <c r="BU473" s="32">
        <v>309</v>
      </c>
      <c r="BV473" s="146">
        <v>485</v>
      </c>
      <c r="BW473" s="32">
        <v>303</v>
      </c>
    </row>
    <row r="474" spans="1:75" ht="13" x14ac:dyDescent="0.25">
      <c r="A474" s="186">
        <v>7403</v>
      </c>
      <c r="B474" s="187" t="s">
        <v>496</v>
      </c>
      <c r="C474" s="46">
        <v>1018</v>
      </c>
      <c r="D474" s="142">
        <v>743</v>
      </c>
      <c r="E474" s="145">
        <f t="shared" si="7"/>
        <v>0.72986247544204319</v>
      </c>
      <c r="F474" s="146">
        <v>359</v>
      </c>
      <c r="G474" s="32">
        <v>343</v>
      </c>
      <c r="H474" s="146"/>
      <c r="I474" s="32"/>
      <c r="J474" s="146"/>
      <c r="K474" s="32"/>
      <c r="L474" s="146"/>
      <c r="M474" s="32"/>
      <c r="N474" s="146"/>
      <c r="O474" s="32"/>
      <c r="P474" s="146"/>
      <c r="Q474" s="32"/>
      <c r="R474" s="146"/>
      <c r="S474" s="32"/>
      <c r="T474" s="146"/>
      <c r="U474" s="32"/>
      <c r="V474" s="146"/>
      <c r="W474" s="32"/>
      <c r="X474" s="146"/>
      <c r="Y474" s="32"/>
      <c r="Z474" s="146"/>
      <c r="AA474" s="32"/>
      <c r="AB474" s="146"/>
      <c r="AC474" s="32"/>
      <c r="AD474" s="146"/>
      <c r="AE474" s="32"/>
      <c r="AF474" s="146"/>
      <c r="AG474" s="32"/>
      <c r="AH474" s="146">
        <v>457</v>
      </c>
      <c r="AI474" s="32">
        <v>260</v>
      </c>
      <c r="AJ474" s="146">
        <v>466</v>
      </c>
      <c r="AK474" s="32">
        <v>253</v>
      </c>
      <c r="AL474" s="146"/>
      <c r="AM474" s="32"/>
      <c r="AN474" s="146"/>
      <c r="AO474" s="32"/>
      <c r="AP474" s="146"/>
      <c r="AQ474" s="32"/>
      <c r="AR474" s="146"/>
      <c r="AS474" s="32"/>
      <c r="AT474" s="146"/>
      <c r="AU474" s="32"/>
      <c r="AV474" s="146"/>
      <c r="AW474" s="32"/>
      <c r="AX474" s="146"/>
      <c r="AY474" s="32"/>
      <c r="AZ474" s="146"/>
      <c r="BA474" s="32"/>
      <c r="BB474" s="146"/>
      <c r="BC474" s="32"/>
      <c r="BD474" s="146"/>
      <c r="BE474" s="32"/>
      <c r="BF474" s="146"/>
      <c r="BG474" s="32"/>
      <c r="BH474" s="146"/>
      <c r="BI474" s="32"/>
      <c r="BJ474" s="146"/>
      <c r="BK474" s="32"/>
      <c r="BL474" s="146"/>
      <c r="BM474" s="32"/>
      <c r="BN474" s="146"/>
      <c r="BO474" s="32"/>
      <c r="BP474" s="146"/>
      <c r="BQ474" s="32"/>
      <c r="BR474" s="146"/>
      <c r="BS474" s="32"/>
      <c r="BT474" s="146">
        <v>446</v>
      </c>
      <c r="BU474" s="32">
        <v>261</v>
      </c>
      <c r="BV474" s="146">
        <v>468</v>
      </c>
      <c r="BW474" s="32">
        <v>243</v>
      </c>
    </row>
    <row r="475" spans="1:75" ht="13" x14ac:dyDescent="0.25">
      <c r="A475" s="186">
        <v>7601</v>
      </c>
      <c r="B475" s="187" t="s">
        <v>497</v>
      </c>
      <c r="C475" s="46">
        <v>757</v>
      </c>
      <c r="D475" s="142">
        <v>631</v>
      </c>
      <c r="E475" s="145">
        <f t="shared" si="7"/>
        <v>0.83355350066050193</v>
      </c>
      <c r="F475" s="146">
        <v>150</v>
      </c>
      <c r="G475" s="32">
        <v>443</v>
      </c>
      <c r="H475" s="146"/>
      <c r="I475" s="32"/>
      <c r="J475" s="146"/>
      <c r="K475" s="32"/>
      <c r="L475" s="146"/>
      <c r="M475" s="32"/>
      <c r="N475" s="146"/>
      <c r="O475" s="32"/>
      <c r="P475" s="146"/>
      <c r="Q475" s="32"/>
      <c r="R475" s="146"/>
      <c r="S475" s="32"/>
      <c r="T475" s="146"/>
      <c r="U475" s="32"/>
      <c r="V475" s="146"/>
      <c r="W475" s="32"/>
      <c r="X475" s="146"/>
      <c r="Y475" s="32"/>
      <c r="Z475" s="146"/>
      <c r="AA475" s="32"/>
      <c r="AB475" s="146"/>
      <c r="AC475" s="32"/>
      <c r="AD475" s="146"/>
      <c r="AE475" s="32"/>
      <c r="AF475" s="146"/>
      <c r="AG475" s="32"/>
      <c r="AH475" s="146"/>
      <c r="AI475" s="32"/>
      <c r="AJ475" s="146"/>
      <c r="AK475" s="32"/>
      <c r="AL475" s="146"/>
      <c r="AM475" s="32"/>
      <c r="AN475" s="146"/>
      <c r="AO475" s="32"/>
      <c r="AP475" s="146"/>
      <c r="AQ475" s="32"/>
      <c r="AR475" s="146"/>
      <c r="AS475" s="32"/>
      <c r="AT475" s="146"/>
      <c r="AU475" s="32"/>
      <c r="AV475" s="146"/>
      <c r="AW475" s="32"/>
      <c r="AX475" s="146"/>
      <c r="AY475" s="32"/>
      <c r="AZ475" s="146"/>
      <c r="BA475" s="32"/>
      <c r="BB475" s="146"/>
      <c r="BC475" s="32"/>
      <c r="BD475" s="146"/>
      <c r="BE475" s="32"/>
      <c r="BF475" s="146"/>
      <c r="BG475" s="32"/>
      <c r="BH475" s="146"/>
      <c r="BI475" s="32"/>
      <c r="BJ475" s="146"/>
      <c r="BK475" s="32"/>
      <c r="BL475" s="146"/>
      <c r="BM475" s="32"/>
      <c r="BN475" s="146"/>
      <c r="BO475" s="32"/>
      <c r="BP475" s="146"/>
      <c r="BQ475" s="32"/>
      <c r="BR475" s="146"/>
      <c r="BS475" s="32"/>
      <c r="BT475" s="146">
        <v>187</v>
      </c>
      <c r="BU475" s="32">
        <v>401</v>
      </c>
      <c r="BV475" s="146">
        <v>210</v>
      </c>
      <c r="BW475" s="32">
        <v>379</v>
      </c>
    </row>
    <row r="476" spans="1:75" ht="13" x14ac:dyDescent="0.25">
      <c r="A476" s="186">
        <v>7602</v>
      </c>
      <c r="B476" s="187" t="s">
        <v>498</v>
      </c>
      <c r="C476" s="46">
        <v>1329</v>
      </c>
      <c r="D476" s="142">
        <v>1048</v>
      </c>
      <c r="E476" s="145">
        <f t="shared" si="7"/>
        <v>0.78856282919488341</v>
      </c>
      <c r="F476" s="146">
        <v>244</v>
      </c>
      <c r="G476" s="32">
        <v>754</v>
      </c>
      <c r="H476" s="146"/>
      <c r="I476" s="32"/>
      <c r="J476" s="146"/>
      <c r="K476" s="32"/>
      <c r="L476" s="146"/>
      <c r="M476" s="32"/>
      <c r="N476" s="146"/>
      <c r="O476" s="32"/>
      <c r="P476" s="146"/>
      <c r="Q476" s="32"/>
      <c r="R476" s="146"/>
      <c r="S476" s="32"/>
      <c r="T476" s="146"/>
      <c r="U476" s="32"/>
      <c r="V476" s="146"/>
      <c r="W476" s="32"/>
      <c r="X476" s="146"/>
      <c r="Y476" s="32"/>
      <c r="Z476" s="146"/>
      <c r="AA476" s="32"/>
      <c r="AB476" s="146"/>
      <c r="AC476" s="32"/>
      <c r="AD476" s="146"/>
      <c r="AE476" s="32"/>
      <c r="AF476" s="146"/>
      <c r="AG476" s="32"/>
      <c r="AH476" s="146"/>
      <c r="AI476" s="32"/>
      <c r="AJ476" s="146"/>
      <c r="AK476" s="32"/>
      <c r="AL476" s="146"/>
      <c r="AM476" s="32"/>
      <c r="AN476" s="146"/>
      <c r="AO476" s="32"/>
      <c r="AP476" s="146"/>
      <c r="AQ476" s="32"/>
      <c r="AR476" s="146"/>
      <c r="AS476" s="32"/>
      <c r="AT476" s="146"/>
      <c r="AU476" s="32"/>
      <c r="AV476" s="146"/>
      <c r="AW476" s="32"/>
      <c r="AX476" s="146"/>
      <c r="AY476" s="32"/>
      <c r="AZ476" s="146"/>
      <c r="BA476" s="32"/>
      <c r="BB476" s="146"/>
      <c r="BC476" s="32"/>
      <c r="BD476" s="146"/>
      <c r="BE476" s="32"/>
      <c r="BF476" s="146"/>
      <c r="BG476" s="32"/>
      <c r="BH476" s="146"/>
      <c r="BI476" s="32"/>
      <c r="BJ476" s="146"/>
      <c r="BK476" s="32"/>
      <c r="BL476" s="146"/>
      <c r="BM476" s="32"/>
      <c r="BN476" s="146"/>
      <c r="BO476" s="32"/>
      <c r="BP476" s="146"/>
      <c r="BQ476" s="32"/>
      <c r="BR476" s="146"/>
      <c r="BS476" s="32"/>
      <c r="BT476" s="146">
        <v>360</v>
      </c>
      <c r="BU476" s="32">
        <v>629</v>
      </c>
      <c r="BV476" s="146">
        <v>409</v>
      </c>
      <c r="BW476" s="32">
        <v>578</v>
      </c>
    </row>
    <row r="477" spans="1:75" ht="13" x14ac:dyDescent="0.25">
      <c r="A477" s="186">
        <v>7603</v>
      </c>
      <c r="B477" s="187" t="s">
        <v>499</v>
      </c>
      <c r="C477" s="46">
        <v>925</v>
      </c>
      <c r="D477" s="142">
        <v>580</v>
      </c>
      <c r="E477" s="145">
        <f t="shared" si="7"/>
        <v>0.62702702702702706</v>
      </c>
      <c r="F477" s="146">
        <v>166</v>
      </c>
      <c r="G477" s="32">
        <v>383</v>
      </c>
      <c r="H477" s="146"/>
      <c r="I477" s="32"/>
      <c r="J477" s="146"/>
      <c r="K477" s="32"/>
      <c r="L477" s="146"/>
      <c r="M477" s="32"/>
      <c r="N477" s="146"/>
      <c r="O477" s="32"/>
      <c r="P477" s="146"/>
      <c r="Q477" s="32"/>
      <c r="R477" s="146"/>
      <c r="S477" s="32"/>
      <c r="T477" s="146"/>
      <c r="U477" s="32"/>
      <c r="V477" s="146"/>
      <c r="W477" s="32"/>
      <c r="X477" s="146"/>
      <c r="Y477" s="32"/>
      <c r="Z477" s="146"/>
      <c r="AA477" s="32"/>
      <c r="AB477" s="146"/>
      <c r="AC477" s="32"/>
      <c r="AD477" s="146"/>
      <c r="AE477" s="32"/>
      <c r="AF477" s="146"/>
      <c r="AG477" s="32"/>
      <c r="AH477" s="146"/>
      <c r="AI477" s="32"/>
      <c r="AJ477" s="146"/>
      <c r="AK477" s="32"/>
      <c r="AL477" s="146"/>
      <c r="AM477" s="32"/>
      <c r="AN477" s="146"/>
      <c r="AO477" s="32"/>
      <c r="AP477" s="146"/>
      <c r="AQ477" s="32"/>
      <c r="AR477" s="146"/>
      <c r="AS477" s="32"/>
      <c r="AT477" s="146"/>
      <c r="AU477" s="32"/>
      <c r="AV477" s="146"/>
      <c r="AW477" s="32"/>
      <c r="AX477" s="146"/>
      <c r="AY477" s="32"/>
      <c r="AZ477" s="146"/>
      <c r="BA477" s="32"/>
      <c r="BB477" s="146"/>
      <c r="BC477" s="32"/>
      <c r="BD477" s="146"/>
      <c r="BE477" s="32"/>
      <c r="BF477" s="146"/>
      <c r="BG477" s="32"/>
      <c r="BH477" s="146"/>
      <c r="BI477" s="32"/>
      <c r="BJ477" s="146"/>
      <c r="BK477" s="32"/>
      <c r="BL477" s="146"/>
      <c r="BM477" s="32"/>
      <c r="BN477" s="146"/>
      <c r="BO477" s="32"/>
      <c r="BP477" s="146"/>
      <c r="BQ477" s="32"/>
      <c r="BR477" s="146"/>
      <c r="BS477" s="32"/>
      <c r="BT477" s="146">
        <v>232</v>
      </c>
      <c r="BU477" s="32">
        <v>320</v>
      </c>
      <c r="BV477" s="146">
        <v>267</v>
      </c>
      <c r="BW477" s="32">
        <v>287</v>
      </c>
    </row>
    <row r="478" spans="1:75" ht="13" x14ac:dyDescent="0.25">
      <c r="A478" s="186">
        <v>7701</v>
      </c>
      <c r="B478" s="187" t="s">
        <v>500</v>
      </c>
      <c r="C478" s="46">
        <v>1267</v>
      </c>
      <c r="D478" s="142">
        <v>761</v>
      </c>
      <c r="E478" s="145">
        <f t="shared" si="7"/>
        <v>0.60063141278610888</v>
      </c>
      <c r="F478" s="146">
        <v>549</v>
      </c>
      <c r="G478" s="32">
        <v>141</v>
      </c>
      <c r="H478" s="146"/>
      <c r="I478" s="32"/>
      <c r="J478" s="146"/>
      <c r="K478" s="32"/>
      <c r="L478" s="146"/>
      <c r="M478" s="32"/>
      <c r="N478" s="146"/>
      <c r="O478" s="32"/>
      <c r="P478" s="146"/>
      <c r="Q478" s="32"/>
      <c r="R478" s="146"/>
      <c r="S478" s="32"/>
      <c r="T478" s="146"/>
      <c r="U478" s="32"/>
      <c r="V478" s="146"/>
      <c r="W478" s="32"/>
      <c r="X478" s="146"/>
      <c r="Y478" s="32"/>
      <c r="Z478" s="146"/>
      <c r="AA478" s="32"/>
      <c r="AB478" s="146"/>
      <c r="AC478" s="32"/>
      <c r="AD478" s="146"/>
      <c r="AE478" s="32"/>
      <c r="AF478" s="146"/>
      <c r="AG478" s="32"/>
      <c r="AH478" s="146"/>
      <c r="AI478" s="32"/>
      <c r="AJ478" s="146"/>
      <c r="AK478" s="32"/>
      <c r="AL478" s="146"/>
      <c r="AM478" s="32"/>
      <c r="AN478" s="146"/>
      <c r="AO478" s="32"/>
      <c r="AP478" s="146"/>
      <c r="AQ478" s="32"/>
      <c r="AR478" s="146"/>
      <c r="AS478" s="32"/>
      <c r="AT478" s="146"/>
      <c r="AU478" s="32"/>
      <c r="AV478" s="146"/>
      <c r="AW478" s="32"/>
      <c r="AX478" s="146"/>
      <c r="AY478" s="32"/>
      <c r="AZ478" s="146"/>
      <c r="BA478" s="32"/>
      <c r="BB478" s="146"/>
      <c r="BC478" s="32"/>
      <c r="BD478" s="146"/>
      <c r="BE478" s="32"/>
      <c r="BF478" s="146"/>
      <c r="BG478" s="32"/>
      <c r="BH478" s="146"/>
      <c r="BI478" s="32"/>
      <c r="BJ478" s="146"/>
      <c r="BK478" s="32"/>
      <c r="BL478" s="146">
        <v>460</v>
      </c>
      <c r="BM478" s="32">
        <v>243</v>
      </c>
      <c r="BN478" s="146"/>
      <c r="BO478" s="32"/>
      <c r="BP478" s="146"/>
      <c r="BQ478" s="32"/>
      <c r="BR478" s="146"/>
      <c r="BS478" s="32"/>
      <c r="BT478" s="146">
        <v>512</v>
      </c>
      <c r="BU478" s="32">
        <v>186</v>
      </c>
      <c r="BV478" s="146">
        <v>558</v>
      </c>
      <c r="BW478" s="32">
        <v>146</v>
      </c>
    </row>
    <row r="479" spans="1:75" ht="13" x14ac:dyDescent="0.25">
      <c r="A479" s="186">
        <v>7702</v>
      </c>
      <c r="B479" s="187" t="s">
        <v>501</v>
      </c>
      <c r="C479" s="46">
        <v>778</v>
      </c>
      <c r="D479" s="142">
        <v>389</v>
      </c>
      <c r="E479" s="145">
        <f t="shared" si="7"/>
        <v>0.5</v>
      </c>
      <c r="F479" s="146">
        <v>288</v>
      </c>
      <c r="G479" s="32">
        <v>77</v>
      </c>
      <c r="H479" s="146"/>
      <c r="I479" s="32"/>
      <c r="J479" s="146"/>
      <c r="K479" s="32"/>
      <c r="L479" s="146"/>
      <c r="M479" s="32"/>
      <c r="N479" s="146"/>
      <c r="O479" s="32"/>
      <c r="P479" s="146"/>
      <c r="Q479" s="32"/>
      <c r="R479" s="146"/>
      <c r="S479" s="32"/>
      <c r="T479" s="146"/>
      <c r="U479" s="32"/>
      <c r="V479" s="146"/>
      <c r="W479" s="32"/>
      <c r="X479" s="146"/>
      <c r="Y479" s="32"/>
      <c r="Z479" s="146"/>
      <c r="AA479" s="32"/>
      <c r="AB479" s="146"/>
      <c r="AC479" s="32"/>
      <c r="AD479" s="146"/>
      <c r="AE479" s="32"/>
      <c r="AF479" s="146"/>
      <c r="AG479" s="32"/>
      <c r="AH479" s="146"/>
      <c r="AI479" s="32"/>
      <c r="AJ479" s="146"/>
      <c r="AK479" s="32"/>
      <c r="AL479" s="146"/>
      <c r="AM479" s="32"/>
      <c r="AN479" s="146"/>
      <c r="AO479" s="32"/>
      <c r="AP479" s="146"/>
      <c r="AQ479" s="32"/>
      <c r="AR479" s="146"/>
      <c r="AS479" s="32"/>
      <c r="AT479" s="146"/>
      <c r="AU479" s="32"/>
      <c r="AV479" s="146"/>
      <c r="AW479" s="32"/>
      <c r="AX479" s="146"/>
      <c r="AY479" s="32"/>
      <c r="AZ479" s="146"/>
      <c r="BA479" s="32"/>
      <c r="BB479" s="146"/>
      <c r="BC479" s="32"/>
      <c r="BD479" s="146"/>
      <c r="BE479" s="32"/>
      <c r="BF479" s="146"/>
      <c r="BG479" s="32"/>
      <c r="BH479" s="146"/>
      <c r="BI479" s="32"/>
      <c r="BJ479" s="146"/>
      <c r="BK479" s="32"/>
      <c r="BL479" s="146">
        <v>234</v>
      </c>
      <c r="BM479" s="32">
        <v>126</v>
      </c>
      <c r="BN479" s="146"/>
      <c r="BO479" s="32"/>
      <c r="BP479" s="146"/>
      <c r="BQ479" s="32"/>
      <c r="BR479" s="146"/>
      <c r="BS479" s="32"/>
      <c r="BT479" s="146">
        <v>268</v>
      </c>
      <c r="BU479" s="32">
        <v>90</v>
      </c>
      <c r="BV479" s="146">
        <v>278</v>
      </c>
      <c r="BW479" s="32">
        <v>87</v>
      </c>
    </row>
    <row r="480" spans="1:75" ht="13" x14ac:dyDescent="0.25">
      <c r="A480" s="186">
        <v>7901</v>
      </c>
      <c r="B480" s="187" t="s">
        <v>502</v>
      </c>
      <c r="C480" s="46">
        <v>795</v>
      </c>
      <c r="D480" s="142">
        <v>489</v>
      </c>
      <c r="E480" s="145">
        <f t="shared" si="7"/>
        <v>0.61509433962264148</v>
      </c>
      <c r="F480" s="146">
        <v>207</v>
      </c>
      <c r="G480" s="32">
        <v>244</v>
      </c>
      <c r="H480" s="146"/>
      <c r="I480" s="32"/>
      <c r="J480" s="146"/>
      <c r="K480" s="32"/>
      <c r="L480" s="146"/>
      <c r="M480" s="32"/>
      <c r="N480" s="146"/>
      <c r="O480" s="32"/>
      <c r="P480" s="146"/>
      <c r="Q480" s="32"/>
      <c r="R480" s="146"/>
      <c r="S480" s="32"/>
      <c r="T480" s="146"/>
      <c r="U480" s="32"/>
      <c r="V480" s="146"/>
      <c r="W480" s="32"/>
      <c r="X480" s="146"/>
      <c r="Y480" s="32"/>
      <c r="Z480" s="146"/>
      <c r="AA480" s="32"/>
      <c r="AB480" s="146"/>
      <c r="AC480" s="32"/>
      <c r="AD480" s="146"/>
      <c r="AE480" s="32"/>
      <c r="AF480" s="146"/>
      <c r="AG480" s="32"/>
      <c r="AH480" s="146"/>
      <c r="AI480" s="32"/>
      <c r="AJ480" s="146"/>
      <c r="AK480" s="32"/>
      <c r="AL480" s="146"/>
      <c r="AM480" s="32"/>
      <c r="AN480" s="146"/>
      <c r="AO480" s="32"/>
      <c r="AP480" s="146"/>
      <c r="AQ480" s="32"/>
      <c r="AR480" s="146"/>
      <c r="AS480" s="32"/>
      <c r="AT480" s="146"/>
      <c r="AU480" s="32"/>
      <c r="AV480" s="146"/>
      <c r="AW480" s="32"/>
      <c r="AX480" s="146"/>
      <c r="AY480" s="32"/>
      <c r="AZ480" s="146"/>
      <c r="BA480" s="32"/>
      <c r="BB480" s="146"/>
      <c r="BC480" s="32"/>
      <c r="BD480" s="146"/>
      <c r="BE480" s="32"/>
      <c r="BF480" s="146"/>
      <c r="BG480" s="32"/>
      <c r="BH480" s="146"/>
      <c r="BI480" s="32"/>
      <c r="BJ480" s="146"/>
      <c r="BK480" s="32"/>
      <c r="BL480" s="146"/>
      <c r="BM480" s="32"/>
      <c r="BN480" s="146"/>
      <c r="BO480" s="32"/>
      <c r="BP480" s="146"/>
      <c r="BQ480" s="32"/>
      <c r="BR480" s="146"/>
      <c r="BS480" s="32"/>
      <c r="BT480" s="146">
        <v>246</v>
      </c>
      <c r="BU480" s="32">
        <v>210</v>
      </c>
      <c r="BV480" s="146">
        <v>257</v>
      </c>
      <c r="BW480" s="32">
        <v>197</v>
      </c>
    </row>
    <row r="481" spans="1:75" ht="13" x14ac:dyDescent="0.25">
      <c r="A481" s="186">
        <v>7902</v>
      </c>
      <c r="B481" s="187" t="s">
        <v>503</v>
      </c>
      <c r="C481" s="46">
        <v>1325</v>
      </c>
      <c r="D481" s="142">
        <v>726</v>
      </c>
      <c r="E481" s="145">
        <f t="shared" si="7"/>
        <v>0.54792452830188676</v>
      </c>
      <c r="F481" s="146">
        <v>401</v>
      </c>
      <c r="G481" s="32">
        <v>271</v>
      </c>
      <c r="H481" s="146"/>
      <c r="I481" s="32"/>
      <c r="J481" s="146"/>
      <c r="K481" s="32"/>
      <c r="L481" s="146"/>
      <c r="M481" s="32"/>
      <c r="N481" s="146"/>
      <c r="O481" s="32"/>
      <c r="P481" s="146"/>
      <c r="Q481" s="32"/>
      <c r="R481" s="146"/>
      <c r="S481" s="32"/>
      <c r="T481" s="146"/>
      <c r="U481" s="32"/>
      <c r="V481" s="146"/>
      <c r="W481" s="32"/>
      <c r="X481" s="146"/>
      <c r="Y481" s="32"/>
      <c r="Z481" s="146"/>
      <c r="AA481" s="32"/>
      <c r="AB481" s="146"/>
      <c r="AC481" s="32"/>
      <c r="AD481" s="146"/>
      <c r="AE481" s="32"/>
      <c r="AF481" s="146"/>
      <c r="AG481" s="32"/>
      <c r="AH481" s="146"/>
      <c r="AI481" s="32"/>
      <c r="AJ481" s="146"/>
      <c r="AK481" s="32"/>
      <c r="AL481" s="146"/>
      <c r="AM481" s="32"/>
      <c r="AN481" s="146"/>
      <c r="AO481" s="32"/>
      <c r="AP481" s="146"/>
      <c r="AQ481" s="32"/>
      <c r="AR481" s="146"/>
      <c r="AS481" s="32"/>
      <c r="AT481" s="146"/>
      <c r="AU481" s="32"/>
      <c r="AV481" s="146"/>
      <c r="AW481" s="32"/>
      <c r="AX481" s="146"/>
      <c r="AY481" s="32"/>
      <c r="AZ481" s="146"/>
      <c r="BA481" s="32"/>
      <c r="BB481" s="146"/>
      <c r="BC481" s="32"/>
      <c r="BD481" s="146"/>
      <c r="BE481" s="32"/>
      <c r="BF481" s="146"/>
      <c r="BG481" s="32"/>
      <c r="BH481" s="146"/>
      <c r="BI481" s="32"/>
      <c r="BJ481" s="146"/>
      <c r="BK481" s="32"/>
      <c r="BL481" s="146"/>
      <c r="BM481" s="32"/>
      <c r="BN481" s="146"/>
      <c r="BO481" s="32"/>
      <c r="BP481" s="146"/>
      <c r="BQ481" s="32"/>
      <c r="BR481" s="146"/>
      <c r="BS481" s="32"/>
      <c r="BT481" s="146">
        <v>408</v>
      </c>
      <c r="BU481" s="32">
        <v>250</v>
      </c>
      <c r="BV481" s="146">
        <v>422</v>
      </c>
      <c r="BW481" s="32">
        <v>235</v>
      </c>
    </row>
    <row r="482" spans="1:75" ht="13" x14ac:dyDescent="0.25">
      <c r="A482" s="186">
        <v>8001</v>
      </c>
      <c r="B482" s="187" t="s">
        <v>504</v>
      </c>
      <c r="C482" s="46">
        <v>1452</v>
      </c>
      <c r="D482" s="142">
        <v>1164</v>
      </c>
      <c r="E482" s="145">
        <f t="shared" si="7"/>
        <v>0.80165289256198347</v>
      </c>
      <c r="F482" s="146">
        <v>693</v>
      </c>
      <c r="G482" s="32">
        <v>418</v>
      </c>
      <c r="H482" s="146"/>
      <c r="I482" s="32"/>
      <c r="J482" s="146"/>
      <c r="K482" s="32"/>
      <c r="L482" s="146"/>
      <c r="M482" s="32"/>
      <c r="N482" s="146"/>
      <c r="O482" s="32"/>
      <c r="P482" s="146"/>
      <c r="Q482" s="32"/>
      <c r="R482" s="146"/>
      <c r="S482" s="32"/>
      <c r="T482" s="146"/>
      <c r="U482" s="32"/>
      <c r="V482" s="146"/>
      <c r="W482" s="32"/>
      <c r="X482" s="146"/>
      <c r="Y482" s="32"/>
      <c r="Z482" s="146"/>
      <c r="AA482" s="32"/>
      <c r="AB482" s="146"/>
      <c r="AC482" s="32"/>
      <c r="AD482" s="146"/>
      <c r="AE482" s="32"/>
      <c r="AF482" s="146"/>
      <c r="AG482" s="32"/>
      <c r="AH482" s="146"/>
      <c r="AI482" s="32"/>
      <c r="AJ482" s="146"/>
      <c r="AK482" s="32"/>
      <c r="AL482" s="146"/>
      <c r="AM482" s="32"/>
      <c r="AN482" s="146"/>
      <c r="AO482" s="32"/>
      <c r="AP482" s="146"/>
      <c r="AQ482" s="32"/>
      <c r="AR482" s="146"/>
      <c r="AS482" s="32"/>
      <c r="AT482" s="146"/>
      <c r="AU482" s="32"/>
      <c r="AV482" s="146"/>
      <c r="AW482" s="32"/>
      <c r="AX482" s="146"/>
      <c r="AY482" s="32"/>
      <c r="AZ482" s="146"/>
      <c r="BA482" s="32"/>
      <c r="BB482" s="146"/>
      <c r="BC482" s="32"/>
      <c r="BD482" s="146"/>
      <c r="BE482" s="32"/>
      <c r="BF482" s="146">
        <v>666</v>
      </c>
      <c r="BG482" s="32">
        <v>452</v>
      </c>
      <c r="BH482" s="146"/>
      <c r="BI482" s="32"/>
      <c r="BJ482" s="146"/>
      <c r="BK482" s="32"/>
      <c r="BL482" s="146"/>
      <c r="BM482" s="32"/>
      <c r="BN482" s="146"/>
      <c r="BO482" s="32"/>
      <c r="BP482" s="146"/>
      <c r="BQ482" s="32"/>
      <c r="BR482" s="146"/>
      <c r="BS482" s="32"/>
      <c r="BT482" s="146">
        <v>817</v>
      </c>
      <c r="BU482" s="32">
        <v>299</v>
      </c>
      <c r="BV482" s="146">
        <v>837</v>
      </c>
      <c r="BW482" s="32">
        <v>277</v>
      </c>
    </row>
    <row r="483" spans="1:75" ht="13" x14ac:dyDescent="0.25">
      <c r="A483" s="186">
        <v>8002</v>
      </c>
      <c r="B483" s="187" t="s">
        <v>505</v>
      </c>
      <c r="C483" s="46">
        <v>1400</v>
      </c>
      <c r="D483" s="142">
        <v>1139</v>
      </c>
      <c r="E483" s="145">
        <f t="shared" si="7"/>
        <v>0.81357142857142861</v>
      </c>
      <c r="F483" s="146">
        <v>655</v>
      </c>
      <c r="G483" s="32">
        <v>411</v>
      </c>
      <c r="H483" s="146"/>
      <c r="I483" s="32"/>
      <c r="J483" s="146"/>
      <c r="K483" s="32"/>
      <c r="L483" s="146"/>
      <c r="M483" s="32"/>
      <c r="N483" s="146"/>
      <c r="O483" s="32"/>
      <c r="P483" s="146"/>
      <c r="Q483" s="32"/>
      <c r="R483" s="146"/>
      <c r="S483" s="32"/>
      <c r="T483" s="146"/>
      <c r="U483" s="32"/>
      <c r="V483" s="146"/>
      <c r="W483" s="32"/>
      <c r="X483" s="146"/>
      <c r="Y483" s="32"/>
      <c r="Z483" s="146"/>
      <c r="AA483" s="32"/>
      <c r="AB483" s="146"/>
      <c r="AC483" s="32"/>
      <c r="AD483" s="146"/>
      <c r="AE483" s="32"/>
      <c r="AF483" s="146"/>
      <c r="AG483" s="32"/>
      <c r="AH483" s="146"/>
      <c r="AI483" s="32"/>
      <c r="AJ483" s="146"/>
      <c r="AK483" s="32"/>
      <c r="AL483" s="146"/>
      <c r="AM483" s="32"/>
      <c r="AN483" s="146"/>
      <c r="AO483" s="32"/>
      <c r="AP483" s="146"/>
      <c r="AQ483" s="32"/>
      <c r="AR483" s="146"/>
      <c r="AS483" s="32"/>
      <c r="AT483" s="146"/>
      <c r="AU483" s="32"/>
      <c r="AV483" s="146"/>
      <c r="AW483" s="32"/>
      <c r="AX483" s="146"/>
      <c r="AY483" s="32"/>
      <c r="AZ483" s="146"/>
      <c r="BA483" s="32"/>
      <c r="BB483" s="146"/>
      <c r="BC483" s="32"/>
      <c r="BD483" s="146"/>
      <c r="BE483" s="32"/>
      <c r="BF483" s="146">
        <v>695</v>
      </c>
      <c r="BG483" s="32">
        <v>410</v>
      </c>
      <c r="BH483" s="146"/>
      <c r="BI483" s="32"/>
      <c r="BJ483" s="146"/>
      <c r="BK483" s="32"/>
      <c r="BL483" s="146"/>
      <c r="BM483" s="32"/>
      <c r="BN483" s="146"/>
      <c r="BO483" s="32"/>
      <c r="BP483" s="146"/>
      <c r="BQ483" s="32"/>
      <c r="BR483" s="146"/>
      <c r="BS483" s="32"/>
      <c r="BT483" s="146">
        <v>806</v>
      </c>
      <c r="BU483" s="32">
        <v>266</v>
      </c>
      <c r="BV483" s="146">
        <v>794</v>
      </c>
      <c r="BW483" s="32">
        <v>277</v>
      </c>
    </row>
    <row r="484" spans="1:75" ht="13" x14ac:dyDescent="0.25">
      <c r="A484" s="186">
        <v>8211</v>
      </c>
      <c r="B484" s="187" t="s">
        <v>506</v>
      </c>
      <c r="C484" s="46">
        <v>523</v>
      </c>
      <c r="D484" s="142">
        <v>310</v>
      </c>
      <c r="E484" s="145">
        <f t="shared" si="7"/>
        <v>0.59273422562141487</v>
      </c>
      <c r="F484" s="146">
        <v>85</v>
      </c>
      <c r="G484" s="32">
        <v>210</v>
      </c>
      <c r="H484" s="146"/>
      <c r="I484" s="32"/>
      <c r="J484" s="146"/>
      <c r="K484" s="32"/>
      <c r="L484" s="146"/>
      <c r="M484" s="32"/>
      <c r="N484" s="146"/>
      <c r="O484" s="32"/>
      <c r="P484" s="146"/>
      <c r="Q484" s="32"/>
      <c r="R484" s="146"/>
      <c r="S484" s="32"/>
      <c r="T484" s="146"/>
      <c r="U484" s="32"/>
      <c r="V484" s="146"/>
      <c r="W484" s="32"/>
      <c r="X484" s="146"/>
      <c r="Y484" s="32"/>
      <c r="Z484" s="146"/>
      <c r="AA484" s="32"/>
      <c r="AB484" s="146">
        <v>172</v>
      </c>
      <c r="AC484" s="32">
        <v>123</v>
      </c>
      <c r="AD484" s="146"/>
      <c r="AE484" s="32"/>
      <c r="AF484" s="146"/>
      <c r="AG484" s="32"/>
      <c r="AH484" s="146"/>
      <c r="AI484" s="32"/>
      <c r="AJ484" s="146"/>
      <c r="AK484" s="32"/>
      <c r="AL484" s="146"/>
      <c r="AM484" s="32"/>
      <c r="AN484" s="146"/>
      <c r="AO484" s="32"/>
      <c r="AP484" s="146"/>
      <c r="AQ484" s="32"/>
      <c r="AR484" s="146"/>
      <c r="AS484" s="32"/>
      <c r="AT484" s="146"/>
      <c r="AU484" s="32"/>
      <c r="AV484" s="146"/>
      <c r="AW484" s="32"/>
      <c r="AX484" s="146"/>
      <c r="AY484" s="32"/>
      <c r="AZ484" s="146"/>
      <c r="BA484" s="32"/>
      <c r="BB484" s="146"/>
      <c r="BC484" s="32"/>
      <c r="BD484" s="146"/>
      <c r="BE484" s="32"/>
      <c r="BF484" s="146"/>
      <c r="BG484" s="32"/>
      <c r="BH484" s="146"/>
      <c r="BI484" s="32"/>
      <c r="BJ484" s="146"/>
      <c r="BK484" s="32"/>
      <c r="BL484" s="146"/>
      <c r="BM484" s="32"/>
      <c r="BN484" s="146"/>
      <c r="BO484" s="32"/>
      <c r="BP484" s="146"/>
      <c r="BQ484" s="32"/>
      <c r="BR484" s="146"/>
      <c r="BS484" s="32"/>
      <c r="BT484" s="146">
        <v>138</v>
      </c>
      <c r="BU484" s="32">
        <v>155</v>
      </c>
      <c r="BV484" s="146">
        <v>156</v>
      </c>
      <c r="BW484" s="32">
        <v>140</v>
      </c>
    </row>
    <row r="485" spans="1:75" ht="13" x14ac:dyDescent="0.25">
      <c r="A485" s="186">
        <v>8221</v>
      </c>
      <c r="B485" s="187" t="s">
        <v>507</v>
      </c>
      <c r="C485" s="46">
        <v>928</v>
      </c>
      <c r="D485" s="142">
        <v>562</v>
      </c>
      <c r="E485" s="145">
        <f t="shared" si="7"/>
        <v>0.6056034482758621</v>
      </c>
      <c r="F485" s="146">
        <v>186</v>
      </c>
      <c r="G485" s="32">
        <v>343</v>
      </c>
      <c r="H485" s="146"/>
      <c r="I485" s="32"/>
      <c r="J485" s="146"/>
      <c r="K485" s="32"/>
      <c r="L485" s="146"/>
      <c r="M485" s="32"/>
      <c r="N485" s="146"/>
      <c r="O485" s="32"/>
      <c r="P485" s="146"/>
      <c r="Q485" s="32"/>
      <c r="R485" s="146"/>
      <c r="S485" s="32"/>
      <c r="T485" s="146"/>
      <c r="U485" s="32"/>
      <c r="V485" s="146"/>
      <c r="W485" s="32"/>
      <c r="X485" s="146"/>
      <c r="Y485" s="32"/>
      <c r="Z485" s="146"/>
      <c r="AA485" s="32"/>
      <c r="AB485" s="146"/>
      <c r="AC485" s="32"/>
      <c r="AD485" s="146"/>
      <c r="AE485" s="32"/>
      <c r="AF485" s="146"/>
      <c r="AG485" s="32"/>
      <c r="AH485" s="146"/>
      <c r="AI485" s="32"/>
      <c r="AJ485" s="146"/>
      <c r="AK485" s="32"/>
      <c r="AL485" s="146"/>
      <c r="AM485" s="32"/>
      <c r="AN485" s="146"/>
      <c r="AO485" s="32"/>
      <c r="AP485" s="146"/>
      <c r="AQ485" s="32"/>
      <c r="AR485" s="146"/>
      <c r="AS485" s="32"/>
      <c r="AT485" s="146"/>
      <c r="AU485" s="32"/>
      <c r="AV485" s="146"/>
      <c r="AW485" s="32"/>
      <c r="AX485" s="146"/>
      <c r="AY485" s="32"/>
      <c r="AZ485" s="146"/>
      <c r="BA485" s="32"/>
      <c r="BB485" s="146"/>
      <c r="BC485" s="32"/>
      <c r="BD485" s="146"/>
      <c r="BE485" s="32"/>
      <c r="BF485" s="146"/>
      <c r="BG485" s="32"/>
      <c r="BH485" s="146"/>
      <c r="BI485" s="32"/>
      <c r="BJ485" s="146"/>
      <c r="BK485" s="32"/>
      <c r="BL485" s="146"/>
      <c r="BM485" s="32"/>
      <c r="BN485" s="146"/>
      <c r="BO485" s="32"/>
      <c r="BP485" s="146"/>
      <c r="BQ485" s="32"/>
      <c r="BR485" s="146"/>
      <c r="BS485" s="32"/>
      <c r="BT485" s="146">
        <v>247</v>
      </c>
      <c r="BU485" s="32">
        <v>283</v>
      </c>
      <c r="BV485" s="146">
        <v>273</v>
      </c>
      <c r="BW485" s="32">
        <v>256</v>
      </c>
    </row>
    <row r="486" spans="1:75" ht="13" x14ac:dyDescent="0.25">
      <c r="A486" s="186">
        <v>8222</v>
      </c>
      <c r="B486" s="187" t="s">
        <v>508</v>
      </c>
      <c r="C486" s="46">
        <v>1442</v>
      </c>
      <c r="D486" s="142">
        <v>1185</v>
      </c>
      <c r="E486" s="145">
        <f t="shared" si="7"/>
        <v>0.82177531206657417</v>
      </c>
      <c r="F486" s="146">
        <v>297</v>
      </c>
      <c r="G486" s="32">
        <v>817</v>
      </c>
      <c r="H486" s="146"/>
      <c r="I486" s="32"/>
      <c r="J486" s="146"/>
      <c r="K486" s="32"/>
      <c r="L486" s="146"/>
      <c r="M486" s="32"/>
      <c r="N486" s="146"/>
      <c r="O486" s="32"/>
      <c r="P486" s="146"/>
      <c r="Q486" s="32"/>
      <c r="R486" s="146"/>
      <c r="S486" s="32"/>
      <c r="T486" s="146"/>
      <c r="U486" s="32"/>
      <c r="V486" s="146"/>
      <c r="W486" s="32"/>
      <c r="X486" s="146"/>
      <c r="Y486" s="32"/>
      <c r="Z486" s="146"/>
      <c r="AA486" s="32"/>
      <c r="AB486" s="146"/>
      <c r="AC486" s="32"/>
      <c r="AD486" s="146"/>
      <c r="AE486" s="32"/>
      <c r="AF486" s="146"/>
      <c r="AG486" s="32"/>
      <c r="AH486" s="146"/>
      <c r="AI486" s="32"/>
      <c r="AJ486" s="146"/>
      <c r="AK486" s="32"/>
      <c r="AL486" s="146"/>
      <c r="AM486" s="32"/>
      <c r="AN486" s="146"/>
      <c r="AO486" s="32"/>
      <c r="AP486" s="146"/>
      <c r="AQ486" s="32"/>
      <c r="AR486" s="146"/>
      <c r="AS486" s="32"/>
      <c r="AT486" s="146"/>
      <c r="AU486" s="32"/>
      <c r="AV486" s="146"/>
      <c r="AW486" s="32"/>
      <c r="AX486" s="146"/>
      <c r="AY486" s="32"/>
      <c r="AZ486" s="146"/>
      <c r="BA486" s="32"/>
      <c r="BB486" s="146"/>
      <c r="BC486" s="32"/>
      <c r="BD486" s="146"/>
      <c r="BE486" s="32"/>
      <c r="BF486" s="146"/>
      <c r="BG486" s="32"/>
      <c r="BH486" s="146"/>
      <c r="BI486" s="32"/>
      <c r="BJ486" s="146"/>
      <c r="BK486" s="32"/>
      <c r="BL486" s="146"/>
      <c r="BM486" s="32"/>
      <c r="BN486" s="146"/>
      <c r="BO486" s="32"/>
      <c r="BP486" s="146"/>
      <c r="BQ486" s="32"/>
      <c r="BR486" s="146"/>
      <c r="BS486" s="32"/>
      <c r="BT486" s="146">
        <v>527</v>
      </c>
      <c r="BU486" s="32">
        <v>597</v>
      </c>
      <c r="BV486" s="146">
        <v>610</v>
      </c>
      <c r="BW486" s="32">
        <v>513</v>
      </c>
    </row>
    <row r="487" spans="1:75" ht="13" x14ac:dyDescent="0.25">
      <c r="A487" s="186">
        <v>8231</v>
      </c>
      <c r="B487" s="187" t="s">
        <v>509</v>
      </c>
      <c r="C487" s="46">
        <v>771</v>
      </c>
      <c r="D487" s="142">
        <v>618</v>
      </c>
      <c r="E487" s="145">
        <f t="shared" si="7"/>
        <v>0.80155642023346307</v>
      </c>
      <c r="F487" s="146">
        <v>155</v>
      </c>
      <c r="G487" s="32">
        <v>435</v>
      </c>
      <c r="H487" s="146"/>
      <c r="I487" s="32"/>
      <c r="J487" s="146"/>
      <c r="K487" s="32"/>
      <c r="L487" s="146"/>
      <c r="M487" s="32"/>
      <c r="N487" s="146"/>
      <c r="O487" s="32"/>
      <c r="P487" s="146"/>
      <c r="Q487" s="32"/>
      <c r="R487" s="146"/>
      <c r="S487" s="32"/>
      <c r="T487" s="146"/>
      <c r="U487" s="32"/>
      <c r="V487" s="146"/>
      <c r="W487" s="32"/>
      <c r="X487" s="146"/>
      <c r="Y487" s="32"/>
      <c r="Z487" s="146"/>
      <c r="AA487" s="32"/>
      <c r="AB487" s="146"/>
      <c r="AC487" s="32"/>
      <c r="AD487" s="146"/>
      <c r="AE487" s="32"/>
      <c r="AF487" s="146"/>
      <c r="AG487" s="32"/>
      <c r="AH487" s="146"/>
      <c r="AI487" s="32"/>
      <c r="AJ487" s="146"/>
      <c r="AK487" s="32"/>
      <c r="AL487" s="146">
        <v>401</v>
      </c>
      <c r="AM487" s="32">
        <v>194</v>
      </c>
      <c r="AN487" s="146">
        <v>269</v>
      </c>
      <c r="AO487" s="32">
        <v>316</v>
      </c>
      <c r="AP487" s="146"/>
      <c r="AQ487" s="32"/>
      <c r="AR487" s="146"/>
      <c r="AS487" s="32"/>
      <c r="AT487" s="146"/>
      <c r="AU487" s="32"/>
      <c r="AV487" s="146"/>
      <c r="AW487" s="32"/>
      <c r="AX487" s="146"/>
      <c r="AY487" s="32"/>
      <c r="AZ487" s="146"/>
      <c r="BA487" s="32"/>
      <c r="BB487" s="146"/>
      <c r="BC487" s="32"/>
      <c r="BD487" s="146"/>
      <c r="BE487" s="32"/>
      <c r="BF487" s="146"/>
      <c r="BG487" s="32"/>
      <c r="BH487" s="146"/>
      <c r="BI487" s="32"/>
      <c r="BJ487" s="146"/>
      <c r="BK487" s="32"/>
      <c r="BL487" s="146"/>
      <c r="BM487" s="32"/>
      <c r="BN487" s="146"/>
      <c r="BO487" s="32"/>
      <c r="BP487" s="146"/>
      <c r="BQ487" s="32"/>
      <c r="BR487" s="146"/>
      <c r="BS487" s="32"/>
      <c r="BT487" s="146">
        <v>321</v>
      </c>
      <c r="BU487" s="32">
        <v>272</v>
      </c>
      <c r="BV487" s="146">
        <v>346</v>
      </c>
      <c r="BW487" s="32">
        <v>250</v>
      </c>
    </row>
    <row r="488" spans="1:75" ht="13" x14ac:dyDescent="0.25">
      <c r="A488" s="186">
        <v>8301</v>
      </c>
      <c r="B488" s="187" t="s">
        <v>510</v>
      </c>
      <c r="C488" s="46">
        <v>1268</v>
      </c>
      <c r="D488" s="142">
        <v>1068</v>
      </c>
      <c r="E488" s="145">
        <f t="shared" si="7"/>
        <v>0.8422712933753943</v>
      </c>
      <c r="F488" s="146">
        <v>302</v>
      </c>
      <c r="G488" s="32">
        <v>694</v>
      </c>
      <c r="H488" s="146"/>
      <c r="I488" s="32"/>
      <c r="J488" s="146"/>
      <c r="K488" s="32"/>
      <c r="L488" s="146"/>
      <c r="M488" s="32"/>
      <c r="N488" s="146"/>
      <c r="O488" s="32"/>
      <c r="P488" s="146"/>
      <c r="Q488" s="32"/>
      <c r="R488" s="146"/>
      <c r="S488" s="32"/>
      <c r="T488" s="146"/>
      <c r="U488" s="32"/>
      <c r="V488" s="146"/>
      <c r="W488" s="32"/>
      <c r="X488" s="146"/>
      <c r="Y488" s="32"/>
      <c r="Z488" s="146"/>
      <c r="AA488" s="32"/>
      <c r="AB488" s="146"/>
      <c r="AC488" s="32"/>
      <c r="AD488" s="146"/>
      <c r="AE488" s="32"/>
      <c r="AF488" s="146"/>
      <c r="AG488" s="32"/>
      <c r="AH488" s="146"/>
      <c r="AI488" s="32"/>
      <c r="AJ488" s="146"/>
      <c r="AK488" s="32"/>
      <c r="AL488" s="146"/>
      <c r="AM488" s="32"/>
      <c r="AN488" s="146"/>
      <c r="AO488" s="32"/>
      <c r="AP488" s="146"/>
      <c r="AQ488" s="32"/>
      <c r="AR488" s="146"/>
      <c r="AS488" s="32"/>
      <c r="AT488" s="146"/>
      <c r="AU488" s="32"/>
      <c r="AV488" s="146">
        <v>450</v>
      </c>
      <c r="AW488" s="32">
        <v>559</v>
      </c>
      <c r="AX488" s="146">
        <v>595</v>
      </c>
      <c r="AY488" s="32">
        <v>408</v>
      </c>
      <c r="AZ488" s="146"/>
      <c r="BA488" s="32"/>
      <c r="BB488" s="146"/>
      <c r="BC488" s="32"/>
      <c r="BD488" s="146"/>
      <c r="BE488" s="32"/>
      <c r="BF488" s="146"/>
      <c r="BG488" s="32"/>
      <c r="BH488" s="146"/>
      <c r="BI488" s="32"/>
      <c r="BJ488" s="146"/>
      <c r="BK488" s="32"/>
      <c r="BL488" s="146"/>
      <c r="BM488" s="32"/>
      <c r="BN488" s="146"/>
      <c r="BO488" s="32"/>
      <c r="BP488" s="146"/>
      <c r="BQ488" s="32"/>
      <c r="BR488" s="146"/>
      <c r="BS488" s="32"/>
      <c r="BT488" s="146">
        <v>434</v>
      </c>
      <c r="BU488" s="32">
        <v>570</v>
      </c>
      <c r="BV488" s="146">
        <v>524</v>
      </c>
      <c r="BW488" s="32">
        <v>478</v>
      </c>
    </row>
    <row r="489" spans="1:75" ht="13" x14ac:dyDescent="0.25">
      <c r="A489" s="186">
        <v>8302</v>
      </c>
      <c r="B489" s="187" t="s">
        <v>511</v>
      </c>
      <c r="C489" s="46">
        <v>1562</v>
      </c>
      <c r="D489" s="142">
        <v>1358</v>
      </c>
      <c r="E489" s="145">
        <f t="shared" si="7"/>
        <v>0.86939820742637641</v>
      </c>
      <c r="F489" s="146">
        <v>314</v>
      </c>
      <c r="G489" s="32">
        <v>977</v>
      </c>
      <c r="H489" s="146"/>
      <c r="I489" s="32"/>
      <c r="J489" s="146"/>
      <c r="K489" s="32"/>
      <c r="L489" s="146"/>
      <c r="M489" s="32"/>
      <c r="N489" s="146"/>
      <c r="O489" s="32"/>
      <c r="P489" s="146"/>
      <c r="Q489" s="32"/>
      <c r="R489" s="146"/>
      <c r="S489" s="32"/>
      <c r="T489" s="146"/>
      <c r="U489" s="32"/>
      <c r="V489" s="146"/>
      <c r="W489" s="32"/>
      <c r="X489" s="146"/>
      <c r="Y489" s="32"/>
      <c r="Z489" s="146"/>
      <c r="AA489" s="32"/>
      <c r="AB489" s="146"/>
      <c r="AC489" s="32"/>
      <c r="AD489" s="146"/>
      <c r="AE489" s="32"/>
      <c r="AF489" s="146"/>
      <c r="AG489" s="32"/>
      <c r="AH489" s="146"/>
      <c r="AI489" s="32"/>
      <c r="AJ489" s="146"/>
      <c r="AK489" s="32"/>
      <c r="AL489" s="146"/>
      <c r="AM489" s="32"/>
      <c r="AN489" s="146"/>
      <c r="AO489" s="32"/>
      <c r="AP489" s="146"/>
      <c r="AQ489" s="32"/>
      <c r="AR489" s="146"/>
      <c r="AS489" s="32"/>
      <c r="AT489" s="146"/>
      <c r="AU489" s="32"/>
      <c r="AV489" s="146">
        <v>583</v>
      </c>
      <c r="AW489" s="32">
        <v>700</v>
      </c>
      <c r="AX489" s="146">
        <v>802</v>
      </c>
      <c r="AY489" s="32">
        <v>475</v>
      </c>
      <c r="AZ489" s="146"/>
      <c r="BA489" s="32"/>
      <c r="BB489" s="146"/>
      <c r="BC489" s="32"/>
      <c r="BD489" s="146"/>
      <c r="BE489" s="32"/>
      <c r="BF489" s="146"/>
      <c r="BG489" s="32"/>
      <c r="BH489" s="146"/>
      <c r="BI489" s="32"/>
      <c r="BJ489" s="146"/>
      <c r="BK489" s="32"/>
      <c r="BL489" s="146"/>
      <c r="BM489" s="32"/>
      <c r="BN489" s="146"/>
      <c r="BO489" s="32"/>
      <c r="BP489" s="146"/>
      <c r="BQ489" s="32"/>
      <c r="BR489" s="146"/>
      <c r="BS489" s="32"/>
      <c r="BT489" s="146">
        <v>609</v>
      </c>
      <c r="BU489" s="32">
        <v>659</v>
      </c>
      <c r="BV489" s="146">
        <v>697</v>
      </c>
      <c r="BW489" s="32">
        <v>586</v>
      </c>
    </row>
    <row r="490" spans="1:75" ht="13" x14ac:dyDescent="0.25">
      <c r="A490" s="186">
        <v>8303</v>
      </c>
      <c r="B490" s="187" t="s">
        <v>512</v>
      </c>
      <c r="C490" s="46">
        <v>1257</v>
      </c>
      <c r="D490" s="142">
        <v>972</v>
      </c>
      <c r="E490" s="145">
        <f t="shared" si="7"/>
        <v>0.77326968973747012</v>
      </c>
      <c r="F490" s="146">
        <v>230</v>
      </c>
      <c r="G490" s="32">
        <v>683</v>
      </c>
      <c r="H490" s="146"/>
      <c r="I490" s="32"/>
      <c r="J490" s="146"/>
      <c r="K490" s="32"/>
      <c r="L490" s="146"/>
      <c r="M490" s="32"/>
      <c r="N490" s="146"/>
      <c r="O490" s="32"/>
      <c r="P490" s="146"/>
      <c r="Q490" s="32"/>
      <c r="R490" s="146"/>
      <c r="S490" s="32"/>
      <c r="T490" s="146"/>
      <c r="U490" s="32"/>
      <c r="V490" s="146"/>
      <c r="W490" s="32"/>
      <c r="X490" s="146"/>
      <c r="Y490" s="32"/>
      <c r="Z490" s="146"/>
      <c r="AA490" s="32"/>
      <c r="AB490" s="146"/>
      <c r="AC490" s="32"/>
      <c r="AD490" s="146"/>
      <c r="AE490" s="32"/>
      <c r="AF490" s="146"/>
      <c r="AG490" s="32"/>
      <c r="AH490" s="146"/>
      <c r="AI490" s="32"/>
      <c r="AJ490" s="146"/>
      <c r="AK490" s="32"/>
      <c r="AL490" s="146"/>
      <c r="AM490" s="32"/>
      <c r="AN490" s="146"/>
      <c r="AO490" s="32"/>
      <c r="AP490" s="146"/>
      <c r="AQ490" s="32"/>
      <c r="AR490" s="146"/>
      <c r="AS490" s="32"/>
      <c r="AT490" s="146"/>
      <c r="AU490" s="32"/>
      <c r="AV490" s="146">
        <v>378</v>
      </c>
      <c r="AW490" s="32">
        <v>537</v>
      </c>
      <c r="AX490" s="146">
        <v>525</v>
      </c>
      <c r="AY490" s="32">
        <v>386</v>
      </c>
      <c r="AZ490" s="146"/>
      <c r="BA490" s="32"/>
      <c r="BB490" s="146"/>
      <c r="BC490" s="32"/>
      <c r="BD490" s="146"/>
      <c r="BE490" s="32"/>
      <c r="BF490" s="146"/>
      <c r="BG490" s="32"/>
      <c r="BH490" s="146"/>
      <c r="BI490" s="32"/>
      <c r="BJ490" s="146"/>
      <c r="BK490" s="32"/>
      <c r="BL490" s="146"/>
      <c r="BM490" s="32"/>
      <c r="BN490" s="146"/>
      <c r="BO490" s="32"/>
      <c r="BP490" s="146"/>
      <c r="BQ490" s="32"/>
      <c r="BR490" s="146"/>
      <c r="BS490" s="32"/>
      <c r="BT490" s="146">
        <v>400</v>
      </c>
      <c r="BU490" s="32">
        <v>499</v>
      </c>
      <c r="BV490" s="146">
        <v>449</v>
      </c>
      <c r="BW490" s="32">
        <v>460</v>
      </c>
    </row>
    <row r="491" spans="1:75" ht="13" x14ac:dyDescent="0.25">
      <c r="A491" s="186">
        <v>8304</v>
      </c>
      <c r="B491" s="187" t="s">
        <v>513</v>
      </c>
      <c r="C491" s="46">
        <v>1260</v>
      </c>
      <c r="D491" s="142">
        <v>1089</v>
      </c>
      <c r="E491" s="145">
        <f t="shared" si="7"/>
        <v>0.86428571428571432</v>
      </c>
      <c r="F491" s="146">
        <v>261</v>
      </c>
      <c r="G491" s="32">
        <v>773</v>
      </c>
      <c r="H491" s="146"/>
      <c r="I491" s="32"/>
      <c r="J491" s="146"/>
      <c r="K491" s="32"/>
      <c r="L491" s="146"/>
      <c r="M491" s="32"/>
      <c r="N491" s="146"/>
      <c r="O491" s="32"/>
      <c r="P491" s="146"/>
      <c r="Q491" s="32"/>
      <c r="R491" s="146"/>
      <c r="S491" s="32"/>
      <c r="T491" s="146"/>
      <c r="U491" s="32"/>
      <c r="V491" s="146"/>
      <c r="W491" s="32"/>
      <c r="X491" s="146"/>
      <c r="Y491" s="32"/>
      <c r="Z491" s="146"/>
      <c r="AA491" s="32"/>
      <c r="AB491" s="146"/>
      <c r="AC491" s="32"/>
      <c r="AD491" s="146"/>
      <c r="AE491" s="32"/>
      <c r="AF491" s="146"/>
      <c r="AG491" s="32"/>
      <c r="AH491" s="146"/>
      <c r="AI491" s="32"/>
      <c r="AJ491" s="146"/>
      <c r="AK491" s="32"/>
      <c r="AL491" s="146"/>
      <c r="AM491" s="32"/>
      <c r="AN491" s="146"/>
      <c r="AO491" s="32"/>
      <c r="AP491" s="146"/>
      <c r="AQ491" s="32"/>
      <c r="AR491" s="146"/>
      <c r="AS491" s="32"/>
      <c r="AT491" s="146"/>
      <c r="AU491" s="32"/>
      <c r="AV491" s="146">
        <v>514</v>
      </c>
      <c r="AW491" s="32">
        <v>518</v>
      </c>
      <c r="AX491" s="146">
        <v>669</v>
      </c>
      <c r="AY491" s="32">
        <v>364</v>
      </c>
      <c r="AZ491" s="146"/>
      <c r="BA491" s="32"/>
      <c r="BB491" s="146"/>
      <c r="BC491" s="32"/>
      <c r="BD491" s="146"/>
      <c r="BE491" s="32"/>
      <c r="BF491" s="146"/>
      <c r="BG491" s="32"/>
      <c r="BH491" s="146"/>
      <c r="BI491" s="32"/>
      <c r="BJ491" s="146"/>
      <c r="BK491" s="32"/>
      <c r="BL491" s="146"/>
      <c r="BM491" s="32"/>
      <c r="BN491" s="146"/>
      <c r="BO491" s="32"/>
      <c r="BP491" s="146"/>
      <c r="BQ491" s="32"/>
      <c r="BR491" s="146"/>
      <c r="BS491" s="32"/>
      <c r="BT491" s="146">
        <v>501</v>
      </c>
      <c r="BU491" s="32">
        <v>521</v>
      </c>
      <c r="BV491" s="146">
        <v>555</v>
      </c>
      <c r="BW491" s="32">
        <v>476</v>
      </c>
    </row>
    <row r="492" spans="1:75" ht="13" x14ac:dyDescent="0.25">
      <c r="A492" s="186">
        <v>8305</v>
      </c>
      <c r="B492" s="187" t="s">
        <v>514</v>
      </c>
      <c r="C492" s="46">
        <v>1108</v>
      </c>
      <c r="D492" s="142">
        <v>953</v>
      </c>
      <c r="E492" s="145">
        <f t="shared" si="7"/>
        <v>0.86010830324909748</v>
      </c>
      <c r="F492" s="146">
        <v>244</v>
      </c>
      <c r="G492" s="32">
        <v>666</v>
      </c>
      <c r="H492" s="146"/>
      <c r="I492" s="32"/>
      <c r="J492" s="146"/>
      <c r="K492" s="32"/>
      <c r="L492" s="146"/>
      <c r="M492" s="32"/>
      <c r="N492" s="146"/>
      <c r="O492" s="32"/>
      <c r="P492" s="146"/>
      <c r="Q492" s="32"/>
      <c r="R492" s="146"/>
      <c r="S492" s="32"/>
      <c r="T492" s="146"/>
      <c r="U492" s="32"/>
      <c r="V492" s="146"/>
      <c r="W492" s="32"/>
      <c r="X492" s="146"/>
      <c r="Y492" s="32"/>
      <c r="Z492" s="146"/>
      <c r="AA492" s="32"/>
      <c r="AB492" s="146"/>
      <c r="AC492" s="32"/>
      <c r="AD492" s="146"/>
      <c r="AE492" s="32"/>
      <c r="AF492" s="146"/>
      <c r="AG492" s="32"/>
      <c r="AH492" s="146"/>
      <c r="AI492" s="32"/>
      <c r="AJ492" s="146"/>
      <c r="AK492" s="32"/>
      <c r="AL492" s="146"/>
      <c r="AM492" s="32"/>
      <c r="AN492" s="146"/>
      <c r="AO492" s="32"/>
      <c r="AP492" s="146"/>
      <c r="AQ492" s="32"/>
      <c r="AR492" s="146"/>
      <c r="AS492" s="32"/>
      <c r="AT492" s="146"/>
      <c r="AU492" s="32"/>
      <c r="AV492" s="146">
        <v>432</v>
      </c>
      <c r="AW492" s="32">
        <v>463</v>
      </c>
      <c r="AX492" s="146">
        <v>580</v>
      </c>
      <c r="AY492" s="32">
        <v>313</v>
      </c>
      <c r="AZ492" s="146"/>
      <c r="BA492" s="32"/>
      <c r="BB492" s="146"/>
      <c r="BC492" s="32"/>
      <c r="BD492" s="146"/>
      <c r="BE492" s="32"/>
      <c r="BF492" s="146"/>
      <c r="BG492" s="32"/>
      <c r="BH492" s="146"/>
      <c r="BI492" s="32"/>
      <c r="BJ492" s="146"/>
      <c r="BK492" s="32"/>
      <c r="BL492" s="146"/>
      <c r="BM492" s="32"/>
      <c r="BN492" s="146"/>
      <c r="BO492" s="32"/>
      <c r="BP492" s="146"/>
      <c r="BQ492" s="32"/>
      <c r="BR492" s="146"/>
      <c r="BS492" s="32"/>
      <c r="BT492" s="146">
        <v>448</v>
      </c>
      <c r="BU492" s="32">
        <v>443</v>
      </c>
      <c r="BV492" s="146">
        <v>494</v>
      </c>
      <c r="BW492" s="32">
        <v>405</v>
      </c>
    </row>
    <row r="493" spans="1:75" ht="13" x14ac:dyDescent="0.25">
      <c r="A493" s="186">
        <v>8306</v>
      </c>
      <c r="B493" s="187" t="s">
        <v>515</v>
      </c>
      <c r="C493" s="46">
        <v>645</v>
      </c>
      <c r="D493" s="142">
        <v>525</v>
      </c>
      <c r="E493" s="145">
        <f t="shared" si="7"/>
        <v>0.81395348837209303</v>
      </c>
      <c r="F493" s="146">
        <v>144</v>
      </c>
      <c r="G493" s="32">
        <v>363</v>
      </c>
      <c r="H493" s="146"/>
      <c r="I493" s="32"/>
      <c r="J493" s="146"/>
      <c r="K493" s="32"/>
      <c r="L493" s="146"/>
      <c r="M493" s="32"/>
      <c r="N493" s="146"/>
      <c r="O493" s="32"/>
      <c r="P493" s="146"/>
      <c r="Q493" s="32"/>
      <c r="R493" s="146"/>
      <c r="S493" s="32"/>
      <c r="T493" s="146"/>
      <c r="U493" s="32"/>
      <c r="V493" s="146"/>
      <c r="W493" s="32"/>
      <c r="X493" s="146"/>
      <c r="Y493" s="32"/>
      <c r="Z493" s="146"/>
      <c r="AA493" s="32"/>
      <c r="AB493" s="146"/>
      <c r="AC493" s="32"/>
      <c r="AD493" s="146"/>
      <c r="AE493" s="32"/>
      <c r="AF493" s="146"/>
      <c r="AG493" s="32"/>
      <c r="AH493" s="146"/>
      <c r="AI493" s="32"/>
      <c r="AJ493" s="146"/>
      <c r="AK493" s="32"/>
      <c r="AL493" s="146"/>
      <c r="AM493" s="32"/>
      <c r="AN493" s="146"/>
      <c r="AO493" s="32"/>
      <c r="AP493" s="146"/>
      <c r="AQ493" s="32"/>
      <c r="AR493" s="146"/>
      <c r="AS493" s="32"/>
      <c r="AT493" s="146"/>
      <c r="AU493" s="32"/>
      <c r="AV493" s="146">
        <v>239</v>
      </c>
      <c r="AW493" s="32">
        <v>265</v>
      </c>
      <c r="AX493" s="146">
        <v>270</v>
      </c>
      <c r="AY493" s="32">
        <v>235</v>
      </c>
      <c r="AZ493" s="146"/>
      <c r="BA493" s="32"/>
      <c r="BB493" s="146"/>
      <c r="BC493" s="32"/>
      <c r="BD493" s="146"/>
      <c r="BE493" s="32"/>
      <c r="BF493" s="146"/>
      <c r="BG493" s="32"/>
      <c r="BH493" s="146"/>
      <c r="BI493" s="32"/>
      <c r="BJ493" s="146"/>
      <c r="BK493" s="32"/>
      <c r="BL493" s="146"/>
      <c r="BM493" s="32"/>
      <c r="BN493" s="146"/>
      <c r="BO493" s="32"/>
      <c r="BP493" s="146"/>
      <c r="BQ493" s="32"/>
      <c r="BR493" s="146"/>
      <c r="BS493" s="32"/>
      <c r="BT493" s="146">
        <v>235</v>
      </c>
      <c r="BU493" s="32">
        <v>266</v>
      </c>
      <c r="BV493" s="146">
        <v>260</v>
      </c>
      <c r="BW493" s="32">
        <v>245</v>
      </c>
    </row>
    <row r="494" spans="1:75" ht="13" x14ac:dyDescent="0.25">
      <c r="A494" s="186">
        <v>8307</v>
      </c>
      <c r="B494" s="187" t="s">
        <v>516</v>
      </c>
      <c r="C494" s="46">
        <v>1334</v>
      </c>
      <c r="D494" s="142">
        <v>1108</v>
      </c>
      <c r="E494" s="145">
        <f t="shared" si="7"/>
        <v>0.83058470764617687</v>
      </c>
      <c r="F494" s="146">
        <v>301</v>
      </c>
      <c r="G494" s="32">
        <v>755</v>
      </c>
      <c r="H494" s="146"/>
      <c r="I494" s="32"/>
      <c r="J494" s="146"/>
      <c r="K494" s="32"/>
      <c r="L494" s="146"/>
      <c r="M494" s="32"/>
      <c r="N494" s="146"/>
      <c r="O494" s="32"/>
      <c r="P494" s="146"/>
      <c r="Q494" s="32"/>
      <c r="R494" s="146"/>
      <c r="S494" s="32"/>
      <c r="T494" s="146"/>
      <c r="U494" s="32"/>
      <c r="V494" s="146"/>
      <c r="W494" s="32"/>
      <c r="X494" s="146"/>
      <c r="Y494" s="32"/>
      <c r="Z494" s="146"/>
      <c r="AA494" s="32"/>
      <c r="AB494" s="146"/>
      <c r="AC494" s="32"/>
      <c r="AD494" s="146"/>
      <c r="AE494" s="32"/>
      <c r="AF494" s="146"/>
      <c r="AG494" s="32"/>
      <c r="AH494" s="146"/>
      <c r="AI494" s="32"/>
      <c r="AJ494" s="146"/>
      <c r="AK494" s="32"/>
      <c r="AL494" s="146"/>
      <c r="AM494" s="32"/>
      <c r="AN494" s="146"/>
      <c r="AO494" s="32"/>
      <c r="AP494" s="146"/>
      <c r="AQ494" s="32"/>
      <c r="AR494" s="146"/>
      <c r="AS494" s="32"/>
      <c r="AT494" s="146"/>
      <c r="AU494" s="32"/>
      <c r="AV494" s="146">
        <v>472</v>
      </c>
      <c r="AW494" s="32">
        <v>582</v>
      </c>
      <c r="AX494" s="146">
        <v>621</v>
      </c>
      <c r="AY494" s="32">
        <v>428</v>
      </c>
      <c r="AZ494" s="146"/>
      <c r="BA494" s="32"/>
      <c r="BB494" s="146"/>
      <c r="BC494" s="32"/>
      <c r="BD494" s="146"/>
      <c r="BE494" s="32"/>
      <c r="BF494" s="146"/>
      <c r="BG494" s="32"/>
      <c r="BH494" s="146"/>
      <c r="BI494" s="32"/>
      <c r="BJ494" s="146"/>
      <c r="BK494" s="32"/>
      <c r="BL494" s="146"/>
      <c r="BM494" s="32"/>
      <c r="BN494" s="146"/>
      <c r="BO494" s="32"/>
      <c r="BP494" s="146"/>
      <c r="BQ494" s="32"/>
      <c r="BR494" s="146"/>
      <c r="BS494" s="32"/>
      <c r="BT494" s="146">
        <v>507</v>
      </c>
      <c r="BU494" s="32">
        <v>540</v>
      </c>
      <c r="BV494" s="146">
        <v>550</v>
      </c>
      <c r="BW494" s="32">
        <v>500</v>
      </c>
    </row>
    <row r="495" spans="1:75" ht="13" x14ac:dyDescent="0.25">
      <c r="A495" s="186">
        <v>8308</v>
      </c>
      <c r="B495" s="187" t="s">
        <v>517</v>
      </c>
      <c r="C495" s="46">
        <v>480</v>
      </c>
      <c r="D495" s="142">
        <v>397</v>
      </c>
      <c r="E495" s="145">
        <f t="shared" si="7"/>
        <v>0.82708333333333328</v>
      </c>
      <c r="F495" s="146">
        <v>97</v>
      </c>
      <c r="G495" s="32">
        <v>284</v>
      </c>
      <c r="H495" s="146"/>
      <c r="I495" s="32"/>
      <c r="J495" s="146"/>
      <c r="K495" s="32"/>
      <c r="L495" s="146"/>
      <c r="M495" s="32"/>
      <c r="N495" s="146"/>
      <c r="O495" s="32"/>
      <c r="P495" s="146"/>
      <c r="Q495" s="32"/>
      <c r="R495" s="146"/>
      <c r="S495" s="32"/>
      <c r="T495" s="146"/>
      <c r="U495" s="32"/>
      <c r="V495" s="146"/>
      <c r="W495" s="32"/>
      <c r="X495" s="146"/>
      <c r="Y495" s="32"/>
      <c r="Z495" s="146"/>
      <c r="AA495" s="32"/>
      <c r="AB495" s="146"/>
      <c r="AC495" s="32"/>
      <c r="AD495" s="146"/>
      <c r="AE495" s="32"/>
      <c r="AF495" s="146"/>
      <c r="AG495" s="32"/>
      <c r="AH495" s="146"/>
      <c r="AI495" s="32"/>
      <c r="AJ495" s="146"/>
      <c r="AK495" s="32"/>
      <c r="AL495" s="146"/>
      <c r="AM495" s="32"/>
      <c r="AN495" s="146"/>
      <c r="AO495" s="32"/>
      <c r="AP495" s="146"/>
      <c r="AQ495" s="32"/>
      <c r="AR495" s="146"/>
      <c r="AS495" s="32"/>
      <c r="AT495" s="146"/>
      <c r="AU495" s="32"/>
      <c r="AV495" s="146">
        <v>195</v>
      </c>
      <c r="AW495" s="32">
        <v>181</v>
      </c>
      <c r="AX495" s="146">
        <v>244</v>
      </c>
      <c r="AY495" s="32">
        <v>131</v>
      </c>
      <c r="AZ495" s="146"/>
      <c r="BA495" s="32"/>
      <c r="BB495" s="146"/>
      <c r="BC495" s="32"/>
      <c r="BD495" s="146"/>
      <c r="BE495" s="32"/>
      <c r="BF495" s="146"/>
      <c r="BG495" s="32"/>
      <c r="BH495" s="146"/>
      <c r="BI495" s="32"/>
      <c r="BJ495" s="146"/>
      <c r="BK495" s="32"/>
      <c r="BL495" s="146"/>
      <c r="BM495" s="32"/>
      <c r="BN495" s="146"/>
      <c r="BO495" s="32"/>
      <c r="BP495" s="146"/>
      <c r="BQ495" s="32"/>
      <c r="BR495" s="146"/>
      <c r="BS495" s="32"/>
      <c r="BT495" s="146">
        <v>199</v>
      </c>
      <c r="BU495" s="32">
        <v>178</v>
      </c>
      <c r="BV495" s="146">
        <v>209</v>
      </c>
      <c r="BW495" s="32">
        <v>167</v>
      </c>
    </row>
    <row r="496" spans="1:75" ht="13" x14ac:dyDescent="0.25">
      <c r="A496" s="186">
        <v>8401</v>
      </c>
      <c r="B496" s="187" t="s">
        <v>518</v>
      </c>
      <c r="C496" s="46">
        <v>831</v>
      </c>
      <c r="D496" s="142">
        <v>660</v>
      </c>
      <c r="E496" s="145">
        <f t="shared" si="7"/>
        <v>0.79422382671480141</v>
      </c>
      <c r="F496" s="146">
        <v>300</v>
      </c>
      <c r="G496" s="32">
        <v>342</v>
      </c>
      <c r="H496" s="146"/>
      <c r="I496" s="32"/>
      <c r="J496" s="146"/>
      <c r="K496" s="32"/>
      <c r="L496" s="146"/>
      <c r="M496" s="32"/>
      <c r="N496" s="146"/>
      <c r="O496" s="32"/>
      <c r="P496" s="146"/>
      <c r="Q496" s="32"/>
      <c r="R496" s="146"/>
      <c r="S496" s="32"/>
      <c r="T496" s="146"/>
      <c r="U496" s="32"/>
      <c r="V496" s="146"/>
      <c r="W496" s="32"/>
      <c r="X496" s="146"/>
      <c r="Y496" s="32"/>
      <c r="Z496" s="146"/>
      <c r="AA496" s="32"/>
      <c r="AB496" s="146"/>
      <c r="AC496" s="32"/>
      <c r="AD496" s="146"/>
      <c r="AE496" s="32"/>
      <c r="AF496" s="146"/>
      <c r="AG496" s="32"/>
      <c r="AH496" s="146"/>
      <c r="AI496" s="32"/>
      <c r="AJ496" s="146"/>
      <c r="AK496" s="32"/>
      <c r="AL496" s="146"/>
      <c r="AM496" s="32"/>
      <c r="AN496" s="146"/>
      <c r="AO496" s="32"/>
      <c r="AP496" s="146"/>
      <c r="AQ496" s="32"/>
      <c r="AR496" s="146"/>
      <c r="AS496" s="32"/>
      <c r="AT496" s="146"/>
      <c r="AU496" s="32"/>
      <c r="AV496" s="146"/>
      <c r="AW496" s="32"/>
      <c r="AX496" s="146"/>
      <c r="AY496" s="32"/>
      <c r="AZ496" s="146"/>
      <c r="BA496" s="32"/>
      <c r="BB496" s="146"/>
      <c r="BC496" s="32"/>
      <c r="BD496" s="146"/>
      <c r="BE496" s="32"/>
      <c r="BF496" s="146"/>
      <c r="BG496" s="32"/>
      <c r="BH496" s="146"/>
      <c r="BI496" s="32"/>
      <c r="BJ496" s="146"/>
      <c r="BK496" s="32"/>
      <c r="BL496" s="146"/>
      <c r="BM496" s="32"/>
      <c r="BN496" s="146"/>
      <c r="BO496" s="32"/>
      <c r="BP496" s="146"/>
      <c r="BQ496" s="32"/>
      <c r="BR496" s="146"/>
      <c r="BS496" s="32"/>
      <c r="BT496" s="146">
        <v>349</v>
      </c>
      <c r="BU496" s="32">
        <v>283</v>
      </c>
      <c r="BV496" s="146">
        <v>355</v>
      </c>
      <c r="BW496" s="32">
        <v>275</v>
      </c>
    </row>
    <row r="497" spans="1:75" ht="13" x14ac:dyDescent="0.25">
      <c r="A497" s="186">
        <v>8402</v>
      </c>
      <c r="B497" s="187" t="s">
        <v>519</v>
      </c>
      <c r="C497" s="46">
        <v>1219</v>
      </c>
      <c r="D497" s="142">
        <v>892</v>
      </c>
      <c r="E497" s="145">
        <f t="shared" si="7"/>
        <v>0.73174733388022972</v>
      </c>
      <c r="F497" s="146">
        <v>327</v>
      </c>
      <c r="G497" s="32">
        <v>524</v>
      </c>
      <c r="H497" s="146"/>
      <c r="I497" s="32"/>
      <c r="J497" s="146"/>
      <c r="K497" s="32"/>
      <c r="L497" s="146"/>
      <c r="M497" s="32"/>
      <c r="N497" s="146"/>
      <c r="O497" s="32"/>
      <c r="P497" s="146"/>
      <c r="Q497" s="32"/>
      <c r="R497" s="146"/>
      <c r="S497" s="32"/>
      <c r="T497" s="146"/>
      <c r="U497" s="32"/>
      <c r="V497" s="146"/>
      <c r="W497" s="32"/>
      <c r="X497" s="146"/>
      <c r="Y497" s="32"/>
      <c r="Z497" s="146"/>
      <c r="AA497" s="32"/>
      <c r="AB497" s="146"/>
      <c r="AC497" s="32"/>
      <c r="AD497" s="146"/>
      <c r="AE497" s="32"/>
      <c r="AF497" s="146"/>
      <c r="AG497" s="32"/>
      <c r="AH497" s="146"/>
      <c r="AI497" s="32"/>
      <c r="AJ497" s="146"/>
      <c r="AK497" s="32"/>
      <c r="AL497" s="146"/>
      <c r="AM497" s="32"/>
      <c r="AN497" s="146"/>
      <c r="AO497" s="32"/>
      <c r="AP497" s="146"/>
      <c r="AQ497" s="32"/>
      <c r="AR497" s="146"/>
      <c r="AS497" s="32"/>
      <c r="AT497" s="146"/>
      <c r="AU497" s="32"/>
      <c r="AV497" s="146"/>
      <c r="AW497" s="32"/>
      <c r="AX497" s="146"/>
      <c r="AY497" s="32"/>
      <c r="AZ497" s="146"/>
      <c r="BA497" s="32"/>
      <c r="BB497" s="146"/>
      <c r="BC497" s="32"/>
      <c r="BD497" s="146"/>
      <c r="BE497" s="32"/>
      <c r="BF497" s="146"/>
      <c r="BG497" s="32"/>
      <c r="BH497" s="146"/>
      <c r="BI497" s="32"/>
      <c r="BJ497" s="146"/>
      <c r="BK497" s="32"/>
      <c r="BL497" s="146"/>
      <c r="BM497" s="32"/>
      <c r="BN497" s="146"/>
      <c r="BO497" s="32"/>
      <c r="BP497" s="146"/>
      <c r="BQ497" s="32"/>
      <c r="BR497" s="146"/>
      <c r="BS497" s="32"/>
      <c r="BT497" s="146">
        <v>465</v>
      </c>
      <c r="BU497" s="32">
        <v>379</v>
      </c>
      <c r="BV497" s="146">
        <v>491</v>
      </c>
      <c r="BW497" s="32">
        <v>354</v>
      </c>
    </row>
    <row r="498" spans="1:75" ht="13" x14ac:dyDescent="0.25">
      <c r="A498" s="186">
        <v>8511</v>
      </c>
      <c r="B498" s="187" t="s">
        <v>520</v>
      </c>
      <c r="C498" s="46">
        <v>785</v>
      </c>
      <c r="D498" s="142">
        <v>544</v>
      </c>
      <c r="E498" s="145">
        <f t="shared" si="7"/>
        <v>0.69299363057324836</v>
      </c>
      <c r="F498" s="146">
        <v>254</v>
      </c>
      <c r="G498" s="32">
        <v>254</v>
      </c>
      <c r="H498" s="146"/>
      <c r="I498" s="32"/>
      <c r="J498" s="146"/>
      <c r="K498" s="32"/>
      <c r="L498" s="146"/>
      <c r="M498" s="32"/>
      <c r="N498" s="146"/>
      <c r="O498" s="32"/>
      <c r="P498" s="146"/>
      <c r="Q498" s="32"/>
      <c r="R498" s="146"/>
      <c r="S498" s="32"/>
      <c r="T498" s="146"/>
      <c r="U498" s="32"/>
      <c r="V498" s="146"/>
      <c r="W498" s="32"/>
      <c r="X498" s="146"/>
      <c r="Y498" s="32"/>
      <c r="Z498" s="146"/>
      <c r="AA498" s="32"/>
      <c r="AB498" s="146"/>
      <c r="AC498" s="32"/>
      <c r="AD498" s="146"/>
      <c r="AE498" s="32"/>
      <c r="AF498" s="146"/>
      <c r="AG498" s="32"/>
      <c r="AH498" s="146"/>
      <c r="AI498" s="32"/>
      <c r="AJ498" s="146"/>
      <c r="AK498" s="32"/>
      <c r="AL498" s="146"/>
      <c r="AM498" s="32"/>
      <c r="AN498" s="146"/>
      <c r="AO498" s="32"/>
      <c r="AP498" s="146"/>
      <c r="AQ498" s="32"/>
      <c r="AR498" s="146"/>
      <c r="AS498" s="32"/>
      <c r="AT498" s="146"/>
      <c r="AU498" s="32"/>
      <c r="AV498" s="146"/>
      <c r="AW498" s="32"/>
      <c r="AX498" s="146"/>
      <c r="AY498" s="32"/>
      <c r="AZ498" s="146"/>
      <c r="BA498" s="32"/>
      <c r="BB498" s="146"/>
      <c r="BC498" s="32"/>
      <c r="BD498" s="146"/>
      <c r="BE498" s="32"/>
      <c r="BF498" s="146"/>
      <c r="BG498" s="32"/>
      <c r="BH498" s="146"/>
      <c r="BI498" s="32"/>
      <c r="BJ498" s="146"/>
      <c r="BK498" s="32"/>
      <c r="BL498" s="146"/>
      <c r="BM498" s="32"/>
      <c r="BN498" s="146"/>
      <c r="BO498" s="32"/>
      <c r="BP498" s="146"/>
      <c r="BQ498" s="32"/>
      <c r="BR498" s="146"/>
      <c r="BS498" s="32"/>
      <c r="BT498" s="146">
        <v>302</v>
      </c>
      <c r="BU498" s="32">
        <v>202</v>
      </c>
      <c r="BV498" s="146">
        <v>342</v>
      </c>
      <c r="BW498" s="32">
        <v>162</v>
      </c>
    </row>
    <row r="499" spans="1:75" ht="13" x14ac:dyDescent="0.25">
      <c r="A499" s="186">
        <v>8521</v>
      </c>
      <c r="B499" s="187" t="s">
        <v>521</v>
      </c>
      <c r="C499" s="46">
        <v>789</v>
      </c>
      <c r="D499" s="142">
        <v>532</v>
      </c>
      <c r="E499" s="145">
        <f t="shared" si="7"/>
        <v>0.67427122940430928</v>
      </c>
      <c r="F499" s="146">
        <v>280</v>
      </c>
      <c r="G499" s="32">
        <v>226</v>
      </c>
      <c r="H499" s="146"/>
      <c r="I499" s="32"/>
      <c r="J499" s="146"/>
      <c r="K499" s="32"/>
      <c r="L499" s="146"/>
      <c r="M499" s="32"/>
      <c r="N499" s="146"/>
      <c r="O499" s="32"/>
      <c r="P499" s="146"/>
      <c r="Q499" s="32"/>
      <c r="R499" s="146"/>
      <c r="S499" s="32"/>
      <c r="T499" s="146"/>
      <c r="U499" s="32"/>
      <c r="V499" s="146"/>
      <c r="W499" s="32"/>
      <c r="X499" s="146"/>
      <c r="Y499" s="32"/>
      <c r="Z499" s="146"/>
      <c r="AA499" s="32"/>
      <c r="AB499" s="146"/>
      <c r="AC499" s="32"/>
      <c r="AD499" s="146"/>
      <c r="AE499" s="32"/>
      <c r="AF499" s="146"/>
      <c r="AG499" s="32"/>
      <c r="AH499" s="146"/>
      <c r="AI499" s="32"/>
      <c r="AJ499" s="146"/>
      <c r="AK499" s="32"/>
      <c r="AL499" s="146"/>
      <c r="AM499" s="32"/>
      <c r="AN499" s="146"/>
      <c r="AO499" s="32"/>
      <c r="AP499" s="146"/>
      <c r="AQ499" s="32"/>
      <c r="AR499" s="146"/>
      <c r="AS499" s="32"/>
      <c r="AT499" s="146"/>
      <c r="AU499" s="32"/>
      <c r="AV499" s="146"/>
      <c r="AW499" s="32"/>
      <c r="AX499" s="146"/>
      <c r="AY499" s="32"/>
      <c r="AZ499" s="146"/>
      <c r="BA499" s="32"/>
      <c r="BB499" s="146"/>
      <c r="BC499" s="32"/>
      <c r="BD499" s="146"/>
      <c r="BE499" s="32"/>
      <c r="BF499" s="146"/>
      <c r="BG499" s="32"/>
      <c r="BH499" s="146"/>
      <c r="BI499" s="32"/>
      <c r="BJ499" s="146"/>
      <c r="BK499" s="32"/>
      <c r="BL499" s="146"/>
      <c r="BM499" s="32"/>
      <c r="BN499" s="146"/>
      <c r="BO499" s="32"/>
      <c r="BP499" s="146"/>
      <c r="BQ499" s="32"/>
      <c r="BR499" s="146"/>
      <c r="BS499" s="32"/>
      <c r="BT499" s="146">
        <v>304</v>
      </c>
      <c r="BU499" s="32">
        <v>207</v>
      </c>
      <c r="BV499" s="146">
        <v>321</v>
      </c>
      <c r="BW499" s="32">
        <v>186</v>
      </c>
    </row>
    <row r="500" spans="1:75" ht="13" x14ac:dyDescent="0.25">
      <c r="A500" s="186">
        <v>8531</v>
      </c>
      <c r="B500" s="187" t="s">
        <v>522</v>
      </c>
      <c r="C500" s="46">
        <v>757</v>
      </c>
      <c r="D500" s="142">
        <v>560</v>
      </c>
      <c r="E500" s="145">
        <f t="shared" si="7"/>
        <v>0.73976221928665786</v>
      </c>
      <c r="F500" s="146">
        <v>282</v>
      </c>
      <c r="G500" s="32">
        <v>249</v>
      </c>
      <c r="H500" s="146"/>
      <c r="I500" s="32"/>
      <c r="J500" s="146"/>
      <c r="K500" s="32"/>
      <c r="L500" s="146"/>
      <c r="M500" s="32"/>
      <c r="N500" s="146"/>
      <c r="O500" s="32"/>
      <c r="P500" s="146"/>
      <c r="Q500" s="32"/>
      <c r="R500" s="146"/>
      <c r="S500" s="32"/>
      <c r="T500" s="146"/>
      <c r="U500" s="32"/>
      <c r="V500" s="146"/>
      <c r="W500" s="32"/>
      <c r="X500" s="146"/>
      <c r="Y500" s="32"/>
      <c r="Z500" s="146"/>
      <c r="AA500" s="32"/>
      <c r="AB500" s="146"/>
      <c r="AC500" s="32"/>
      <c r="AD500" s="146"/>
      <c r="AE500" s="32"/>
      <c r="AF500" s="146"/>
      <c r="AG500" s="32"/>
      <c r="AH500" s="146"/>
      <c r="AI500" s="32"/>
      <c r="AJ500" s="146"/>
      <c r="AK500" s="32"/>
      <c r="AL500" s="146"/>
      <c r="AM500" s="32"/>
      <c r="AN500" s="146"/>
      <c r="AO500" s="32"/>
      <c r="AP500" s="146"/>
      <c r="AQ500" s="32"/>
      <c r="AR500" s="146"/>
      <c r="AS500" s="32"/>
      <c r="AT500" s="146"/>
      <c r="AU500" s="32"/>
      <c r="AV500" s="146"/>
      <c r="AW500" s="32"/>
      <c r="AX500" s="146"/>
      <c r="AY500" s="32"/>
      <c r="AZ500" s="146"/>
      <c r="BA500" s="32"/>
      <c r="BB500" s="146"/>
      <c r="BC500" s="32"/>
      <c r="BD500" s="146"/>
      <c r="BE500" s="32"/>
      <c r="BF500" s="146"/>
      <c r="BG500" s="32"/>
      <c r="BH500" s="146"/>
      <c r="BI500" s="32"/>
      <c r="BJ500" s="146"/>
      <c r="BK500" s="32"/>
      <c r="BL500" s="146"/>
      <c r="BM500" s="32"/>
      <c r="BN500" s="146"/>
      <c r="BO500" s="32"/>
      <c r="BP500" s="146"/>
      <c r="BQ500" s="32"/>
      <c r="BR500" s="146"/>
      <c r="BS500" s="32"/>
      <c r="BT500" s="146">
        <v>325</v>
      </c>
      <c r="BU500" s="32">
        <v>199</v>
      </c>
      <c r="BV500" s="146">
        <v>341</v>
      </c>
      <c r="BW500" s="32">
        <v>184</v>
      </c>
    </row>
    <row r="501" spans="1:75" ht="13" x14ac:dyDescent="0.25">
      <c r="A501" s="186">
        <v>8541</v>
      </c>
      <c r="B501" s="187" t="s">
        <v>523</v>
      </c>
      <c r="C501" s="46">
        <v>730</v>
      </c>
      <c r="D501" s="142">
        <v>508</v>
      </c>
      <c r="E501" s="145">
        <f t="shared" si="7"/>
        <v>0.69589041095890414</v>
      </c>
      <c r="F501" s="146">
        <v>284</v>
      </c>
      <c r="G501" s="32">
        <v>207</v>
      </c>
      <c r="H501" s="146"/>
      <c r="I501" s="32"/>
      <c r="J501" s="146"/>
      <c r="K501" s="32"/>
      <c r="L501" s="146"/>
      <c r="M501" s="32"/>
      <c r="N501" s="146"/>
      <c r="O501" s="32"/>
      <c r="P501" s="146"/>
      <c r="Q501" s="32"/>
      <c r="R501" s="146"/>
      <c r="S501" s="32"/>
      <c r="T501" s="146"/>
      <c r="U501" s="32"/>
      <c r="V501" s="146"/>
      <c r="W501" s="32"/>
      <c r="X501" s="146"/>
      <c r="Y501" s="32"/>
      <c r="Z501" s="146"/>
      <c r="AA501" s="32"/>
      <c r="AB501" s="146"/>
      <c r="AC501" s="32"/>
      <c r="AD501" s="146"/>
      <c r="AE501" s="32"/>
      <c r="AF501" s="146"/>
      <c r="AG501" s="32"/>
      <c r="AH501" s="146"/>
      <c r="AI501" s="32"/>
      <c r="AJ501" s="146"/>
      <c r="AK501" s="32"/>
      <c r="AL501" s="146"/>
      <c r="AM501" s="32"/>
      <c r="AN501" s="146"/>
      <c r="AO501" s="32"/>
      <c r="AP501" s="146"/>
      <c r="AQ501" s="32"/>
      <c r="AR501" s="146"/>
      <c r="AS501" s="32"/>
      <c r="AT501" s="146"/>
      <c r="AU501" s="32"/>
      <c r="AV501" s="146"/>
      <c r="AW501" s="32"/>
      <c r="AX501" s="146"/>
      <c r="AY501" s="32"/>
      <c r="AZ501" s="146"/>
      <c r="BA501" s="32"/>
      <c r="BB501" s="146"/>
      <c r="BC501" s="32"/>
      <c r="BD501" s="146"/>
      <c r="BE501" s="32"/>
      <c r="BF501" s="146"/>
      <c r="BG501" s="32"/>
      <c r="BH501" s="146"/>
      <c r="BI501" s="32"/>
      <c r="BJ501" s="146"/>
      <c r="BK501" s="32"/>
      <c r="BL501" s="146"/>
      <c r="BM501" s="32"/>
      <c r="BN501" s="146"/>
      <c r="BO501" s="32"/>
      <c r="BP501" s="146"/>
      <c r="BQ501" s="32"/>
      <c r="BR501" s="146"/>
      <c r="BS501" s="32"/>
      <c r="BT501" s="146">
        <v>298</v>
      </c>
      <c r="BU501" s="32">
        <v>181</v>
      </c>
      <c r="BV501" s="146">
        <v>329</v>
      </c>
      <c r="BW501" s="32">
        <v>151</v>
      </c>
    </row>
    <row r="502" spans="1:75" ht="13" x14ac:dyDescent="0.25">
      <c r="A502" s="186">
        <v>8601</v>
      </c>
      <c r="B502" s="187" t="s">
        <v>524</v>
      </c>
      <c r="C502" s="46">
        <v>1170</v>
      </c>
      <c r="D502" s="142">
        <v>857</v>
      </c>
      <c r="E502" s="145">
        <f t="shared" si="7"/>
        <v>0.73247863247863243</v>
      </c>
      <c r="F502" s="146">
        <v>546</v>
      </c>
      <c r="G502" s="32">
        <v>280</v>
      </c>
      <c r="H502" s="146"/>
      <c r="I502" s="32"/>
      <c r="J502" s="146"/>
      <c r="K502" s="32"/>
      <c r="L502" s="146"/>
      <c r="M502" s="32"/>
      <c r="N502" s="146"/>
      <c r="O502" s="32"/>
      <c r="P502" s="146"/>
      <c r="Q502" s="32"/>
      <c r="R502" s="146"/>
      <c r="S502" s="32"/>
      <c r="T502" s="146"/>
      <c r="U502" s="32"/>
      <c r="V502" s="146"/>
      <c r="W502" s="32"/>
      <c r="X502" s="146"/>
      <c r="Y502" s="32"/>
      <c r="Z502" s="146"/>
      <c r="AA502" s="32"/>
      <c r="AB502" s="146"/>
      <c r="AC502" s="32"/>
      <c r="AD502" s="146"/>
      <c r="AE502" s="32"/>
      <c r="AF502" s="146"/>
      <c r="AG502" s="32"/>
      <c r="AH502" s="146"/>
      <c r="AI502" s="32"/>
      <c r="AJ502" s="146"/>
      <c r="AK502" s="32"/>
      <c r="AL502" s="146"/>
      <c r="AM502" s="32"/>
      <c r="AN502" s="146"/>
      <c r="AO502" s="32"/>
      <c r="AP502" s="146"/>
      <c r="AQ502" s="32"/>
      <c r="AR502" s="146"/>
      <c r="AS502" s="32"/>
      <c r="AT502" s="146"/>
      <c r="AU502" s="32"/>
      <c r="AV502" s="146"/>
      <c r="AW502" s="32"/>
      <c r="AX502" s="146"/>
      <c r="AY502" s="32"/>
      <c r="AZ502" s="146"/>
      <c r="BA502" s="32"/>
      <c r="BB502" s="146"/>
      <c r="BC502" s="32"/>
      <c r="BD502" s="146"/>
      <c r="BE502" s="32"/>
      <c r="BF502" s="146"/>
      <c r="BG502" s="32"/>
      <c r="BH502" s="146"/>
      <c r="BI502" s="32"/>
      <c r="BJ502" s="146"/>
      <c r="BK502" s="32"/>
      <c r="BL502" s="146"/>
      <c r="BM502" s="32"/>
      <c r="BN502" s="146"/>
      <c r="BO502" s="32"/>
      <c r="BP502" s="146"/>
      <c r="BQ502" s="32"/>
      <c r="BR502" s="146"/>
      <c r="BS502" s="32"/>
      <c r="BT502" s="146">
        <v>584</v>
      </c>
      <c r="BU502" s="32">
        <v>239</v>
      </c>
      <c r="BV502" s="146">
        <v>618</v>
      </c>
      <c r="BW502" s="32">
        <v>204</v>
      </c>
    </row>
    <row r="503" spans="1:75" ht="13" x14ac:dyDescent="0.25">
      <c r="A503" s="186">
        <v>8602</v>
      </c>
      <c r="B503" s="187" t="s">
        <v>525</v>
      </c>
      <c r="C503" s="46">
        <v>1376</v>
      </c>
      <c r="D503" s="142">
        <v>952</v>
      </c>
      <c r="E503" s="145">
        <f t="shared" si="7"/>
        <v>0.69186046511627908</v>
      </c>
      <c r="F503" s="146">
        <v>680</v>
      </c>
      <c r="G503" s="32">
        <v>232</v>
      </c>
      <c r="H503" s="146"/>
      <c r="I503" s="32"/>
      <c r="J503" s="146"/>
      <c r="K503" s="32"/>
      <c r="L503" s="146"/>
      <c r="M503" s="32"/>
      <c r="N503" s="146"/>
      <c r="O503" s="32"/>
      <c r="P503" s="146"/>
      <c r="Q503" s="32"/>
      <c r="R503" s="146"/>
      <c r="S503" s="32"/>
      <c r="T503" s="146"/>
      <c r="U503" s="32"/>
      <c r="V503" s="146"/>
      <c r="W503" s="32"/>
      <c r="X503" s="146"/>
      <c r="Y503" s="32"/>
      <c r="Z503" s="146"/>
      <c r="AA503" s="32"/>
      <c r="AB503" s="146"/>
      <c r="AC503" s="32"/>
      <c r="AD503" s="146"/>
      <c r="AE503" s="32"/>
      <c r="AF503" s="146"/>
      <c r="AG503" s="32"/>
      <c r="AH503" s="146"/>
      <c r="AI503" s="32"/>
      <c r="AJ503" s="146"/>
      <c r="AK503" s="32"/>
      <c r="AL503" s="146"/>
      <c r="AM503" s="32"/>
      <c r="AN503" s="146"/>
      <c r="AO503" s="32"/>
      <c r="AP503" s="146"/>
      <c r="AQ503" s="32"/>
      <c r="AR503" s="146"/>
      <c r="AS503" s="32"/>
      <c r="AT503" s="146"/>
      <c r="AU503" s="32"/>
      <c r="AV503" s="146"/>
      <c r="AW503" s="32"/>
      <c r="AX503" s="146"/>
      <c r="AY503" s="32"/>
      <c r="AZ503" s="146"/>
      <c r="BA503" s="32"/>
      <c r="BB503" s="146"/>
      <c r="BC503" s="32"/>
      <c r="BD503" s="146"/>
      <c r="BE503" s="32"/>
      <c r="BF503" s="146"/>
      <c r="BG503" s="32"/>
      <c r="BH503" s="146"/>
      <c r="BI503" s="32"/>
      <c r="BJ503" s="146"/>
      <c r="BK503" s="32"/>
      <c r="BL503" s="146"/>
      <c r="BM503" s="32"/>
      <c r="BN503" s="146"/>
      <c r="BO503" s="32"/>
      <c r="BP503" s="146"/>
      <c r="BQ503" s="32"/>
      <c r="BR503" s="146"/>
      <c r="BS503" s="32"/>
      <c r="BT503" s="146">
        <v>696</v>
      </c>
      <c r="BU503" s="32">
        <v>217</v>
      </c>
      <c r="BV503" s="146">
        <v>716</v>
      </c>
      <c r="BW503" s="32">
        <v>194</v>
      </c>
    </row>
    <row r="504" spans="1:75" ht="13" x14ac:dyDescent="0.25">
      <c r="A504" s="186">
        <v>8603</v>
      </c>
      <c r="B504" s="187" t="s">
        <v>526</v>
      </c>
      <c r="C504" s="46">
        <v>1262</v>
      </c>
      <c r="D504" s="142">
        <v>844</v>
      </c>
      <c r="E504" s="145">
        <f t="shared" si="7"/>
        <v>0.66877971473851028</v>
      </c>
      <c r="F504" s="146">
        <v>540</v>
      </c>
      <c r="G504" s="32">
        <v>256</v>
      </c>
      <c r="H504" s="146"/>
      <c r="I504" s="32"/>
      <c r="J504" s="146"/>
      <c r="K504" s="32"/>
      <c r="L504" s="146"/>
      <c r="M504" s="32"/>
      <c r="N504" s="146"/>
      <c r="O504" s="32"/>
      <c r="P504" s="146"/>
      <c r="Q504" s="32"/>
      <c r="R504" s="146"/>
      <c r="S504" s="32"/>
      <c r="T504" s="146"/>
      <c r="U504" s="32"/>
      <c r="V504" s="146"/>
      <c r="W504" s="32"/>
      <c r="X504" s="146"/>
      <c r="Y504" s="32"/>
      <c r="Z504" s="146"/>
      <c r="AA504" s="32"/>
      <c r="AB504" s="146"/>
      <c r="AC504" s="32"/>
      <c r="AD504" s="146"/>
      <c r="AE504" s="32"/>
      <c r="AF504" s="146"/>
      <c r="AG504" s="32"/>
      <c r="AH504" s="146"/>
      <c r="AI504" s="32"/>
      <c r="AJ504" s="146"/>
      <c r="AK504" s="32"/>
      <c r="AL504" s="146"/>
      <c r="AM504" s="32"/>
      <c r="AN504" s="146"/>
      <c r="AO504" s="32"/>
      <c r="AP504" s="146"/>
      <c r="AQ504" s="32"/>
      <c r="AR504" s="146"/>
      <c r="AS504" s="32"/>
      <c r="AT504" s="146"/>
      <c r="AU504" s="32"/>
      <c r="AV504" s="146"/>
      <c r="AW504" s="32"/>
      <c r="AX504" s="146"/>
      <c r="AY504" s="32"/>
      <c r="AZ504" s="146"/>
      <c r="BA504" s="32"/>
      <c r="BB504" s="146"/>
      <c r="BC504" s="32"/>
      <c r="BD504" s="146"/>
      <c r="BE504" s="32"/>
      <c r="BF504" s="146"/>
      <c r="BG504" s="32"/>
      <c r="BH504" s="146"/>
      <c r="BI504" s="32"/>
      <c r="BJ504" s="146"/>
      <c r="BK504" s="32"/>
      <c r="BL504" s="146"/>
      <c r="BM504" s="32"/>
      <c r="BN504" s="146"/>
      <c r="BO504" s="32"/>
      <c r="BP504" s="146"/>
      <c r="BQ504" s="32"/>
      <c r="BR504" s="146"/>
      <c r="BS504" s="32"/>
      <c r="BT504" s="146">
        <v>583</v>
      </c>
      <c r="BU504" s="32">
        <v>217</v>
      </c>
      <c r="BV504" s="146">
        <v>597</v>
      </c>
      <c r="BW504" s="32">
        <v>197</v>
      </c>
    </row>
    <row r="505" spans="1:75" ht="13" x14ac:dyDescent="0.25">
      <c r="A505" s="186">
        <v>8701</v>
      </c>
      <c r="B505" s="187" t="s">
        <v>527</v>
      </c>
      <c r="C505" s="46">
        <v>813</v>
      </c>
      <c r="D505" s="142">
        <v>429</v>
      </c>
      <c r="E505" s="145">
        <f t="shared" si="7"/>
        <v>0.52767527675276749</v>
      </c>
      <c r="F505" s="146">
        <v>319</v>
      </c>
      <c r="G505" s="32">
        <v>87</v>
      </c>
      <c r="H505" s="146"/>
      <c r="I505" s="32"/>
      <c r="J505" s="146"/>
      <c r="K505" s="32"/>
      <c r="L505" s="146"/>
      <c r="M505" s="32"/>
      <c r="N505" s="146"/>
      <c r="O505" s="32"/>
      <c r="P505" s="146"/>
      <c r="Q505" s="32"/>
      <c r="R505" s="146"/>
      <c r="S505" s="32"/>
      <c r="T505" s="146"/>
      <c r="U505" s="32"/>
      <c r="V505" s="146"/>
      <c r="W505" s="32"/>
      <c r="X505" s="146"/>
      <c r="Y505" s="32"/>
      <c r="Z505" s="146"/>
      <c r="AA505" s="32"/>
      <c r="AB505" s="146"/>
      <c r="AC505" s="32"/>
      <c r="AD505" s="146"/>
      <c r="AE505" s="32"/>
      <c r="AF505" s="146"/>
      <c r="AG505" s="32"/>
      <c r="AH505" s="146"/>
      <c r="AI505" s="32"/>
      <c r="AJ505" s="146"/>
      <c r="AK505" s="32"/>
      <c r="AL505" s="146"/>
      <c r="AM505" s="32"/>
      <c r="AN505" s="146"/>
      <c r="AO505" s="32"/>
      <c r="AP505" s="146"/>
      <c r="AQ505" s="32"/>
      <c r="AR505" s="146"/>
      <c r="AS505" s="32"/>
      <c r="AT505" s="146"/>
      <c r="AU505" s="32"/>
      <c r="AV505" s="146"/>
      <c r="AW505" s="32"/>
      <c r="AX505" s="146"/>
      <c r="AY505" s="32"/>
      <c r="AZ505" s="146">
        <v>214</v>
      </c>
      <c r="BA505" s="32">
        <v>190</v>
      </c>
      <c r="BB505" s="146"/>
      <c r="BC505" s="32"/>
      <c r="BD505" s="146"/>
      <c r="BE505" s="32"/>
      <c r="BF505" s="146"/>
      <c r="BG505" s="32"/>
      <c r="BH505" s="146"/>
      <c r="BI505" s="32"/>
      <c r="BJ505" s="146">
        <v>229</v>
      </c>
      <c r="BK505" s="32">
        <v>149</v>
      </c>
      <c r="BL505" s="146"/>
      <c r="BM505" s="32"/>
      <c r="BN505" s="146"/>
      <c r="BO505" s="32"/>
      <c r="BP505" s="146"/>
      <c r="BQ505" s="32"/>
      <c r="BR505" s="146"/>
      <c r="BS505" s="32"/>
      <c r="BT505" s="146">
        <v>288</v>
      </c>
      <c r="BU505" s="32">
        <v>119</v>
      </c>
      <c r="BV505" s="146">
        <v>291</v>
      </c>
      <c r="BW505" s="32">
        <v>113</v>
      </c>
    </row>
    <row r="506" spans="1:75" ht="13" x14ac:dyDescent="0.25">
      <c r="A506" s="186">
        <v>8702</v>
      </c>
      <c r="B506" s="187" t="s">
        <v>528</v>
      </c>
      <c r="C506" s="46">
        <v>714</v>
      </c>
      <c r="D506" s="142">
        <v>541</v>
      </c>
      <c r="E506" s="145">
        <f t="shared" si="7"/>
        <v>0.75770308123249297</v>
      </c>
      <c r="F506" s="146">
        <v>334</v>
      </c>
      <c r="G506" s="32">
        <v>175</v>
      </c>
      <c r="H506" s="146"/>
      <c r="I506" s="32"/>
      <c r="J506" s="146"/>
      <c r="K506" s="32"/>
      <c r="L506" s="146"/>
      <c r="M506" s="32"/>
      <c r="N506" s="146"/>
      <c r="O506" s="32"/>
      <c r="P506" s="146"/>
      <c r="Q506" s="32"/>
      <c r="R506" s="146"/>
      <c r="S506" s="32"/>
      <c r="T506" s="146"/>
      <c r="U506" s="32"/>
      <c r="V506" s="146"/>
      <c r="W506" s="32"/>
      <c r="X506" s="146"/>
      <c r="Y506" s="32"/>
      <c r="Z506" s="146"/>
      <c r="AA506" s="32"/>
      <c r="AB506" s="146"/>
      <c r="AC506" s="32"/>
      <c r="AD506" s="146"/>
      <c r="AE506" s="32"/>
      <c r="AF506" s="146"/>
      <c r="AG506" s="32"/>
      <c r="AH506" s="146"/>
      <c r="AI506" s="32"/>
      <c r="AJ506" s="146"/>
      <c r="AK506" s="32"/>
      <c r="AL506" s="146"/>
      <c r="AM506" s="32"/>
      <c r="AN506" s="146"/>
      <c r="AO506" s="32"/>
      <c r="AP506" s="146"/>
      <c r="AQ506" s="32"/>
      <c r="AR506" s="146"/>
      <c r="AS506" s="32"/>
      <c r="AT506" s="146"/>
      <c r="AU506" s="32"/>
      <c r="AV506" s="146"/>
      <c r="AW506" s="32"/>
      <c r="AX506" s="146"/>
      <c r="AY506" s="32"/>
      <c r="AZ506" s="146">
        <v>314</v>
      </c>
      <c r="BA506" s="32">
        <v>198</v>
      </c>
      <c r="BB506" s="146"/>
      <c r="BC506" s="32"/>
      <c r="BD506" s="146"/>
      <c r="BE506" s="32"/>
      <c r="BF506" s="146"/>
      <c r="BG506" s="32"/>
      <c r="BH506" s="146"/>
      <c r="BI506" s="32"/>
      <c r="BJ506" s="146"/>
      <c r="BK506" s="32"/>
      <c r="BL506" s="146"/>
      <c r="BM506" s="32"/>
      <c r="BN506" s="146"/>
      <c r="BO506" s="32"/>
      <c r="BP506" s="146"/>
      <c r="BQ506" s="32"/>
      <c r="BR506" s="146"/>
      <c r="BS506" s="32"/>
      <c r="BT506" s="146">
        <v>326</v>
      </c>
      <c r="BU506" s="32">
        <v>187</v>
      </c>
      <c r="BV506" s="146">
        <v>343</v>
      </c>
      <c r="BW506" s="32">
        <v>170</v>
      </c>
    </row>
    <row r="507" spans="1:75" ht="13" x14ac:dyDescent="0.25">
      <c r="A507" s="186">
        <v>8703</v>
      </c>
      <c r="B507" s="187" t="s">
        <v>529</v>
      </c>
      <c r="C507" s="46">
        <v>1289</v>
      </c>
      <c r="D507" s="142">
        <v>949</v>
      </c>
      <c r="E507" s="145">
        <f t="shared" si="7"/>
        <v>0.73622963537626063</v>
      </c>
      <c r="F507" s="146">
        <v>571</v>
      </c>
      <c r="G507" s="32">
        <v>324</v>
      </c>
      <c r="H507" s="146"/>
      <c r="I507" s="32"/>
      <c r="J507" s="146"/>
      <c r="K507" s="32"/>
      <c r="L507" s="146"/>
      <c r="M507" s="32"/>
      <c r="N507" s="146"/>
      <c r="O507" s="32"/>
      <c r="P507" s="146"/>
      <c r="Q507" s="32"/>
      <c r="R507" s="146"/>
      <c r="S507" s="32"/>
      <c r="T507" s="146"/>
      <c r="U507" s="32"/>
      <c r="V507" s="146"/>
      <c r="W507" s="32"/>
      <c r="X507" s="146"/>
      <c r="Y507" s="32"/>
      <c r="Z507" s="146"/>
      <c r="AA507" s="32"/>
      <c r="AB507" s="146"/>
      <c r="AC507" s="32"/>
      <c r="AD507" s="146"/>
      <c r="AE507" s="32"/>
      <c r="AF507" s="146"/>
      <c r="AG507" s="32"/>
      <c r="AH507" s="146"/>
      <c r="AI507" s="32"/>
      <c r="AJ507" s="146"/>
      <c r="AK507" s="32"/>
      <c r="AL507" s="146"/>
      <c r="AM507" s="32"/>
      <c r="AN507" s="146"/>
      <c r="AO507" s="32"/>
      <c r="AP507" s="146"/>
      <c r="AQ507" s="32"/>
      <c r="AR507" s="146"/>
      <c r="AS507" s="32"/>
      <c r="AT507" s="146"/>
      <c r="AU507" s="32"/>
      <c r="AV507" s="146"/>
      <c r="AW507" s="32"/>
      <c r="AX507" s="146"/>
      <c r="AY507" s="32"/>
      <c r="AZ507" s="146">
        <v>543</v>
      </c>
      <c r="BA507" s="32">
        <v>356</v>
      </c>
      <c r="BB507" s="146"/>
      <c r="BC507" s="32"/>
      <c r="BD507" s="146"/>
      <c r="BE507" s="32"/>
      <c r="BF507" s="146"/>
      <c r="BG507" s="32"/>
      <c r="BH507" s="146"/>
      <c r="BI507" s="32"/>
      <c r="BJ507" s="146">
        <v>111</v>
      </c>
      <c r="BK507" s="32">
        <v>129</v>
      </c>
      <c r="BL507" s="146"/>
      <c r="BM507" s="32"/>
      <c r="BN507" s="146"/>
      <c r="BO507" s="32"/>
      <c r="BP507" s="146"/>
      <c r="BQ507" s="32"/>
      <c r="BR507" s="146"/>
      <c r="BS507" s="32"/>
      <c r="BT507" s="146">
        <v>592</v>
      </c>
      <c r="BU507" s="32">
        <v>302</v>
      </c>
      <c r="BV507" s="146">
        <v>617</v>
      </c>
      <c r="BW507" s="32">
        <v>282</v>
      </c>
    </row>
    <row r="508" spans="1:75" ht="13" x14ac:dyDescent="0.25">
      <c r="A508" s="186">
        <v>8704</v>
      </c>
      <c r="B508" s="187" t="s">
        <v>530</v>
      </c>
      <c r="C508" s="46">
        <v>889</v>
      </c>
      <c r="D508" s="142">
        <v>700</v>
      </c>
      <c r="E508" s="145">
        <f t="shared" si="7"/>
        <v>0.78740157480314965</v>
      </c>
      <c r="F508" s="146">
        <v>408</v>
      </c>
      <c r="G508" s="32">
        <v>255</v>
      </c>
      <c r="H508" s="146"/>
      <c r="I508" s="32"/>
      <c r="J508" s="146"/>
      <c r="K508" s="32"/>
      <c r="L508" s="146"/>
      <c r="M508" s="32"/>
      <c r="N508" s="146"/>
      <c r="O508" s="32"/>
      <c r="P508" s="146"/>
      <c r="Q508" s="32"/>
      <c r="R508" s="146"/>
      <c r="S508" s="32"/>
      <c r="T508" s="146"/>
      <c r="U508" s="32"/>
      <c r="V508" s="146"/>
      <c r="W508" s="32"/>
      <c r="X508" s="146"/>
      <c r="Y508" s="32"/>
      <c r="Z508" s="146"/>
      <c r="AA508" s="32"/>
      <c r="AB508" s="146"/>
      <c r="AC508" s="32"/>
      <c r="AD508" s="146"/>
      <c r="AE508" s="32"/>
      <c r="AF508" s="146"/>
      <c r="AG508" s="32"/>
      <c r="AH508" s="146"/>
      <c r="AI508" s="32"/>
      <c r="AJ508" s="146"/>
      <c r="AK508" s="32"/>
      <c r="AL508" s="146"/>
      <c r="AM508" s="32"/>
      <c r="AN508" s="146"/>
      <c r="AO508" s="32"/>
      <c r="AP508" s="146"/>
      <c r="AQ508" s="32"/>
      <c r="AR508" s="146"/>
      <c r="AS508" s="32"/>
      <c r="AT508" s="146"/>
      <c r="AU508" s="32"/>
      <c r="AV508" s="146"/>
      <c r="AW508" s="32"/>
      <c r="AX508" s="146"/>
      <c r="AY508" s="32"/>
      <c r="AZ508" s="146">
        <v>336</v>
      </c>
      <c r="BA508" s="32">
        <v>330</v>
      </c>
      <c r="BB508" s="146"/>
      <c r="BC508" s="32"/>
      <c r="BD508" s="146"/>
      <c r="BE508" s="32"/>
      <c r="BF508" s="146"/>
      <c r="BG508" s="32"/>
      <c r="BH508" s="146"/>
      <c r="BI508" s="32"/>
      <c r="BJ508" s="146"/>
      <c r="BK508" s="32"/>
      <c r="BL508" s="146"/>
      <c r="BM508" s="32"/>
      <c r="BN508" s="146"/>
      <c r="BO508" s="32"/>
      <c r="BP508" s="146"/>
      <c r="BQ508" s="32"/>
      <c r="BR508" s="146"/>
      <c r="BS508" s="32"/>
      <c r="BT508" s="146">
        <v>430</v>
      </c>
      <c r="BU508" s="32">
        <v>242</v>
      </c>
      <c r="BV508" s="146">
        <v>439</v>
      </c>
      <c r="BW508" s="32">
        <v>229</v>
      </c>
    </row>
    <row r="509" spans="1:75" ht="13" x14ac:dyDescent="0.25">
      <c r="A509" s="186">
        <v>8705</v>
      </c>
      <c r="B509" s="187" t="s">
        <v>531</v>
      </c>
      <c r="C509" s="46">
        <v>536</v>
      </c>
      <c r="D509" s="142">
        <v>399</v>
      </c>
      <c r="E509" s="145">
        <f t="shared" si="7"/>
        <v>0.74440298507462688</v>
      </c>
      <c r="F509" s="146">
        <v>241</v>
      </c>
      <c r="G509" s="32">
        <v>131</v>
      </c>
      <c r="H509" s="146"/>
      <c r="I509" s="32"/>
      <c r="J509" s="146"/>
      <c r="K509" s="32"/>
      <c r="L509" s="146"/>
      <c r="M509" s="32"/>
      <c r="N509" s="146"/>
      <c r="O509" s="32"/>
      <c r="P509" s="146"/>
      <c r="Q509" s="32"/>
      <c r="R509" s="146"/>
      <c r="S509" s="32"/>
      <c r="T509" s="146"/>
      <c r="U509" s="32"/>
      <c r="V509" s="146"/>
      <c r="W509" s="32"/>
      <c r="X509" s="146"/>
      <c r="Y509" s="32"/>
      <c r="Z509" s="146"/>
      <c r="AA509" s="32"/>
      <c r="AB509" s="146"/>
      <c r="AC509" s="32"/>
      <c r="AD509" s="146"/>
      <c r="AE509" s="32"/>
      <c r="AF509" s="146"/>
      <c r="AG509" s="32"/>
      <c r="AH509" s="146"/>
      <c r="AI509" s="32"/>
      <c r="AJ509" s="146"/>
      <c r="AK509" s="32"/>
      <c r="AL509" s="146"/>
      <c r="AM509" s="32"/>
      <c r="AN509" s="146"/>
      <c r="AO509" s="32"/>
      <c r="AP509" s="146"/>
      <c r="AQ509" s="32"/>
      <c r="AR509" s="146"/>
      <c r="AS509" s="32"/>
      <c r="AT509" s="146"/>
      <c r="AU509" s="32"/>
      <c r="AV509" s="146"/>
      <c r="AW509" s="32"/>
      <c r="AX509" s="146"/>
      <c r="AY509" s="32"/>
      <c r="AZ509" s="146">
        <v>212</v>
      </c>
      <c r="BA509" s="32">
        <v>162</v>
      </c>
      <c r="BB509" s="146"/>
      <c r="BC509" s="32"/>
      <c r="BD509" s="146"/>
      <c r="BE509" s="32"/>
      <c r="BF509" s="146"/>
      <c r="BG509" s="32"/>
      <c r="BH509" s="146"/>
      <c r="BI509" s="32"/>
      <c r="BJ509" s="146"/>
      <c r="BK509" s="32"/>
      <c r="BL509" s="146"/>
      <c r="BM509" s="32"/>
      <c r="BN509" s="146"/>
      <c r="BO509" s="32"/>
      <c r="BP509" s="146"/>
      <c r="BQ509" s="32"/>
      <c r="BR509" s="146"/>
      <c r="BS509" s="32"/>
      <c r="BT509" s="146">
        <v>263</v>
      </c>
      <c r="BU509" s="32">
        <v>115</v>
      </c>
      <c r="BV509" s="146">
        <v>265</v>
      </c>
      <c r="BW509" s="32">
        <v>115</v>
      </c>
    </row>
    <row r="510" spans="1:75" ht="13" x14ac:dyDescent="0.25">
      <c r="A510" s="186">
        <v>8706</v>
      </c>
      <c r="B510" s="187" t="s">
        <v>532</v>
      </c>
      <c r="C510" s="46">
        <v>705</v>
      </c>
      <c r="D510" s="142">
        <v>564</v>
      </c>
      <c r="E510" s="145">
        <f t="shared" si="7"/>
        <v>0.8</v>
      </c>
      <c r="F510" s="146">
        <v>328</v>
      </c>
      <c r="G510" s="32">
        <v>209</v>
      </c>
      <c r="H510" s="146"/>
      <c r="I510" s="32"/>
      <c r="J510" s="146"/>
      <c r="K510" s="32"/>
      <c r="L510" s="146"/>
      <c r="M510" s="32"/>
      <c r="N510" s="146"/>
      <c r="O510" s="32"/>
      <c r="P510" s="146"/>
      <c r="Q510" s="32"/>
      <c r="R510" s="146"/>
      <c r="S510" s="32"/>
      <c r="T510" s="146"/>
      <c r="U510" s="32"/>
      <c r="V510" s="146"/>
      <c r="W510" s="32"/>
      <c r="X510" s="146"/>
      <c r="Y510" s="32"/>
      <c r="Z510" s="146"/>
      <c r="AA510" s="32"/>
      <c r="AB510" s="146"/>
      <c r="AC510" s="32"/>
      <c r="AD510" s="146"/>
      <c r="AE510" s="32"/>
      <c r="AF510" s="146"/>
      <c r="AG510" s="32"/>
      <c r="AH510" s="146"/>
      <c r="AI510" s="32"/>
      <c r="AJ510" s="146"/>
      <c r="AK510" s="32"/>
      <c r="AL510" s="146"/>
      <c r="AM510" s="32"/>
      <c r="AN510" s="146"/>
      <c r="AO510" s="32"/>
      <c r="AP510" s="146"/>
      <c r="AQ510" s="32"/>
      <c r="AR510" s="146"/>
      <c r="AS510" s="32"/>
      <c r="AT510" s="146"/>
      <c r="AU510" s="32"/>
      <c r="AV510" s="146"/>
      <c r="AW510" s="32"/>
      <c r="AX510" s="146"/>
      <c r="AY510" s="32"/>
      <c r="AZ510" s="146">
        <v>338</v>
      </c>
      <c r="BA510" s="32">
        <v>201</v>
      </c>
      <c r="BB510" s="146"/>
      <c r="BC510" s="32"/>
      <c r="BD510" s="146"/>
      <c r="BE510" s="32"/>
      <c r="BF510" s="146"/>
      <c r="BG510" s="32"/>
      <c r="BH510" s="146"/>
      <c r="BI510" s="32"/>
      <c r="BJ510" s="146"/>
      <c r="BK510" s="32"/>
      <c r="BL510" s="146"/>
      <c r="BM510" s="32"/>
      <c r="BN510" s="146"/>
      <c r="BO510" s="32"/>
      <c r="BP510" s="146"/>
      <c r="BQ510" s="32"/>
      <c r="BR510" s="146"/>
      <c r="BS510" s="32"/>
      <c r="BT510" s="146">
        <v>353</v>
      </c>
      <c r="BU510" s="32">
        <v>186</v>
      </c>
      <c r="BV510" s="146">
        <v>369</v>
      </c>
      <c r="BW510" s="32">
        <v>173</v>
      </c>
    </row>
    <row r="511" spans="1:75" ht="13" x14ac:dyDescent="0.25">
      <c r="A511" s="186">
        <v>8707</v>
      </c>
      <c r="B511" s="187" t="s">
        <v>533</v>
      </c>
      <c r="C511" s="46">
        <v>1189</v>
      </c>
      <c r="D511" s="142">
        <v>902</v>
      </c>
      <c r="E511" s="145">
        <f t="shared" si="7"/>
        <v>0.75862068965517238</v>
      </c>
      <c r="F511" s="146">
        <v>457</v>
      </c>
      <c r="G511" s="32">
        <v>403</v>
      </c>
      <c r="H511" s="146"/>
      <c r="I511" s="32"/>
      <c r="J511" s="146"/>
      <c r="K511" s="32"/>
      <c r="L511" s="146"/>
      <c r="M511" s="32"/>
      <c r="N511" s="146"/>
      <c r="O511" s="32"/>
      <c r="P511" s="146"/>
      <c r="Q511" s="32"/>
      <c r="R511" s="146"/>
      <c r="S511" s="32"/>
      <c r="T511" s="146"/>
      <c r="U511" s="32"/>
      <c r="V511" s="146"/>
      <c r="W511" s="32"/>
      <c r="X511" s="146"/>
      <c r="Y511" s="32"/>
      <c r="Z511" s="146"/>
      <c r="AA511" s="32"/>
      <c r="AB511" s="146"/>
      <c r="AC511" s="32"/>
      <c r="AD511" s="146"/>
      <c r="AE511" s="32"/>
      <c r="AF511" s="146"/>
      <c r="AG511" s="32"/>
      <c r="AH511" s="146"/>
      <c r="AI511" s="32"/>
      <c r="AJ511" s="146"/>
      <c r="AK511" s="32"/>
      <c r="AL511" s="146"/>
      <c r="AM511" s="32"/>
      <c r="AN511" s="146"/>
      <c r="AO511" s="32"/>
      <c r="AP511" s="146"/>
      <c r="AQ511" s="32"/>
      <c r="AR511" s="146"/>
      <c r="AS511" s="32"/>
      <c r="AT511" s="146"/>
      <c r="AU511" s="32"/>
      <c r="AV511" s="146"/>
      <c r="AW511" s="32"/>
      <c r="AX511" s="146"/>
      <c r="AY511" s="32"/>
      <c r="AZ511" s="146">
        <v>485</v>
      </c>
      <c r="BA511" s="32">
        <v>386</v>
      </c>
      <c r="BB511" s="146"/>
      <c r="BC511" s="32"/>
      <c r="BD511" s="146"/>
      <c r="BE511" s="32"/>
      <c r="BF511" s="146"/>
      <c r="BG511" s="32"/>
      <c r="BH511" s="146"/>
      <c r="BI511" s="32"/>
      <c r="BJ511" s="146">
        <v>0</v>
      </c>
      <c r="BK511" s="32">
        <v>1</v>
      </c>
      <c r="BL511" s="146"/>
      <c r="BM511" s="32"/>
      <c r="BN511" s="146"/>
      <c r="BO511" s="32"/>
      <c r="BP511" s="146"/>
      <c r="BQ511" s="32"/>
      <c r="BR511" s="146"/>
      <c r="BS511" s="32"/>
      <c r="BT511" s="146">
        <v>524</v>
      </c>
      <c r="BU511" s="32">
        <v>346</v>
      </c>
      <c r="BV511" s="146">
        <v>522</v>
      </c>
      <c r="BW511" s="32">
        <v>349</v>
      </c>
    </row>
    <row r="512" spans="1:75" ht="13" x14ac:dyDescent="0.25">
      <c r="A512" s="186">
        <v>8708</v>
      </c>
      <c r="B512" s="187" t="s">
        <v>534</v>
      </c>
      <c r="C512" s="46">
        <v>1103</v>
      </c>
      <c r="D512" s="142">
        <v>888</v>
      </c>
      <c r="E512" s="145">
        <f t="shared" si="7"/>
        <v>0.80507706255666367</v>
      </c>
      <c r="F512" s="146">
        <v>439</v>
      </c>
      <c r="G512" s="32">
        <v>417</v>
      </c>
      <c r="H512" s="146"/>
      <c r="I512" s="32"/>
      <c r="J512" s="146"/>
      <c r="K512" s="32"/>
      <c r="L512" s="146"/>
      <c r="M512" s="32"/>
      <c r="N512" s="146"/>
      <c r="O512" s="32"/>
      <c r="P512" s="146"/>
      <c r="Q512" s="32"/>
      <c r="R512" s="146"/>
      <c r="S512" s="32"/>
      <c r="T512" s="146"/>
      <c r="U512" s="32"/>
      <c r="V512" s="146"/>
      <c r="W512" s="32"/>
      <c r="X512" s="146"/>
      <c r="Y512" s="32"/>
      <c r="Z512" s="146"/>
      <c r="AA512" s="32"/>
      <c r="AB512" s="146"/>
      <c r="AC512" s="32"/>
      <c r="AD512" s="146"/>
      <c r="AE512" s="32"/>
      <c r="AF512" s="146"/>
      <c r="AG512" s="32"/>
      <c r="AH512" s="146"/>
      <c r="AI512" s="32"/>
      <c r="AJ512" s="146"/>
      <c r="AK512" s="32"/>
      <c r="AL512" s="146"/>
      <c r="AM512" s="32"/>
      <c r="AN512" s="146"/>
      <c r="AO512" s="32"/>
      <c r="AP512" s="146"/>
      <c r="AQ512" s="32"/>
      <c r="AR512" s="146"/>
      <c r="AS512" s="32"/>
      <c r="AT512" s="146"/>
      <c r="AU512" s="32"/>
      <c r="AV512" s="146"/>
      <c r="AW512" s="32"/>
      <c r="AX512" s="146"/>
      <c r="AY512" s="32"/>
      <c r="AZ512" s="146">
        <v>494</v>
      </c>
      <c r="BA512" s="32">
        <v>361</v>
      </c>
      <c r="BB512" s="146"/>
      <c r="BC512" s="32"/>
      <c r="BD512" s="146"/>
      <c r="BE512" s="32"/>
      <c r="BF512" s="146"/>
      <c r="BG512" s="32"/>
      <c r="BH512" s="146"/>
      <c r="BI512" s="32"/>
      <c r="BJ512" s="146">
        <v>191</v>
      </c>
      <c r="BK512" s="32">
        <v>256</v>
      </c>
      <c r="BL512" s="146"/>
      <c r="BM512" s="32"/>
      <c r="BN512" s="146"/>
      <c r="BO512" s="32"/>
      <c r="BP512" s="146"/>
      <c r="BQ512" s="32"/>
      <c r="BR512" s="146"/>
      <c r="BS512" s="32"/>
      <c r="BT512" s="146">
        <v>525</v>
      </c>
      <c r="BU512" s="32">
        <v>326</v>
      </c>
      <c r="BV512" s="146">
        <v>532</v>
      </c>
      <c r="BW512" s="32">
        <v>330</v>
      </c>
    </row>
    <row r="513" spans="1:75" ht="13" x14ac:dyDescent="0.25">
      <c r="A513" s="186">
        <v>8709</v>
      </c>
      <c r="B513" s="187" t="s">
        <v>535</v>
      </c>
      <c r="C513" s="46">
        <v>516</v>
      </c>
      <c r="D513" s="142">
        <v>324</v>
      </c>
      <c r="E513" s="145">
        <f t="shared" si="7"/>
        <v>0.62790697674418605</v>
      </c>
      <c r="F513" s="146">
        <v>156</v>
      </c>
      <c r="G513" s="32">
        <v>150</v>
      </c>
      <c r="H513" s="146"/>
      <c r="I513" s="32"/>
      <c r="J513" s="146"/>
      <c r="K513" s="32"/>
      <c r="L513" s="146"/>
      <c r="M513" s="32"/>
      <c r="N513" s="146"/>
      <c r="O513" s="32"/>
      <c r="P513" s="146"/>
      <c r="Q513" s="32"/>
      <c r="R513" s="146"/>
      <c r="S513" s="32"/>
      <c r="T513" s="146"/>
      <c r="U513" s="32"/>
      <c r="V513" s="146"/>
      <c r="W513" s="32"/>
      <c r="X513" s="146"/>
      <c r="Y513" s="32"/>
      <c r="Z513" s="146"/>
      <c r="AA513" s="32"/>
      <c r="AB513" s="146"/>
      <c r="AC513" s="32"/>
      <c r="AD513" s="146"/>
      <c r="AE513" s="32"/>
      <c r="AF513" s="146"/>
      <c r="AG513" s="32"/>
      <c r="AH513" s="146"/>
      <c r="AI513" s="32"/>
      <c r="AJ513" s="146"/>
      <c r="AK513" s="32"/>
      <c r="AL513" s="146"/>
      <c r="AM513" s="32"/>
      <c r="AN513" s="146"/>
      <c r="AO513" s="32"/>
      <c r="AP513" s="146"/>
      <c r="AQ513" s="32"/>
      <c r="AR513" s="146"/>
      <c r="AS513" s="32"/>
      <c r="AT513" s="146"/>
      <c r="AU513" s="32"/>
      <c r="AV513" s="146"/>
      <c r="AW513" s="32"/>
      <c r="AX513" s="146"/>
      <c r="AY513" s="32"/>
      <c r="AZ513" s="146">
        <v>171</v>
      </c>
      <c r="BA513" s="32">
        <v>137</v>
      </c>
      <c r="BB513" s="146"/>
      <c r="BC513" s="32"/>
      <c r="BD513" s="146"/>
      <c r="BE513" s="32"/>
      <c r="BF513" s="146"/>
      <c r="BG513" s="32"/>
      <c r="BH513" s="146"/>
      <c r="BI513" s="32"/>
      <c r="BJ513" s="146"/>
      <c r="BK513" s="32"/>
      <c r="BL513" s="146"/>
      <c r="BM513" s="32"/>
      <c r="BN513" s="146"/>
      <c r="BO513" s="32"/>
      <c r="BP513" s="146"/>
      <c r="BQ513" s="32"/>
      <c r="BR513" s="146"/>
      <c r="BS513" s="32"/>
      <c r="BT513" s="146">
        <v>178</v>
      </c>
      <c r="BU513" s="32">
        <v>134</v>
      </c>
      <c r="BV513" s="146">
        <v>182</v>
      </c>
      <c r="BW513" s="32">
        <v>128</v>
      </c>
    </row>
    <row r="514" spans="1:75" ht="13" x14ac:dyDescent="0.25">
      <c r="A514" s="186">
        <v>8710</v>
      </c>
      <c r="B514" s="187" t="s">
        <v>536</v>
      </c>
      <c r="C514" s="46">
        <v>936</v>
      </c>
      <c r="D514" s="142">
        <v>644</v>
      </c>
      <c r="E514" s="145">
        <f t="shared" si="7"/>
        <v>0.68803418803418803</v>
      </c>
      <c r="F514" s="146">
        <v>370</v>
      </c>
      <c r="G514" s="32">
        <v>249</v>
      </c>
      <c r="H514" s="146"/>
      <c r="I514" s="32"/>
      <c r="J514" s="146"/>
      <c r="K514" s="32"/>
      <c r="L514" s="146"/>
      <c r="M514" s="32"/>
      <c r="N514" s="146"/>
      <c r="O514" s="32"/>
      <c r="P514" s="146"/>
      <c r="Q514" s="32"/>
      <c r="R514" s="146"/>
      <c r="S514" s="32"/>
      <c r="T514" s="146"/>
      <c r="U514" s="32"/>
      <c r="V514" s="146"/>
      <c r="W514" s="32"/>
      <c r="X514" s="146"/>
      <c r="Y514" s="32"/>
      <c r="Z514" s="146"/>
      <c r="AA514" s="32"/>
      <c r="AB514" s="146"/>
      <c r="AC514" s="32"/>
      <c r="AD514" s="146"/>
      <c r="AE514" s="32"/>
      <c r="AF514" s="146"/>
      <c r="AG514" s="32"/>
      <c r="AH514" s="146"/>
      <c r="AI514" s="32"/>
      <c r="AJ514" s="146"/>
      <c r="AK514" s="32"/>
      <c r="AL514" s="146"/>
      <c r="AM514" s="32"/>
      <c r="AN514" s="146"/>
      <c r="AO514" s="32"/>
      <c r="AP514" s="146"/>
      <c r="AQ514" s="32"/>
      <c r="AR514" s="146"/>
      <c r="AS514" s="32"/>
      <c r="AT514" s="146"/>
      <c r="AU514" s="32"/>
      <c r="AV514" s="146"/>
      <c r="AW514" s="32"/>
      <c r="AX514" s="146"/>
      <c r="AY514" s="32"/>
      <c r="AZ514" s="146">
        <v>316</v>
      </c>
      <c r="BA514" s="32">
        <v>309</v>
      </c>
      <c r="BB514" s="146"/>
      <c r="BC514" s="32"/>
      <c r="BD514" s="146"/>
      <c r="BE514" s="32"/>
      <c r="BF514" s="146"/>
      <c r="BG514" s="32"/>
      <c r="BH514" s="146"/>
      <c r="BI514" s="32"/>
      <c r="BJ514" s="146">
        <v>267</v>
      </c>
      <c r="BK514" s="32">
        <v>362</v>
      </c>
      <c r="BL514" s="146"/>
      <c r="BM514" s="32"/>
      <c r="BN514" s="146"/>
      <c r="BO514" s="32"/>
      <c r="BP514" s="146"/>
      <c r="BQ514" s="32"/>
      <c r="BR514" s="146"/>
      <c r="BS514" s="32"/>
      <c r="BT514" s="146">
        <v>333</v>
      </c>
      <c r="BU514" s="32">
        <v>290</v>
      </c>
      <c r="BV514" s="146">
        <v>373</v>
      </c>
      <c r="BW514" s="32">
        <v>253</v>
      </c>
    </row>
    <row r="515" spans="1:75" ht="13" x14ac:dyDescent="0.25">
      <c r="A515" s="186">
        <v>8711</v>
      </c>
      <c r="B515" s="187" t="s">
        <v>537</v>
      </c>
      <c r="C515" s="46">
        <v>880</v>
      </c>
      <c r="D515" s="142">
        <v>524</v>
      </c>
      <c r="E515" s="145">
        <f t="shared" si="7"/>
        <v>0.59545454545454546</v>
      </c>
      <c r="F515" s="146">
        <v>330</v>
      </c>
      <c r="G515" s="32">
        <v>159</v>
      </c>
      <c r="H515" s="146"/>
      <c r="I515" s="32"/>
      <c r="J515" s="146"/>
      <c r="K515" s="32"/>
      <c r="L515" s="146"/>
      <c r="M515" s="32"/>
      <c r="N515" s="146"/>
      <c r="O515" s="32"/>
      <c r="P515" s="146"/>
      <c r="Q515" s="32"/>
      <c r="R515" s="146"/>
      <c r="S515" s="32"/>
      <c r="T515" s="146"/>
      <c r="U515" s="32"/>
      <c r="V515" s="146"/>
      <c r="W515" s="32"/>
      <c r="X515" s="146"/>
      <c r="Y515" s="32"/>
      <c r="Z515" s="146"/>
      <c r="AA515" s="32"/>
      <c r="AB515" s="146"/>
      <c r="AC515" s="32"/>
      <c r="AD515" s="146"/>
      <c r="AE515" s="32"/>
      <c r="AF515" s="146"/>
      <c r="AG515" s="32"/>
      <c r="AH515" s="146"/>
      <c r="AI515" s="32"/>
      <c r="AJ515" s="146"/>
      <c r="AK515" s="32"/>
      <c r="AL515" s="146"/>
      <c r="AM515" s="32"/>
      <c r="AN515" s="146"/>
      <c r="AO515" s="32"/>
      <c r="AP515" s="146"/>
      <c r="AQ515" s="32"/>
      <c r="AR515" s="146"/>
      <c r="AS515" s="32"/>
      <c r="AT515" s="146"/>
      <c r="AU515" s="32"/>
      <c r="AV515" s="146"/>
      <c r="AW515" s="32"/>
      <c r="AX515" s="146"/>
      <c r="AY515" s="32"/>
      <c r="AZ515" s="146">
        <v>241</v>
      </c>
      <c r="BA515" s="32">
        <v>252</v>
      </c>
      <c r="BB515" s="146"/>
      <c r="BC515" s="32"/>
      <c r="BD515" s="146"/>
      <c r="BE515" s="32"/>
      <c r="BF515" s="146"/>
      <c r="BG515" s="32"/>
      <c r="BH515" s="146"/>
      <c r="BI515" s="32"/>
      <c r="BJ515" s="146"/>
      <c r="BK515" s="32"/>
      <c r="BL515" s="146"/>
      <c r="BM515" s="32"/>
      <c r="BN515" s="146"/>
      <c r="BO515" s="32"/>
      <c r="BP515" s="146"/>
      <c r="BQ515" s="32"/>
      <c r="BR515" s="146"/>
      <c r="BS515" s="32"/>
      <c r="BT515" s="146">
        <v>322</v>
      </c>
      <c r="BU515" s="32">
        <v>170</v>
      </c>
      <c r="BV515" s="146">
        <v>337</v>
      </c>
      <c r="BW515" s="32">
        <v>156</v>
      </c>
    </row>
    <row r="516" spans="1:75" ht="13" x14ac:dyDescent="0.25">
      <c r="A516" s="186">
        <v>8712</v>
      </c>
      <c r="B516" s="187" t="s">
        <v>538</v>
      </c>
      <c r="C516" s="46">
        <v>301</v>
      </c>
      <c r="D516" s="142">
        <v>190</v>
      </c>
      <c r="E516" s="145">
        <f t="shared" si="7"/>
        <v>0.6312292358803987</v>
      </c>
      <c r="F516" s="146">
        <v>126</v>
      </c>
      <c r="G516" s="32">
        <v>46</v>
      </c>
      <c r="H516" s="146"/>
      <c r="I516" s="32"/>
      <c r="J516" s="146"/>
      <c r="K516" s="32"/>
      <c r="L516" s="146"/>
      <c r="M516" s="32"/>
      <c r="N516" s="146"/>
      <c r="O516" s="32"/>
      <c r="P516" s="146"/>
      <c r="Q516" s="32"/>
      <c r="R516" s="146"/>
      <c r="S516" s="32"/>
      <c r="T516" s="146"/>
      <c r="U516" s="32"/>
      <c r="V516" s="146"/>
      <c r="W516" s="32"/>
      <c r="X516" s="146"/>
      <c r="Y516" s="32"/>
      <c r="Z516" s="146"/>
      <c r="AA516" s="32"/>
      <c r="AB516" s="146"/>
      <c r="AC516" s="32"/>
      <c r="AD516" s="146"/>
      <c r="AE516" s="32"/>
      <c r="AF516" s="146"/>
      <c r="AG516" s="32"/>
      <c r="AH516" s="146"/>
      <c r="AI516" s="32"/>
      <c r="AJ516" s="146"/>
      <c r="AK516" s="32"/>
      <c r="AL516" s="146"/>
      <c r="AM516" s="32"/>
      <c r="AN516" s="146"/>
      <c r="AO516" s="32"/>
      <c r="AP516" s="146"/>
      <c r="AQ516" s="32"/>
      <c r="AR516" s="146"/>
      <c r="AS516" s="32"/>
      <c r="AT516" s="146"/>
      <c r="AU516" s="32"/>
      <c r="AV516" s="146"/>
      <c r="AW516" s="32"/>
      <c r="AX516" s="146"/>
      <c r="AY516" s="32"/>
      <c r="AZ516" s="146">
        <v>104</v>
      </c>
      <c r="BA516" s="32">
        <v>73</v>
      </c>
      <c r="BB516" s="146"/>
      <c r="BC516" s="32"/>
      <c r="BD516" s="146"/>
      <c r="BE516" s="32"/>
      <c r="BF516" s="146"/>
      <c r="BG516" s="32"/>
      <c r="BH516" s="146"/>
      <c r="BI516" s="32"/>
      <c r="BJ516" s="146"/>
      <c r="BK516" s="32"/>
      <c r="BL516" s="146"/>
      <c r="BM516" s="32"/>
      <c r="BN516" s="146"/>
      <c r="BO516" s="32"/>
      <c r="BP516" s="146"/>
      <c r="BQ516" s="32"/>
      <c r="BR516" s="146"/>
      <c r="BS516" s="32"/>
      <c r="BT516" s="146">
        <v>124</v>
      </c>
      <c r="BU516" s="32">
        <v>53</v>
      </c>
      <c r="BV516" s="146">
        <v>127</v>
      </c>
      <c r="BW516" s="32">
        <v>52</v>
      </c>
    </row>
    <row r="517" spans="1:75" ht="13" x14ac:dyDescent="0.25">
      <c r="A517" s="186">
        <v>8713</v>
      </c>
      <c r="B517" s="187" t="s">
        <v>539</v>
      </c>
      <c r="C517" s="46">
        <v>1218</v>
      </c>
      <c r="D517" s="142">
        <v>842</v>
      </c>
      <c r="E517" s="145">
        <f t="shared" si="7"/>
        <v>0.69129720853858789</v>
      </c>
      <c r="F517" s="146">
        <v>467</v>
      </c>
      <c r="G517" s="32">
        <v>337</v>
      </c>
      <c r="H517" s="146"/>
      <c r="I517" s="32"/>
      <c r="J517" s="146"/>
      <c r="K517" s="32"/>
      <c r="L517" s="146"/>
      <c r="M517" s="32"/>
      <c r="N517" s="146"/>
      <c r="O517" s="32"/>
      <c r="P517" s="146"/>
      <c r="Q517" s="32"/>
      <c r="R517" s="146"/>
      <c r="S517" s="32"/>
      <c r="T517" s="146"/>
      <c r="U517" s="32"/>
      <c r="V517" s="146"/>
      <c r="W517" s="32"/>
      <c r="X517" s="146"/>
      <c r="Y517" s="32"/>
      <c r="Z517" s="146"/>
      <c r="AA517" s="32"/>
      <c r="AB517" s="146"/>
      <c r="AC517" s="32"/>
      <c r="AD517" s="146"/>
      <c r="AE517" s="32"/>
      <c r="AF517" s="146"/>
      <c r="AG517" s="32"/>
      <c r="AH517" s="146"/>
      <c r="AI517" s="32"/>
      <c r="AJ517" s="146"/>
      <c r="AK517" s="32"/>
      <c r="AL517" s="146"/>
      <c r="AM517" s="32"/>
      <c r="AN517" s="146"/>
      <c r="AO517" s="32"/>
      <c r="AP517" s="146"/>
      <c r="AQ517" s="32"/>
      <c r="AR517" s="146"/>
      <c r="AS517" s="32"/>
      <c r="AT517" s="146"/>
      <c r="AU517" s="32"/>
      <c r="AV517" s="146"/>
      <c r="AW517" s="32"/>
      <c r="AX517" s="146"/>
      <c r="AY517" s="32"/>
      <c r="AZ517" s="146">
        <v>403</v>
      </c>
      <c r="BA517" s="32">
        <v>391</v>
      </c>
      <c r="BB517" s="146"/>
      <c r="BC517" s="32"/>
      <c r="BD517" s="146"/>
      <c r="BE517" s="32"/>
      <c r="BF517" s="146"/>
      <c r="BG517" s="32"/>
      <c r="BH517" s="146"/>
      <c r="BI517" s="32"/>
      <c r="BJ517" s="146">
        <v>344</v>
      </c>
      <c r="BK517" s="32">
        <v>453</v>
      </c>
      <c r="BL517" s="146"/>
      <c r="BM517" s="32"/>
      <c r="BN517" s="146"/>
      <c r="BO517" s="32"/>
      <c r="BP517" s="146"/>
      <c r="BQ517" s="32"/>
      <c r="BR517" s="146"/>
      <c r="BS517" s="32"/>
      <c r="BT517" s="146">
        <v>478</v>
      </c>
      <c r="BU517" s="32">
        <v>320</v>
      </c>
      <c r="BV517" s="146">
        <v>496</v>
      </c>
      <c r="BW517" s="32">
        <v>305</v>
      </c>
    </row>
    <row r="518" spans="1:75" ht="13" x14ac:dyDescent="0.25">
      <c r="A518" s="186">
        <v>8714</v>
      </c>
      <c r="B518" s="187" t="s">
        <v>540</v>
      </c>
      <c r="C518" s="46">
        <v>1128</v>
      </c>
      <c r="D518" s="142">
        <v>849</v>
      </c>
      <c r="E518" s="145">
        <f t="shared" si="7"/>
        <v>0.75265957446808507</v>
      </c>
      <c r="F518" s="146">
        <v>514</v>
      </c>
      <c r="G518" s="32">
        <v>294</v>
      </c>
      <c r="H518" s="146"/>
      <c r="I518" s="32"/>
      <c r="J518" s="146"/>
      <c r="K518" s="32"/>
      <c r="L518" s="146"/>
      <c r="M518" s="32"/>
      <c r="N518" s="146"/>
      <c r="O518" s="32"/>
      <c r="P518" s="146"/>
      <c r="Q518" s="32"/>
      <c r="R518" s="146"/>
      <c r="S518" s="32"/>
      <c r="T518" s="146"/>
      <c r="U518" s="32"/>
      <c r="V518" s="146"/>
      <c r="W518" s="32"/>
      <c r="X518" s="146"/>
      <c r="Y518" s="32"/>
      <c r="Z518" s="146"/>
      <c r="AA518" s="32"/>
      <c r="AB518" s="146"/>
      <c r="AC518" s="32"/>
      <c r="AD518" s="146"/>
      <c r="AE518" s="32"/>
      <c r="AF518" s="146"/>
      <c r="AG518" s="32"/>
      <c r="AH518" s="146"/>
      <c r="AI518" s="32"/>
      <c r="AJ518" s="146"/>
      <c r="AK518" s="32"/>
      <c r="AL518" s="146"/>
      <c r="AM518" s="32"/>
      <c r="AN518" s="146"/>
      <c r="AO518" s="32"/>
      <c r="AP518" s="146"/>
      <c r="AQ518" s="32"/>
      <c r="AR518" s="146"/>
      <c r="AS518" s="32"/>
      <c r="AT518" s="146"/>
      <c r="AU518" s="32"/>
      <c r="AV518" s="146"/>
      <c r="AW518" s="32"/>
      <c r="AX518" s="146"/>
      <c r="AY518" s="32"/>
      <c r="AZ518" s="146">
        <v>531</v>
      </c>
      <c r="BA518" s="32">
        <v>284</v>
      </c>
      <c r="BB518" s="146"/>
      <c r="BC518" s="32"/>
      <c r="BD518" s="146"/>
      <c r="BE518" s="32"/>
      <c r="BF518" s="146"/>
      <c r="BG518" s="32"/>
      <c r="BH518" s="146"/>
      <c r="BI518" s="32"/>
      <c r="BJ518" s="146"/>
      <c r="BK518" s="32"/>
      <c r="BL518" s="146"/>
      <c r="BM518" s="32"/>
      <c r="BN518" s="146"/>
      <c r="BO518" s="32"/>
      <c r="BP518" s="146"/>
      <c r="BQ518" s="32"/>
      <c r="BR518" s="146"/>
      <c r="BS518" s="32"/>
      <c r="BT518" s="146">
        <v>541</v>
      </c>
      <c r="BU518" s="32">
        <v>278</v>
      </c>
      <c r="BV518" s="146">
        <v>553</v>
      </c>
      <c r="BW518" s="32">
        <v>266</v>
      </c>
    </row>
    <row r="519" spans="1:75" ht="13" x14ac:dyDescent="0.25">
      <c r="A519" s="186">
        <v>8715</v>
      </c>
      <c r="B519" s="187" t="s">
        <v>541</v>
      </c>
      <c r="C519" s="46">
        <v>1063</v>
      </c>
      <c r="D519" s="142">
        <v>658</v>
      </c>
      <c r="E519" s="145">
        <f t="shared" si="7"/>
        <v>0.61900282220131708</v>
      </c>
      <c r="F519" s="146">
        <v>443</v>
      </c>
      <c r="G519" s="32">
        <v>173</v>
      </c>
      <c r="H519" s="146"/>
      <c r="I519" s="32"/>
      <c r="J519" s="146"/>
      <c r="K519" s="32"/>
      <c r="L519" s="146"/>
      <c r="M519" s="32"/>
      <c r="N519" s="146"/>
      <c r="O519" s="32"/>
      <c r="P519" s="146"/>
      <c r="Q519" s="32"/>
      <c r="R519" s="146"/>
      <c r="S519" s="32"/>
      <c r="T519" s="146"/>
      <c r="U519" s="32"/>
      <c r="V519" s="146"/>
      <c r="W519" s="32"/>
      <c r="X519" s="146"/>
      <c r="Y519" s="32"/>
      <c r="Z519" s="146"/>
      <c r="AA519" s="32"/>
      <c r="AB519" s="146"/>
      <c r="AC519" s="32"/>
      <c r="AD519" s="146"/>
      <c r="AE519" s="32"/>
      <c r="AF519" s="146"/>
      <c r="AG519" s="32"/>
      <c r="AH519" s="146"/>
      <c r="AI519" s="32"/>
      <c r="AJ519" s="146"/>
      <c r="AK519" s="32"/>
      <c r="AL519" s="146"/>
      <c r="AM519" s="32"/>
      <c r="AN519" s="146"/>
      <c r="AO519" s="32"/>
      <c r="AP519" s="146"/>
      <c r="AQ519" s="32"/>
      <c r="AR519" s="146"/>
      <c r="AS519" s="32"/>
      <c r="AT519" s="146"/>
      <c r="AU519" s="32"/>
      <c r="AV519" s="146"/>
      <c r="AW519" s="32"/>
      <c r="AX519" s="146"/>
      <c r="AY519" s="32"/>
      <c r="AZ519" s="146">
        <v>322</v>
      </c>
      <c r="BA519" s="32">
        <v>289</v>
      </c>
      <c r="BB519" s="146"/>
      <c r="BC519" s="32"/>
      <c r="BD519" s="146"/>
      <c r="BE519" s="32"/>
      <c r="BF519" s="146"/>
      <c r="BG519" s="32"/>
      <c r="BH519" s="146"/>
      <c r="BI519" s="32"/>
      <c r="BJ519" s="146">
        <v>337</v>
      </c>
      <c r="BK519" s="32">
        <v>272</v>
      </c>
      <c r="BL519" s="146"/>
      <c r="BM519" s="32"/>
      <c r="BN519" s="146"/>
      <c r="BO519" s="32"/>
      <c r="BP519" s="146"/>
      <c r="BQ519" s="32"/>
      <c r="BR519" s="146"/>
      <c r="BS519" s="32"/>
      <c r="BT519" s="146">
        <v>415</v>
      </c>
      <c r="BU519" s="32">
        <v>198</v>
      </c>
      <c r="BV519" s="146">
        <v>447</v>
      </c>
      <c r="BW519" s="32">
        <v>174</v>
      </c>
    </row>
    <row r="520" spans="1:75" ht="13" x14ac:dyDescent="0.25">
      <c r="A520" s="186">
        <v>8716</v>
      </c>
      <c r="B520" s="187" t="s">
        <v>542</v>
      </c>
      <c r="C520" s="46">
        <v>849</v>
      </c>
      <c r="D520" s="142">
        <v>573</v>
      </c>
      <c r="E520" s="145">
        <f t="shared" si="7"/>
        <v>0.67491166077738518</v>
      </c>
      <c r="F520" s="146">
        <v>363</v>
      </c>
      <c r="G520" s="32">
        <v>184</v>
      </c>
      <c r="H520" s="146"/>
      <c r="I520" s="32"/>
      <c r="J520" s="146"/>
      <c r="K520" s="32"/>
      <c r="L520" s="146"/>
      <c r="M520" s="32"/>
      <c r="N520" s="146"/>
      <c r="O520" s="32"/>
      <c r="P520" s="146"/>
      <c r="Q520" s="32"/>
      <c r="R520" s="146"/>
      <c r="S520" s="32"/>
      <c r="T520" s="146"/>
      <c r="U520" s="32"/>
      <c r="V520" s="146"/>
      <c r="W520" s="32"/>
      <c r="X520" s="146"/>
      <c r="Y520" s="32"/>
      <c r="Z520" s="146"/>
      <c r="AA520" s="32"/>
      <c r="AB520" s="146"/>
      <c r="AC520" s="32"/>
      <c r="AD520" s="146"/>
      <c r="AE520" s="32"/>
      <c r="AF520" s="146"/>
      <c r="AG520" s="32"/>
      <c r="AH520" s="146"/>
      <c r="AI520" s="32"/>
      <c r="AJ520" s="146"/>
      <c r="AK520" s="32"/>
      <c r="AL520" s="146"/>
      <c r="AM520" s="32"/>
      <c r="AN520" s="146"/>
      <c r="AO520" s="32"/>
      <c r="AP520" s="146"/>
      <c r="AQ520" s="32"/>
      <c r="AR520" s="146"/>
      <c r="AS520" s="32"/>
      <c r="AT520" s="146"/>
      <c r="AU520" s="32"/>
      <c r="AV520" s="146"/>
      <c r="AW520" s="32"/>
      <c r="AX520" s="146"/>
      <c r="AY520" s="32"/>
      <c r="AZ520" s="146">
        <v>301</v>
      </c>
      <c r="BA520" s="32">
        <v>244</v>
      </c>
      <c r="BB520" s="146"/>
      <c r="BC520" s="32"/>
      <c r="BD520" s="146"/>
      <c r="BE520" s="32"/>
      <c r="BF520" s="146"/>
      <c r="BG520" s="32"/>
      <c r="BH520" s="146"/>
      <c r="BI520" s="32"/>
      <c r="BJ520" s="146">
        <v>261</v>
      </c>
      <c r="BK520" s="32">
        <v>288</v>
      </c>
      <c r="BL520" s="146"/>
      <c r="BM520" s="32"/>
      <c r="BN520" s="146"/>
      <c r="BO520" s="32"/>
      <c r="BP520" s="146"/>
      <c r="BQ520" s="32"/>
      <c r="BR520" s="146"/>
      <c r="BS520" s="32"/>
      <c r="BT520" s="146">
        <v>348</v>
      </c>
      <c r="BU520" s="32">
        <v>203</v>
      </c>
      <c r="BV520" s="146">
        <v>367</v>
      </c>
      <c r="BW520" s="32">
        <v>179</v>
      </c>
    </row>
    <row r="521" spans="1:75" ht="13" x14ac:dyDescent="0.25">
      <c r="A521" s="186">
        <v>8717</v>
      </c>
      <c r="B521" s="187" t="s">
        <v>543</v>
      </c>
      <c r="C521" s="46">
        <v>1339</v>
      </c>
      <c r="D521" s="142">
        <v>806</v>
      </c>
      <c r="E521" s="145">
        <f t="shared" si="7"/>
        <v>0.60194174757281549</v>
      </c>
      <c r="F521" s="146">
        <v>494</v>
      </c>
      <c r="G521" s="32">
        <v>289</v>
      </c>
      <c r="H521" s="146"/>
      <c r="I521" s="32"/>
      <c r="J521" s="146"/>
      <c r="K521" s="32"/>
      <c r="L521" s="146"/>
      <c r="M521" s="32"/>
      <c r="N521" s="146"/>
      <c r="O521" s="32"/>
      <c r="P521" s="146"/>
      <c r="Q521" s="32"/>
      <c r="R521" s="146"/>
      <c r="S521" s="32"/>
      <c r="T521" s="146"/>
      <c r="U521" s="32"/>
      <c r="V521" s="146"/>
      <c r="W521" s="32"/>
      <c r="X521" s="146"/>
      <c r="Y521" s="32"/>
      <c r="Z521" s="146"/>
      <c r="AA521" s="32"/>
      <c r="AB521" s="146"/>
      <c r="AC521" s="32"/>
      <c r="AD521" s="146"/>
      <c r="AE521" s="32"/>
      <c r="AF521" s="146"/>
      <c r="AG521" s="32"/>
      <c r="AH521" s="146"/>
      <c r="AI521" s="32"/>
      <c r="AJ521" s="146"/>
      <c r="AK521" s="32"/>
      <c r="AL521" s="146"/>
      <c r="AM521" s="32"/>
      <c r="AN521" s="146"/>
      <c r="AO521" s="32"/>
      <c r="AP521" s="146"/>
      <c r="AQ521" s="32"/>
      <c r="AR521" s="146"/>
      <c r="AS521" s="32"/>
      <c r="AT521" s="146"/>
      <c r="AU521" s="32"/>
      <c r="AV521" s="146"/>
      <c r="AW521" s="32"/>
      <c r="AX521" s="146"/>
      <c r="AY521" s="32"/>
      <c r="AZ521" s="146">
        <v>389</v>
      </c>
      <c r="BA521" s="32">
        <v>383</v>
      </c>
      <c r="BB521" s="146"/>
      <c r="BC521" s="32"/>
      <c r="BD521" s="146"/>
      <c r="BE521" s="32"/>
      <c r="BF521" s="146"/>
      <c r="BG521" s="32"/>
      <c r="BH521" s="146"/>
      <c r="BI521" s="32"/>
      <c r="BJ521" s="146">
        <v>334</v>
      </c>
      <c r="BK521" s="32">
        <v>448</v>
      </c>
      <c r="BL521" s="146"/>
      <c r="BM521" s="32"/>
      <c r="BN521" s="146"/>
      <c r="BO521" s="32"/>
      <c r="BP521" s="146"/>
      <c r="BQ521" s="32"/>
      <c r="BR521" s="146"/>
      <c r="BS521" s="32"/>
      <c r="BT521" s="146">
        <v>463</v>
      </c>
      <c r="BU521" s="32">
        <v>321</v>
      </c>
      <c r="BV521" s="146">
        <v>498</v>
      </c>
      <c r="BW521" s="32">
        <v>287</v>
      </c>
    </row>
    <row r="522" spans="1:75" ht="13" x14ac:dyDescent="0.25">
      <c r="A522" s="186">
        <v>8718</v>
      </c>
      <c r="B522" s="187" t="s">
        <v>544</v>
      </c>
      <c r="C522" s="46">
        <v>1145</v>
      </c>
      <c r="D522" s="142">
        <v>818</v>
      </c>
      <c r="E522" s="145">
        <f t="shared" si="7"/>
        <v>0.71441048034934496</v>
      </c>
      <c r="F522" s="146">
        <v>491</v>
      </c>
      <c r="G522" s="32">
        <v>292</v>
      </c>
      <c r="H522" s="146"/>
      <c r="I522" s="32"/>
      <c r="J522" s="146"/>
      <c r="K522" s="32"/>
      <c r="L522" s="146"/>
      <c r="M522" s="32"/>
      <c r="N522" s="146"/>
      <c r="O522" s="32"/>
      <c r="P522" s="146"/>
      <c r="Q522" s="32"/>
      <c r="R522" s="146"/>
      <c r="S522" s="32"/>
      <c r="T522" s="146"/>
      <c r="U522" s="32"/>
      <c r="V522" s="146"/>
      <c r="W522" s="32"/>
      <c r="X522" s="146"/>
      <c r="Y522" s="32"/>
      <c r="Z522" s="146"/>
      <c r="AA522" s="32"/>
      <c r="AB522" s="146"/>
      <c r="AC522" s="32"/>
      <c r="AD522" s="146"/>
      <c r="AE522" s="32"/>
      <c r="AF522" s="146"/>
      <c r="AG522" s="32"/>
      <c r="AH522" s="146"/>
      <c r="AI522" s="32"/>
      <c r="AJ522" s="146"/>
      <c r="AK522" s="32"/>
      <c r="AL522" s="146"/>
      <c r="AM522" s="32"/>
      <c r="AN522" s="146"/>
      <c r="AO522" s="32"/>
      <c r="AP522" s="146"/>
      <c r="AQ522" s="32"/>
      <c r="AR522" s="146"/>
      <c r="AS522" s="32"/>
      <c r="AT522" s="146"/>
      <c r="AU522" s="32"/>
      <c r="AV522" s="146"/>
      <c r="AW522" s="32"/>
      <c r="AX522" s="146"/>
      <c r="AY522" s="32"/>
      <c r="AZ522" s="146">
        <v>412</v>
      </c>
      <c r="BA522" s="32">
        <v>367</v>
      </c>
      <c r="BB522" s="146"/>
      <c r="BC522" s="32"/>
      <c r="BD522" s="146"/>
      <c r="BE522" s="32"/>
      <c r="BF522" s="146"/>
      <c r="BG522" s="32"/>
      <c r="BH522" s="146"/>
      <c r="BI522" s="32"/>
      <c r="BJ522" s="146"/>
      <c r="BK522" s="32"/>
      <c r="BL522" s="146"/>
      <c r="BM522" s="32"/>
      <c r="BN522" s="146"/>
      <c r="BO522" s="32"/>
      <c r="BP522" s="146"/>
      <c r="BQ522" s="32"/>
      <c r="BR522" s="146"/>
      <c r="BS522" s="32"/>
      <c r="BT522" s="146">
        <v>495</v>
      </c>
      <c r="BU522" s="32">
        <v>282</v>
      </c>
      <c r="BV522" s="146">
        <v>510</v>
      </c>
      <c r="BW522" s="32">
        <v>270</v>
      </c>
    </row>
    <row r="523" spans="1:75" ht="13" x14ac:dyDescent="0.25">
      <c r="A523" s="186">
        <v>8719</v>
      </c>
      <c r="B523" s="187" t="s">
        <v>545</v>
      </c>
      <c r="C523" s="46">
        <v>1166</v>
      </c>
      <c r="D523" s="142">
        <v>931</v>
      </c>
      <c r="E523" s="145">
        <f t="shared" si="7"/>
        <v>0.79845626072041165</v>
      </c>
      <c r="F523" s="146">
        <v>529</v>
      </c>
      <c r="G523" s="32">
        <v>367</v>
      </c>
      <c r="H523" s="146"/>
      <c r="I523" s="32"/>
      <c r="J523" s="146"/>
      <c r="K523" s="32"/>
      <c r="L523" s="146"/>
      <c r="M523" s="32"/>
      <c r="N523" s="146"/>
      <c r="O523" s="32"/>
      <c r="P523" s="146"/>
      <c r="Q523" s="32"/>
      <c r="R523" s="146"/>
      <c r="S523" s="32"/>
      <c r="T523" s="146"/>
      <c r="U523" s="32"/>
      <c r="V523" s="146"/>
      <c r="W523" s="32"/>
      <c r="X523" s="146"/>
      <c r="Y523" s="32"/>
      <c r="Z523" s="146"/>
      <c r="AA523" s="32"/>
      <c r="AB523" s="146"/>
      <c r="AC523" s="32"/>
      <c r="AD523" s="146"/>
      <c r="AE523" s="32"/>
      <c r="AF523" s="146"/>
      <c r="AG523" s="32"/>
      <c r="AH523" s="146"/>
      <c r="AI523" s="32"/>
      <c r="AJ523" s="146"/>
      <c r="AK523" s="32"/>
      <c r="AL523" s="146"/>
      <c r="AM523" s="32"/>
      <c r="AN523" s="146"/>
      <c r="AO523" s="32"/>
      <c r="AP523" s="146"/>
      <c r="AQ523" s="32"/>
      <c r="AR523" s="146"/>
      <c r="AS523" s="32"/>
      <c r="AT523" s="146"/>
      <c r="AU523" s="32"/>
      <c r="AV523" s="146"/>
      <c r="AW523" s="32"/>
      <c r="AX523" s="146"/>
      <c r="AY523" s="32"/>
      <c r="AZ523" s="146">
        <v>508</v>
      </c>
      <c r="BA523" s="32">
        <v>384</v>
      </c>
      <c r="BB523" s="146"/>
      <c r="BC523" s="32"/>
      <c r="BD523" s="146"/>
      <c r="BE523" s="32"/>
      <c r="BF523" s="146"/>
      <c r="BG523" s="32"/>
      <c r="BH523" s="146"/>
      <c r="BI523" s="32"/>
      <c r="BJ523" s="146"/>
      <c r="BK523" s="32"/>
      <c r="BL523" s="146"/>
      <c r="BM523" s="32"/>
      <c r="BN523" s="146"/>
      <c r="BO523" s="32"/>
      <c r="BP523" s="146"/>
      <c r="BQ523" s="32"/>
      <c r="BR523" s="146"/>
      <c r="BS523" s="32"/>
      <c r="BT523" s="146">
        <v>584</v>
      </c>
      <c r="BU523" s="32">
        <v>313</v>
      </c>
      <c r="BV523" s="146">
        <v>596</v>
      </c>
      <c r="BW523" s="32">
        <v>300</v>
      </c>
    </row>
    <row r="524" spans="1:75" ht="13" x14ac:dyDescent="0.25">
      <c r="A524" s="186">
        <v>8720</v>
      </c>
      <c r="B524" s="187" t="s">
        <v>546</v>
      </c>
      <c r="C524" s="46">
        <v>1409</v>
      </c>
      <c r="D524" s="142">
        <v>992</v>
      </c>
      <c r="E524" s="145">
        <f t="shared" si="7"/>
        <v>0.70404542228530875</v>
      </c>
      <c r="F524" s="146">
        <v>581</v>
      </c>
      <c r="G524" s="32">
        <v>340</v>
      </c>
      <c r="H524" s="146"/>
      <c r="I524" s="32"/>
      <c r="J524" s="146"/>
      <c r="K524" s="32"/>
      <c r="L524" s="146"/>
      <c r="M524" s="32"/>
      <c r="N524" s="146"/>
      <c r="O524" s="32"/>
      <c r="P524" s="146"/>
      <c r="Q524" s="32"/>
      <c r="R524" s="146"/>
      <c r="S524" s="32"/>
      <c r="T524" s="146"/>
      <c r="U524" s="32"/>
      <c r="V524" s="146"/>
      <c r="W524" s="32"/>
      <c r="X524" s="146"/>
      <c r="Y524" s="32"/>
      <c r="Z524" s="146"/>
      <c r="AA524" s="32"/>
      <c r="AB524" s="146"/>
      <c r="AC524" s="32"/>
      <c r="AD524" s="146"/>
      <c r="AE524" s="32"/>
      <c r="AF524" s="146"/>
      <c r="AG524" s="32"/>
      <c r="AH524" s="146"/>
      <c r="AI524" s="32"/>
      <c r="AJ524" s="146"/>
      <c r="AK524" s="32"/>
      <c r="AL524" s="146"/>
      <c r="AM524" s="32"/>
      <c r="AN524" s="146"/>
      <c r="AO524" s="32"/>
      <c r="AP524" s="146"/>
      <c r="AQ524" s="32"/>
      <c r="AR524" s="146"/>
      <c r="AS524" s="32"/>
      <c r="AT524" s="146"/>
      <c r="AU524" s="32"/>
      <c r="AV524" s="146"/>
      <c r="AW524" s="32"/>
      <c r="AX524" s="146"/>
      <c r="AY524" s="32"/>
      <c r="AZ524" s="146">
        <v>473</v>
      </c>
      <c r="BA524" s="32">
        <v>463</v>
      </c>
      <c r="BB524" s="146"/>
      <c r="BC524" s="32"/>
      <c r="BD524" s="146"/>
      <c r="BE524" s="32"/>
      <c r="BF524" s="146"/>
      <c r="BG524" s="32"/>
      <c r="BH524" s="146"/>
      <c r="BI524" s="32"/>
      <c r="BJ524" s="146"/>
      <c r="BK524" s="32"/>
      <c r="BL524" s="146"/>
      <c r="BM524" s="32"/>
      <c r="BN524" s="146"/>
      <c r="BO524" s="32"/>
      <c r="BP524" s="146"/>
      <c r="BQ524" s="32"/>
      <c r="BR524" s="146"/>
      <c r="BS524" s="32"/>
      <c r="BT524" s="146">
        <v>574</v>
      </c>
      <c r="BU524" s="32">
        <v>361</v>
      </c>
      <c r="BV524" s="146">
        <v>607</v>
      </c>
      <c r="BW524" s="32">
        <v>334</v>
      </c>
    </row>
    <row r="525" spans="1:75" ht="13" x14ac:dyDescent="0.25">
      <c r="A525" s="186">
        <v>8721</v>
      </c>
      <c r="B525" s="187" t="s">
        <v>547</v>
      </c>
      <c r="C525" s="46">
        <v>1404</v>
      </c>
      <c r="D525" s="142">
        <v>1105</v>
      </c>
      <c r="E525" s="145">
        <f t="shared" si="7"/>
        <v>0.78703703703703709</v>
      </c>
      <c r="F525" s="146">
        <v>663</v>
      </c>
      <c r="G525" s="32">
        <v>395</v>
      </c>
      <c r="H525" s="146"/>
      <c r="I525" s="32"/>
      <c r="J525" s="146"/>
      <c r="K525" s="32"/>
      <c r="L525" s="146"/>
      <c r="M525" s="32"/>
      <c r="N525" s="146"/>
      <c r="O525" s="32"/>
      <c r="P525" s="146"/>
      <c r="Q525" s="32"/>
      <c r="R525" s="146"/>
      <c r="S525" s="32"/>
      <c r="T525" s="146"/>
      <c r="U525" s="32"/>
      <c r="V525" s="146"/>
      <c r="W525" s="32"/>
      <c r="X525" s="146"/>
      <c r="Y525" s="32"/>
      <c r="Z525" s="146"/>
      <c r="AA525" s="32"/>
      <c r="AB525" s="146"/>
      <c r="AC525" s="32"/>
      <c r="AD525" s="146"/>
      <c r="AE525" s="32"/>
      <c r="AF525" s="146"/>
      <c r="AG525" s="32"/>
      <c r="AH525" s="146"/>
      <c r="AI525" s="32"/>
      <c r="AJ525" s="146"/>
      <c r="AK525" s="32"/>
      <c r="AL525" s="146"/>
      <c r="AM525" s="32"/>
      <c r="AN525" s="146"/>
      <c r="AO525" s="32"/>
      <c r="AP525" s="146"/>
      <c r="AQ525" s="32"/>
      <c r="AR525" s="146"/>
      <c r="AS525" s="32"/>
      <c r="AT525" s="146"/>
      <c r="AU525" s="32"/>
      <c r="AV525" s="146"/>
      <c r="AW525" s="32"/>
      <c r="AX525" s="146"/>
      <c r="AY525" s="32"/>
      <c r="AZ525" s="146">
        <v>698</v>
      </c>
      <c r="BA525" s="32">
        <v>368</v>
      </c>
      <c r="BB525" s="146"/>
      <c r="BC525" s="32"/>
      <c r="BD525" s="146"/>
      <c r="BE525" s="32"/>
      <c r="BF525" s="146"/>
      <c r="BG525" s="32"/>
      <c r="BH525" s="146"/>
      <c r="BI525" s="32"/>
      <c r="BJ525" s="146"/>
      <c r="BK525" s="32"/>
      <c r="BL525" s="146"/>
      <c r="BM525" s="32"/>
      <c r="BN525" s="146"/>
      <c r="BO525" s="32"/>
      <c r="BP525" s="146"/>
      <c r="BQ525" s="32"/>
      <c r="BR525" s="146"/>
      <c r="BS525" s="32"/>
      <c r="BT525" s="146">
        <v>722</v>
      </c>
      <c r="BU525" s="32">
        <v>340</v>
      </c>
      <c r="BV525" s="146">
        <v>780</v>
      </c>
      <c r="BW525" s="32">
        <v>290</v>
      </c>
    </row>
    <row r="526" spans="1:75" ht="13" x14ac:dyDescent="0.25">
      <c r="A526" s="186">
        <v>8722</v>
      </c>
      <c r="B526" s="187" t="s">
        <v>548</v>
      </c>
      <c r="C526" s="46">
        <v>955</v>
      </c>
      <c r="D526" s="142">
        <v>797</v>
      </c>
      <c r="E526" s="145">
        <f t="shared" si="7"/>
        <v>0.83455497382198951</v>
      </c>
      <c r="F526" s="146">
        <v>395</v>
      </c>
      <c r="G526" s="32">
        <v>379</v>
      </c>
      <c r="H526" s="146"/>
      <c r="I526" s="32"/>
      <c r="J526" s="146"/>
      <c r="K526" s="32"/>
      <c r="L526" s="146"/>
      <c r="M526" s="32"/>
      <c r="N526" s="146"/>
      <c r="O526" s="32"/>
      <c r="P526" s="146"/>
      <c r="Q526" s="32"/>
      <c r="R526" s="146"/>
      <c r="S526" s="32"/>
      <c r="T526" s="146"/>
      <c r="U526" s="32"/>
      <c r="V526" s="146"/>
      <c r="W526" s="32"/>
      <c r="X526" s="146"/>
      <c r="Y526" s="32"/>
      <c r="Z526" s="146"/>
      <c r="AA526" s="32"/>
      <c r="AB526" s="146"/>
      <c r="AC526" s="32"/>
      <c r="AD526" s="146"/>
      <c r="AE526" s="32"/>
      <c r="AF526" s="146"/>
      <c r="AG526" s="32"/>
      <c r="AH526" s="146"/>
      <c r="AI526" s="32"/>
      <c r="AJ526" s="146"/>
      <c r="AK526" s="32"/>
      <c r="AL526" s="146"/>
      <c r="AM526" s="32"/>
      <c r="AN526" s="146"/>
      <c r="AO526" s="32"/>
      <c r="AP526" s="146"/>
      <c r="AQ526" s="32"/>
      <c r="AR526" s="146"/>
      <c r="AS526" s="32"/>
      <c r="AT526" s="146"/>
      <c r="AU526" s="32"/>
      <c r="AV526" s="146"/>
      <c r="AW526" s="32"/>
      <c r="AX526" s="146"/>
      <c r="AY526" s="32"/>
      <c r="AZ526" s="146">
        <v>432</v>
      </c>
      <c r="BA526" s="32">
        <v>342</v>
      </c>
      <c r="BB526" s="146"/>
      <c r="BC526" s="32"/>
      <c r="BD526" s="146"/>
      <c r="BE526" s="32"/>
      <c r="BF526" s="146"/>
      <c r="BG526" s="32"/>
      <c r="BH526" s="146"/>
      <c r="BI526" s="32"/>
      <c r="BJ526" s="146"/>
      <c r="BK526" s="32"/>
      <c r="BL526" s="146"/>
      <c r="BM526" s="32"/>
      <c r="BN526" s="146"/>
      <c r="BO526" s="32"/>
      <c r="BP526" s="146"/>
      <c r="BQ526" s="32"/>
      <c r="BR526" s="146"/>
      <c r="BS526" s="32"/>
      <c r="BT526" s="146">
        <v>481</v>
      </c>
      <c r="BU526" s="32">
        <v>290</v>
      </c>
      <c r="BV526" s="146">
        <v>489</v>
      </c>
      <c r="BW526" s="32">
        <v>291</v>
      </c>
    </row>
    <row r="527" spans="1:75" ht="13" x14ac:dyDescent="0.25">
      <c r="A527" s="186">
        <v>8723</v>
      </c>
      <c r="B527" s="187" t="s">
        <v>549</v>
      </c>
      <c r="C527" s="46">
        <v>1353</v>
      </c>
      <c r="D527" s="142">
        <v>986</v>
      </c>
      <c r="E527" s="145">
        <f t="shared" si="7"/>
        <v>0.7287509238728751</v>
      </c>
      <c r="F527" s="146">
        <v>551</v>
      </c>
      <c r="G527" s="32">
        <v>378</v>
      </c>
      <c r="H527" s="146"/>
      <c r="I527" s="32"/>
      <c r="J527" s="146"/>
      <c r="K527" s="32"/>
      <c r="L527" s="146"/>
      <c r="M527" s="32"/>
      <c r="N527" s="146"/>
      <c r="O527" s="32"/>
      <c r="P527" s="146"/>
      <c r="Q527" s="32"/>
      <c r="R527" s="146"/>
      <c r="S527" s="32"/>
      <c r="T527" s="146"/>
      <c r="U527" s="32"/>
      <c r="V527" s="146"/>
      <c r="W527" s="32"/>
      <c r="X527" s="146"/>
      <c r="Y527" s="32"/>
      <c r="Z527" s="146"/>
      <c r="AA527" s="32"/>
      <c r="AB527" s="146"/>
      <c r="AC527" s="32"/>
      <c r="AD527" s="146"/>
      <c r="AE527" s="32"/>
      <c r="AF527" s="146"/>
      <c r="AG527" s="32"/>
      <c r="AH527" s="146"/>
      <c r="AI527" s="32"/>
      <c r="AJ527" s="146"/>
      <c r="AK527" s="32"/>
      <c r="AL527" s="146"/>
      <c r="AM527" s="32"/>
      <c r="AN527" s="146"/>
      <c r="AO527" s="32"/>
      <c r="AP527" s="146"/>
      <c r="AQ527" s="32"/>
      <c r="AR527" s="146"/>
      <c r="AS527" s="32"/>
      <c r="AT527" s="146"/>
      <c r="AU527" s="32"/>
      <c r="AV527" s="146"/>
      <c r="AW527" s="32"/>
      <c r="AX527" s="146"/>
      <c r="AY527" s="32"/>
      <c r="AZ527" s="146">
        <v>550</v>
      </c>
      <c r="BA527" s="32">
        <v>382</v>
      </c>
      <c r="BB527" s="146"/>
      <c r="BC527" s="32"/>
      <c r="BD527" s="146"/>
      <c r="BE527" s="32"/>
      <c r="BF527" s="146"/>
      <c r="BG527" s="32"/>
      <c r="BH527" s="146"/>
      <c r="BI527" s="32"/>
      <c r="BJ527" s="146"/>
      <c r="BK527" s="32"/>
      <c r="BL527" s="146"/>
      <c r="BM527" s="32"/>
      <c r="BN527" s="146"/>
      <c r="BO527" s="32"/>
      <c r="BP527" s="146"/>
      <c r="BQ527" s="32"/>
      <c r="BR527" s="146"/>
      <c r="BS527" s="32"/>
      <c r="BT527" s="146">
        <v>610</v>
      </c>
      <c r="BU527" s="32">
        <v>317</v>
      </c>
      <c r="BV527" s="146">
        <v>641</v>
      </c>
      <c r="BW527" s="32">
        <v>295</v>
      </c>
    </row>
    <row r="528" spans="1:75" ht="13" x14ac:dyDescent="0.25">
      <c r="A528" s="186">
        <v>8724</v>
      </c>
      <c r="B528" s="187" t="s">
        <v>550</v>
      </c>
      <c r="C528" s="46">
        <v>698</v>
      </c>
      <c r="D528" s="142">
        <v>524</v>
      </c>
      <c r="E528" s="145">
        <f t="shared" si="7"/>
        <v>0.75071633237822355</v>
      </c>
      <c r="F528" s="146">
        <v>332</v>
      </c>
      <c r="G528" s="32">
        <v>169</v>
      </c>
      <c r="H528" s="146"/>
      <c r="I528" s="32"/>
      <c r="J528" s="146"/>
      <c r="K528" s="32"/>
      <c r="L528" s="146"/>
      <c r="M528" s="32"/>
      <c r="N528" s="146"/>
      <c r="O528" s="32"/>
      <c r="P528" s="146"/>
      <c r="Q528" s="32"/>
      <c r="R528" s="146"/>
      <c r="S528" s="32"/>
      <c r="T528" s="146"/>
      <c r="U528" s="32"/>
      <c r="V528" s="146"/>
      <c r="W528" s="32"/>
      <c r="X528" s="146"/>
      <c r="Y528" s="32"/>
      <c r="Z528" s="146"/>
      <c r="AA528" s="32"/>
      <c r="AB528" s="146"/>
      <c r="AC528" s="32"/>
      <c r="AD528" s="146"/>
      <c r="AE528" s="32"/>
      <c r="AF528" s="146"/>
      <c r="AG528" s="32"/>
      <c r="AH528" s="146"/>
      <c r="AI528" s="32"/>
      <c r="AJ528" s="146"/>
      <c r="AK528" s="32"/>
      <c r="AL528" s="146"/>
      <c r="AM528" s="32"/>
      <c r="AN528" s="146"/>
      <c r="AO528" s="32"/>
      <c r="AP528" s="146"/>
      <c r="AQ528" s="32"/>
      <c r="AR528" s="146"/>
      <c r="AS528" s="32"/>
      <c r="AT528" s="146"/>
      <c r="AU528" s="32"/>
      <c r="AV528" s="146"/>
      <c r="AW528" s="32"/>
      <c r="AX528" s="146"/>
      <c r="AY528" s="32"/>
      <c r="AZ528" s="146">
        <v>287</v>
      </c>
      <c r="BA528" s="32">
        <v>213</v>
      </c>
      <c r="BB528" s="146"/>
      <c r="BC528" s="32"/>
      <c r="BD528" s="146"/>
      <c r="BE528" s="32"/>
      <c r="BF528" s="146"/>
      <c r="BG528" s="32"/>
      <c r="BH528" s="146"/>
      <c r="BI528" s="32"/>
      <c r="BJ528" s="146"/>
      <c r="BK528" s="32"/>
      <c r="BL528" s="146">
        <v>166</v>
      </c>
      <c r="BM528" s="32">
        <v>105</v>
      </c>
      <c r="BN528" s="146"/>
      <c r="BO528" s="32"/>
      <c r="BP528" s="146"/>
      <c r="BQ528" s="32"/>
      <c r="BR528" s="146"/>
      <c r="BS528" s="32"/>
      <c r="BT528" s="146">
        <v>339</v>
      </c>
      <c r="BU528" s="32">
        <v>164</v>
      </c>
      <c r="BV528" s="146">
        <v>332</v>
      </c>
      <c r="BW528" s="32">
        <v>169</v>
      </c>
    </row>
    <row r="529" spans="1:75" ht="13" x14ac:dyDescent="0.25">
      <c r="A529" s="186">
        <v>8725</v>
      </c>
      <c r="B529" s="187" t="s">
        <v>551</v>
      </c>
      <c r="C529" s="46">
        <v>954</v>
      </c>
      <c r="D529" s="142">
        <v>626</v>
      </c>
      <c r="E529" s="145">
        <f t="shared" si="7"/>
        <v>0.65618448637316562</v>
      </c>
      <c r="F529" s="146">
        <v>417</v>
      </c>
      <c r="G529" s="32">
        <v>168</v>
      </c>
      <c r="H529" s="146"/>
      <c r="I529" s="32"/>
      <c r="J529" s="146"/>
      <c r="K529" s="32"/>
      <c r="L529" s="146"/>
      <c r="M529" s="32"/>
      <c r="N529" s="146"/>
      <c r="O529" s="32"/>
      <c r="P529" s="146"/>
      <c r="Q529" s="32"/>
      <c r="R529" s="146"/>
      <c r="S529" s="32"/>
      <c r="T529" s="146"/>
      <c r="U529" s="32"/>
      <c r="V529" s="146"/>
      <c r="W529" s="32"/>
      <c r="X529" s="146"/>
      <c r="Y529" s="32"/>
      <c r="Z529" s="146"/>
      <c r="AA529" s="32"/>
      <c r="AB529" s="146"/>
      <c r="AC529" s="32"/>
      <c r="AD529" s="146"/>
      <c r="AE529" s="32"/>
      <c r="AF529" s="146"/>
      <c r="AG529" s="32"/>
      <c r="AH529" s="146"/>
      <c r="AI529" s="32"/>
      <c r="AJ529" s="146"/>
      <c r="AK529" s="32"/>
      <c r="AL529" s="146"/>
      <c r="AM529" s="32"/>
      <c r="AN529" s="146"/>
      <c r="AO529" s="32"/>
      <c r="AP529" s="146"/>
      <c r="AQ529" s="32"/>
      <c r="AR529" s="146"/>
      <c r="AS529" s="32"/>
      <c r="AT529" s="146"/>
      <c r="AU529" s="32"/>
      <c r="AV529" s="146"/>
      <c r="AW529" s="32"/>
      <c r="AX529" s="146"/>
      <c r="AY529" s="32"/>
      <c r="AZ529" s="146">
        <v>310</v>
      </c>
      <c r="BA529" s="32">
        <v>289</v>
      </c>
      <c r="BB529" s="146"/>
      <c r="BC529" s="32"/>
      <c r="BD529" s="146"/>
      <c r="BE529" s="32"/>
      <c r="BF529" s="146"/>
      <c r="BG529" s="32"/>
      <c r="BH529" s="146"/>
      <c r="BI529" s="32"/>
      <c r="BJ529" s="146">
        <v>278</v>
      </c>
      <c r="BK529" s="32">
        <v>306</v>
      </c>
      <c r="BL529" s="146"/>
      <c r="BM529" s="32"/>
      <c r="BN529" s="146"/>
      <c r="BO529" s="32"/>
      <c r="BP529" s="146"/>
      <c r="BQ529" s="32"/>
      <c r="BR529" s="146"/>
      <c r="BS529" s="32"/>
      <c r="BT529" s="146">
        <v>358</v>
      </c>
      <c r="BU529" s="32">
        <v>246</v>
      </c>
      <c r="BV529" s="146">
        <v>393</v>
      </c>
      <c r="BW529" s="32">
        <v>212</v>
      </c>
    </row>
    <row r="530" spans="1:75" ht="13" x14ac:dyDescent="0.25">
      <c r="A530" s="186">
        <v>8726</v>
      </c>
      <c r="B530" s="187" t="s">
        <v>552</v>
      </c>
      <c r="C530" s="46">
        <v>682</v>
      </c>
      <c r="D530" s="142">
        <v>509</v>
      </c>
      <c r="E530" s="145">
        <f t="shared" si="7"/>
        <v>0.74633431085043989</v>
      </c>
      <c r="F530" s="146">
        <v>307</v>
      </c>
      <c r="G530" s="32">
        <v>172</v>
      </c>
      <c r="H530" s="146"/>
      <c r="I530" s="32"/>
      <c r="J530" s="146"/>
      <c r="K530" s="32"/>
      <c r="L530" s="146"/>
      <c r="M530" s="32"/>
      <c r="N530" s="146"/>
      <c r="O530" s="32"/>
      <c r="P530" s="146"/>
      <c r="Q530" s="32"/>
      <c r="R530" s="146"/>
      <c r="S530" s="32"/>
      <c r="T530" s="146"/>
      <c r="U530" s="32"/>
      <c r="V530" s="146"/>
      <c r="W530" s="32"/>
      <c r="X530" s="146"/>
      <c r="Y530" s="32"/>
      <c r="Z530" s="146"/>
      <c r="AA530" s="32"/>
      <c r="AB530" s="146"/>
      <c r="AC530" s="32"/>
      <c r="AD530" s="146"/>
      <c r="AE530" s="32"/>
      <c r="AF530" s="146"/>
      <c r="AG530" s="32"/>
      <c r="AH530" s="146"/>
      <c r="AI530" s="32"/>
      <c r="AJ530" s="146"/>
      <c r="AK530" s="32"/>
      <c r="AL530" s="146"/>
      <c r="AM530" s="32"/>
      <c r="AN530" s="146"/>
      <c r="AO530" s="32"/>
      <c r="AP530" s="146"/>
      <c r="AQ530" s="32"/>
      <c r="AR530" s="146"/>
      <c r="AS530" s="32"/>
      <c r="AT530" s="146"/>
      <c r="AU530" s="32"/>
      <c r="AV530" s="146"/>
      <c r="AW530" s="32"/>
      <c r="AX530" s="146"/>
      <c r="AY530" s="32"/>
      <c r="AZ530" s="146">
        <v>297</v>
      </c>
      <c r="BA530" s="32">
        <v>183</v>
      </c>
      <c r="BB530" s="146"/>
      <c r="BC530" s="32"/>
      <c r="BD530" s="146"/>
      <c r="BE530" s="32"/>
      <c r="BF530" s="146"/>
      <c r="BG530" s="32"/>
      <c r="BH530" s="146"/>
      <c r="BI530" s="32"/>
      <c r="BJ530" s="146">
        <v>0</v>
      </c>
      <c r="BK530" s="32">
        <v>2</v>
      </c>
      <c r="BL530" s="146"/>
      <c r="BM530" s="32"/>
      <c r="BN530" s="146"/>
      <c r="BO530" s="32"/>
      <c r="BP530" s="146"/>
      <c r="BQ530" s="32"/>
      <c r="BR530" s="146"/>
      <c r="BS530" s="32"/>
      <c r="BT530" s="146">
        <v>346</v>
      </c>
      <c r="BU530" s="32">
        <v>139</v>
      </c>
      <c r="BV530" s="146">
        <v>370</v>
      </c>
      <c r="BW530" s="32">
        <v>118</v>
      </c>
    </row>
    <row r="531" spans="1:75" ht="13" x14ac:dyDescent="0.25">
      <c r="A531" s="186">
        <v>8727</v>
      </c>
      <c r="B531" s="187" t="s">
        <v>553</v>
      </c>
      <c r="C531" s="46">
        <v>1118</v>
      </c>
      <c r="D531" s="142">
        <v>792</v>
      </c>
      <c r="E531" s="145">
        <f t="shared" si="7"/>
        <v>0.70840787119856885</v>
      </c>
      <c r="F531" s="146">
        <v>464</v>
      </c>
      <c r="G531" s="32">
        <v>284</v>
      </c>
      <c r="H531" s="146"/>
      <c r="I531" s="32"/>
      <c r="J531" s="146"/>
      <c r="K531" s="32"/>
      <c r="L531" s="146"/>
      <c r="M531" s="32"/>
      <c r="N531" s="146"/>
      <c r="O531" s="32"/>
      <c r="P531" s="146"/>
      <c r="Q531" s="32"/>
      <c r="R531" s="146"/>
      <c r="S531" s="32"/>
      <c r="T531" s="146"/>
      <c r="U531" s="32"/>
      <c r="V531" s="146"/>
      <c r="W531" s="32"/>
      <c r="X531" s="146"/>
      <c r="Y531" s="32"/>
      <c r="Z531" s="146"/>
      <c r="AA531" s="32"/>
      <c r="AB531" s="146"/>
      <c r="AC531" s="32"/>
      <c r="AD531" s="146"/>
      <c r="AE531" s="32"/>
      <c r="AF531" s="146"/>
      <c r="AG531" s="32"/>
      <c r="AH531" s="146"/>
      <c r="AI531" s="32"/>
      <c r="AJ531" s="146"/>
      <c r="AK531" s="32"/>
      <c r="AL531" s="146"/>
      <c r="AM531" s="32"/>
      <c r="AN531" s="146"/>
      <c r="AO531" s="32"/>
      <c r="AP531" s="146"/>
      <c r="AQ531" s="32"/>
      <c r="AR531" s="146"/>
      <c r="AS531" s="32"/>
      <c r="AT531" s="146"/>
      <c r="AU531" s="32"/>
      <c r="AV531" s="146"/>
      <c r="AW531" s="32"/>
      <c r="AX531" s="146"/>
      <c r="AY531" s="32"/>
      <c r="AZ531" s="146">
        <v>390</v>
      </c>
      <c r="BA531" s="32">
        <v>356</v>
      </c>
      <c r="BB531" s="146"/>
      <c r="BC531" s="32"/>
      <c r="BD531" s="146"/>
      <c r="BE531" s="32"/>
      <c r="BF531" s="146"/>
      <c r="BG531" s="32"/>
      <c r="BH531" s="146"/>
      <c r="BI531" s="32"/>
      <c r="BJ531" s="146"/>
      <c r="BK531" s="32"/>
      <c r="BL531" s="146"/>
      <c r="BM531" s="32"/>
      <c r="BN531" s="146"/>
      <c r="BO531" s="32"/>
      <c r="BP531" s="146"/>
      <c r="BQ531" s="32"/>
      <c r="BR531" s="146"/>
      <c r="BS531" s="32"/>
      <c r="BT531" s="146">
        <v>485</v>
      </c>
      <c r="BU531" s="32">
        <v>267</v>
      </c>
      <c r="BV531" s="146">
        <v>492</v>
      </c>
      <c r="BW531" s="32">
        <v>261</v>
      </c>
    </row>
    <row r="532" spans="1:75" ht="13" x14ac:dyDescent="0.25">
      <c r="A532" s="186">
        <v>8728</v>
      </c>
      <c r="B532" s="187" t="s">
        <v>554</v>
      </c>
      <c r="C532" s="46">
        <v>643</v>
      </c>
      <c r="D532" s="142">
        <v>527</v>
      </c>
      <c r="E532" s="145">
        <f t="shared" si="7"/>
        <v>0.81959564541213059</v>
      </c>
      <c r="F532" s="146">
        <v>238</v>
      </c>
      <c r="G532" s="32">
        <v>274</v>
      </c>
      <c r="H532" s="146"/>
      <c r="I532" s="32"/>
      <c r="J532" s="146"/>
      <c r="K532" s="32"/>
      <c r="L532" s="146"/>
      <c r="M532" s="32"/>
      <c r="N532" s="146"/>
      <c r="O532" s="32"/>
      <c r="P532" s="146"/>
      <c r="Q532" s="32"/>
      <c r="R532" s="146"/>
      <c r="S532" s="32"/>
      <c r="T532" s="146"/>
      <c r="U532" s="32"/>
      <c r="V532" s="146"/>
      <c r="W532" s="32"/>
      <c r="X532" s="146"/>
      <c r="Y532" s="32"/>
      <c r="Z532" s="146"/>
      <c r="AA532" s="32"/>
      <c r="AB532" s="146"/>
      <c r="AC532" s="32"/>
      <c r="AD532" s="146"/>
      <c r="AE532" s="32"/>
      <c r="AF532" s="146"/>
      <c r="AG532" s="32"/>
      <c r="AH532" s="146"/>
      <c r="AI532" s="32"/>
      <c r="AJ532" s="146"/>
      <c r="AK532" s="32"/>
      <c r="AL532" s="146"/>
      <c r="AM532" s="32"/>
      <c r="AN532" s="146"/>
      <c r="AO532" s="32"/>
      <c r="AP532" s="146"/>
      <c r="AQ532" s="32"/>
      <c r="AR532" s="146"/>
      <c r="AS532" s="32"/>
      <c r="AT532" s="146"/>
      <c r="AU532" s="32"/>
      <c r="AV532" s="146"/>
      <c r="AW532" s="32"/>
      <c r="AX532" s="146"/>
      <c r="AY532" s="32"/>
      <c r="AZ532" s="146">
        <v>266</v>
      </c>
      <c r="BA532" s="32">
        <v>243</v>
      </c>
      <c r="BB532" s="146"/>
      <c r="BC532" s="32"/>
      <c r="BD532" s="146"/>
      <c r="BE532" s="32"/>
      <c r="BF532" s="146"/>
      <c r="BG532" s="32"/>
      <c r="BH532" s="146"/>
      <c r="BI532" s="32"/>
      <c r="BJ532" s="146"/>
      <c r="BK532" s="32"/>
      <c r="BL532" s="146"/>
      <c r="BM532" s="32"/>
      <c r="BN532" s="146"/>
      <c r="BO532" s="32"/>
      <c r="BP532" s="146"/>
      <c r="BQ532" s="32"/>
      <c r="BR532" s="146"/>
      <c r="BS532" s="32"/>
      <c r="BT532" s="146">
        <v>282</v>
      </c>
      <c r="BU532" s="32">
        <v>230</v>
      </c>
      <c r="BV532" s="146">
        <v>284</v>
      </c>
      <c r="BW532" s="32">
        <v>228</v>
      </c>
    </row>
    <row r="533" spans="1:75" ht="13" x14ac:dyDescent="0.25">
      <c r="A533" s="186">
        <v>8901</v>
      </c>
      <c r="B533" s="187" t="s">
        <v>555</v>
      </c>
      <c r="C533" s="46">
        <v>122</v>
      </c>
      <c r="D533" s="142">
        <v>85</v>
      </c>
      <c r="E533" s="145">
        <f t="shared" si="7"/>
        <v>0.69672131147540983</v>
      </c>
      <c r="F533" s="146">
        <v>58</v>
      </c>
      <c r="G533" s="32">
        <v>21</v>
      </c>
      <c r="H533" s="146"/>
      <c r="I533" s="32"/>
      <c r="J533" s="146"/>
      <c r="K533" s="32"/>
      <c r="L533" s="146"/>
      <c r="M533" s="32"/>
      <c r="N533" s="146"/>
      <c r="O533" s="32"/>
      <c r="P533" s="146"/>
      <c r="Q533" s="32"/>
      <c r="R533" s="146"/>
      <c r="S533" s="32"/>
      <c r="T533" s="146"/>
      <c r="U533" s="32"/>
      <c r="V533" s="146"/>
      <c r="W533" s="32"/>
      <c r="X533" s="146"/>
      <c r="Y533" s="32"/>
      <c r="Z533" s="146"/>
      <c r="AA533" s="32"/>
      <c r="AB533" s="146"/>
      <c r="AC533" s="32"/>
      <c r="AD533" s="146"/>
      <c r="AE533" s="32"/>
      <c r="AF533" s="146"/>
      <c r="AG533" s="32"/>
      <c r="AH533" s="146"/>
      <c r="AI533" s="32"/>
      <c r="AJ533" s="146"/>
      <c r="AK533" s="32"/>
      <c r="AL533" s="146"/>
      <c r="AM533" s="32"/>
      <c r="AN533" s="146"/>
      <c r="AO533" s="32"/>
      <c r="AP533" s="146"/>
      <c r="AQ533" s="32"/>
      <c r="AR533" s="146"/>
      <c r="AS533" s="32"/>
      <c r="AT533" s="146"/>
      <c r="AU533" s="32"/>
      <c r="AV533" s="146"/>
      <c r="AW533" s="32"/>
      <c r="AX533" s="146"/>
      <c r="AY533" s="32"/>
      <c r="AZ533" s="146"/>
      <c r="BA533" s="32"/>
      <c r="BB533" s="146"/>
      <c r="BC533" s="32"/>
      <c r="BD533" s="146"/>
      <c r="BE533" s="32"/>
      <c r="BF533" s="146"/>
      <c r="BG533" s="32"/>
      <c r="BH533" s="146"/>
      <c r="BI533" s="32"/>
      <c r="BJ533" s="146"/>
      <c r="BK533" s="32"/>
      <c r="BL533" s="146"/>
      <c r="BM533" s="32"/>
      <c r="BN533" s="146"/>
      <c r="BO533" s="32"/>
      <c r="BP533" s="146"/>
      <c r="BQ533" s="32"/>
      <c r="BR533" s="146"/>
      <c r="BS533" s="32"/>
      <c r="BT533" s="146">
        <v>68</v>
      </c>
      <c r="BU533" s="32">
        <v>15</v>
      </c>
      <c r="BV533" s="146">
        <v>68</v>
      </c>
      <c r="BW533" s="32">
        <v>15</v>
      </c>
    </row>
    <row r="534" spans="1:75" ht="13" x14ac:dyDescent="0.25">
      <c r="A534" s="186">
        <v>8902</v>
      </c>
      <c r="B534" s="187" t="s">
        <v>556</v>
      </c>
      <c r="C534" s="46">
        <v>1253</v>
      </c>
      <c r="D534" s="142">
        <v>890</v>
      </c>
      <c r="E534" s="145">
        <f t="shared" si="7"/>
        <v>0.71029529130087787</v>
      </c>
      <c r="F534" s="146">
        <v>375</v>
      </c>
      <c r="G534" s="32">
        <v>470</v>
      </c>
      <c r="H534" s="146"/>
      <c r="I534" s="32"/>
      <c r="J534" s="146"/>
      <c r="K534" s="32"/>
      <c r="L534" s="146"/>
      <c r="M534" s="32"/>
      <c r="N534" s="146"/>
      <c r="O534" s="32"/>
      <c r="P534" s="146"/>
      <c r="Q534" s="32"/>
      <c r="R534" s="146"/>
      <c r="S534" s="32"/>
      <c r="T534" s="146"/>
      <c r="U534" s="32"/>
      <c r="V534" s="146"/>
      <c r="W534" s="32"/>
      <c r="X534" s="146"/>
      <c r="Y534" s="32"/>
      <c r="Z534" s="146"/>
      <c r="AA534" s="32"/>
      <c r="AB534" s="146"/>
      <c r="AC534" s="32"/>
      <c r="AD534" s="146"/>
      <c r="AE534" s="32"/>
      <c r="AF534" s="146"/>
      <c r="AG534" s="32"/>
      <c r="AH534" s="146"/>
      <c r="AI534" s="32"/>
      <c r="AJ534" s="146"/>
      <c r="AK534" s="32"/>
      <c r="AL534" s="146"/>
      <c r="AM534" s="32"/>
      <c r="AN534" s="146"/>
      <c r="AO534" s="32"/>
      <c r="AP534" s="146"/>
      <c r="AQ534" s="32"/>
      <c r="AR534" s="146"/>
      <c r="AS534" s="32"/>
      <c r="AT534" s="146"/>
      <c r="AU534" s="32"/>
      <c r="AV534" s="146"/>
      <c r="AW534" s="32"/>
      <c r="AX534" s="146"/>
      <c r="AY534" s="32"/>
      <c r="AZ534" s="146"/>
      <c r="BA534" s="32"/>
      <c r="BB534" s="146"/>
      <c r="BC534" s="32"/>
      <c r="BD534" s="146"/>
      <c r="BE534" s="32"/>
      <c r="BF534" s="146"/>
      <c r="BG534" s="32"/>
      <c r="BH534" s="146"/>
      <c r="BI534" s="32"/>
      <c r="BJ534" s="146"/>
      <c r="BK534" s="32"/>
      <c r="BL534" s="146">
        <v>318</v>
      </c>
      <c r="BM534" s="32">
        <v>525</v>
      </c>
      <c r="BN534" s="146"/>
      <c r="BO534" s="32"/>
      <c r="BP534" s="146"/>
      <c r="BQ534" s="32"/>
      <c r="BR534" s="146"/>
      <c r="BS534" s="32"/>
      <c r="BT534" s="146">
        <v>444</v>
      </c>
      <c r="BU534" s="32">
        <v>395</v>
      </c>
      <c r="BV534" s="146">
        <v>458</v>
      </c>
      <c r="BW534" s="32">
        <v>387</v>
      </c>
    </row>
    <row r="535" spans="1:75" ht="13" x14ac:dyDescent="0.25">
      <c r="A535" s="186">
        <v>8903</v>
      </c>
      <c r="B535" s="187" t="s">
        <v>557</v>
      </c>
      <c r="C535" s="46">
        <v>1416</v>
      </c>
      <c r="D535" s="142">
        <v>997</v>
      </c>
      <c r="E535" s="145">
        <f t="shared" si="7"/>
        <v>0.70409604519774016</v>
      </c>
      <c r="F535" s="146">
        <v>444</v>
      </c>
      <c r="G535" s="32">
        <v>491</v>
      </c>
      <c r="H535" s="146"/>
      <c r="I535" s="32"/>
      <c r="J535" s="146"/>
      <c r="K535" s="32"/>
      <c r="L535" s="146"/>
      <c r="M535" s="32"/>
      <c r="N535" s="146"/>
      <c r="O535" s="32"/>
      <c r="P535" s="146"/>
      <c r="Q535" s="32"/>
      <c r="R535" s="146"/>
      <c r="S535" s="32"/>
      <c r="T535" s="146"/>
      <c r="U535" s="32"/>
      <c r="V535" s="146"/>
      <c r="W535" s="32"/>
      <c r="X535" s="146"/>
      <c r="Y535" s="32"/>
      <c r="Z535" s="146"/>
      <c r="AA535" s="32"/>
      <c r="AB535" s="146"/>
      <c r="AC535" s="32"/>
      <c r="AD535" s="146"/>
      <c r="AE535" s="32"/>
      <c r="AF535" s="146"/>
      <c r="AG535" s="32"/>
      <c r="AH535" s="146"/>
      <c r="AI535" s="32"/>
      <c r="AJ535" s="146"/>
      <c r="AK535" s="32"/>
      <c r="AL535" s="146"/>
      <c r="AM535" s="32"/>
      <c r="AN535" s="146"/>
      <c r="AO535" s="32"/>
      <c r="AP535" s="146"/>
      <c r="AQ535" s="32"/>
      <c r="AR535" s="146"/>
      <c r="AS535" s="32"/>
      <c r="AT535" s="146"/>
      <c r="AU535" s="32"/>
      <c r="AV535" s="146"/>
      <c r="AW535" s="32"/>
      <c r="AX535" s="146"/>
      <c r="AY535" s="32"/>
      <c r="AZ535" s="146"/>
      <c r="BA535" s="32"/>
      <c r="BB535" s="146"/>
      <c r="BC535" s="32"/>
      <c r="BD535" s="146"/>
      <c r="BE535" s="32"/>
      <c r="BF535" s="146"/>
      <c r="BG535" s="32"/>
      <c r="BH535" s="146"/>
      <c r="BI535" s="32"/>
      <c r="BJ535" s="146"/>
      <c r="BK535" s="32"/>
      <c r="BL535" s="146"/>
      <c r="BM535" s="32"/>
      <c r="BN535" s="146"/>
      <c r="BO535" s="32"/>
      <c r="BP535" s="146"/>
      <c r="BQ535" s="32"/>
      <c r="BR535" s="146"/>
      <c r="BS535" s="32"/>
      <c r="BT535" s="146">
        <v>556</v>
      </c>
      <c r="BU535" s="32">
        <v>379</v>
      </c>
      <c r="BV535" s="146">
        <v>597</v>
      </c>
      <c r="BW535" s="32">
        <v>341</v>
      </c>
    </row>
    <row r="536" spans="1:75" ht="13" x14ac:dyDescent="0.25">
      <c r="A536" s="186">
        <v>8904</v>
      </c>
      <c r="B536" s="187" t="s">
        <v>558</v>
      </c>
      <c r="C536" s="46">
        <v>739</v>
      </c>
      <c r="D536" s="142">
        <v>601</v>
      </c>
      <c r="E536" s="145">
        <f t="shared" si="7"/>
        <v>0.81326116373477675</v>
      </c>
      <c r="F536" s="146">
        <v>284</v>
      </c>
      <c r="G536" s="32">
        <v>295</v>
      </c>
      <c r="H536" s="146"/>
      <c r="I536" s="32"/>
      <c r="J536" s="146"/>
      <c r="K536" s="32"/>
      <c r="L536" s="146"/>
      <c r="M536" s="32"/>
      <c r="N536" s="146"/>
      <c r="O536" s="32"/>
      <c r="P536" s="146"/>
      <c r="Q536" s="32"/>
      <c r="R536" s="146"/>
      <c r="S536" s="32"/>
      <c r="T536" s="146"/>
      <c r="U536" s="32"/>
      <c r="V536" s="146"/>
      <c r="W536" s="32"/>
      <c r="X536" s="146"/>
      <c r="Y536" s="32"/>
      <c r="Z536" s="146"/>
      <c r="AA536" s="32"/>
      <c r="AB536" s="146"/>
      <c r="AC536" s="32"/>
      <c r="AD536" s="146"/>
      <c r="AE536" s="32"/>
      <c r="AF536" s="146"/>
      <c r="AG536" s="32"/>
      <c r="AH536" s="146"/>
      <c r="AI536" s="32"/>
      <c r="AJ536" s="146"/>
      <c r="AK536" s="32"/>
      <c r="AL536" s="146"/>
      <c r="AM536" s="32"/>
      <c r="AN536" s="146"/>
      <c r="AO536" s="32"/>
      <c r="AP536" s="146"/>
      <c r="AQ536" s="32"/>
      <c r="AR536" s="146"/>
      <c r="AS536" s="32"/>
      <c r="AT536" s="146"/>
      <c r="AU536" s="32"/>
      <c r="AV536" s="146"/>
      <c r="AW536" s="32"/>
      <c r="AX536" s="146"/>
      <c r="AY536" s="32"/>
      <c r="AZ536" s="146"/>
      <c r="BA536" s="32"/>
      <c r="BB536" s="146"/>
      <c r="BC536" s="32"/>
      <c r="BD536" s="146"/>
      <c r="BE536" s="32"/>
      <c r="BF536" s="146"/>
      <c r="BG536" s="32"/>
      <c r="BH536" s="146"/>
      <c r="BI536" s="32"/>
      <c r="BJ536" s="146"/>
      <c r="BK536" s="32"/>
      <c r="BL536" s="146">
        <v>119</v>
      </c>
      <c r="BM536" s="32">
        <v>163</v>
      </c>
      <c r="BN536" s="146"/>
      <c r="BO536" s="32"/>
      <c r="BP536" s="146"/>
      <c r="BQ536" s="32"/>
      <c r="BR536" s="146"/>
      <c r="BS536" s="32"/>
      <c r="BT536" s="146">
        <v>388</v>
      </c>
      <c r="BU536" s="32">
        <v>190</v>
      </c>
      <c r="BV536" s="146">
        <v>397</v>
      </c>
      <c r="BW536" s="32">
        <v>179</v>
      </c>
    </row>
    <row r="537" spans="1:75" ht="13" x14ac:dyDescent="0.25">
      <c r="A537" s="186">
        <v>8905</v>
      </c>
      <c r="B537" s="187" t="s">
        <v>559</v>
      </c>
      <c r="C537" s="46">
        <v>1359</v>
      </c>
      <c r="D537" s="142">
        <v>1100</v>
      </c>
      <c r="E537" s="145">
        <f t="shared" ref="E537:E565" si="8">SUM(D537/C537)</f>
        <v>0.80941869021339219</v>
      </c>
      <c r="F537" s="146">
        <v>527</v>
      </c>
      <c r="G537" s="32">
        <v>529</v>
      </c>
      <c r="H537" s="146"/>
      <c r="I537" s="32"/>
      <c r="J537" s="146"/>
      <c r="K537" s="32"/>
      <c r="L537" s="146"/>
      <c r="M537" s="32"/>
      <c r="N537" s="146"/>
      <c r="O537" s="32"/>
      <c r="P537" s="146"/>
      <c r="Q537" s="32"/>
      <c r="R537" s="146"/>
      <c r="S537" s="32"/>
      <c r="T537" s="146"/>
      <c r="U537" s="32"/>
      <c r="V537" s="146"/>
      <c r="W537" s="32"/>
      <c r="X537" s="146"/>
      <c r="Y537" s="32"/>
      <c r="Z537" s="146"/>
      <c r="AA537" s="32"/>
      <c r="AB537" s="146"/>
      <c r="AC537" s="32"/>
      <c r="AD537" s="146"/>
      <c r="AE537" s="32"/>
      <c r="AF537" s="146"/>
      <c r="AG537" s="32"/>
      <c r="AH537" s="146"/>
      <c r="AI537" s="32"/>
      <c r="AJ537" s="146"/>
      <c r="AK537" s="32"/>
      <c r="AL537" s="146"/>
      <c r="AM537" s="32"/>
      <c r="AN537" s="146"/>
      <c r="AO537" s="32"/>
      <c r="AP537" s="146"/>
      <c r="AQ537" s="32"/>
      <c r="AR537" s="146"/>
      <c r="AS537" s="32"/>
      <c r="AT537" s="146"/>
      <c r="AU537" s="32"/>
      <c r="AV537" s="146"/>
      <c r="AW537" s="32"/>
      <c r="AX537" s="146"/>
      <c r="AY537" s="32"/>
      <c r="AZ537" s="146"/>
      <c r="BA537" s="32"/>
      <c r="BB537" s="146"/>
      <c r="BC537" s="32"/>
      <c r="BD537" s="146"/>
      <c r="BE537" s="32"/>
      <c r="BF537" s="146"/>
      <c r="BG537" s="32"/>
      <c r="BH537" s="146"/>
      <c r="BI537" s="32"/>
      <c r="BJ537" s="146"/>
      <c r="BK537" s="32"/>
      <c r="BL537" s="146"/>
      <c r="BM537" s="32"/>
      <c r="BN537" s="146"/>
      <c r="BO537" s="32"/>
      <c r="BP537" s="146"/>
      <c r="BQ537" s="32"/>
      <c r="BR537" s="146"/>
      <c r="BS537" s="32"/>
      <c r="BT537" s="146">
        <v>686</v>
      </c>
      <c r="BU537" s="32">
        <v>348</v>
      </c>
      <c r="BV537" s="146">
        <v>703</v>
      </c>
      <c r="BW537" s="32">
        <v>330</v>
      </c>
    </row>
    <row r="538" spans="1:75" ht="13" x14ac:dyDescent="0.25">
      <c r="A538" s="186">
        <v>8906</v>
      </c>
      <c r="B538" s="187" t="s">
        <v>560</v>
      </c>
      <c r="C538" s="46">
        <v>857</v>
      </c>
      <c r="D538" s="142">
        <v>710</v>
      </c>
      <c r="E538" s="145">
        <f t="shared" si="8"/>
        <v>0.8284714119019837</v>
      </c>
      <c r="F538" s="146">
        <v>362</v>
      </c>
      <c r="G538" s="32">
        <v>323</v>
      </c>
      <c r="H538" s="146"/>
      <c r="I538" s="32"/>
      <c r="J538" s="146"/>
      <c r="K538" s="32"/>
      <c r="L538" s="146"/>
      <c r="M538" s="32"/>
      <c r="N538" s="146"/>
      <c r="O538" s="32"/>
      <c r="P538" s="146"/>
      <c r="Q538" s="32"/>
      <c r="R538" s="146"/>
      <c r="S538" s="32"/>
      <c r="T538" s="146"/>
      <c r="U538" s="32"/>
      <c r="V538" s="146"/>
      <c r="W538" s="32"/>
      <c r="X538" s="146"/>
      <c r="Y538" s="32"/>
      <c r="Z538" s="146"/>
      <c r="AA538" s="32"/>
      <c r="AB538" s="146"/>
      <c r="AC538" s="32"/>
      <c r="AD538" s="146"/>
      <c r="AE538" s="32"/>
      <c r="AF538" s="146"/>
      <c r="AG538" s="32"/>
      <c r="AH538" s="146"/>
      <c r="AI538" s="32"/>
      <c r="AJ538" s="146"/>
      <c r="AK538" s="32"/>
      <c r="AL538" s="146"/>
      <c r="AM538" s="32"/>
      <c r="AN538" s="146"/>
      <c r="AO538" s="32"/>
      <c r="AP538" s="146"/>
      <c r="AQ538" s="32"/>
      <c r="AR538" s="146"/>
      <c r="AS538" s="32"/>
      <c r="AT538" s="146"/>
      <c r="AU538" s="32"/>
      <c r="AV538" s="146"/>
      <c r="AW538" s="32"/>
      <c r="AX538" s="146"/>
      <c r="AY538" s="32"/>
      <c r="AZ538" s="146"/>
      <c r="BA538" s="32"/>
      <c r="BB538" s="146"/>
      <c r="BC538" s="32"/>
      <c r="BD538" s="146"/>
      <c r="BE538" s="32"/>
      <c r="BF538" s="146"/>
      <c r="BG538" s="32"/>
      <c r="BH538" s="146"/>
      <c r="BI538" s="32"/>
      <c r="BJ538" s="146"/>
      <c r="BK538" s="32"/>
      <c r="BL538" s="146"/>
      <c r="BM538" s="32"/>
      <c r="BN538" s="146"/>
      <c r="BO538" s="32"/>
      <c r="BP538" s="146"/>
      <c r="BQ538" s="32"/>
      <c r="BR538" s="146"/>
      <c r="BS538" s="32"/>
      <c r="BT538" s="146">
        <v>467</v>
      </c>
      <c r="BU538" s="32">
        <v>203</v>
      </c>
      <c r="BV538" s="146">
        <v>488</v>
      </c>
      <c r="BW538" s="32">
        <v>185</v>
      </c>
    </row>
    <row r="539" spans="1:75" ht="13" x14ac:dyDescent="0.25">
      <c r="A539" s="186">
        <v>8907</v>
      </c>
      <c r="B539" s="187" t="s">
        <v>561</v>
      </c>
      <c r="C539" s="46">
        <v>1150</v>
      </c>
      <c r="D539" s="142">
        <v>940</v>
      </c>
      <c r="E539" s="145">
        <f t="shared" si="8"/>
        <v>0.81739130434782614</v>
      </c>
      <c r="F539" s="146">
        <v>445</v>
      </c>
      <c r="G539" s="32">
        <v>443</v>
      </c>
      <c r="H539" s="146"/>
      <c r="I539" s="32"/>
      <c r="J539" s="146"/>
      <c r="K539" s="32"/>
      <c r="L539" s="146"/>
      <c r="M539" s="32"/>
      <c r="N539" s="146"/>
      <c r="O539" s="32"/>
      <c r="P539" s="146"/>
      <c r="Q539" s="32"/>
      <c r="R539" s="146"/>
      <c r="S539" s="32"/>
      <c r="T539" s="146"/>
      <c r="U539" s="32"/>
      <c r="V539" s="146"/>
      <c r="W539" s="32"/>
      <c r="X539" s="146"/>
      <c r="Y539" s="32"/>
      <c r="Z539" s="146"/>
      <c r="AA539" s="32"/>
      <c r="AB539" s="146"/>
      <c r="AC539" s="32"/>
      <c r="AD539" s="146"/>
      <c r="AE539" s="32"/>
      <c r="AF539" s="146"/>
      <c r="AG539" s="32"/>
      <c r="AH539" s="146"/>
      <c r="AI539" s="32"/>
      <c r="AJ539" s="146"/>
      <c r="AK539" s="32"/>
      <c r="AL539" s="146"/>
      <c r="AM539" s="32"/>
      <c r="AN539" s="146"/>
      <c r="AO539" s="32"/>
      <c r="AP539" s="146"/>
      <c r="AQ539" s="32"/>
      <c r="AR539" s="146"/>
      <c r="AS539" s="32"/>
      <c r="AT539" s="146"/>
      <c r="AU539" s="32"/>
      <c r="AV539" s="146"/>
      <c r="AW539" s="32"/>
      <c r="AX539" s="146"/>
      <c r="AY539" s="32"/>
      <c r="AZ539" s="146"/>
      <c r="BA539" s="32"/>
      <c r="BB539" s="146"/>
      <c r="BC539" s="32"/>
      <c r="BD539" s="146"/>
      <c r="BE539" s="32"/>
      <c r="BF539" s="146"/>
      <c r="BG539" s="32"/>
      <c r="BH539" s="146"/>
      <c r="BI539" s="32"/>
      <c r="BJ539" s="146"/>
      <c r="BK539" s="32"/>
      <c r="BL539" s="146"/>
      <c r="BM539" s="32"/>
      <c r="BN539" s="146"/>
      <c r="BO539" s="32"/>
      <c r="BP539" s="146"/>
      <c r="BQ539" s="32"/>
      <c r="BR539" s="146"/>
      <c r="BS539" s="32"/>
      <c r="BT539" s="146">
        <v>581</v>
      </c>
      <c r="BU539" s="32">
        <v>301</v>
      </c>
      <c r="BV539" s="146">
        <v>607</v>
      </c>
      <c r="BW539" s="32">
        <v>275</v>
      </c>
    </row>
    <row r="540" spans="1:75" ht="13" x14ac:dyDescent="0.25">
      <c r="A540" s="186">
        <v>8908</v>
      </c>
      <c r="B540" s="187" t="s">
        <v>562</v>
      </c>
      <c r="C540" s="46">
        <v>908</v>
      </c>
      <c r="D540" s="142">
        <v>689</v>
      </c>
      <c r="E540" s="145">
        <f t="shared" si="8"/>
        <v>0.75881057268722463</v>
      </c>
      <c r="F540" s="146">
        <v>379</v>
      </c>
      <c r="G540" s="32">
        <v>280</v>
      </c>
      <c r="H540" s="146"/>
      <c r="I540" s="32"/>
      <c r="J540" s="146"/>
      <c r="K540" s="32"/>
      <c r="L540" s="146"/>
      <c r="M540" s="32"/>
      <c r="N540" s="146"/>
      <c r="O540" s="32"/>
      <c r="P540" s="146"/>
      <c r="Q540" s="32"/>
      <c r="R540" s="146"/>
      <c r="S540" s="32"/>
      <c r="T540" s="146"/>
      <c r="U540" s="32"/>
      <c r="V540" s="146"/>
      <c r="W540" s="32"/>
      <c r="X540" s="146"/>
      <c r="Y540" s="32"/>
      <c r="Z540" s="146"/>
      <c r="AA540" s="32"/>
      <c r="AB540" s="146"/>
      <c r="AC540" s="32"/>
      <c r="AD540" s="146"/>
      <c r="AE540" s="32"/>
      <c r="AF540" s="146"/>
      <c r="AG540" s="32"/>
      <c r="AH540" s="146"/>
      <c r="AI540" s="32"/>
      <c r="AJ540" s="146"/>
      <c r="AK540" s="32"/>
      <c r="AL540" s="146"/>
      <c r="AM540" s="32"/>
      <c r="AN540" s="146"/>
      <c r="AO540" s="32"/>
      <c r="AP540" s="146"/>
      <c r="AQ540" s="32"/>
      <c r="AR540" s="146"/>
      <c r="AS540" s="32"/>
      <c r="AT540" s="146"/>
      <c r="AU540" s="32"/>
      <c r="AV540" s="146"/>
      <c r="AW540" s="32"/>
      <c r="AX540" s="146"/>
      <c r="AY540" s="32"/>
      <c r="AZ540" s="146"/>
      <c r="BA540" s="32"/>
      <c r="BB540" s="146"/>
      <c r="BC540" s="32"/>
      <c r="BD540" s="146"/>
      <c r="BE540" s="32"/>
      <c r="BF540" s="146"/>
      <c r="BG540" s="32"/>
      <c r="BH540" s="146"/>
      <c r="BI540" s="32"/>
      <c r="BJ540" s="146"/>
      <c r="BK540" s="32"/>
      <c r="BL540" s="146"/>
      <c r="BM540" s="32"/>
      <c r="BN540" s="146"/>
      <c r="BO540" s="32"/>
      <c r="BP540" s="146"/>
      <c r="BQ540" s="32"/>
      <c r="BR540" s="146"/>
      <c r="BS540" s="32"/>
      <c r="BT540" s="146">
        <v>449</v>
      </c>
      <c r="BU540" s="32">
        <v>207</v>
      </c>
      <c r="BV540" s="146">
        <v>468</v>
      </c>
      <c r="BW540" s="32">
        <v>187</v>
      </c>
    </row>
    <row r="541" spans="1:75" ht="13" x14ac:dyDescent="0.25">
      <c r="A541" s="186">
        <v>8909</v>
      </c>
      <c r="B541" s="187" t="s">
        <v>563</v>
      </c>
      <c r="C541" s="46">
        <v>1198</v>
      </c>
      <c r="D541" s="142">
        <v>947</v>
      </c>
      <c r="E541" s="145">
        <f t="shared" si="8"/>
        <v>0.79048414023372282</v>
      </c>
      <c r="F541" s="146">
        <v>389</v>
      </c>
      <c r="G541" s="32">
        <v>523</v>
      </c>
      <c r="H541" s="146"/>
      <c r="I541" s="32"/>
      <c r="J541" s="146"/>
      <c r="K541" s="32"/>
      <c r="L541" s="146"/>
      <c r="M541" s="32"/>
      <c r="N541" s="146"/>
      <c r="O541" s="32"/>
      <c r="P541" s="146"/>
      <c r="Q541" s="32"/>
      <c r="R541" s="146"/>
      <c r="S541" s="32"/>
      <c r="T541" s="146"/>
      <c r="U541" s="32"/>
      <c r="V541" s="146"/>
      <c r="W541" s="32"/>
      <c r="X541" s="146"/>
      <c r="Y541" s="32"/>
      <c r="Z541" s="146"/>
      <c r="AA541" s="32"/>
      <c r="AB541" s="146"/>
      <c r="AC541" s="32"/>
      <c r="AD541" s="146"/>
      <c r="AE541" s="32"/>
      <c r="AF541" s="146"/>
      <c r="AG541" s="32"/>
      <c r="AH541" s="146"/>
      <c r="AI541" s="32"/>
      <c r="AJ541" s="146"/>
      <c r="AK541" s="32"/>
      <c r="AL541" s="146"/>
      <c r="AM541" s="32"/>
      <c r="AN541" s="146"/>
      <c r="AO541" s="32"/>
      <c r="AP541" s="146"/>
      <c r="AQ541" s="32"/>
      <c r="AR541" s="146"/>
      <c r="AS541" s="32"/>
      <c r="AT541" s="146"/>
      <c r="AU541" s="32"/>
      <c r="AV541" s="146"/>
      <c r="AW541" s="32"/>
      <c r="AX541" s="146"/>
      <c r="AY541" s="32"/>
      <c r="AZ541" s="146"/>
      <c r="BA541" s="32"/>
      <c r="BB541" s="146"/>
      <c r="BC541" s="32"/>
      <c r="BD541" s="146"/>
      <c r="BE541" s="32"/>
      <c r="BF541" s="146"/>
      <c r="BG541" s="32"/>
      <c r="BH541" s="146"/>
      <c r="BI541" s="32"/>
      <c r="BJ541" s="146"/>
      <c r="BK541" s="32"/>
      <c r="BL541" s="146">
        <v>331</v>
      </c>
      <c r="BM541" s="32">
        <v>565</v>
      </c>
      <c r="BN541" s="146"/>
      <c r="BO541" s="32"/>
      <c r="BP541" s="146"/>
      <c r="BQ541" s="32"/>
      <c r="BR541" s="146"/>
      <c r="BS541" s="32"/>
      <c r="BT541" s="146">
        <v>568</v>
      </c>
      <c r="BU541" s="32">
        <v>338</v>
      </c>
      <c r="BV541" s="146">
        <v>551</v>
      </c>
      <c r="BW541" s="32">
        <v>357</v>
      </c>
    </row>
    <row r="542" spans="1:75" ht="13" x14ac:dyDescent="0.25">
      <c r="A542" s="186">
        <v>8910</v>
      </c>
      <c r="B542" s="187" t="s">
        <v>564</v>
      </c>
      <c r="C542" s="46">
        <v>904</v>
      </c>
      <c r="D542" s="142">
        <v>624</v>
      </c>
      <c r="E542" s="145">
        <f t="shared" si="8"/>
        <v>0.69026548672566368</v>
      </c>
      <c r="F542" s="146">
        <v>378</v>
      </c>
      <c r="G542" s="32">
        <v>211</v>
      </c>
      <c r="H542" s="146"/>
      <c r="I542" s="32"/>
      <c r="J542" s="146"/>
      <c r="K542" s="32"/>
      <c r="L542" s="146"/>
      <c r="M542" s="32"/>
      <c r="N542" s="146"/>
      <c r="O542" s="32"/>
      <c r="P542" s="146"/>
      <c r="Q542" s="32"/>
      <c r="R542" s="146"/>
      <c r="S542" s="32"/>
      <c r="T542" s="146"/>
      <c r="U542" s="32"/>
      <c r="V542" s="146"/>
      <c r="W542" s="32"/>
      <c r="X542" s="146"/>
      <c r="Y542" s="32"/>
      <c r="Z542" s="146"/>
      <c r="AA542" s="32"/>
      <c r="AB542" s="146"/>
      <c r="AC542" s="32"/>
      <c r="AD542" s="146"/>
      <c r="AE542" s="32"/>
      <c r="AF542" s="146"/>
      <c r="AG542" s="32"/>
      <c r="AH542" s="146"/>
      <c r="AI542" s="32"/>
      <c r="AJ542" s="146"/>
      <c r="AK542" s="32"/>
      <c r="AL542" s="146"/>
      <c r="AM542" s="32"/>
      <c r="AN542" s="146"/>
      <c r="AO542" s="32"/>
      <c r="AP542" s="146"/>
      <c r="AQ542" s="32"/>
      <c r="AR542" s="146"/>
      <c r="AS542" s="32"/>
      <c r="AT542" s="146"/>
      <c r="AU542" s="32"/>
      <c r="AV542" s="146"/>
      <c r="AW542" s="32"/>
      <c r="AX542" s="146"/>
      <c r="AY542" s="32"/>
      <c r="AZ542" s="146"/>
      <c r="BA542" s="32"/>
      <c r="BB542" s="146"/>
      <c r="BC542" s="32"/>
      <c r="BD542" s="146"/>
      <c r="BE542" s="32"/>
      <c r="BF542" s="146"/>
      <c r="BG542" s="32"/>
      <c r="BH542" s="146"/>
      <c r="BI542" s="32"/>
      <c r="BJ542" s="146"/>
      <c r="BK542" s="32"/>
      <c r="BL542" s="146"/>
      <c r="BM542" s="32"/>
      <c r="BN542" s="146"/>
      <c r="BO542" s="32"/>
      <c r="BP542" s="146"/>
      <c r="BQ542" s="32"/>
      <c r="BR542" s="146"/>
      <c r="BS542" s="32"/>
      <c r="BT542" s="146">
        <v>442</v>
      </c>
      <c r="BU542" s="32">
        <v>139</v>
      </c>
      <c r="BV542" s="146">
        <v>451</v>
      </c>
      <c r="BW542" s="32">
        <v>134</v>
      </c>
    </row>
    <row r="543" spans="1:75" ht="13" x14ac:dyDescent="0.25">
      <c r="A543" s="186">
        <v>8911</v>
      </c>
      <c r="B543" s="187" t="s">
        <v>565</v>
      </c>
      <c r="C543" s="46">
        <v>1266</v>
      </c>
      <c r="D543" s="142">
        <v>930</v>
      </c>
      <c r="E543" s="145">
        <f t="shared" si="8"/>
        <v>0.7345971563981043</v>
      </c>
      <c r="F543" s="146">
        <v>515</v>
      </c>
      <c r="G543" s="32">
        <v>362</v>
      </c>
      <c r="H543" s="146"/>
      <c r="I543" s="32"/>
      <c r="J543" s="146"/>
      <c r="K543" s="32"/>
      <c r="L543" s="146"/>
      <c r="M543" s="32"/>
      <c r="N543" s="146"/>
      <c r="O543" s="32"/>
      <c r="P543" s="146"/>
      <c r="Q543" s="32"/>
      <c r="R543" s="146"/>
      <c r="S543" s="32"/>
      <c r="T543" s="146"/>
      <c r="U543" s="32"/>
      <c r="V543" s="146"/>
      <c r="W543" s="32"/>
      <c r="X543" s="146"/>
      <c r="Y543" s="32"/>
      <c r="Z543" s="146"/>
      <c r="AA543" s="32"/>
      <c r="AB543" s="146"/>
      <c r="AC543" s="32"/>
      <c r="AD543" s="146"/>
      <c r="AE543" s="32"/>
      <c r="AF543" s="146"/>
      <c r="AG543" s="32"/>
      <c r="AH543" s="146"/>
      <c r="AI543" s="32"/>
      <c r="AJ543" s="146"/>
      <c r="AK543" s="32"/>
      <c r="AL543" s="146"/>
      <c r="AM543" s="32"/>
      <c r="AN543" s="146"/>
      <c r="AO543" s="32"/>
      <c r="AP543" s="146"/>
      <c r="AQ543" s="32"/>
      <c r="AR543" s="146"/>
      <c r="AS543" s="32"/>
      <c r="AT543" s="146"/>
      <c r="AU543" s="32"/>
      <c r="AV543" s="146"/>
      <c r="AW543" s="32"/>
      <c r="AX543" s="146"/>
      <c r="AY543" s="32"/>
      <c r="AZ543" s="146"/>
      <c r="BA543" s="32"/>
      <c r="BB543" s="146"/>
      <c r="BC543" s="32"/>
      <c r="BD543" s="146"/>
      <c r="BE543" s="32"/>
      <c r="BF543" s="146"/>
      <c r="BG543" s="32"/>
      <c r="BH543" s="146"/>
      <c r="BI543" s="32"/>
      <c r="BJ543" s="146"/>
      <c r="BK543" s="32"/>
      <c r="BL543" s="146"/>
      <c r="BM543" s="32"/>
      <c r="BN543" s="146"/>
      <c r="BO543" s="32"/>
      <c r="BP543" s="146"/>
      <c r="BQ543" s="32"/>
      <c r="BR543" s="146"/>
      <c r="BS543" s="32"/>
      <c r="BT543" s="146">
        <v>607</v>
      </c>
      <c r="BU543" s="32">
        <v>258</v>
      </c>
      <c r="BV543" s="146">
        <v>640</v>
      </c>
      <c r="BW543" s="32">
        <v>224</v>
      </c>
    </row>
    <row r="544" spans="1:75" ht="13" x14ac:dyDescent="0.25">
      <c r="A544" s="186">
        <v>8912</v>
      </c>
      <c r="B544" s="187" t="s">
        <v>566</v>
      </c>
      <c r="C544" s="46">
        <v>1325</v>
      </c>
      <c r="D544" s="142">
        <v>1032</v>
      </c>
      <c r="E544" s="145">
        <f t="shared" si="8"/>
        <v>0.77886792452830189</v>
      </c>
      <c r="F544" s="146">
        <v>413</v>
      </c>
      <c r="G544" s="32">
        <v>571</v>
      </c>
      <c r="H544" s="146"/>
      <c r="I544" s="32"/>
      <c r="J544" s="146"/>
      <c r="K544" s="32"/>
      <c r="L544" s="146"/>
      <c r="M544" s="32"/>
      <c r="N544" s="146"/>
      <c r="O544" s="32"/>
      <c r="P544" s="146"/>
      <c r="Q544" s="32"/>
      <c r="R544" s="146"/>
      <c r="S544" s="32"/>
      <c r="T544" s="146"/>
      <c r="U544" s="32"/>
      <c r="V544" s="146"/>
      <c r="W544" s="32"/>
      <c r="X544" s="146"/>
      <c r="Y544" s="32"/>
      <c r="Z544" s="146"/>
      <c r="AA544" s="32"/>
      <c r="AB544" s="146"/>
      <c r="AC544" s="32"/>
      <c r="AD544" s="146"/>
      <c r="AE544" s="32"/>
      <c r="AF544" s="146"/>
      <c r="AG544" s="32"/>
      <c r="AH544" s="146"/>
      <c r="AI544" s="32"/>
      <c r="AJ544" s="146"/>
      <c r="AK544" s="32"/>
      <c r="AL544" s="146"/>
      <c r="AM544" s="32"/>
      <c r="AN544" s="146"/>
      <c r="AO544" s="32"/>
      <c r="AP544" s="146"/>
      <c r="AQ544" s="32"/>
      <c r="AR544" s="146"/>
      <c r="AS544" s="32"/>
      <c r="AT544" s="146"/>
      <c r="AU544" s="32"/>
      <c r="AV544" s="146"/>
      <c r="AW544" s="32"/>
      <c r="AX544" s="146"/>
      <c r="AY544" s="32"/>
      <c r="AZ544" s="146"/>
      <c r="BA544" s="32"/>
      <c r="BB544" s="146"/>
      <c r="BC544" s="32"/>
      <c r="BD544" s="146"/>
      <c r="BE544" s="32"/>
      <c r="BF544" s="146"/>
      <c r="BG544" s="32"/>
      <c r="BH544" s="146"/>
      <c r="BI544" s="32"/>
      <c r="BJ544" s="146"/>
      <c r="BK544" s="32"/>
      <c r="BL544" s="146"/>
      <c r="BM544" s="32"/>
      <c r="BN544" s="146"/>
      <c r="BO544" s="32"/>
      <c r="BP544" s="146"/>
      <c r="BQ544" s="32"/>
      <c r="BR544" s="146"/>
      <c r="BS544" s="32"/>
      <c r="BT544" s="146">
        <v>573</v>
      </c>
      <c r="BU544" s="32">
        <v>397</v>
      </c>
      <c r="BV544" s="146">
        <v>593</v>
      </c>
      <c r="BW544" s="32">
        <v>386</v>
      </c>
    </row>
    <row r="545" spans="1:75" ht="13" x14ac:dyDescent="0.25">
      <c r="A545" s="186">
        <v>8913</v>
      </c>
      <c r="B545" s="187" t="s">
        <v>567</v>
      </c>
      <c r="C545" s="46">
        <v>746</v>
      </c>
      <c r="D545" s="142">
        <v>556</v>
      </c>
      <c r="E545" s="145">
        <f t="shared" si="8"/>
        <v>0.74530831099195716</v>
      </c>
      <c r="F545" s="146">
        <v>252</v>
      </c>
      <c r="G545" s="32">
        <v>277</v>
      </c>
      <c r="H545" s="146"/>
      <c r="I545" s="32"/>
      <c r="J545" s="146"/>
      <c r="K545" s="32"/>
      <c r="L545" s="146"/>
      <c r="M545" s="32"/>
      <c r="N545" s="146"/>
      <c r="O545" s="32"/>
      <c r="P545" s="146"/>
      <c r="Q545" s="32"/>
      <c r="R545" s="146"/>
      <c r="S545" s="32"/>
      <c r="T545" s="146"/>
      <c r="U545" s="32"/>
      <c r="V545" s="146"/>
      <c r="W545" s="32"/>
      <c r="X545" s="146"/>
      <c r="Y545" s="32"/>
      <c r="Z545" s="146"/>
      <c r="AA545" s="32"/>
      <c r="AB545" s="146"/>
      <c r="AC545" s="32"/>
      <c r="AD545" s="146"/>
      <c r="AE545" s="32"/>
      <c r="AF545" s="146"/>
      <c r="AG545" s="32"/>
      <c r="AH545" s="146"/>
      <c r="AI545" s="32"/>
      <c r="AJ545" s="146"/>
      <c r="AK545" s="32"/>
      <c r="AL545" s="146"/>
      <c r="AM545" s="32"/>
      <c r="AN545" s="146"/>
      <c r="AO545" s="32"/>
      <c r="AP545" s="146"/>
      <c r="AQ545" s="32"/>
      <c r="AR545" s="146"/>
      <c r="AS545" s="32"/>
      <c r="AT545" s="146"/>
      <c r="AU545" s="32"/>
      <c r="AV545" s="146"/>
      <c r="AW545" s="32"/>
      <c r="AX545" s="146"/>
      <c r="AY545" s="32"/>
      <c r="AZ545" s="146"/>
      <c r="BA545" s="32"/>
      <c r="BB545" s="146"/>
      <c r="BC545" s="32"/>
      <c r="BD545" s="146"/>
      <c r="BE545" s="32"/>
      <c r="BF545" s="146"/>
      <c r="BG545" s="32"/>
      <c r="BH545" s="146"/>
      <c r="BI545" s="32"/>
      <c r="BJ545" s="146"/>
      <c r="BK545" s="32"/>
      <c r="BL545" s="146"/>
      <c r="BM545" s="32"/>
      <c r="BN545" s="146"/>
      <c r="BO545" s="32"/>
      <c r="BP545" s="146"/>
      <c r="BQ545" s="32"/>
      <c r="BR545" s="146"/>
      <c r="BS545" s="32"/>
      <c r="BT545" s="146">
        <v>353</v>
      </c>
      <c r="BU545" s="32">
        <v>175</v>
      </c>
      <c r="BV545" s="146">
        <v>354</v>
      </c>
      <c r="BW545" s="32">
        <v>174</v>
      </c>
    </row>
    <row r="546" spans="1:75" ht="13" x14ac:dyDescent="0.25">
      <c r="A546" s="186">
        <v>8914</v>
      </c>
      <c r="B546" s="187" t="s">
        <v>568</v>
      </c>
      <c r="C546" s="46">
        <v>1260</v>
      </c>
      <c r="D546" s="142">
        <v>1035</v>
      </c>
      <c r="E546" s="145">
        <f t="shared" si="8"/>
        <v>0.8214285714285714</v>
      </c>
      <c r="F546" s="146">
        <v>482</v>
      </c>
      <c r="G546" s="32">
        <v>511</v>
      </c>
      <c r="H546" s="146"/>
      <c r="I546" s="32"/>
      <c r="J546" s="146"/>
      <c r="K546" s="32"/>
      <c r="L546" s="146"/>
      <c r="M546" s="32"/>
      <c r="N546" s="146"/>
      <c r="O546" s="32"/>
      <c r="P546" s="146"/>
      <c r="Q546" s="32"/>
      <c r="R546" s="146"/>
      <c r="S546" s="32"/>
      <c r="T546" s="146"/>
      <c r="U546" s="32"/>
      <c r="V546" s="146"/>
      <c r="W546" s="32"/>
      <c r="X546" s="146"/>
      <c r="Y546" s="32"/>
      <c r="Z546" s="146"/>
      <c r="AA546" s="32"/>
      <c r="AB546" s="146"/>
      <c r="AC546" s="32"/>
      <c r="AD546" s="146"/>
      <c r="AE546" s="32"/>
      <c r="AF546" s="146"/>
      <c r="AG546" s="32"/>
      <c r="AH546" s="146"/>
      <c r="AI546" s="32"/>
      <c r="AJ546" s="146"/>
      <c r="AK546" s="32"/>
      <c r="AL546" s="146"/>
      <c r="AM546" s="32"/>
      <c r="AN546" s="146"/>
      <c r="AO546" s="32"/>
      <c r="AP546" s="146"/>
      <c r="AQ546" s="32"/>
      <c r="AR546" s="146"/>
      <c r="AS546" s="32"/>
      <c r="AT546" s="146"/>
      <c r="AU546" s="32"/>
      <c r="AV546" s="146"/>
      <c r="AW546" s="32"/>
      <c r="AX546" s="146"/>
      <c r="AY546" s="32"/>
      <c r="AZ546" s="146"/>
      <c r="BA546" s="32"/>
      <c r="BB546" s="146"/>
      <c r="BC546" s="32"/>
      <c r="BD546" s="146"/>
      <c r="BE546" s="32"/>
      <c r="BF546" s="146"/>
      <c r="BG546" s="32"/>
      <c r="BH546" s="146"/>
      <c r="BI546" s="32"/>
      <c r="BJ546" s="146"/>
      <c r="BK546" s="32"/>
      <c r="BL546" s="146"/>
      <c r="BM546" s="32"/>
      <c r="BN546" s="146"/>
      <c r="BO546" s="32"/>
      <c r="BP546" s="146"/>
      <c r="BQ546" s="32"/>
      <c r="BR546" s="146"/>
      <c r="BS546" s="32"/>
      <c r="BT546" s="146">
        <v>615</v>
      </c>
      <c r="BU546" s="32">
        <v>365</v>
      </c>
      <c r="BV546" s="146">
        <v>641</v>
      </c>
      <c r="BW546" s="32">
        <v>339</v>
      </c>
    </row>
    <row r="547" spans="1:75" ht="13" x14ac:dyDescent="0.25">
      <c r="A547" s="186">
        <v>9101</v>
      </c>
      <c r="B547" s="187" t="s">
        <v>569</v>
      </c>
      <c r="C547" s="46">
        <v>328</v>
      </c>
      <c r="D547" s="142">
        <v>259</v>
      </c>
      <c r="E547" s="145">
        <f t="shared" si="8"/>
        <v>0.78963414634146345</v>
      </c>
      <c r="F547" s="146">
        <v>135</v>
      </c>
      <c r="G547" s="32">
        <v>113</v>
      </c>
      <c r="H547" s="146"/>
      <c r="I547" s="32"/>
      <c r="J547" s="146"/>
      <c r="K547" s="32"/>
      <c r="L547" s="146"/>
      <c r="M547" s="32"/>
      <c r="N547" s="146"/>
      <c r="O547" s="32"/>
      <c r="P547" s="146"/>
      <c r="Q547" s="32"/>
      <c r="R547" s="146"/>
      <c r="S547" s="32"/>
      <c r="T547" s="146"/>
      <c r="U547" s="32"/>
      <c r="V547" s="146"/>
      <c r="W547" s="32"/>
      <c r="X547" s="146"/>
      <c r="Y547" s="32"/>
      <c r="Z547" s="146"/>
      <c r="AA547" s="32"/>
      <c r="AB547" s="146"/>
      <c r="AC547" s="32"/>
      <c r="AD547" s="146"/>
      <c r="AE547" s="32"/>
      <c r="AF547" s="146"/>
      <c r="AG547" s="32"/>
      <c r="AH547" s="146"/>
      <c r="AI547" s="32"/>
      <c r="AJ547" s="146"/>
      <c r="AK547" s="32"/>
      <c r="AL547" s="146"/>
      <c r="AM547" s="32"/>
      <c r="AN547" s="146"/>
      <c r="AO547" s="32"/>
      <c r="AP547" s="146"/>
      <c r="AQ547" s="32"/>
      <c r="AR547" s="146"/>
      <c r="AS547" s="32"/>
      <c r="AT547" s="146"/>
      <c r="AU547" s="32"/>
      <c r="AV547" s="146"/>
      <c r="AW547" s="32"/>
      <c r="AX547" s="146"/>
      <c r="AY547" s="32"/>
      <c r="AZ547" s="146"/>
      <c r="BA547" s="32"/>
      <c r="BB547" s="146">
        <v>115</v>
      </c>
      <c r="BC547" s="32">
        <v>129</v>
      </c>
      <c r="BD547" s="146"/>
      <c r="BE547" s="32"/>
      <c r="BF547" s="146"/>
      <c r="BG547" s="32"/>
      <c r="BH547" s="146"/>
      <c r="BI547" s="32"/>
      <c r="BJ547" s="146"/>
      <c r="BK547" s="32"/>
      <c r="BL547" s="146"/>
      <c r="BM547" s="32"/>
      <c r="BN547" s="146"/>
      <c r="BO547" s="32"/>
      <c r="BP547" s="146"/>
      <c r="BQ547" s="32"/>
      <c r="BR547" s="146"/>
      <c r="BS547" s="32"/>
      <c r="BT547" s="146">
        <v>139</v>
      </c>
      <c r="BU547" s="32">
        <v>107</v>
      </c>
      <c r="BV547" s="146">
        <v>135</v>
      </c>
      <c r="BW547" s="32">
        <v>109</v>
      </c>
    </row>
    <row r="548" spans="1:75" ht="13" x14ac:dyDescent="0.25">
      <c r="A548" s="186">
        <v>9102</v>
      </c>
      <c r="B548" s="187" t="s">
        <v>570</v>
      </c>
      <c r="C548" s="46">
        <v>1114</v>
      </c>
      <c r="D548" s="142">
        <v>901</v>
      </c>
      <c r="E548" s="145">
        <f t="shared" si="8"/>
        <v>0.80879712746858168</v>
      </c>
      <c r="F548" s="146">
        <v>463</v>
      </c>
      <c r="G548" s="32">
        <v>406</v>
      </c>
      <c r="H548" s="146"/>
      <c r="I548" s="32"/>
      <c r="J548" s="146"/>
      <c r="K548" s="32"/>
      <c r="L548" s="146"/>
      <c r="M548" s="32"/>
      <c r="N548" s="146"/>
      <c r="O548" s="32"/>
      <c r="P548" s="146"/>
      <c r="Q548" s="32"/>
      <c r="R548" s="146"/>
      <c r="S548" s="32"/>
      <c r="T548" s="146"/>
      <c r="U548" s="32"/>
      <c r="V548" s="146"/>
      <c r="W548" s="32"/>
      <c r="X548" s="146"/>
      <c r="Y548" s="32"/>
      <c r="Z548" s="146"/>
      <c r="AA548" s="32"/>
      <c r="AB548" s="146"/>
      <c r="AC548" s="32"/>
      <c r="AD548" s="146"/>
      <c r="AE548" s="32"/>
      <c r="AF548" s="146"/>
      <c r="AG548" s="32"/>
      <c r="AH548" s="146"/>
      <c r="AI548" s="32"/>
      <c r="AJ548" s="146"/>
      <c r="AK548" s="32"/>
      <c r="AL548" s="146"/>
      <c r="AM548" s="32"/>
      <c r="AN548" s="146"/>
      <c r="AO548" s="32"/>
      <c r="AP548" s="146"/>
      <c r="AQ548" s="32"/>
      <c r="AR548" s="146"/>
      <c r="AS548" s="32"/>
      <c r="AT548" s="146"/>
      <c r="AU548" s="32"/>
      <c r="AV548" s="146"/>
      <c r="AW548" s="32"/>
      <c r="AX548" s="146"/>
      <c r="AY548" s="32"/>
      <c r="AZ548" s="146"/>
      <c r="BA548" s="32"/>
      <c r="BB548" s="146">
        <v>530</v>
      </c>
      <c r="BC548" s="32">
        <v>336</v>
      </c>
      <c r="BD548" s="146"/>
      <c r="BE548" s="32"/>
      <c r="BF548" s="146"/>
      <c r="BG548" s="32"/>
      <c r="BH548" s="146"/>
      <c r="BI548" s="32"/>
      <c r="BJ548" s="146"/>
      <c r="BK548" s="32"/>
      <c r="BL548" s="146"/>
      <c r="BM548" s="32"/>
      <c r="BN548" s="146"/>
      <c r="BO548" s="32"/>
      <c r="BP548" s="146"/>
      <c r="BQ548" s="32"/>
      <c r="BR548" s="146"/>
      <c r="BS548" s="32"/>
      <c r="BT548" s="146">
        <v>544</v>
      </c>
      <c r="BU548" s="32">
        <v>314</v>
      </c>
      <c r="BV548" s="146">
        <v>559</v>
      </c>
      <c r="BW548" s="32">
        <v>304</v>
      </c>
    </row>
    <row r="549" spans="1:75" ht="13" x14ac:dyDescent="0.25">
      <c r="A549" s="186">
        <v>9103</v>
      </c>
      <c r="B549" s="187" t="s">
        <v>571</v>
      </c>
      <c r="C549" s="46">
        <v>1346</v>
      </c>
      <c r="D549" s="142">
        <v>1115</v>
      </c>
      <c r="E549" s="145">
        <f t="shared" si="8"/>
        <v>0.82838038632986633</v>
      </c>
      <c r="F549" s="146">
        <v>502</v>
      </c>
      <c r="G549" s="32">
        <v>563</v>
      </c>
      <c r="H549" s="146"/>
      <c r="I549" s="32"/>
      <c r="J549" s="146"/>
      <c r="K549" s="32"/>
      <c r="L549" s="146"/>
      <c r="M549" s="32"/>
      <c r="N549" s="146"/>
      <c r="O549" s="32"/>
      <c r="P549" s="146"/>
      <c r="Q549" s="32"/>
      <c r="R549" s="146"/>
      <c r="S549" s="32"/>
      <c r="T549" s="146"/>
      <c r="U549" s="32"/>
      <c r="V549" s="146"/>
      <c r="W549" s="32"/>
      <c r="X549" s="146"/>
      <c r="Y549" s="32"/>
      <c r="Z549" s="146"/>
      <c r="AA549" s="32"/>
      <c r="AB549" s="146"/>
      <c r="AC549" s="32"/>
      <c r="AD549" s="146"/>
      <c r="AE549" s="32"/>
      <c r="AF549" s="146"/>
      <c r="AG549" s="32"/>
      <c r="AH549" s="146"/>
      <c r="AI549" s="32"/>
      <c r="AJ549" s="146"/>
      <c r="AK549" s="32"/>
      <c r="AL549" s="146"/>
      <c r="AM549" s="32"/>
      <c r="AN549" s="146"/>
      <c r="AO549" s="32"/>
      <c r="AP549" s="146"/>
      <c r="AQ549" s="32"/>
      <c r="AR549" s="146"/>
      <c r="AS549" s="32"/>
      <c r="AT549" s="146"/>
      <c r="AU549" s="32"/>
      <c r="AV549" s="146"/>
      <c r="AW549" s="32"/>
      <c r="AX549" s="146"/>
      <c r="AY549" s="32"/>
      <c r="AZ549" s="146"/>
      <c r="BA549" s="32"/>
      <c r="BB549" s="146">
        <v>595</v>
      </c>
      <c r="BC549" s="32">
        <v>468</v>
      </c>
      <c r="BD549" s="146"/>
      <c r="BE549" s="32"/>
      <c r="BF549" s="146"/>
      <c r="BG549" s="32"/>
      <c r="BH549" s="146"/>
      <c r="BI549" s="32"/>
      <c r="BJ549" s="146"/>
      <c r="BK549" s="32"/>
      <c r="BL549" s="146"/>
      <c r="BM549" s="32"/>
      <c r="BN549" s="146"/>
      <c r="BO549" s="32"/>
      <c r="BP549" s="146"/>
      <c r="BQ549" s="32"/>
      <c r="BR549" s="146"/>
      <c r="BS549" s="32"/>
      <c r="BT549" s="146">
        <v>637</v>
      </c>
      <c r="BU549" s="32">
        <v>423</v>
      </c>
      <c r="BV549" s="146">
        <v>646</v>
      </c>
      <c r="BW549" s="32">
        <v>422</v>
      </c>
    </row>
    <row r="550" spans="1:75" ht="13" x14ac:dyDescent="0.25">
      <c r="A550" s="186">
        <v>9104</v>
      </c>
      <c r="B550" s="187" t="s">
        <v>572</v>
      </c>
      <c r="C550" s="46">
        <v>1089</v>
      </c>
      <c r="D550" s="142">
        <v>819</v>
      </c>
      <c r="E550" s="145">
        <f t="shared" si="8"/>
        <v>0.75206611570247939</v>
      </c>
      <c r="F550" s="146">
        <v>432</v>
      </c>
      <c r="G550" s="32">
        <v>362</v>
      </c>
      <c r="H550" s="146"/>
      <c r="I550" s="32"/>
      <c r="J550" s="146"/>
      <c r="K550" s="32"/>
      <c r="L550" s="146"/>
      <c r="M550" s="32"/>
      <c r="N550" s="146"/>
      <c r="O550" s="32"/>
      <c r="P550" s="146"/>
      <c r="Q550" s="32"/>
      <c r="R550" s="146"/>
      <c r="S550" s="32"/>
      <c r="T550" s="146"/>
      <c r="U550" s="32"/>
      <c r="V550" s="146"/>
      <c r="W550" s="32"/>
      <c r="X550" s="146"/>
      <c r="Y550" s="32"/>
      <c r="Z550" s="146"/>
      <c r="AA550" s="32"/>
      <c r="AB550" s="146"/>
      <c r="AC550" s="32"/>
      <c r="AD550" s="146"/>
      <c r="AE550" s="32"/>
      <c r="AF550" s="146"/>
      <c r="AG550" s="32"/>
      <c r="AH550" s="146"/>
      <c r="AI550" s="32"/>
      <c r="AJ550" s="146"/>
      <c r="AK550" s="32"/>
      <c r="AL550" s="146"/>
      <c r="AM550" s="32"/>
      <c r="AN550" s="146"/>
      <c r="AO550" s="32"/>
      <c r="AP550" s="146"/>
      <c r="AQ550" s="32"/>
      <c r="AR550" s="146"/>
      <c r="AS550" s="32"/>
      <c r="AT550" s="146"/>
      <c r="AU550" s="32"/>
      <c r="AV550" s="146"/>
      <c r="AW550" s="32"/>
      <c r="AX550" s="146"/>
      <c r="AY550" s="32"/>
      <c r="AZ550" s="146"/>
      <c r="BA550" s="32"/>
      <c r="BB550" s="146">
        <v>445</v>
      </c>
      <c r="BC550" s="32">
        <v>352</v>
      </c>
      <c r="BD550" s="146"/>
      <c r="BE550" s="32"/>
      <c r="BF550" s="146"/>
      <c r="BG550" s="32"/>
      <c r="BH550" s="146"/>
      <c r="BI550" s="32"/>
      <c r="BJ550" s="146"/>
      <c r="BK550" s="32"/>
      <c r="BL550" s="146"/>
      <c r="BM550" s="32"/>
      <c r="BN550" s="146"/>
      <c r="BO550" s="32"/>
      <c r="BP550" s="146"/>
      <c r="BQ550" s="32"/>
      <c r="BR550" s="146"/>
      <c r="BS550" s="32"/>
      <c r="BT550" s="146">
        <v>499</v>
      </c>
      <c r="BU550" s="32">
        <v>294</v>
      </c>
      <c r="BV550" s="146">
        <v>514</v>
      </c>
      <c r="BW550" s="32">
        <v>283</v>
      </c>
    </row>
    <row r="551" spans="1:75" ht="13" x14ac:dyDescent="0.25">
      <c r="A551" s="186">
        <v>9105</v>
      </c>
      <c r="B551" s="187" t="s">
        <v>573</v>
      </c>
      <c r="C551" s="46">
        <v>1096</v>
      </c>
      <c r="D551" s="142">
        <v>920</v>
      </c>
      <c r="E551" s="145">
        <f t="shared" si="8"/>
        <v>0.83941605839416056</v>
      </c>
      <c r="F551" s="146">
        <v>413</v>
      </c>
      <c r="G551" s="32">
        <v>462</v>
      </c>
      <c r="H551" s="146"/>
      <c r="I551" s="32"/>
      <c r="J551" s="146"/>
      <c r="K551" s="32"/>
      <c r="L551" s="146"/>
      <c r="M551" s="32"/>
      <c r="N551" s="146"/>
      <c r="O551" s="32"/>
      <c r="P551" s="146"/>
      <c r="Q551" s="32"/>
      <c r="R551" s="146"/>
      <c r="S551" s="32"/>
      <c r="T551" s="146"/>
      <c r="U551" s="32"/>
      <c r="V551" s="146"/>
      <c r="W551" s="32"/>
      <c r="X551" s="146"/>
      <c r="Y551" s="32"/>
      <c r="Z551" s="146"/>
      <c r="AA551" s="32"/>
      <c r="AB551" s="146"/>
      <c r="AC551" s="32"/>
      <c r="AD551" s="146"/>
      <c r="AE551" s="32"/>
      <c r="AF551" s="146"/>
      <c r="AG551" s="32"/>
      <c r="AH551" s="146"/>
      <c r="AI551" s="32"/>
      <c r="AJ551" s="146"/>
      <c r="AK551" s="32"/>
      <c r="AL551" s="146"/>
      <c r="AM551" s="32"/>
      <c r="AN551" s="146"/>
      <c r="AO551" s="32"/>
      <c r="AP551" s="146"/>
      <c r="AQ551" s="32"/>
      <c r="AR551" s="146"/>
      <c r="AS551" s="32"/>
      <c r="AT551" s="146"/>
      <c r="AU551" s="32"/>
      <c r="AV551" s="146"/>
      <c r="AW551" s="32"/>
      <c r="AX551" s="146"/>
      <c r="AY551" s="32"/>
      <c r="AZ551" s="146"/>
      <c r="BA551" s="32"/>
      <c r="BB551" s="146">
        <v>498</v>
      </c>
      <c r="BC551" s="32">
        <v>394</v>
      </c>
      <c r="BD551" s="146"/>
      <c r="BE551" s="32"/>
      <c r="BF551" s="146"/>
      <c r="BG551" s="32"/>
      <c r="BH551" s="146"/>
      <c r="BI551" s="32"/>
      <c r="BJ551" s="146"/>
      <c r="BK551" s="32"/>
      <c r="BL551" s="146"/>
      <c r="BM551" s="32"/>
      <c r="BN551" s="146"/>
      <c r="BO551" s="32"/>
      <c r="BP551" s="146"/>
      <c r="BQ551" s="32"/>
      <c r="BR551" s="146"/>
      <c r="BS551" s="32"/>
      <c r="BT551" s="146">
        <v>552</v>
      </c>
      <c r="BU551" s="32">
        <v>328</v>
      </c>
      <c r="BV551" s="146">
        <v>558</v>
      </c>
      <c r="BW551" s="32">
        <v>328</v>
      </c>
    </row>
    <row r="552" spans="1:75" ht="13" x14ac:dyDescent="0.25">
      <c r="A552" s="186">
        <v>9106</v>
      </c>
      <c r="B552" s="187" t="s">
        <v>574</v>
      </c>
      <c r="C552" s="46">
        <v>1474</v>
      </c>
      <c r="D552" s="142">
        <v>1066</v>
      </c>
      <c r="E552" s="145">
        <f t="shared" si="8"/>
        <v>0.72320217096336503</v>
      </c>
      <c r="F552" s="146">
        <v>532</v>
      </c>
      <c r="G552" s="32">
        <v>490</v>
      </c>
      <c r="H552" s="146"/>
      <c r="I552" s="32"/>
      <c r="J552" s="146"/>
      <c r="K552" s="32"/>
      <c r="L552" s="146"/>
      <c r="M552" s="32"/>
      <c r="N552" s="146"/>
      <c r="O552" s="32"/>
      <c r="P552" s="146"/>
      <c r="Q552" s="32"/>
      <c r="R552" s="146"/>
      <c r="S552" s="32"/>
      <c r="T552" s="146"/>
      <c r="U552" s="32"/>
      <c r="V552" s="146"/>
      <c r="W552" s="32"/>
      <c r="X552" s="146"/>
      <c r="Y552" s="32"/>
      <c r="Z552" s="146"/>
      <c r="AA552" s="32"/>
      <c r="AB552" s="146"/>
      <c r="AC552" s="32"/>
      <c r="AD552" s="146"/>
      <c r="AE552" s="32"/>
      <c r="AF552" s="146"/>
      <c r="AG552" s="32"/>
      <c r="AH552" s="146"/>
      <c r="AI552" s="32"/>
      <c r="AJ552" s="146"/>
      <c r="AK552" s="32"/>
      <c r="AL552" s="146"/>
      <c r="AM552" s="32"/>
      <c r="AN552" s="146"/>
      <c r="AO552" s="32"/>
      <c r="AP552" s="146"/>
      <c r="AQ552" s="32"/>
      <c r="AR552" s="146"/>
      <c r="AS552" s="32"/>
      <c r="AT552" s="146"/>
      <c r="AU552" s="32"/>
      <c r="AV552" s="146"/>
      <c r="AW552" s="32"/>
      <c r="AX552" s="146"/>
      <c r="AY552" s="32"/>
      <c r="AZ552" s="146"/>
      <c r="BA552" s="32"/>
      <c r="BB552" s="146">
        <v>581</v>
      </c>
      <c r="BC552" s="32">
        <v>431</v>
      </c>
      <c r="BD552" s="146"/>
      <c r="BE552" s="32"/>
      <c r="BF552" s="146"/>
      <c r="BG552" s="32"/>
      <c r="BH552" s="146"/>
      <c r="BI552" s="32"/>
      <c r="BJ552" s="146"/>
      <c r="BK552" s="32"/>
      <c r="BL552" s="146"/>
      <c r="BM552" s="32"/>
      <c r="BN552" s="146"/>
      <c r="BO552" s="32"/>
      <c r="BP552" s="146"/>
      <c r="BQ552" s="32"/>
      <c r="BR552" s="146"/>
      <c r="BS552" s="32"/>
      <c r="BT552" s="146">
        <v>641</v>
      </c>
      <c r="BU552" s="32">
        <v>364</v>
      </c>
      <c r="BV552" s="146">
        <v>682</v>
      </c>
      <c r="BW552" s="32">
        <v>328</v>
      </c>
    </row>
    <row r="553" spans="1:75" ht="13" x14ac:dyDescent="0.25">
      <c r="A553" s="186">
        <v>9107</v>
      </c>
      <c r="B553" s="187" t="s">
        <v>575</v>
      </c>
      <c r="C553" s="46">
        <v>695</v>
      </c>
      <c r="D553" s="142">
        <v>553</v>
      </c>
      <c r="E553" s="145">
        <f t="shared" si="8"/>
        <v>0.79568345323741008</v>
      </c>
      <c r="F553" s="146">
        <v>280</v>
      </c>
      <c r="G553" s="32">
        <v>258</v>
      </c>
      <c r="H553" s="146"/>
      <c r="I553" s="32"/>
      <c r="J553" s="146"/>
      <c r="K553" s="32"/>
      <c r="L553" s="146"/>
      <c r="M553" s="32"/>
      <c r="N553" s="146"/>
      <c r="O553" s="32"/>
      <c r="P553" s="146"/>
      <c r="Q553" s="32"/>
      <c r="R553" s="146"/>
      <c r="S553" s="32"/>
      <c r="T553" s="146"/>
      <c r="U553" s="32"/>
      <c r="V553" s="146"/>
      <c r="W553" s="32"/>
      <c r="X553" s="146"/>
      <c r="Y553" s="32"/>
      <c r="Z553" s="146"/>
      <c r="AA553" s="32"/>
      <c r="AB553" s="146"/>
      <c r="AC553" s="32"/>
      <c r="AD553" s="146"/>
      <c r="AE553" s="32"/>
      <c r="AF553" s="146"/>
      <c r="AG553" s="32"/>
      <c r="AH553" s="146"/>
      <c r="AI553" s="32"/>
      <c r="AJ553" s="146"/>
      <c r="AK553" s="32"/>
      <c r="AL553" s="146"/>
      <c r="AM553" s="32"/>
      <c r="AN553" s="146"/>
      <c r="AO553" s="32"/>
      <c r="AP553" s="146"/>
      <c r="AQ553" s="32"/>
      <c r="AR553" s="146"/>
      <c r="AS553" s="32"/>
      <c r="AT553" s="146"/>
      <c r="AU553" s="32"/>
      <c r="AV553" s="146"/>
      <c r="AW553" s="32"/>
      <c r="AX553" s="146"/>
      <c r="AY553" s="32"/>
      <c r="AZ553" s="146"/>
      <c r="BA553" s="32"/>
      <c r="BB553" s="146">
        <v>318</v>
      </c>
      <c r="BC553" s="32">
        <v>221</v>
      </c>
      <c r="BD553" s="146"/>
      <c r="BE553" s="32"/>
      <c r="BF553" s="146"/>
      <c r="BG553" s="32"/>
      <c r="BH553" s="146"/>
      <c r="BI553" s="32"/>
      <c r="BJ553" s="146"/>
      <c r="BK553" s="32"/>
      <c r="BL553" s="146"/>
      <c r="BM553" s="32"/>
      <c r="BN553" s="146"/>
      <c r="BO553" s="32"/>
      <c r="BP553" s="146"/>
      <c r="BQ553" s="32"/>
      <c r="BR553" s="146"/>
      <c r="BS553" s="32"/>
      <c r="BT553" s="146">
        <v>337</v>
      </c>
      <c r="BU553" s="32">
        <v>202</v>
      </c>
      <c r="BV553" s="146">
        <v>332</v>
      </c>
      <c r="BW553" s="32">
        <v>206</v>
      </c>
    </row>
    <row r="554" spans="1:75" ht="13" x14ac:dyDescent="0.25">
      <c r="A554" s="186">
        <v>9108</v>
      </c>
      <c r="B554" s="187" t="s">
        <v>576</v>
      </c>
      <c r="C554" s="46">
        <v>493</v>
      </c>
      <c r="D554" s="142">
        <v>400</v>
      </c>
      <c r="E554" s="145">
        <f t="shared" si="8"/>
        <v>0.81135902636916835</v>
      </c>
      <c r="F554" s="146">
        <v>175</v>
      </c>
      <c r="G554" s="32">
        <v>213</v>
      </c>
      <c r="H554" s="146"/>
      <c r="I554" s="32"/>
      <c r="J554" s="146"/>
      <c r="K554" s="32"/>
      <c r="L554" s="146"/>
      <c r="M554" s="32"/>
      <c r="N554" s="146"/>
      <c r="O554" s="32"/>
      <c r="P554" s="146"/>
      <c r="Q554" s="32"/>
      <c r="R554" s="146"/>
      <c r="S554" s="32"/>
      <c r="T554" s="146"/>
      <c r="U554" s="32"/>
      <c r="V554" s="146"/>
      <c r="W554" s="32"/>
      <c r="X554" s="146"/>
      <c r="Y554" s="32"/>
      <c r="Z554" s="146"/>
      <c r="AA554" s="32"/>
      <c r="AB554" s="146"/>
      <c r="AC554" s="32"/>
      <c r="AD554" s="146"/>
      <c r="AE554" s="32"/>
      <c r="AF554" s="146"/>
      <c r="AG554" s="32"/>
      <c r="AH554" s="146"/>
      <c r="AI554" s="32"/>
      <c r="AJ554" s="146"/>
      <c r="AK554" s="32"/>
      <c r="AL554" s="146"/>
      <c r="AM554" s="32"/>
      <c r="AN554" s="146"/>
      <c r="AO554" s="32"/>
      <c r="AP554" s="146"/>
      <c r="AQ554" s="32"/>
      <c r="AR554" s="146"/>
      <c r="AS554" s="32"/>
      <c r="AT554" s="146"/>
      <c r="AU554" s="32"/>
      <c r="AV554" s="146"/>
      <c r="AW554" s="32"/>
      <c r="AX554" s="146"/>
      <c r="AY554" s="32"/>
      <c r="AZ554" s="146"/>
      <c r="BA554" s="32"/>
      <c r="BB554" s="146">
        <v>182</v>
      </c>
      <c r="BC554" s="32">
        <v>204</v>
      </c>
      <c r="BD554" s="146"/>
      <c r="BE554" s="32"/>
      <c r="BF554" s="146"/>
      <c r="BG554" s="32"/>
      <c r="BH554" s="146"/>
      <c r="BI554" s="32"/>
      <c r="BJ554" s="146"/>
      <c r="BK554" s="32"/>
      <c r="BL554" s="146"/>
      <c r="BM554" s="32"/>
      <c r="BN554" s="146"/>
      <c r="BO554" s="32"/>
      <c r="BP554" s="146"/>
      <c r="BQ554" s="32"/>
      <c r="BR554" s="146"/>
      <c r="BS554" s="32"/>
      <c r="BT554" s="146">
        <v>207</v>
      </c>
      <c r="BU554" s="32">
        <v>179</v>
      </c>
      <c r="BV554" s="146">
        <v>215</v>
      </c>
      <c r="BW554" s="32">
        <v>173</v>
      </c>
    </row>
    <row r="555" spans="1:75" ht="13" x14ac:dyDescent="0.25">
      <c r="A555" s="186">
        <v>9109</v>
      </c>
      <c r="B555" s="187" t="s">
        <v>577</v>
      </c>
      <c r="C555" s="46">
        <v>946</v>
      </c>
      <c r="D555" s="142">
        <v>627</v>
      </c>
      <c r="E555" s="145">
        <f t="shared" si="8"/>
        <v>0.66279069767441856</v>
      </c>
      <c r="F555" s="146">
        <v>365</v>
      </c>
      <c r="G555" s="32">
        <v>232</v>
      </c>
      <c r="H555" s="146"/>
      <c r="I555" s="32"/>
      <c r="J555" s="146"/>
      <c r="K555" s="32"/>
      <c r="L555" s="146"/>
      <c r="M555" s="32"/>
      <c r="N555" s="146"/>
      <c r="O555" s="32"/>
      <c r="P555" s="146"/>
      <c r="Q555" s="32"/>
      <c r="R555" s="146"/>
      <c r="S555" s="32"/>
      <c r="T555" s="146"/>
      <c r="U555" s="32"/>
      <c r="V555" s="146"/>
      <c r="W555" s="32"/>
      <c r="X555" s="146"/>
      <c r="Y555" s="32"/>
      <c r="Z555" s="146"/>
      <c r="AA555" s="32"/>
      <c r="AB555" s="146"/>
      <c r="AC555" s="32"/>
      <c r="AD555" s="146"/>
      <c r="AE555" s="32"/>
      <c r="AF555" s="146"/>
      <c r="AG555" s="32"/>
      <c r="AH555" s="146"/>
      <c r="AI555" s="32"/>
      <c r="AJ555" s="146"/>
      <c r="AK555" s="32"/>
      <c r="AL555" s="146"/>
      <c r="AM555" s="32"/>
      <c r="AN555" s="146"/>
      <c r="AO555" s="32"/>
      <c r="AP555" s="146"/>
      <c r="AQ555" s="32"/>
      <c r="AR555" s="146"/>
      <c r="AS555" s="32"/>
      <c r="AT555" s="146"/>
      <c r="AU555" s="32"/>
      <c r="AV555" s="146"/>
      <c r="AW555" s="32"/>
      <c r="AX555" s="146"/>
      <c r="AY555" s="32"/>
      <c r="AZ555" s="146"/>
      <c r="BA555" s="32"/>
      <c r="BB555" s="146">
        <v>337</v>
      </c>
      <c r="BC555" s="32">
        <v>247</v>
      </c>
      <c r="BD555" s="146"/>
      <c r="BE555" s="32"/>
      <c r="BF555" s="146"/>
      <c r="BG555" s="32"/>
      <c r="BH555" s="146"/>
      <c r="BI555" s="32"/>
      <c r="BJ555" s="146"/>
      <c r="BK555" s="32"/>
      <c r="BL555" s="146"/>
      <c r="BM555" s="32"/>
      <c r="BN555" s="146"/>
      <c r="BO555" s="32"/>
      <c r="BP555" s="146"/>
      <c r="BQ555" s="32"/>
      <c r="BR555" s="146"/>
      <c r="BS555" s="32"/>
      <c r="BT555" s="146">
        <v>386</v>
      </c>
      <c r="BU555" s="32">
        <v>204</v>
      </c>
      <c r="BV555" s="146">
        <v>385</v>
      </c>
      <c r="BW555" s="32">
        <v>206</v>
      </c>
    </row>
    <row r="556" spans="1:75" ht="13" x14ac:dyDescent="0.25">
      <c r="A556" s="186">
        <v>9110</v>
      </c>
      <c r="B556" s="187" t="s">
        <v>578</v>
      </c>
      <c r="C556" s="46">
        <v>1240</v>
      </c>
      <c r="D556" s="142">
        <v>943</v>
      </c>
      <c r="E556" s="145">
        <f t="shared" si="8"/>
        <v>0.76048387096774195</v>
      </c>
      <c r="F556" s="146">
        <v>416</v>
      </c>
      <c r="G556" s="32">
        <v>475</v>
      </c>
      <c r="H556" s="146"/>
      <c r="I556" s="32"/>
      <c r="J556" s="146"/>
      <c r="K556" s="32"/>
      <c r="L556" s="146"/>
      <c r="M556" s="32"/>
      <c r="N556" s="146"/>
      <c r="O556" s="32"/>
      <c r="P556" s="146"/>
      <c r="Q556" s="32"/>
      <c r="R556" s="146"/>
      <c r="S556" s="32"/>
      <c r="T556" s="146"/>
      <c r="U556" s="32"/>
      <c r="V556" s="146"/>
      <c r="W556" s="32"/>
      <c r="X556" s="146"/>
      <c r="Y556" s="32"/>
      <c r="Z556" s="146"/>
      <c r="AA556" s="32"/>
      <c r="AB556" s="146"/>
      <c r="AC556" s="32"/>
      <c r="AD556" s="146"/>
      <c r="AE556" s="32"/>
      <c r="AF556" s="146"/>
      <c r="AG556" s="32"/>
      <c r="AH556" s="146"/>
      <c r="AI556" s="32"/>
      <c r="AJ556" s="146"/>
      <c r="AK556" s="32"/>
      <c r="AL556" s="146"/>
      <c r="AM556" s="32"/>
      <c r="AN556" s="146"/>
      <c r="AO556" s="32"/>
      <c r="AP556" s="146"/>
      <c r="AQ556" s="32"/>
      <c r="AR556" s="146"/>
      <c r="AS556" s="32"/>
      <c r="AT556" s="146"/>
      <c r="AU556" s="32"/>
      <c r="AV556" s="146"/>
      <c r="AW556" s="32"/>
      <c r="AX556" s="146"/>
      <c r="AY556" s="32"/>
      <c r="AZ556" s="146"/>
      <c r="BA556" s="32"/>
      <c r="BB556" s="146">
        <v>463</v>
      </c>
      <c r="BC556" s="32">
        <v>434</v>
      </c>
      <c r="BD556" s="146"/>
      <c r="BE556" s="32"/>
      <c r="BF556" s="146"/>
      <c r="BG556" s="32"/>
      <c r="BH556" s="146"/>
      <c r="BI556" s="32"/>
      <c r="BJ556" s="146"/>
      <c r="BK556" s="32"/>
      <c r="BL556" s="146"/>
      <c r="BM556" s="32"/>
      <c r="BN556" s="146"/>
      <c r="BO556" s="32"/>
      <c r="BP556" s="146"/>
      <c r="BQ556" s="32"/>
      <c r="BR556" s="146"/>
      <c r="BS556" s="32"/>
      <c r="BT556" s="146">
        <v>503</v>
      </c>
      <c r="BU556" s="32">
        <v>388</v>
      </c>
      <c r="BV556" s="146">
        <v>514</v>
      </c>
      <c r="BW556" s="32">
        <v>383</v>
      </c>
    </row>
    <row r="557" spans="1:75" ht="13" x14ac:dyDescent="0.25">
      <c r="A557" s="186">
        <v>9111</v>
      </c>
      <c r="B557" s="187" t="s">
        <v>579</v>
      </c>
      <c r="C557" s="46">
        <v>432</v>
      </c>
      <c r="D557" s="142">
        <v>341</v>
      </c>
      <c r="E557" s="145">
        <f t="shared" si="8"/>
        <v>0.78935185185185186</v>
      </c>
      <c r="F557" s="146">
        <v>138</v>
      </c>
      <c r="G557" s="32">
        <v>186</v>
      </c>
      <c r="H557" s="146"/>
      <c r="I557" s="32"/>
      <c r="J557" s="146"/>
      <c r="K557" s="32"/>
      <c r="L557" s="146"/>
      <c r="M557" s="32"/>
      <c r="N557" s="146"/>
      <c r="O557" s="32"/>
      <c r="P557" s="146"/>
      <c r="Q557" s="32"/>
      <c r="R557" s="146"/>
      <c r="S557" s="32"/>
      <c r="T557" s="146"/>
      <c r="U557" s="32"/>
      <c r="V557" s="146"/>
      <c r="W557" s="32"/>
      <c r="X557" s="146"/>
      <c r="Y557" s="32"/>
      <c r="Z557" s="146"/>
      <c r="AA557" s="32"/>
      <c r="AB557" s="146"/>
      <c r="AC557" s="32"/>
      <c r="AD557" s="146"/>
      <c r="AE557" s="32"/>
      <c r="AF557" s="146"/>
      <c r="AG557" s="32"/>
      <c r="AH557" s="146"/>
      <c r="AI557" s="32"/>
      <c r="AJ557" s="146"/>
      <c r="AK557" s="32"/>
      <c r="AL557" s="146"/>
      <c r="AM557" s="32"/>
      <c r="AN557" s="146"/>
      <c r="AO557" s="32"/>
      <c r="AP557" s="146"/>
      <c r="AQ557" s="32"/>
      <c r="AR557" s="146"/>
      <c r="AS557" s="32"/>
      <c r="AT557" s="146"/>
      <c r="AU557" s="32"/>
      <c r="AV557" s="146"/>
      <c r="AW557" s="32"/>
      <c r="AX557" s="146"/>
      <c r="AY557" s="32"/>
      <c r="AZ557" s="146"/>
      <c r="BA557" s="32"/>
      <c r="BB557" s="146">
        <v>123</v>
      </c>
      <c r="BC557" s="32">
        <v>205</v>
      </c>
      <c r="BD557" s="146"/>
      <c r="BE557" s="32"/>
      <c r="BF557" s="146"/>
      <c r="BG557" s="32"/>
      <c r="BH557" s="146"/>
      <c r="BI557" s="32"/>
      <c r="BJ557" s="146"/>
      <c r="BK557" s="32"/>
      <c r="BL557" s="146"/>
      <c r="BM557" s="32"/>
      <c r="BN557" s="146"/>
      <c r="BO557" s="32"/>
      <c r="BP557" s="146"/>
      <c r="BQ557" s="32"/>
      <c r="BR557" s="146"/>
      <c r="BS557" s="32"/>
      <c r="BT557" s="146">
        <v>147</v>
      </c>
      <c r="BU557" s="32">
        <v>179</v>
      </c>
      <c r="BV557" s="146">
        <v>151</v>
      </c>
      <c r="BW557" s="32">
        <v>173</v>
      </c>
    </row>
    <row r="558" spans="1:75" ht="13" x14ac:dyDescent="0.25">
      <c r="A558" s="186">
        <v>9112</v>
      </c>
      <c r="B558" s="187" t="s">
        <v>580</v>
      </c>
      <c r="C558" s="46">
        <v>1142</v>
      </c>
      <c r="D558" s="142">
        <v>918</v>
      </c>
      <c r="E558" s="145">
        <f t="shared" si="8"/>
        <v>0.80385288966725044</v>
      </c>
      <c r="F558" s="146">
        <v>442</v>
      </c>
      <c r="G558" s="32">
        <v>439</v>
      </c>
      <c r="H558" s="146"/>
      <c r="I558" s="32"/>
      <c r="J558" s="146"/>
      <c r="K558" s="32"/>
      <c r="L558" s="146"/>
      <c r="M558" s="32"/>
      <c r="N558" s="146"/>
      <c r="O558" s="32"/>
      <c r="P558" s="146"/>
      <c r="Q558" s="32"/>
      <c r="R558" s="146"/>
      <c r="S558" s="32"/>
      <c r="T558" s="146"/>
      <c r="U558" s="32"/>
      <c r="V558" s="146"/>
      <c r="W558" s="32"/>
      <c r="X558" s="146"/>
      <c r="Y558" s="32"/>
      <c r="Z558" s="146"/>
      <c r="AA558" s="32"/>
      <c r="AB558" s="146"/>
      <c r="AC558" s="32"/>
      <c r="AD558" s="146"/>
      <c r="AE558" s="32"/>
      <c r="AF558" s="146"/>
      <c r="AG558" s="32"/>
      <c r="AH558" s="146"/>
      <c r="AI558" s="32"/>
      <c r="AJ558" s="146"/>
      <c r="AK558" s="32"/>
      <c r="AL558" s="146"/>
      <c r="AM558" s="32"/>
      <c r="AN558" s="146"/>
      <c r="AO558" s="32"/>
      <c r="AP558" s="146"/>
      <c r="AQ558" s="32"/>
      <c r="AR558" s="146"/>
      <c r="AS558" s="32"/>
      <c r="AT558" s="146"/>
      <c r="AU558" s="32"/>
      <c r="AV558" s="146"/>
      <c r="AW558" s="32"/>
      <c r="AX558" s="146"/>
      <c r="AY558" s="32"/>
      <c r="AZ558" s="146"/>
      <c r="BA558" s="32"/>
      <c r="BB558" s="146">
        <v>431</v>
      </c>
      <c r="BC558" s="32">
        <v>443</v>
      </c>
      <c r="BD558" s="146"/>
      <c r="BE558" s="32"/>
      <c r="BF558" s="146"/>
      <c r="BG558" s="32"/>
      <c r="BH558" s="146"/>
      <c r="BI558" s="32"/>
      <c r="BJ558" s="146"/>
      <c r="BK558" s="32"/>
      <c r="BL558" s="146"/>
      <c r="BM558" s="32"/>
      <c r="BN558" s="146"/>
      <c r="BO558" s="32"/>
      <c r="BP558" s="146"/>
      <c r="BQ558" s="32"/>
      <c r="BR558" s="146"/>
      <c r="BS558" s="32"/>
      <c r="BT558" s="146">
        <v>492</v>
      </c>
      <c r="BU558" s="32">
        <v>381</v>
      </c>
      <c r="BV558" s="146">
        <v>506</v>
      </c>
      <c r="BW558" s="32">
        <v>371</v>
      </c>
    </row>
    <row r="559" spans="1:75" ht="13" x14ac:dyDescent="0.25">
      <c r="A559" s="186">
        <v>9301</v>
      </c>
      <c r="B559" s="187" t="s">
        <v>581</v>
      </c>
      <c r="C559" s="46">
        <v>1255</v>
      </c>
      <c r="D559" s="142">
        <v>1014</v>
      </c>
      <c r="E559" s="145">
        <f t="shared" si="8"/>
        <v>0.80796812749003988</v>
      </c>
      <c r="F559" s="146">
        <v>500</v>
      </c>
      <c r="G559" s="32">
        <v>462</v>
      </c>
      <c r="H559" s="146"/>
      <c r="I559" s="32"/>
      <c r="J559" s="146"/>
      <c r="K559" s="32"/>
      <c r="L559" s="146"/>
      <c r="M559" s="32"/>
      <c r="N559" s="146"/>
      <c r="O559" s="32"/>
      <c r="P559" s="146"/>
      <c r="Q559" s="32"/>
      <c r="R559" s="146"/>
      <c r="S559" s="32"/>
      <c r="T559" s="146"/>
      <c r="U559" s="32"/>
      <c r="V559" s="146"/>
      <c r="W559" s="32"/>
      <c r="X559" s="146"/>
      <c r="Y559" s="32"/>
      <c r="Z559" s="146"/>
      <c r="AA559" s="32"/>
      <c r="AB559" s="146"/>
      <c r="AC559" s="32"/>
      <c r="AD559" s="146"/>
      <c r="AE559" s="32"/>
      <c r="AF559" s="146"/>
      <c r="AG559" s="32"/>
      <c r="AH559" s="146"/>
      <c r="AI559" s="32"/>
      <c r="AJ559" s="146"/>
      <c r="AK559" s="32"/>
      <c r="AL559" s="146"/>
      <c r="AM559" s="32"/>
      <c r="AN559" s="146"/>
      <c r="AO559" s="32"/>
      <c r="AP559" s="146"/>
      <c r="AQ559" s="32"/>
      <c r="AR559" s="146"/>
      <c r="AS559" s="32"/>
      <c r="AT559" s="146"/>
      <c r="AU559" s="32"/>
      <c r="AV559" s="146"/>
      <c r="AW559" s="32"/>
      <c r="AX559" s="146"/>
      <c r="AY559" s="32"/>
      <c r="AZ559" s="146"/>
      <c r="BA559" s="32"/>
      <c r="BB559" s="146"/>
      <c r="BC559" s="32"/>
      <c r="BD559" s="146"/>
      <c r="BE559" s="32"/>
      <c r="BF559" s="146">
        <v>671</v>
      </c>
      <c r="BG559" s="32">
        <v>322</v>
      </c>
      <c r="BH559" s="146"/>
      <c r="BI559" s="32"/>
      <c r="BJ559" s="146"/>
      <c r="BK559" s="32"/>
      <c r="BL559" s="146"/>
      <c r="BM559" s="32"/>
      <c r="BN559" s="146"/>
      <c r="BO559" s="32"/>
      <c r="BP559" s="146"/>
      <c r="BQ559" s="32"/>
      <c r="BR559" s="146"/>
      <c r="BS559" s="32"/>
      <c r="BT559" s="146">
        <v>684</v>
      </c>
      <c r="BU559" s="32">
        <v>288</v>
      </c>
      <c r="BV559" s="146">
        <v>691</v>
      </c>
      <c r="BW559" s="32">
        <v>281</v>
      </c>
    </row>
    <row r="560" spans="1:75" ht="13" x14ac:dyDescent="0.25">
      <c r="A560" s="186">
        <v>9302</v>
      </c>
      <c r="B560" s="187" t="s">
        <v>582</v>
      </c>
      <c r="C560" s="46">
        <v>684</v>
      </c>
      <c r="D560" s="142">
        <v>538</v>
      </c>
      <c r="E560" s="145">
        <f t="shared" si="8"/>
        <v>0.78654970760233922</v>
      </c>
      <c r="F560" s="146">
        <v>280</v>
      </c>
      <c r="G560" s="32">
        <v>229</v>
      </c>
      <c r="H560" s="146"/>
      <c r="I560" s="32"/>
      <c r="J560" s="146"/>
      <c r="K560" s="32"/>
      <c r="L560" s="146"/>
      <c r="M560" s="32"/>
      <c r="N560" s="146"/>
      <c r="O560" s="32"/>
      <c r="P560" s="146"/>
      <c r="Q560" s="32"/>
      <c r="R560" s="146"/>
      <c r="S560" s="32"/>
      <c r="T560" s="146"/>
      <c r="U560" s="32"/>
      <c r="V560" s="146"/>
      <c r="W560" s="32"/>
      <c r="X560" s="146"/>
      <c r="Y560" s="32"/>
      <c r="Z560" s="146"/>
      <c r="AA560" s="32"/>
      <c r="AB560" s="146"/>
      <c r="AC560" s="32"/>
      <c r="AD560" s="146"/>
      <c r="AE560" s="32"/>
      <c r="AF560" s="146"/>
      <c r="AG560" s="32"/>
      <c r="AH560" s="146"/>
      <c r="AI560" s="32"/>
      <c r="AJ560" s="146"/>
      <c r="AK560" s="32"/>
      <c r="AL560" s="146"/>
      <c r="AM560" s="32"/>
      <c r="AN560" s="146"/>
      <c r="AO560" s="32"/>
      <c r="AP560" s="146"/>
      <c r="AQ560" s="32"/>
      <c r="AR560" s="146"/>
      <c r="AS560" s="32"/>
      <c r="AT560" s="146"/>
      <c r="AU560" s="32"/>
      <c r="AV560" s="146"/>
      <c r="AW560" s="32"/>
      <c r="AX560" s="146"/>
      <c r="AY560" s="32"/>
      <c r="AZ560" s="146"/>
      <c r="BA560" s="32"/>
      <c r="BB560" s="146"/>
      <c r="BC560" s="32"/>
      <c r="BD560" s="146"/>
      <c r="BE560" s="32"/>
      <c r="BF560" s="146">
        <v>382</v>
      </c>
      <c r="BG560" s="32">
        <v>144</v>
      </c>
      <c r="BH560" s="146"/>
      <c r="BI560" s="32"/>
      <c r="BJ560" s="146"/>
      <c r="BK560" s="32"/>
      <c r="BL560" s="146"/>
      <c r="BM560" s="32"/>
      <c r="BN560" s="146"/>
      <c r="BO560" s="32"/>
      <c r="BP560" s="146"/>
      <c r="BQ560" s="32"/>
      <c r="BR560" s="146"/>
      <c r="BS560" s="32"/>
      <c r="BT560" s="146">
        <v>373</v>
      </c>
      <c r="BU560" s="32">
        <v>131</v>
      </c>
      <c r="BV560" s="146">
        <v>380</v>
      </c>
      <c r="BW560" s="32">
        <v>127</v>
      </c>
    </row>
    <row r="561" spans="1:75" ht="13" x14ac:dyDescent="0.25">
      <c r="A561" s="186">
        <v>9501</v>
      </c>
      <c r="B561" s="187" t="s">
        <v>583</v>
      </c>
      <c r="C561" s="46">
        <v>1415</v>
      </c>
      <c r="D561" s="142">
        <v>923</v>
      </c>
      <c r="E561" s="145">
        <f t="shared" si="8"/>
        <v>0.65229681978798582</v>
      </c>
      <c r="F561" s="146">
        <v>231</v>
      </c>
      <c r="G561" s="32">
        <v>639</v>
      </c>
      <c r="H561" s="146"/>
      <c r="I561" s="32"/>
      <c r="J561" s="146"/>
      <c r="K561" s="32"/>
      <c r="L561" s="146"/>
      <c r="M561" s="32"/>
      <c r="N561" s="146"/>
      <c r="O561" s="32"/>
      <c r="P561" s="146"/>
      <c r="Q561" s="32"/>
      <c r="R561" s="146"/>
      <c r="S561" s="32"/>
      <c r="T561" s="146"/>
      <c r="U561" s="32"/>
      <c r="V561" s="146"/>
      <c r="W561" s="32"/>
      <c r="X561" s="146"/>
      <c r="Y561" s="32"/>
      <c r="Z561" s="146"/>
      <c r="AA561" s="32"/>
      <c r="AB561" s="146"/>
      <c r="AC561" s="32"/>
      <c r="AD561" s="146"/>
      <c r="AE561" s="32"/>
      <c r="AF561" s="146"/>
      <c r="AG561" s="32"/>
      <c r="AH561" s="146"/>
      <c r="AI561" s="32"/>
      <c r="AJ561" s="146"/>
      <c r="AK561" s="32"/>
      <c r="AL561" s="146"/>
      <c r="AM561" s="32"/>
      <c r="AN561" s="146"/>
      <c r="AO561" s="32"/>
      <c r="AP561" s="146"/>
      <c r="AQ561" s="32"/>
      <c r="AR561" s="146"/>
      <c r="AS561" s="32"/>
      <c r="AT561" s="146"/>
      <c r="AU561" s="32"/>
      <c r="AV561" s="146"/>
      <c r="AW561" s="32"/>
      <c r="AX561" s="146"/>
      <c r="AY561" s="32"/>
      <c r="AZ561" s="146"/>
      <c r="BA561" s="32"/>
      <c r="BB561" s="146"/>
      <c r="BC561" s="32"/>
      <c r="BD561" s="146">
        <v>315</v>
      </c>
      <c r="BE561" s="32">
        <v>559</v>
      </c>
      <c r="BF561" s="146"/>
      <c r="BG561" s="32"/>
      <c r="BH561" s="146"/>
      <c r="BI561" s="32"/>
      <c r="BJ561" s="146"/>
      <c r="BK561" s="32"/>
      <c r="BL561" s="146"/>
      <c r="BM561" s="32"/>
      <c r="BN561" s="146"/>
      <c r="BO561" s="32"/>
      <c r="BP561" s="146"/>
      <c r="BQ561" s="32"/>
      <c r="BR561" s="146"/>
      <c r="BS561" s="32"/>
      <c r="BT561" s="146">
        <v>299</v>
      </c>
      <c r="BU561" s="32">
        <v>564</v>
      </c>
      <c r="BV561" s="146">
        <v>337</v>
      </c>
      <c r="BW561" s="32">
        <v>532</v>
      </c>
    </row>
    <row r="562" spans="1:75" ht="13" x14ac:dyDescent="0.25">
      <c r="A562" s="186">
        <v>9502</v>
      </c>
      <c r="B562" s="187" t="s">
        <v>584</v>
      </c>
      <c r="C562" s="46">
        <v>1542</v>
      </c>
      <c r="D562" s="142">
        <v>1104</v>
      </c>
      <c r="E562" s="145">
        <f t="shared" si="8"/>
        <v>0.71595330739299612</v>
      </c>
      <c r="F562" s="146">
        <v>310</v>
      </c>
      <c r="G562" s="32">
        <v>735</v>
      </c>
      <c r="H562" s="146"/>
      <c r="I562" s="32"/>
      <c r="J562" s="146"/>
      <c r="K562" s="32"/>
      <c r="L562" s="146"/>
      <c r="M562" s="32"/>
      <c r="N562" s="146"/>
      <c r="O562" s="32"/>
      <c r="P562" s="146"/>
      <c r="Q562" s="32"/>
      <c r="R562" s="146"/>
      <c r="S562" s="32"/>
      <c r="T562" s="146"/>
      <c r="U562" s="32"/>
      <c r="V562" s="146"/>
      <c r="W562" s="32"/>
      <c r="X562" s="146"/>
      <c r="Y562" s="32"/>
      <c r="Z562" s="146"/>
      <c r="AA562" s="32"/>
      <c r="AB562" s="146"/>
      <c r="AC562" s="32"/>
      <c r="AD562" s="146"/>
      <c r="AE562" s="32"/>
      <c r="AF562" s="146"/>
      <c r="AG562" s="32"/>
      <c r="AH562" s="146"/>
      <c r="AI562" s="32"/>
      <c r="AJ562" s="146"/>
      <c r="AK562" s="32"/>
      <c r="AL562" s="146"/>
      <c r="AM562" s="32"/>
      <c r="AN562" s="146"/>
      <c r="AO562" s="32"/>
      <c r="AP562" s="146"/>
      <c r="AQ562" s="32"/>
      <c r="AR562" s="146"/>
      <c r="AS562" s="32"/>
      <c r="AT562" s="146"/>
      <c r="AU562" s="32"/>
      <c r="AV562" s="146"/>
      <c r="AW562" s="32"/>
      <c r="AX562" s="146"/>
      <c r="AY562" s="32"/>
      <c r="AZ562" s="146"/>
      <c r="BA562" s="32"/>
      <c r="BB562" s="146"/>
      <c r="BC562" s="32"/>
      <c r="BD562" s="146">
        <v>408</v>
      </c>
      <c r="BE562" s="32">
        <v>629</v>
      </c>
      <c r="BF562" s="146"/>
      <c r="BG562" s="32"/>
      <c r="BH562" s="146"/>
      <c r="BI562" s="32"/>
      <c r="BJ562" s="146"/>
      <c r="BK562" s="32"/>
      <c r="BL562" s="146"/>
      <c r="BM562" s="32"/>
      <c r="BN562" s="146"/>
      <c r="BO562" s="32"/>
      <c r="BP562" s="146"/>
      <c r="BQ562" s="32"/>
      <c r="BR562" s="146"/>
      <c r="BS562" s="32"/>
      <c r="BT562" s="146">
        <v>416</v>
      </c>
      <c r="BU562" s="32">
        <v>626</v>
      </c>
      <c r="BV562" s="146">
        <v>471</v>
      </c>
      <c r="BW562" s="32">
        <v>567</v>
      </c>
    </row>
    <row r="563" spans="1:75" ht="13" x14ac:dyDescent="0.25">
      <c r="A563" s="186">
        <v>9503</v>
      </c>
      <c r="B563" s="187" t="s">
        <v>585</v>
      </c>
      <c r="C563" s="46">
        <v>1289</v>
      </c>
      <c r="D563" s="142">
        <v>723</v>
      </c>
      <c r="E563" s="145">
        <f t="shared" si="8"/>
        <v>0.56089992242048103</v>
      </c>
      <c r="F563" s="146">
        <v>179</v>
      </c>
      <c r="G563" s="32">
        <v>500</v>
      </c>
      <c r="H563" s="146"/>
      <c r="I563" s="32"/>
      <c r="J563" s="146"/>
      <c r="K563" s="32"/>
      <c r="L563" s="146"/>
      <c r="M563" s="32"/>
      <c r="N563" s="146"/>
      <c r="O563" s="32"/>
      <c r="P563" s="146"/>
      <c r="Q563" s="32"/>
      <c r="R563" s="146"/>
      <c r="S563" s="147"/>
      <c r="T563" s="146"/>
      <c r="U563" s="32"/>
      <c r="V563" s="146"/>
      <c r="W563" s="32"/>
      <c r="X563" s="146"/>
      <c r="Y563" s="32"/>
      <c r="Z563" s="146"/>
      <c r="AA563" s="32"/>
      <c r="AB563" s="146"/>
      <c r="AC563" s="32"/>
      <c r="AD563" s="146"/>
      <c r="AE563" s="32"/>
      <c r="AF563" s="146"/>
      <c r="AG563" s="147"/>
      <c r="AH563" s="146"/>
      <c r="AI563" s="32"/>
      <c r="AJ563" s="146"/>
      <c r="AK563" s="32"/>
      <c r="AL563" s="146"/>
      <c r="AM563" s="32"/>
      <c r="AN563" s="146"/>
      <c r="AO563" s="32"/>
      <c r="AP563" s="146"/>
      <c r="AQ563" s="32"/>
      <c r="AR563" s="146"/>
      <c r="AS563" s="32"/>
      <c r="AT563" s="146"/>
      <c r="AU563" s="147"/>
      <c r="AV563" s="146"/>
      <c r="AW563" s="32"/>
      <c r="AX563" s="146"/>
      <c r="AY563" s="32"/>
      <c r="AZ563" s="146"/>
      <c r="BA563" s="32"/>
      <c r="BB563" s="146"/>
      <c r="BC563" s="32"/>
      <c r="BD563" s="146">
        <v>243</v>
      </c>
      <c r="BE563" s="32">
        <v>434</v>
      </c>
      <c r="BF563" s="146"/>
      <c r="BG563" s="32"/>
      <c r="BH563" s="146"/>
      <c r="BI563" s="147"/>
      <c r="BJ563" s="146"/>
      <c r="BK563" s="32"/>
      <c r="BL563" s="146"/>
      <c r="BM563" s="32"/>
      <c r="BN563" s="146"/>
      <c r="BO563" s="32"/>
      <c r="BP563" s="146"/>
      <c r="BQ563" s="32"/>
      <c r="BR563" s="146"/>
      <c r="BS563" s="32"/>
      <c r="BT563" s="146">
        <v>257</v>
      </c>
      <c r="BU563" s="147">
        <v>421</v>
      </c>
      <c r="BV563" s="146">
        <v>302</v>
      </c>
      <c r="BW563" s="147">
        <v>375</v>
      </c>
    </row>
    <row r="564" spans="1:75" ht="13" x14ac:dyDescent="0.25">
      <c r="A564" s="186">
        <v>9701</v>
      </c>
      <c r="B564" s="187" t="s">
        <v>586</v>
      </c>
      <c r="C564" s="46">
        <v>1104</v>
      </c>
      <c r="D564" s="142">
        <v>771</v>
      </c>
      <c r="E564" s="145">
        <f t="shared" si="8"/>
        <v>0.69836956521739135</v>
      </c>
      <c r="F564" s="146">
        <v>555</v>
      </c>
      <c r="G564" s="32">
        <v>171</v>
      </c>
      <c r="H564" s="146"/>
      <c r="I564" s="32"/>
      <c r="J564" s="146"/>
      <c r="K564" s="32"/>
      <c r="L564" s="146"/>
      <c r="M564" s="32"/>
      <c r="N564" s="146"/>
      <c r="O564" s="147"/>
      <c r="P564" s="146"/>
      <c r="Q564" s="32"/>
      <c r="R564" s="146"/>
      <c r="S564" s="147"/>
      <c r="T564" s="146"/>
      <c r="U564" s="32"/>
      <c r="V564" s="146"/>
      <c r="W564" s="32"/>
      <c r="X564" s="146"/>
      <c r="Y564" s="32"/>
      <c r="Z564" s="146"/>
      <c r="AA564" s="32"/>
      <c r="AB564" s="146"/>
      <c r="AC564" s="147"/>
      <c r="AD564" s="146"/>
      <c r="AE564" s="32"/>
      <c r="AF564" s="146"/>
      <c r="AG564" s="147"/>
      <c r="AH564" s="146"/>
      <c r="AI564" s="32"/>
      <c r="AJ564" s="146"/>
      <c r="AK564" s="32"/>
      <c r="AL564" s="146"/>
      <c r="AM564" s="32"/>
      <c r="AN564" s="146"/>
      <c r="AO564" s="32"/>
      <c r="AP564" s="146">
        <v>490</v>
      </c>
      <c r="AQ564" s="147">
        <v>251</v>
      </c>
      <c r="AR564" s="146">
        <v>498</v>
      </c>
      <c r="AS564" s="32">
        <v>218</v>
      </c>
      <c r="AT564" s="146"/>
      <c r="AU564" s="147"/>
      <c r="AV564" s="146"/>
      <c r="AW564" s="32"/>
      <c r="AX564" s="146"/>
      <c r="AY564" s="32"/>
      <c r="AZ564" s="146"/>
      <c r="BA564" s="32"/>
      <c r="BB564" s="146"/>
      <c r="BC564" s="32"/>
      <c r="BD564" s="146"/>
      <c r="BE564" s="147"/>
      <c r="BF564" s="146"/>
      <c r="BG564" s="32"/>
      <c r="BH564" s="146"/>
      <c r="BI564" s="147"/>
      <c r="BJ564" s="146"/>
      <c r="BK564" s="32"/>
      <c r="BL564" s="146">
        <v>396</v>
      </c>
      <c r="BM564" s="32">
        <v>336</v>
      </c>
      <c r="BN564" s="146"/>
      <c r="BO564" s="32"/>
      <c r="BP564" s="146"/>
      <c r="BQ564" s="147"/>
      <c r="BR564" s="146"/>
      <c r="BS564" s="32"/>
      <c r="BT564" s="146">
        <v>481</v>
      </c>
      <c r="BU564" s="147">
        <v>252</v>
      </c>
      <c r="BV564" s="146">
        <v>510</v>
      </c>
      <c r="BW564" s="147">
        <v>226</v>
      </c>
    </row>
    <row r="565" spans="1:75" ht="13.5" thickBot="1" x14ac:dyDescent="0.3">
      <c r="A565" s="188">
        <v>9702</v>
      </c>
      <c r="B565" s="189" t="s">
        <v>587</v>
      </c>
      <c r="C565" s="148">
        <v>1505</v>
      </c>
      <c r="D565" s="142">
        <v>925</v>
      </c>
      <c r="E565" s="149">
        <f t="shared" si="8"/>
        <v>0.61461794019933558</v>
      </c>
      <c r="F565" s="150">
        <v>675</v>
      </c>
      <c r="G565" s="151">
        <v>200</v>
      </c>
      <c r="H565" s="150"/>
      <c r="I565" s="151"/>
      <c r="J565" s="150"/>
      <c r="K565" s="151"/>
      <c r="L565" s="150"/>
      <c r="M565" s="151"/>
      <c r="N565" s="150"/>
      <c r="O565" s="152"/>
      <c r="P565" s="153"/>
      <c r="Q565" s="151"/>
      <c r="R565" s="150"/>
      <c r="S565" s="152"/>
      <c r="T565" s="150"/>
      <c r="U565" s="151"/>
      <c r="V565" s="150"/>
      <c r="W565" s="151"/>
      <c r="X565" s="150"/>
      <c r="Y565" s="151"/>
      <c r="Z565" s="150"/>
      <c r="AA565" s="151"/>
      <c r="AB565" s="150"/>
      <c r="AC565" s="152"/>
      <c r="AD565" s="153"/>
      <c r="AE565" s="151"/>
      <c r="AF565" s="150"/>
      <c r="AG565" s="152"/>
      <c r="AH565" s="150"/>
      <c r="AI565" s="151"/>
      <c r="AJ565" s="150"/>
      <c r="AK565" s="151"/>
      <c r="AL565" s="150"/>
      <c r="AM565" s="151"/>
      <c r="AN565" s="150"/>
      <c r="AO565" s="151"/>
      <c r="AP565" s="150">
        <v>654</v>
      </c>
      <c r="AQ565" s="152">
        <v>222</v>
      </c>
      <c r="AR565" s="153">
        <v>596</v>
      </c>
      <c r="AS565" s="151">
        <v>238</v>
      </c>
      <c r="AT565" s="150"/>
      <c r="AU565" s="152"/>
      <c r="AV565" s="150"/>
      <c r="AW565" s="151"/>
      <c r="AX565" s="150"/>
      <c r="AY565" s="151"/>
      <c r="AZ565" s="150"/>
      <c r="BA565" s="151"/>
      <c r="BB565" s="150"/>
      <c r="BC565" s="151"/>
      <c r="BD565" s="150"/>
      <c r="BE565" s="152"/>
      <c r="BF565" s="153"/>
      <c r="BG565" s="151"/>
      <c r="BH565" s="150"/>
      <c r="BI565" s="152"/>
      <c r="BJ565" s="150"/>
      <c r="BK565" s="151"/>
      <c r="BL565" s="150">
        <v>580</v>
      </c>
      <c r="BM565" s="151">
        <v>284</v>
      </c>
      <c r="BN565" s="150"/>
      <c r="BO565" s="151"/>
      <c r="BP565" s="150"/>
      <c r="BQ565" s="152"/>
      <c r="BR565" s="153"/>
      <c r="BS565" s="151"/>
      <c r="BT565" s="150">
        <v>657</v>
      </c>
      <c r="BU565" s="152">
        <v>222</v>
      </c>
      <c r="BV565" s="150">
        <v>700</v>
      </c>
      <c r="BW565" s="152">
        <v>184</v>
      </c>
    </row>
    <row r="566" spans="1:75" ht="13" x14ac:dyDescent="0.25">
      <c r="A566" s="190"/>
      <c r="B566" s="191" t="s">
        <v>588</v>
      </c>
      <c r="C566" s="154">
        <f>SUM(C4:C565)</f>
        <v>604199</v>
      </c>
      <c r="D566" s="154">
        <f>SUM(D4:D565)</f>
        <v>416548</v>
      </c>
      <c r="E566" s="155">
        <f>SUM(D566/C566)</f>
        <v>0.68942186266445327</v>
      </c>
      <c r="F566" s="156">
        <f t="shared" ref="F566:S566" si="9">SUM(F4:F565)</f>
        <v>220626</v>
      </c>
      <c r="G566" s="157">
        <f t="shared" si="9"/>
        <v>175880</v>
      </c>
      <c r="H566" s="158">
        <f t="shared" si="9"/>
        <v>1817</v>
      </c>
      <c r="I566" s="157">
        <f t="shared" si="9"/>
        <v>1803</v>
      </c>
      <c r="J566" s="158">
        <f t="shared" si="9"/>
        <v>723</v>
      </c>
      <c r="K566" s="157">
        <f t="shared" si="9"/>
        <v>146</v>
      </c>
      <c r="L566" s="158">
        <f t="shared" si="9"/>
        <v>680</v>
      </c>
      <c r="M566" s="71">
        <f t="shared" si="9"/>
        <v>143</v>
      </c>
      <c r="N566" s="158">
        <f t="shared" si="9"/>
        <v>895</v>
      </c>
      <c r="O566" s="157">
        <f t="shared" si="9"/>
        <v>188</v>
      </c>
      <c r="P566" s="158">
        <f t="shared" si="9"/>
        <v>292</v>
      </c>
      <c r="Q566" s="71">
        <f t="shared" si="9"/>
        <v>153</v>
      </c>
      <c r="R566" s="158">
        <f t="shared" si="9"/>
        <v>290</v>
      </c>
      <c r="S566" s="157">
        <f t="shared" si="9"/>
        <v>158</v>
      </c>
      <c r="T566" s="156">
        <f t="shared" ref="T566:AU566" si="10">SUM(T4:T565)</f>
        <v>2925</v>
      </c>
      <c r="U566" s="157">
        <f t="shared" si="10"/>
        <v>840</v>
      </c>
      <c r="V566" s="158">
        <f t="shared" si="10"/>
        <v>9</v>
      </c>
      <c r="W566" s="157">
        <f t="shared" si="10"/>
        <v>10</v>
      </c>
      <c r="X566" s="158">
        <f t="shared" si="10"/>
        <v>658</v>
      </c>
      <c r="Y566" s="157">
        <f t="shared" si="10"/>
        <v>113</v>
      </c>
      <c r="Z566" s="158">
        <f t="shared" si="10"/>
        <v>442</v>
      </c>
      <c r="AA566" s="71">
        <f t="shared" si="10"/>
        <v>131</v>
      </c>
      <c r="AB566" s="158">
        <f t="shared" si="10"/>
        <v>172</v>
      </c>
      <c r="AC566" s="157">
        <f t="shared" si="10"/>
        <v>123</v>
      </c>
      <c r="AD566" s="158">
        <f t="shared" si="10"/>
        <v>1157</v>
      </c>
      <c r="AE566" s="71">
        <f t="shared" si="10"/>
        <v>495</v>
      </c>
      <c r="AF566" s="158">
        <f t="shared" si="10"/>
        <v>884</v>
      </c>
      <c r="AG566" s="157">
        <f t="shared" si="10"/>
        <v>788</v>
      </c>
      <c r="AH566" s="156">
        <f t="shared" si="10"/>
        <v>1245</v>
      </c>
      <c r="AI566" s="157">
        <f t="shared" si="10"/>
        <v>646</v>
      </c>
      <c r="AJ566" s="158">
        <f t="shared" si="10"/>
        <v>1286</v>
      </c>
      <c r="AK566" s="157">
        <f t="shared" si="10"/>
        <v>601</v>
      </c>
      <c r="AL566" s="158">
        <f t="shared" si="10"/>
        <v>401</v>
      </c>
      <c r="AM566" s="157">
        <f t="shared" si="10"/>
        <v>194</v>
      </c>
      <c r="AN566" s="158">
        <f t="shared" si="10"/>
        <v>269</v>
      </c>
      <c r="AO566" s="71">
        <f t="shared" si="10"/>
        <v>316</v>
      </c>
      <c r="AP566" s="158">
        <f t="shared" si="10"/>
        <v>1144</v>
      </c>
      <c r="AQ566" s="157">
        <f t="shared" si="10"/>
        <v>473</v>
      </c>
      <c r="AR566" s="158">
        <f t="shared" si="10"/>
        <v>1094</v>
      </c>
      <c r="AS566" s="71">
        <f t="shared" si="10"/>
        <v>456</v>
      </c>
      <c r="AT566" s="158">
        <f t="shared" si="10"/>
        <v>13899</v>
      </c>
      <c r="AU566" s="157">
        <f t="shared" si="10"/>
        <v>13501</v>
      </c>
      <c r="AV566" s="156">
        <f t="shared" ref="AV566:BI566" si="11">SUM(AV4:AV565)</f>
        <v>3263</v>
      </c>
      <c r="AW566" s="157">
        <f t="shared" si="11"/>
        <v>3805</v>
      </c>
      <c r="AX566" s="158">
        <f t="shared" si="11"/>
        <v>4306</v>
      </c>
      <c r="AY566" s="157">
        <f t="shared" si="11"/>
        <v>2740</v>
      </c>
      <c r="AZ566" s="158">
        <f t="shared" si="11"/>
        <v>10337</v>
      </c>
      <c r="BA566" s="157">
        <f t="shared" si="11"/>
        <v>8137</v>
      </c>
      <c r="BB566" s="158">
        <f t="shared" si="11"/>
        <v>4618</v>
      </c>
      <c r="BC566" s="71">
        <f t="shared" si="11"/>
        <v>3864</v>
      </c>
      <c r="BD566" s="158">
        <f t="shared" si="11"/>
        <v>966</v>
      </c>
      <c r="BE566" s="157">
        <f t="shared" si="11"/>
        <v>1622</v>
      </c>
      <c r="BF566" s="158">
        <f t="shared" si="11"/>
        <v>3308</v>
      </c>
      <c r="BG566" s="71">
        <f t="shared" si="11"/>
        <v>2006</v>
      </c>
      <c r="BH566" s="158">
        <f t="shared" si="11"/>
        <v>1</v>
      </c>
      <c r="BI566" s="157">
        <f t="shared" si="11"/>
        <v>6</v>
      </c>
      <c r="BJ566" s="158">
        <f t="shared" ref="BJ566:BU566" si="12">SUM(BJ4:BJ565)</f>
        <v>4597</v>
      </c>
      <c r="BK566" s="157">
        <f t="shared" si="12"/>
        <v>5699</v>
      </c>
      <c r="BL566" s="158">
        <f t="shared" si="12"/>
        <v>9023</v>
      </c>
      <c r="BM566" s="157">
        <f t="shared" si="12"/>
        <v>9455</v>
      </c>
      <c r="BN566" s="158">
        <f t="shared" si="12"/>
        <v>3854</v>
      </c>
      <c r="BO566" s="71">
        <f t="shared" si="12"/>
        <v>1742</v>
      </c>
      <c r="BP566" s="158">
        <f t="shared" si="12"/>
        <v>13437</v>
      </c>
      <c r="BQ566" s="157">
        <f t="shared" si="12"/>
        <v>14024</v>
      </c>
      <c r="BR566" s="158">
        <f t="shared" si="12"/>
        <v>1877</v>
      </c>
      <c r="BS566" s="71">
        <f t="shared" si="12"/>
        <v>508</v>
      </c>
      <c r="BT566" s="158">
        <f t="shared" si="12"/>
        <v>249805</v>
      </c>
      <c r="BU566" s="157">
        <f t="shared" si="12"/>
        <v>144944</v>
      </c>
      <c r="BV566" s="158">
        <f t="shared" ref="BV566:BW566" si="13">SUM(BV4:BV565)</f>
        <v>262405</v>
      </c>
      <c r="BW566" s="157">
        <f t="shared" si="13"/>
        <v>132709</v>
      </c>
    </row>
    <row r="567" spans="1:75" ht="13" x14ac:dyDescent="0.25">
      <c r="A567" s="192"/>
      <c r="B567" s="159" t="s">
        <v>589</v>
      </c>
      <c r="C567" s="160"/>
      <c r="D567" s="160">
        <f>SUM(D566-D568)</f>
        <v>247869</v>
      </c>
      <c r="E567" s="161">
        <f>SUM(D567/C566)</f>
        <v>0.41024397590859962</v>
      </c>
      <c r="F567" s="162">
        <f t="shared" ref="F567:S567" si="14">SUM(F566-F568)</f>
        <v>121013</v>
      </c>
      <c r="G567" s="163">
        <f t="shared" si="14"/>
        <v>112922</v>
      </c>
      <c r="H567" s="164">
        <f t="shared" si="14"/>
        <v>1237</v>
      </c>
      <c r="I567" s="163">
        <f t="shared" si="14"/>
        <v>1347</v>
      </c>
      <c r="J567" s="164">
        <f t="shared" si="14"/>
        <v>493</v>
      </c>
      <c r="K567" s="163">
        <f t="shared" si="14"/>
        <v>98</v>
      </c>
      <c r="L567" s="164">
        <f t="shared" si="14"/>
        <v>345</v>
      </c>
      <c r="M567" s="81">
        <f t="shared" si="14"/>
        <v>59</v>
      </c>
      <c r="N567" s="164">
        <f t="shared" si="14"/>
        <v>499</v>
      </c>
      <c r="O567" s="163">
        <f t="shared" si="14"/>
        <v>93</v>
      </c>
      <c r="P567" s="164">
        <f t="shared" si="14"/>
        <v>208</v>
      </c>
      <c r="Q567" s="81">
        <f t="shared" si="14"/>
        <v>106</v>
      </c>
      <c r="R567" s="164">
        <f t="shared" si="14"/>
        <v>207</v>
      </c>
      <c r="S567" s="163">
        <f t="shared" si="14"/>
        <v>108</v>
      </c>
      <c r="T567" s="162">
        <f t="shared" ref="T567:AU567" si="15">SUM(T566-T568)</f>
        <v>1507</v>
      </c>
      <c r="U567" s="163">
        <f t="shared" si="15"/>
        <v>441</v>
      </c>
      <c r="V567" s="164">
        <f t="shared" si="15"/>
        <v>6</v>
      </c>
      <c r="W567" s="163">
        <f t="shared" si="15"/>
        <v>9</v>
      </c>
      <c r="X567" s="164">
        <f t="shared" si="15"/>
        <v>342</v>
      </c>
      <c r="Y567" s="163">
        <f t="shared" si="15"/>
        <v>65</v>
      </c>
      <c r="Z567" s="164">
        <f t="shared" si="15"/>
        <v>287</v>
      </c>
      <c r="AA567" s="81">
        <f t="shared" si="15"/>
        <v>75</v>
      </c>
      <c r="AB567" s="164">
        <f t="shared" si="15"/>
        <v>147</v>
      </c>
      <c r="AC567" s="163">
        <f t="shared" si="15"/>
        <v>105</v>
      </c>
      <c r="AD567" s="164">
        <f t="shared" si="15"/>
        <v>742</v>
      </c>
      <c r="AE567" s="81">
        <f t="shared" si="15"/>
        <v>327</v>
      </c>
      <c r="AF567" s="164">
        <f t="shared" si="15"/>
        <v>445</v>
      </c>
      <c r="AG567" s="163">
        <f t="shared" si="15"/>
        <v>410</v>
      </c>
      <c r="AH567" s="162">
        <f t="shared" si="15"/>
        <v>866</v>
      </c>
      <c r="AI567" s="163">
        <f t="shared" si="15"/>
        <v>470</v>
      </c>
      <c r="AJ567" s="164">
        <f t="shared" si="15"/>
        <v>924</v>
      </c>
      <c r="AK567" s="163">
        <f t="shared" si="15"/>
        <v>412</v>
      </c>
      <c r="AL567" s="164">
        <f t="shared" si="15"/>
        <v>274</v>
      </c>
      <c r="AM567" s="163">
        <f t="shared" si="15"/>
        <v>130</v>
      </c>
      <c r="AN567" s="164">
        <f t="shared" si="15"/>
        <v>188</v>
      </c>
      <c r="AO567" s="81">
        <f t="shared" si="15"/>
        <v>209</v>
      </c>
      <c r="AP567" s="164">
        <f t="shared" si="15"/>
        <v>660</v>
      </c>
      <c r="AQ567" s="163">
        <f t="shared" si="15"/>
        <v>272</v>
      </c>
      <c r="AR567" s="164">
        <f t="shared" si="15"/>
        <v>610</v>
      </c>
      <c r="AS567" s="81">
        <f t="shared" si="15"/>
        <v>280</v>
      </c>
      <c r="AT567" s="164">
        <f t="shared" si="15"/>
        <v>8174</v>
      </c>
      <c r="AU567" s="163">
        <f t="shared" si="15"/>
        <v>8258</v>
      </c>
      <c r="AV567" s="162">
        <f t="shared" ref="AV567:BI567" si="16">SUM(AV566-AV568)</f>
        <v>2086</v>
      </c>
      <c r="AW567" s="163">
        <f t="shared" si="16"/>
        <v>2518</v>
      </c>
      <c r="AX567" s="164">
        <f t="shared" si="16"/>
        <v>2701</v>
      </c>
      <c r="AY567" s="163">
        <f t="shared" si="16"/>
        <v>1883</v>
      </c>
      <c r="AZ567" s="164">
        <f t="shared" si="16"/>
        <v>6040</v>
      </c>
      <c r="BA567" s="163">
        <f t="shared" si="16"/>
        <v>5009</v>
      </c>
      <c r="BB567" s="164">
        <f t="shared" si="16"/>
        <v>2537</v>
      </c>
      <c r="BC567" s="81">
        <f t="shared" si="16"/>
        <v>2231</v>
      </c>
      <c r="BD567" s="164">
        <f t="shared" si="16"/>
        <v>738</v>
      </c>
      <c r="BE567" s="163">
        <f t="shared" si="16"/>
        <v>1226</v>
      </c>
      <c r="BF567" s="164">
        <f t="shared" si="16"/>
        <v>2022</v>
      </c>
      <c r="BG567" s="81">
        <f t="shared" si="16"/>
        <v>1173</v>
      </c>
      <c r="BH567" s="164">
        <f t="shared" si="16"/>
        <v>1</v>
      </c>
      <c r="BI567" s="163">
        <f t="shared" si="16"/>
        <v>5</v>
      </c>
      <c r="BJ567" s="164">
        <f t="shared" ref="BJ567:BU567" si="17">SUM(BJ566-BJ568)</f>
        <v>2778</v>
      </c>
      <c r="BK567" s="163">
        <f t="shared" si="17"/>
        <v>3641</v>
      </c>
      <c r="BL567" s="164">
        <f t="shared" si="17"/>
        <v>5437</v>
      </c>
      <c r="BM567" s="163">
        <f t="shared" si="17"/>
        <v>5690</v>
      </c>
      <c r="BN567" s="164">
        <f t="shared" si="17"/>
        <v>2130</v>
      </c>
      <c r="BO567" s="81">
        <f t="shared" si="17"/>
        <v>925</v>
      </c>
      <c r="BP567" s="164">
        <f t="shared" si="17"/>
        <v>8023</v>
      </c>
      <c r="BQ567" s="163">
        <f t="shared" si="17"/>
        <v>8438</v>
      </c>
      <c r="BR567" s="164">
        <f t="shared" si="17"/>
        <v>896</v>
      </c>
      <c r="BS567" s="81">
        <f t="shared" si="17"/>
        <v>288</v>
      </c>
      <c r="BT567" s="164">
        <f t="shared" si="17"/>
        <v>139446</v>
      </c>
      <c r="BU567" s="163">
        <f t="shared" si="17"/>
        <v>93191</v>
      </c>
      <c r="BV567" s="164">
        <f t="shared" ref="BV567:BW567" si="18">SUM(BV566-BV568)</f>
        <v>149398</v>
      </c>
      <c r="BW567" s="163">
        <f t="shared" si="18"/>
        <v>83493</v>
      </c>
    </row>
    <row r="568" spans="1:75" ht="13.5" thickBot="1" x14ac:dyDescent="0.3">
      <c r="A568" s="193"/>
      <c r="B568" s="83" t="s">
        <v>590</v>
      </c>
      <c r="C568" s="165"/>
      <c r="D568" s="165">
        <v>168679</v>
      </c>
      <c r="E568" s="166">
        <f>SUM(D568/C566)</f>
        <v>0.27917788675585364</v>
      </c>
      <c r="F568" s="167">
        <v>99613</v>
      </c>
      <c r="G568" s="168">
        <v>62958</v>
      </c>
      <c r="H568" s="169">
        <v>580</v>
      </c>
      <c r="I568" s="168">
        <v>456</v>
      </c>
      <c r="J568" s="169">
        <v>230</v>
      </c>
      <c r="K568" s="168">
        <v>48</v>
      </c>
      <c r="L568" s="169">
        <v>335</v>
      </c>
      <c r="M568" s="170">
        <v>84</v>
      </c>
      <c r="N568" s="169">
        <v>396</v>
      </c>
      <c r="O568" s="168">
        <v>95</v>
      </c>
      <c r="P568" s="169">
        <v>84</v>
      </c>
      <c r="Q568" s="170">
        <v>47</v>
      </c>
      <c r="R568" s="169">
        <v>83</v>
      </c>
      <c r="S568" s="168">
        <v>50</v>
      </c>
      <c r="T568" s="167">
        <v>1418</v>
      </c>
      <c r="U568" s="168">
        <v>399</v>
      </c>
      <c r="V568" s="169">
        <v>3</v>
      </c>
      <c r="W568" s="168">
        <v>1</v>
      </c>
      <c r="X568" s="169">
        <v>316</v>
      </c>
      <c r="Y568" s="168">
        <v>48</v>
      </c>
      <c r="Z568" s="169">
        <v>155</v>
      </c>
      <c r="AA568" s="170">
        <v>56</v>
      </c>
      <c r="AB568" s="169">
        <v>25</v>
      </c>
      <c r="AC568" s="168">
        <v>18</v>
      </c>
      <c r="AD568" s="169">
        <v>415</v>
      </c>
      <c r="AE568" s="170">
        <v>168</v>
      </c>
      <c r="AF568" s="169">
        <v>439</v>
      </c>
      <c r="AG568" s="168">
        <v>378</v>
      </c>
      <c r="AH568" s="167">
        <v>379</v>
      </c>
      <c r="AI568" s="168">
        <v>176</v>
      </c>
      <c r="AJ568" s="169">
        <v>362</v>
      </c>
      <c r="AK568" s="168">
        <v>189</v>
      </c>
      <c r="AL568" s="169">
        <v>127</v>
      </c>
      <c r="AM568" s="168">
        <v>64</v>
      </c>
      <c r="AN568" s="169">
        <v>81</v>
      </c>
      <c r="AO568" s="170">
        <v>107</v>
      </c>
      <c r="AP568" s="169">
        <v>484</v>
      </c>
      <c r="AQ568" s="168">
        <v>201</v>
      </c>
      <c r="AR568" s="169">
        <v>484</v>
      </c>
      <c r="AS568" s="170">
        <v>176</v>
      </c>
      <c r="AT568" s="169">
        <v>5725</v>
      </c>
      <c r="AU568" s="168">
        <v>5243</v>
      </c>
      <c r="AV568" s="167">
        <v>1177</v>
      </c>
      <c r="AW568" s="168">
        <v>1287</v>
      </c>
      <c r="AX568" s="169">
        <v>1605</v>
      </c>
      <c r="AY568" s="168">
        <v>857</v>
      </c>
      <c r="AZ568" s="169">
        <v>4297</v>
      </c>
      <c r="BA568" s="168">
        <v>3128</v>
      </c>
      <c r="BB568" s="169">
        <v>2081</v>
      </c>
      <c r="BC568" s="170">
        <v>1633</v>
      </c>
      <c r="BD568" s="169">
        <v>228</v>
      </c>
      <c r="BE568" s="168">
        <v>396</v>
      </c>
      <c r="BF568" s="169">
        <v>1286</v>
      </c>
      <c r="BG568" s="170">
        <v>833</v>
      </c>
      <c r="BH568" s="169">
        <v>0</v>
      </c>
      <c r="BI568" s="168">
        <v>1</v>
      </c>
      <c r="BJ568" s="169">
        <v>1819</v>
      </c>
      <c r="BK568" s="168">
        <v>2058</v>
      </c>
      <c r="BL568" s="169">
        <v>3586</v>
      </c>
      <c r="BM568" s="168">
        <v>3765</v>
      </c>
      <c r="BN568" s="169">
        <v>1724</v>
      </c>
      <c r="BO568" s="170">
        <v>817</v>
      </c>
      <c r="BP568" s="169">
        <v>5414</v>
      </c>
      <c r="BQ568" s="168">
        <v>5586</v>
      </c>
      <c r="BR568" s="169">
        <v>981</v>
      </c>
      <c r="BS568" s="170">
        <v>220</v>
      </c>
      <c r="BT568" s="169">
        <v>110359</v>
      </c>
      <c r="BU568" s="168">
        <v>51753</v>
      </c>
      <c r="BV568" s="169">
        <v>113007</v>
      </c>
      <c r="BW568" s="168">
        <v>49216</v>
      </c>
    </row>
    <row r="569" spans="1:75" ht="13.5" thickTop="1" x14ac:dyDescent="0.25">
      <c r="A569" s="194"/>
      <c r="B569" s="195"/>
      <c r="C569" s="19"/>
      <c r="D569" s="19"/>
      <c r="E569" s="171"/>
      <c r="F569" s="172"/>
      <c r="G569" s="173"/>
      <c r="H569" s="172"/>
      <c r="I569" s="173"/>
      <c r="J569" s="172"/>
      <c r="K569" s="173"/>
      <c r="L569" s="172"/>
      <c r="M569" s="173"/>
      <c r="N569" s="172"/>
      <c r="O569" s="173"/>
      <c r="P569" s="172"/>
      <c r="Q569" s="173"/>
      <c r="R569" s="172"/>
      <c r="S569" s="173"/>
      <c r="T569" s="172"/>
      <c r="U569" s="173"/>
      <c r="V569" s="172"/>
      <c r="W569" s="173"/>
      <c r="X569" s="172"/>
      <c r="Y569" s="173"/>
      <c r="Z569" s="172"/>
      <c r="AA569" s="173"/>
      <c r="AB569" s="172"/>
      <c r="AC569" s="173"/>
      <c r="AD569" s="172"/>
      <c r="AE569" s="173"/>
      <c r="AF569" s="172"/>
      <c r="AG569" s="173"/>
      <c r="AH569" s="172"/>
      <c r="AI569" s="173"/>
      <c r="AJ569" s="172"/>
      <c r="AK569" s="173"/>
      <c r="AL569" s="172"/>
      <c r="AM569" s="173"/>
      <c r="AN569" s="172"/>
      <c r="AO569" s="173"/>
      <c r="AP569" s="172"/>
      <c r="AQ569" s="173"/>
      <c r="AR569" s="172"/>
      <c r="AS569" s="173"/>
      <c r="AT569" s="172"/>
      <c r="AU569" s="173"/>
      <c r="AV569" s="172"/>
      <c r="AW569" s="173"/>
      <c r="AX569" s="172"/>
      <c r="AY569" s="173"/>
      <c r="AZ569" s="172"/>
      <c r="BA569" s="173"/>
      <c r="BB569" s="172"/>
      <c r="BC569" s="173"/>
      <c r="BD569" s="172"/>
      <c r="BE569" s="173"/>
      <c r="BF569" s="172"/>
      <c r="BG569" s="173"/>
      <c r="BH569" s="172"/>
      <c r="BI569" s="173"/>
      <c r="BJ569" s="172"/>
      <c r="BK569" s="173"/>
      <c r="BL569" s="172"/>
      <c r="BM569" s="173"/>
      <c r="BN569" s="172"/>
      <c r="BO569" s="173"/>
      <c r="BP569" s="172"/>
      <c r="BQ569" s="173"/>
      <c r="BR569" s="172"/>
      <c r="BS569" s="173"/>
      <c r="BT569" s="172"/>
      <c r="BU569" s="173"/>
      <c r="BV569" s="172"/>
      <c r="BW569" s="173"/>
    </row>
    <row r="570" spans="1:75" ht="13" x14ac:dyDescent="0.25">
      <c r="A570" s="196"/>
      <c r="B570" s="197" t="s">
        <v>591</v>
      </c>
      <c r="C570" s="29">
        <f>SUM(C4:C193)</f>
        <v>220047</v>
      </c>
      <c r="D570" s="29">
        <f>SUM(D4:D193)</f>
        <v>129194</v>
      </c>
      <c r="E570" s="145">
        <f t="shared" ref="E570:E633" si="19">SUM(D570/C570)</f>
        <v>0.58712002435843247</v>
      </c>
      <c r="F570" s="174">
        <f t="shared" ref="F570:AK570" si="20">SUM(F4:F193)</f>
        <v>88389</v>
      </c>
      <c r="G570" s="175">
        <f t="shared" si="20"/>
        <v>34678</v>
      </c>
      <c r="H570" s="174">
        <f t="shared" si="20"/>
        <v>0</v>
      </c>
      <c r="I570" s="175">
        <f t="shared" si="20"/>
        <v>0</v>
      </c>
      <c r="J570" s="174">
        <f t="shared" si="20"/>
        <v>723</v>
      </c>
      <c r="K570" s="175">
        <f t="shared" si="20"/>
        <v>146</v>
      </c>
      <c r="L570" s="174">
        <f t="shared" si="20"/>
        <v>680</v>
      </c>
      <c r="M570" s="175">
        <f t="shared" si="20"/>
        <v>143</v>
      </c>
      <c r="N570" s="174">
        <f t="shared" si="20"/>
        <v>895</v>
      </c>
      <c r="O570" s="175">
        <f t="shared" si="20"/>
        <v>188</v>
      </c>
      <c r="P570" s="174">
        <f t="shared" si="20"/>
        <v>292</v>
      </c>
      <c r="Q570" s="175">
        <f t="shared" si="20"/>
        <v>153</v>
      </c>
      <c r="R570" s="174">
        <f t="shared" si="20"/>
        <v>290</v>
      </c>
      <c r="S570" s="175">
        <f t="shared" si="20"/>
        <v>158</v>
      </c>
      <c r="T570" s="174">
        <f t="shared" si="20"/>
        <v>0</v>
      </c>
      <c r="U570" s="175">
        <f t="shared" si="20"/>
        <v>0</v>
      </c>
      <c r="V570" s="174">
        <f t="shared" si="20"/>
        <v>0</v>
      </c>
      <c r="W570" s="175">
        <f t="shared" si="20"/>
        <v>0</v>
      </c>
      <c r="X570" s="174">
        <f t="shared" si="20"/>
        <v>0</v>
      </c>
      <c r="Y570" s="175">
        <f t="shared" si="20"/>
        <v>0</v>
      </c>
      <c r="Z570" s="174">
        <f t="shared" si="20"/>
        <v>0</v>
      </c>
      <c r="AA570" s="175">
        <f t="shared" si="20"/>
        <v>0</v>
      </c>
      <c r="AB570" s="174">
        <f t="shared" si="20"/>
        <v>0</v>
      </c>
      <c r="AC570" s="175">
        <f t="shared" si="20"/>
        <v>0</v>
      </c>
      <c r="AD570" s="174">
        <f t="shared" si="20"/>
        <v>0</v>
      </c>
      <c r="AE570" s="175">
        <f t="shared" si="20"/>
        <v>0</v>
      </c>
      <c r="AF570" s="174">
        <f t="shared" si="20"/>
        <v>0</v>
      </c>
      <c r="AG570" s="175">
        <f t="shared" si="20"/>
        <v>0</v>
      </c>
      <c r="AH570" s="174">
        <f t="shared" si="20"/>
        <v>0</v>
      </c>
      <c r="AI570" s="175">
        <f t="shared" si="20"/>
        <v>0</v>
      </c>
      <c r="AJ570" s="174">
        <f t="shared" si="20"/>
        <v>0</v>
      </c>
      <c r="AK570" s="175">
        <f t="shared" si="20"/>
        <v>0</v>
      </c>
      <c r="AL570" s="174">
        <f t="shared" ref="AL570:BQ570" si="21">SUM(AL4:AL193)</f>
        <v>0</v>
      </c>
      <c r="AM570" s="175">
        <f t="shared" si="21"/>
        <v>0</v>
      </c>
      <c r="AN570" s="174">
        <f t="shared" si="21"/>
        <v>0</v>
      </c>
      <c r="AO570" s="175">
        <f t="shared" si="21"/>
        <v>0</v>
      </c>
      <c r="AP570" s="174">
        <f t="shared" si="21"/>
        <v>0</v>
      </c>
      <c r="AQ570" s="175">
        <f t="shared" si="21"/>
        <v>0</v>
      </c>
      <c r="AR570" s="174">
        <f t="shared" si="21"/>
        <v>0</v>
      </c>
      <c r="AS570" s="175">
        <f t="shared" si="21"/>
        <v>0</v>
      </c>
      <c r="AT570" s="174">
        <f t="shared" si="21"/>
        <v>0</v>
      </c>
      <c r="AU570" s="175">
        <f t="shared" si="21"/>
        <v>0</v>
      </c>
      <c r="AV570" s="174">
        <f t="shared" si="21"/>
        <v>0</v>
      </c>
      <c r="AW570" s="175">
        <f t="shared" si="21"/>
        <v>0</v>
      </c>
      <c r="AX570" s="174">
        <f t="shared" si="21"/>
        <v>0</v>
      </c>
      <c r="AY570" s="175">
        <f t="shared" si="21"/>
        <v>0</v>
      </c>
      <c r="AZ570" s="174">
        <f t="shared" si="21"/>
        <v>0</v>
      </c>
      <c r="BA570" s="175">
        <f t="shared" si="21"/>
        <v>0</v>
      </c>
      <c r="BB570" s="174">
        <f t="shared" si="21"/>
        <v>0</v>
      </c>
      <c r="BC570" s="175">
        <f t="shared" si="21"/>
        <v>0</v>
      </c>
      <c r="BD570" s="174">
        <f t="shared" si="21"/>
        <v>0</v>
      </c>
      <c r="BE570" s="175">
        <f t="shared" si="21"/>
        <v>0</v>
      </c>
      <c r="BF570" s="174">
        <f t="shared" si="21"/>
        <v>0</v>
      </c>
      <c r="BG570" s="175">
        <f t="shared" si="21"/>
        <v>0</v>
      </c>
      <c r="BH570" s="174">
        <f t="shared" si="21"/>
        <v>0</v>
      </c>
      <c r="BI570" s="175">
        <f t="shared" si="21"/>
        <v>0</v>
      </c>
      <c r="BJ570" s="174">
        <f t="shared" si="21"/>
        <v>0</v>
      </c>
      <c r="BK570" s="175">
        <f t="shared" si="21"/>
        <v>0</v>
      </c>
      <c r="BL570" s="174">
        <f t="shared" si="21"/>
        <v>0</v>
      </c>
      <c r="BM570" s="175">
        <f t="shared" si="21"/>
        <v>0</v>
      </c>
      <c r="BN570" s="174">
        <f t="shared" si="21"/>
        <v>0</v>
      </c>
      <c r="BO570" s="175">
        <f t="shared" si="21"/>
        <v>0</v>
      </c>
      <c r="BP570" s="174">
        <f t="shared" si="21"/>
        <v>0</v>
      </c>
      <c r="BQ570" s="175">
        <f t="shared" si="21"/>
        <v>0</v>
      </c>
      <c r="BR570" s="174">
        <f t="shared" ref="BR570:BW570" si="22">SUM(BR4:BR193)</f>
        <v>0</v>
      </c>
      <c r="BS570" s="175">
        <f t="shared" si="22"/>
        <v>0</v>
      </c>
      <c r="BT570" s="174">
        <f t="shared" si="22"/>
        <v>91122</v>
      </c>
      <c r="BU570" s="175">
        <f t="shared" si="22"/>
        <v>31403</v>
      </c>
      <c r="BV570" s="174">
        <f t="shared" si="22"/>
        <v>94462</v>
      </c>
      <c r="BW570" s="175">
        <f t="shared" si="22"/>
        <v>28016</v>
      </c>
    </row>
    <row r="571" spans="1:75" ht="13" x14ac:dyDescent="0.25">
      <c r="A571" s="196"/>
      <c r="B571" s="197" t="s">
        <v>592</v>
      </c>
      <c r="C571" s="90">
        <f>SUM(C4:C16)</f>
        <v>13457</v>
      </c>
      <c r="D571" s="90">
        <f>SUM(D4:D16)</f>
        <v>9836</v>
      </c>
      <c r="E571" s="145">
        <f t="shared" si="19"/>
        <v>0.73092071041093853</v>
      </c>
      <c r="F571" s="174">
        <f t="shared" ref="F571:AK571" si="23">SUM(F4:F16)</f>
        <v>5726</v>
      </c>
      <c r="G571" s="175">
        <f t="shared" si="23"/>
        <v>3667</v>
      </c>
      <c r="H571" s="174">
        <f t="shared" si="23"/>
        <v>0</v>
      </c>
      <c r="I571" s="175">
        <f t="shared" si="23"/>
        <v>0</v>
      </c>
      <c r="J571" s="174">
        <f t="shared" si="23"/>
        <v>723</v>
      </c>
      <c r="K571" s="175">
        <f t="shared" si="23"/>
        <v>146</v>
      </c>
      <c r="L571" s="174">
        <f t="shared" si="23"/>
        <v>0</v>
      </c>
      <c r="M571" s="175">
        <f t="shared" si="23"/>
        <v>0</v>
      </c>
      <c r="N571" s="174">
        <f t="shared" si="23"/>
        <v>0</v>
      </c>
      <c r="O571" s="175">
        <f t="shared" si="23"/>
        <v>0</v>
      </c>
      <c r="P571" s="174">
        <f t="shared" si="23"/>
        <v>0</v>
      </c>
      <c r="Q571" s="175">
        <f t="shared" si="23"/>
        <v>0</v>
      </c>
      <c r="R571" s="174">
        <f t="shared" si="23"/>
        <v>0</v>
      </c>
      <c r="S571" s="175">
        <f t="shared" si="23"/>
        <v>0</v>
      </c>
      <c r="T571" s="174">
        <f t="shared" si="23"/>
        <v>0</v>
      </c>
      <c r="U571" s="175">
        <f t="shared" si="23"/>
        <v>0</v>
      </c>
      <c r="V571" s="174">
        <f t="shared" si="23"/>
        <v>0</v>
      </c>
      <c r="W571" s="175">
        <f t="shared" si="23"/>
        <v>0</v>
      </c>
      <c r="X571" s="174">
        <f t="shared" si="23"/>
        <v>0</v>
      </c>
      <c r="Y571" s="175">
        <f t="shared" si="23"/>
        <v>0</v>
      </c>
      <c r="Z571" s="174">
        <f t="shared" si="23"/>
        <v>0</v>
      </c>
      <c r="AA571" s="175">
        <f t="shared" si="23"/>
        <v>0</v>
      </c>
      <c r="AB571" s="174">
        <f t="shared" si="23"/>
        <v>0</v>
      </c>
      <c r="AC571" s="175">
        <f t="shared" si="23"/>
        <v>0</v>
      </c>
      <c r="AD571" s="174">
        <f t="shared" si="23"/>
        <v>0</v>
      </c>
      <c r="AE571" s="175">
        <f t="shared" si="23"/>
        <v>0</v>
      </c>
      <c r="AF571" s="174">
        <f t="shared" si="23"/>
        <v>0</v>
      </c>
      <c r="AG571" s="175">
        <f t="shared" si="23"/>
        <v>0</v>
      </c>
      <c r="AH571" s="174">
        <f t="shared" si="23"/>
        <v>0</v>
      </c>
      <c r="AI571" s="175">
        <f t="shared" si="23"/>
        <v>0</v>
      </c>
      <c r="AJ571" s="174">
        <f t="shared" si="23"/>
        <v>0</v>
      </c>
      <c r="AK571" s="175">
        <f t="shared" si="23"/>
        <v>0</v>
      </c>
      <c r="AL571" s="174">
        <f t="shared" ref="AL571:BQ571" si="24">SUM(AL4:AL16)</f>
        <v>0</v>
      </c>
      <c r="AM571" s="175">
        <f t="shared" si="24"/>
        <v>0</v>
      </c>
      <c r="AN571" s="174">
        <f t="shared" si="24"/>
        <v>0</v>
      </c>
      <c r="AO571" s="175">
        <f t="shared" si="24"/>
        <v>0</v>
      </c>
      <c r="AP571" s="174">
        <f t="shared" si="24"/>
        <v>0</v>
      </c>
      <c r="AQ571" s="175">
        <f t="shared" si="24"/>
        <v>0</v>
      </c>
      <c r="AR571" s="174">
        <f t="shared" si="24"/>
        <v>0</v>
      </c>
      <c r="AS571" s="175">
        <f t="shared" si="24"/>
        <v>0</v>
      </c>
      <c r="AT571" s="174">
        <f t="shared" si="24"/>
        <v>0</v>
      </c>
      <c r="AU571" s="175">
        <f t="shared" si="24"/>
        <v>0</v>
      </c>
      <c r="AV571" s="174">
        <f t="shared" si="24"/>
        <v>0</v>
      </c>
      <c r="AW571" s="175">
        <f t="shared" si="24"/>
        <v>0</v>
      </c>
      <c r="AX571" s="174">
        <f t="shared" si="24"/>
        <v>0</v>
      </c>
      <c r="AY571" s="175">
        <f t="shared" si="24"/>
        <v>0</v>
      </c>
      <c r="AZ571" s="174">
        <f t="shared" si="24"/>
        <v>0</v>
      </c>
      <c r="BA571" s="175">
        <f t="shared" si="24"/>
        <v>0</v>
      </c>
      <c r="BB571" s="174">
        <f t="shared" si="24"/>
        <v>0</v>
      </c>
      <c r="BC571" s="175">
        <f t="shared" si="24"/>
        <v>0</v>
      </c>
      <c r="BD571" s="174">
        <f t="shared" si="24"/>
        <v>0</v>
      </c>
      <c r="BE571" s="175">
        <f t="shared" si="24"/>
        <v>0</v>
      </c>
      <c r="BF571" s="174">
        <f t="shared" si="24"/>
        <v>0</v>
      </c>
      <c r="BG571" s="175">
        <f t="shared" si="24"/>
        <v>0</v>
      </c>
      <c r="BH571" s="174">
        <f t="shared" si="24"/>
        <v>0</v>
      </c>
      <c r="BI571" s="175">
        <f t="shared" si="24"/>
        <v>0</v>
      </c>
      <c r="BJ571" s="174">
        <f t="shared" si="24"/>
        <v>0</v>
      </c>
      <c r="BK571" s="175">
        <f t="shared" si="24"/>
        <v>0</v>
      </c>
      <c r="BL571" s="174">
        <f t="shared" si="24"/>
        <v>0</v>
      </c>
      <c r="BM571" s="175">
        <f t="shared" si="24"/>
        <v>0</v>
      </c>
      <c r="BN571" s="174">
        <f t="shared" si="24"/>
        <v>0</v>
      </c>
      <c r="BO571" s="175">
        <f t="shared" si="24"/>
        <v>0</v>
      </c>
      <c r="BP571" s="174">
        <f t="shared" si="24"/>
        <v>0</v>
      </c>
      <c r="BQ571" s="175">
        <f t="shared" si="24"/>
        <v>0</v>
      </c>
      <c r="BR571" s="174">
        <f t="shared" ref="BR571:BW571" si="25">SUM(BR4:BR16)</f>
        <v>0</v>
      </c>
      <c r="BS571" s="175">
        <f t="shared" si="25"/>
        <v>0</v>
      </c>
      <c r="BT571" s="174">
        <f t="shared" si="25"/>
        <v>6264</v>
      </c>
      <c r="BU571" s="175">
        <f t="shared" si="25"/>
        <v>3027</v>
      </c>
      <c r="BV571" s="174">
        <f t="shared" si="25"/>
        <v>6526</v>
      </c>
      <c r="BW571" s="175">
        <f t="shared" si="25"/>
        <v>2773</v>
      </c>
    </row>
    <row r="572" spans="1:75" ht="13" x14ac:dyDescent="0.25">
      <c r="A572" s="196"/>
      <c r="B572" s="197" t="s">
        <v>593</v>
      </c>
      <c r="C572" s="90">
        <f>SUM(C17:C27)</f>
        <v>15143</v>
      </c>
      <c r="D572" s="90">
        <f>SUM(D17:D27)</f>
        <v>10450</v>
      </c>
      <c r="E572" s="145">
        <f t="shared" si="19"/>
        <v>0.69008782936010038</v>
      </c>
      <c r="F572" s="174">
        <f t="shared" ref="F572:AK572" si="26">SUM(F17:F27)</f>
        <v>6893</v>
      </c>
      <c r="G572" s="175">
        <f t="shared" si="26"/>
        <v>3060</v>
      </c>
      <c r="H572" s="174">
        <f t="shared" si="26"/>
        <v>0</v>
      </c>
      <c r="I572" s="175">
        <f t="shared" si="26"/>
        <v>0</v>
      </c>
      <c r="J572" s="174">
        <f t="shared" si="26"/>
        <v>0</v>
      </c>
      <c r="K572" s="175">
        <f t="shared" si="26"/>
        <v>0</v>
      </c>
      <c r="L572" s="174">
        <f t="shared" si="26"/>
        <v>680</v>
      </c>
      <c r="M572" s="175">
        <f t="shared" si="26"/>
        <v>143</v>
      </c>
      <c r="N572" s="174">
        <f t="shared" si="26"/>
        <v>0</v>
      </c>
      <c r="O572" s="175">
        <f t="shared" si="26"/>
        <v>0</v>
      </c>
      <c r="P572" s="174">
        <f t="shared" si="26"/>
        <v>0</v>
      </c>
      <c r="Q572" s="175">
        <f t="shared" si="26"/>
        <v>0</v>
      </c>
      <c r="R572" s="174">
        <f t="shared" si="26"/>
        <v>0</v>
      </c>
      <c r="S572" s="175">
        <f t="shared" si="26"/>
        <v>0</v>
      </c>
      <c r="T572" s="174">
        <f t="shared" si="26"/>
        <v>0</v>
      </c>
      <c r="U572" s="175">
        <f t="shared" si="26"/>
        <v>0</v>
      </c>
      <c r="V572" s="174">
        <f t="shared" si="26"/>
        <v>0</v>
      </c>
      <c r="W572" s="175">
        <f t="shared" si="26"/>
        <v>0</v>
      </c>
      <c r="X572" s="174">
        <f t="shared" si="26"/>
        <v>0</v>
      </c>
      <c r="Y572" s="175">
        <f t="shared" si="26"/>
        <v>0</v>
      </c>
      <c r="Z572" s="174">
        <f t="shared" si="26"/>
        <v>0</v>
      </c>
      <c r="AA572" s="175">
        <f t="shared" si="26"/>
        <v>0</v>
      </c>
      <c r="AB572" s="174">
        <f t="shared" si="26"/>
        <v>0</v>
      </c>
      <c r="AC572" s="175">
        <f t="shared" si="26"/>
        <v>0</v>
      </c>
      <c r="AD572" s="174">
        <f t="shared" si="26"/>
        <v>0</v>
      </c>
      <c r="AE572" s="175">
        <f t="shared" si="26"/>
        <v>0</v>
      </c>
      <c r="AF572" s="174">
        <f t="shared" si="26"/>
        <v>0</v>
      </c>
      <c r="AG572" s="175">
        <f t="shared" si="26"/>
        <v>0</v>
      </c>
      <c r="AH572" s="174">
        <f t="shared" si="26"/>
        <v>0</v>
      </c>
      <c r="AI572" s="175">
        <f t="shared" si="26"/>
        <v>0</v>
      </c>
      <c r="AJ572" s="174">
        <f t="shared" si="26"/>
        <v>0</v>
      </c>
      <c r="AK572" s="175">
        <f t="shared" si="26"/>
        <v>0</v>
      </c>
      <c r="AL572" s="174">
        <f t="shared" ref="AL572:BQ572" si="27">SUM(AL17:AL27)</f>
        <v>0</v>
      </c>
      <c r="AM572" s="175">
        <f t="shared" si="27"/>
        <v>0</v>
      </c>
      <c r="AN572" s="174">
        <f t="shared" si="27"/>
        <v>0</v>
      </c>
      <c r="AO572" s="175">
        <f t="shared" si="27"/>
        <v>0</v>
      </c>
      <c r="AP572" s="174">
        <f t="shared" si="27"/>
        <v>0</v>
      </c>
      <c r="AQ572" s="175">
        <f t="shared" si="27"/>
        <v>0</v>
      </c>
      <c r="AR572" s="174">
        <f t="shared" si="27"/>
        <v>0</v>
      </c>
      <c r="AS572" s="175">
        <f t="shared" si="27"/>
        <v>0</v>
      </c>
      <c r="AT572" s="174">
        <f t="shared" si="27"/>
        <v>0</v>
      </c>
      <c r="AU572" s="175">
        <f t="shared" si="27"/>
        <v>0</v>
      </c>
      <c r="AV572" s="174">
        <f t="shared" si="27"/>
        <v>0</v>
      </c>
      <c r="AW572" s="175">
        <f t="shared" si="27"/>
        <v>0</v>
      </c>
      <c r="AX572" s="174">
        <f t="shared" si="27"/>
        <v>0</v>
      </c>
      <c r="AY572" s="175">
        <f t="shared" si="27"/>
        <v>0</v>
      </c>
      <c r="AZ572" s="174">
        <f t="shared" si="27"/>
        <v>0</v>
      </c>
      <c r="BA572" s="175">
        <f t="shared" si="27"/>
        <v>0</v>
      </c>
      <c r="BB572" s="174">
        <f t="shared" si="27"/>
        <v>0</v>
      </c>
      <c r="BC572" s="175">
        <f t="shared" si="27"/>
        <v>0</v>
      </c>
      <c r="BD572" s="174">
        <f t="shared" si="27"/>
        <v>0</v>
      </c>
      <c r="BE572" s="175">
        <f t="shared" si="27"/>
        <v>0</v>
      </c>
      <c r="BF572" s="174">
        <f t="shared" si="27"/>
        <v>0</v>
      </c>
      <c r="BG572" s="175">
        <f t="shared" si="27"/>
        <v>0</v>
      </c>
      <c r="BH572" s="174">
        <f t="shared" si="27"/>
        <v>0</v>
      </c>
      <c r="BI572" s="175">
        <f t="shared" si="27"/>
        <v>0</v>
      </c>
      <c r="BJ572" s="174">
        <f t="shared" si="27"/>
        <v>0</v>
      </c>
      <c r="BK572" s="175">
        <f t="shared" si="27"/>
        <v>0</v>
      </c>
      <c r="BL572" s="174">
        <f t="shared" si="27"/>
        <v>0</v>
      </c>
      <c r="BM572" s="175">
        <f t="shared" si="27"/>
        <v>0</v>
      </c>
      <c r="BN572" s="174">
        <f t="shared" si="27"/>
        <v>0</v>
      </c>
      <c r="BO572" s="175">
        <f t="shared" si="27"/>
        <v>0</v>
      </c>
      <c r="BP572" s="174">
        <f t="shared" si="27"/>
        <v>0</v>
      </c>
      <c r="BQ572" s="175">
        <f t="shared" si="27"/>
        <v>0</v>
      </c>
      <c r="BR572" s="174">
        <f t="shared" ref="BR572:BW572" si="28">SUM(BR17:BR27)</f>
        <v>0</v>
      </c>
      <c r="BS572" s="175">
        <f t="shared" si="28"/>
        <v>0</v>
      </c>
      <c r="BT572" s="174">
        <f t="shared" si="28"/>
        <v>7306</v>
      </c>
      <c r="BU572" s="175">
        <f t="shared" si="28"/>
        <v>2584</v>
      </c>
      <c r="BV572" s="174">
        <f t="shared" si="28"/>
        <v>7674</v>
      </c>
      <c r="BW572" s="175">
        <f t="shared" si="28"/>
        <v>2224</v>
      </c>
    </row>
    <row r="573" spans="1:75" ht="13" x14ac:dyDescent="0.25">
      <c r="A573" s="196"/>
      <c r="B573" s="197" t="s">
        <v>594</v>
      </c>
      <c r="C573" s="90">
        <f>SUM(C28:C32)</f>
        <v>6288</v>
      </c>
      <c r="D573" s="90">
        <f>SUM(D28:D32)</f>
        <v>3757</v>
      </c>
      <c r="E573" s="145">
        <f t="shared" si="19"/>
        <v>0.59748727735368956</v>
      </c>
      <c r="F573" s="174">
        <f t="shared" ref="F573:AK573" si="29">SUM(F28:F32)</f>
        <v>2735</v>
      </c>
      <c r="G573" s="175">
        <f t="shared" si="29"/>
        <v>847</v>
      </c>
      <c r="H573" s="174">
        <f t="shared" si="29"/>
        <v>0</v>
      </c>
      <c r="I573" s="175">
        <f t="shared" si="29"/>
        <v>0</v>
      </c>
      <c r="J573" s="174">
        <f t="shared" si="29"/>
        <v>0</v>
      </c>
      <c r="K573" s="175">
        <f t="shared" si="29"/>
        <v>0</v>
      </c>
      <c r="L573" s="174">
        <f t="shared" si="29"/>
        <v>0</v>
      </c>
      <c r="M573" s="175">
        <f t="shared" si="29"/>
        <v>0</v>
      </c>
      <c r="N573" s="174">
        <f t="shared" si="29"/>
        <v>0</v>
      </c>
      <c r="O573" s="175">
        <f t="shared" si="29"/>
        <v>0</v>
      </c>
      <c r="P573" s="174">
        <f t="shared" si="29"/>
        <v>0</v>
      </c>
      <c r="Q573" s="175">
        <f t="shared" si="29"/>
        <v>0</v>
      </c>
      <c r="R573" s="174">
        <f t="shared" si="29"/>
        <v>0</v>
      </c>
      <c r="S573" s="175">
        <f t="shared" si="29"/>
        <v>0</v>
      </c>
      <c r="T573" s="174">
        <f t="shared" si="29"/>
        <v>0</v>
      </c>
      <c r="U573" s="175">
        <f t="shared" si="29"/>
        <v>0</v>
      </c>
      <c r="V573" s="174">
        <f t="shared" si="29"/>
        <v>0</v>
      </c>
      <c r="W573" s="175">
        <f t="shared" si="29"/>
        <v>0</v>
      </c>
      <c r="X573" s="174">
        <f t="shared" si="29"/>
        <v>0</v>
      </c>
      <c r="Y573" s="175">
        <f t="shared" si="29"/>
        <v>0</v>
      </c>
      <c r="Z573" s="174">
        <f t="shared" si="29"/>
        <v>0</v>
      </c>
      <c r="AA573" s="175">
        <f t="shared" si="29"/>
        <v>0</v>
      </c>
      <c r="AB573" s="174">
        <f t="shared" si="29"/>
        <v>0</v>
      </c>
      <c r="AC573" s="175">
        <f t="shared" si="29"/>
        <v>0</v>
      </c>
      <c r="AD573" s="174">
        <f t="shared" si="29"/>
        <v>0</v>
      </c>
      <c r="AE573" s="175">
        <f t="shared" si="29"/>
        <v>0</v>
      </c>
      <c r="AF573" s="174">
        <f t="shared" si="29"/>
        <v>0</v>
      </c>
      <c r="AG573" s="175">
        <f t="shared" si="29"/>
        <v>0</v>
      </c>
      <c r="AH573" s="174">
        <f t="shared" si="29"/>
        <v>0</v>
      </c>
      <c r="AI573" s="175">
        <f t="shared" si="29"/>
        <v>0</v>
      </c>
      <c r="AJ573" s="174">
        <f t="shared" si="29"/>
        <v>0</v>
      </c>
      <c r="AK573" s="175">
        <f t="shared" si="29"/>
        <v>0</v>
      </c>
      <c r="AL573" s="174">
        <f t="shared" ref="AL573:BQ573" si="30">SUM(AL28:AL32)</f>
        <v>0</v>
      </c>
      <c r="AM573" s="175">
        <f t="shared" si="30"/>
        <v>0</v>
      </c>
      <c r="AN573" s="174">
        <f t="shared" si="30"/>
        <v>0</v>
      </c>
      <c r="AO573" s="175">
        <f t="shared" si="30"/>
        <v>0</v>
      </c>
      <c r="AP573" s="174">
        <f t="shared" si="30"/>
        <v>0</v>
      </c>
      <c r="AQ573" s="175">
        <f t="shared" si="30"/>
        <v>0</v>
      </c>
      <c r="AR573" s="174">
        <f t="shared" si="30"/>
        <v>0</v>
      </c>
      <c r="AS573" s="175">
        <f t="shared" si="30"/>
        <v>0</v>
      </c>
      <c r="AT573" s="174">
        <f t="shared" si="30"/>
        <v>0</v>
      </c>
      <c r="AU573" s="175">
        <f t="shared" si="30"/>
        <v>0</v>
      </c>
      <c r="AV573" s="174">
        <f t="shared" si="30"/>
        <v>0</v>
      </c>
      <c r="AW573" s="175">
        <f t="shared" si="30"/>
        <v>0</v>
      </c>
      <c r="AX573" s="174">
        <f t="shared" si="30"/>
        <v>0</v>
      </c>
      <c r="AY573" s="175">
        <f t="shared" si="30"/>
        <v>0</v>
      </c>
      <c r="AZ573" s="174">
        <f t="shared" si="30"/>
        <v>0</v>
      </c>
      <c r="BA573" s="175">
        <f t="shared" si="30"/>
        <v>0</v>
      </c>
      <c r="BB573" s="174">
        <f t="shared" si="30"/>
        <v>0</v>
      </c>
      <c r="BC573" s="175">
        <f t="shared" si="30"/>
        <v>0</v>
      </c>
      <c r="BD573" s="174">
        <f t="shared" si="30"/>
        <v>0</v>
      </c>
      <c r="BE573" s="175">
        <f t="shared" si="30"/>
        <v>0</v>
      </c>
      <c r="BF573" s="174">
        <f t="shared" si="30"/>
        <v>0</v>
      </c>
      <c r="BG573" s="175">
        <f t="shared" si="30"/>
        <v>0</v>
      </c>
      <c r="BH573" s="174">
        <f t="shared" si="30"/>
        <v>0</v>
      </c>
      <c r="BI573" s="175">
        <f t="shared" si="30"/>
        <v>0</v>
      </c>
      <c r="BJ573" s="174">
        <f t="shared" si="30"/>
        <v>0</v>
      </c>
      <c r="BK573" s="175">
        <f t="shared" si="30"/>
        <v>0</v>
      </c>
      <c r="BL573" s="174">
        <f t="shared" si="30"/>
        <v>0</v>
      </c>
      <c r="BM573" s="175">
        <f t="shared" si="30"/>
        <v>0</v>
      </c>
      <c r="BN573" s="174">
        <f t="shared" si="30"/>
        <v>0</v>
      </c>
      <c r="BO573" s="175">
        <f t="shared" si="30"/>
        <v>0</v>
      </c>
      <c r="BP573" s="174">
        <f t="shared" si="30"/>
        <v>0</v>
      </c>
      <c r="BQ573" s="175">
        <f t="shared" si="30"/>
        <v>0</v>
      </c>
      <c r="BR573" s="174">
        <f t="shared" ref="BR573:BW573" si="31">SUM(BR28:BR32)</f>
        <v>0</v>
      </c>
      <c r="BS573" s="175">
        <f t="shared" si="31"/>
        <v>0</v>
      </c>
      <c r="BT573" s="174">
        <f t="shared" si="31"/>
        <v>2778</v>
      </c>
      <c r="BU573" s="175">
        <f t="shared" si="31"/>
        <v>815</v>
      </c>
      <c r="BV573" s="174">
        <f t="shared" si="31"/>
        <v>2855</v>
      </c>
      <c r="BW573" s="175">
        <f t="shared" si="31"/>
        <v>737</v>
      </c>
    </row>
    <row r="574" spans="1:75" ht="13" x14ac:dyDescent="0.25">
      <c r="A574" s="196"/>
      <c r="B574" s="197" t="s">
        <v>595</v>
      </c>
      <c r="C574" s="90">
        <f>SUM(C33:C40)</f>
        <v>9316</v>
      </c>
      <c r="D574" s="90">
        <f>SUM(D33:D40)</f>
        <v>7060</v>
      </c>
      <c r="E574" s="145">
        <f t="shared" si="19"/>
        <v>0.75783598110777162</v>
      </c>
      <c r="F574" s="174">
        <f t="shared" ref="F574:AK574" si="32">SUM(F33:F40)</f>
        <v>4641</v>
      </c>
      <c r="G574" s="175">
        <f t="shared" si="32"/>
        <v>2151</v>
      </c>
      <c r="H574" s="174">
        <f t="shared" si="32"/>
        <v>0</v>
      </c>
      <c r="I574" s="175">
        <f t="shared" si="32"/>
        <v>0</v>
      </c>
      <c r="J574" s="174">
        <f t="shared" si="32"/>
        <v>0</v>
      </c>
      <c r="K574" s="175">
        <f t="shared" si="32"/>
        <v>0</v>
      </c>
      <c r="L574" s="174">
        <f t="shared" si="32"/>
        <v>0</v>
      </c>
      <c r="M574" s="175">
        <f t="shared" si="32"/>
        <v>0</v>
      </c>
      <c r="N574" s="174">
        <f t="shared" si="32"/>
        <v>0</v>
      </c>
      <c r="O574" s="175">
        <f t="shared" si="32"/>
        <v>0</v>
      </c>
      <c r="P574" s="174">
        <f t="shared" si="32"/>
        <v>0</v>
      </c>
      <c r="Q574" s="175">
        <f t="shared" si="32"/>
        <v>0</v>
      </c>
      <c r="R574" s="174">
        <f t="shared" si="32"/>
        <v>0</v>
      </c>
      <c r="S574" s="175">
        <f t="shared" si="32"/>
        <v>0</v>
      </c>
      <c r="T574" s="174">
        <f t="shared" si="32"/>
        <v>0</v>
      </c>
      <c r="U574" s="175">
        <f t="shared" si="32"/>
        <v>0</v>
      </c>
      <c r="V574" s="174">
        <f t="shared" si="32"/>
        <v>0</v>
      </c>
      <c r="W574" s="175">
        <f t="shared" si="32"/>
        <v>0</v>
      </c>
      <c r="X574" s="174">
        <f t="shared" si="32"/>
        <v>0</v>
      </c>
      <c r="Y574" s="175">
        <f t="shared" si="32"/>
        <v>0</v>
      </c>
      <c r="Z574" s="174">
        <f t="shared" si="32"/>
        <v>0</v>
      </c>
      <c r="AA574" s="175">
        <f t="shared" si="32"/>
        <v>0</v>
      </c>
      <c r="AB574" s="174">
        <f t="shared" si="32"/>
        <v>0</v>
      </c>
      <c r="AC574" s="175">
        <f t="shared" si="32"/>
        <v>0</v>
      </c>
      <c r="AD574" s="174">
        <f t="shared" si="32"/>
        <v>0</v>
      </c>
      <c r="AE574" s="175">
        <f t="shared" si="32"/>
        <v>0</v>
      </c>
      <c r="AF574" s="174">
        <f t="shared" si="32"/>
        <v>0</v>
      </c>
      <c r="AG574" s="175">
        <f t="shared" si="32"/>
        <v>0</v>
      </c>
      <c r="AH574" s="174">
        <f t="shared" si="32"/>
        <v>0</v>
      </c>
      <c r="AI574" s="175">
        <f t="shared" si="32"/>
        <v>0</v>
      </c>
      <c r="AJ574" s="174">
        <f t="shared" si="32"/>
        <v>0</v>
      </c>
      <c r="AK574" s="175">
        <f t="shared" si="32"/>
        <v>0</v>
      </c>
      <c r="AL574" s="174">
        <f t="shared" ref="AL574:BQ574" si="33">SUM(AL33:AL40)</f>
        <v>0</v>
      </c>
      <c r="AM574" s="175">
        <f t="shared" si="33"/>
        <v>0</v>
      </c>
      <c r="AN574" s="174">
        <f t="shared" si="33"/>
        <v>0</v>
      </c>
      <c r="AO574" s="175">
        <f t="shared" si="33"/>
        <v>0</v>
      </c>
      <c r="AP574" s="174">
        <f t="shared" si="33"/>
        <v>0</v>
      </c>
      <c r="AQ574" s="175">
        <f t="shared" si="33"/>
        <v>0</v>
      </c>
      <c r="AR574" s="174">
        <f t="shared" si="33"/>
        <v>0</v>
      </c>
      <c r="AS574" s="175">
        <f t="shared" si="33"/>
        <v>0</v>
      </c>
      <c r="AT574" s="174">
        <f t="shared" si="33"/>
        <v>0</v>
      </c>
      <c r="AU574" s="175">
        <f t="shared" si="33"/>
        <v>0</v>
      </c>
      <c r="AV574" s="174">
        <f t="shared" si="33"/>
        <v>0</v>
      </c>
      <c r="AW574" s="175">
        <f t="shared" si="33"/>
        <v>0</v>
      </c>
      <c r="AX574" s="174">
        <f t="shared" si="33"/>
        <v>0</v>
      </c>
      <c r="AY574" s="175">
        <f t="shared" si="33"/>
        <v>0</v>
      </c>
      <c r="AZ574" s="174">
        <f t="shared" si="33"/>
        <v>0</v>
      </c>
      <c r="BA574" s="175">
        <f t="shared" si="33"/>
        <v>0</v>
      </c>
      <c r="BB574" s="174">
        <f t="shared" si="33"/>
        <v>0</v>
      </c>
      <c r="BC574" s="175">
        <f t="shared" si="33"/>
        <v>0</v>
      </c>
      <c r="BD574" s="174">
        <f t="shared" si="33"/>
        <v>0</v>
      </c>
      <c r="BE574" s="175">
        <f t="shared" si="33"/>
        <v>0</v>
      </c>
      <c r="BF574" s="174">
        <f t="shared" si="33"/>
        <v>0</v>
      </c>
      <c r="BG574" s="175">
        <f t="shared" si="33"/>
        <v>0</v>
      </c>
      <c r="BH574" s="174">
        <f t="shared" si="33"/>
        <v>0</v>
      </c>
      <c r="BI574" s="175">
        <f t="shared" si="33"/>
        <v>0</v>
      </c>
      <c r="BJ574" s="174">
        <f t="shared" si="33"/>
        <v>0</v>
      </c>
      <c r="BK574" s="175">
        <f t="shared" si="33"/>
        <v>0</v>
      </c>
      <c r="BL574" s="174">
        <f t="shared" si="33"/>
        <v>0</v>
      </c>
      <c r="BM574" s="175">
        <f t="shared" si="33"/>
        <v>0</v>
      </c>
      <c r="BN574" s="174">
        <f t="shared" si="33"/>
        <v>0</v>
      </c>
      <c r="BO574" s="175">
        <f t="shared" si="33"/>
        <v>0</v>
      </c>
      <c r="BP574" s="174">
        <f t="shared" si="33"/>
        <v>0</v>
      </c>
      <c r="BQ574" s="175">
        <f t="shared" si="33"/>
        <v>0</v>
      </c>
      <c r="BR574" s="174">
        <f t="shared" ref="BR574:BW574" si="34">SUM(BR33:BR40)</f>
        <v>0</v>
      </c>
      <c r="BS574" s="175">
        <f t="shared" si="34"/>
        <v>0</v>
      </c>
      <c r="BT574" s="174">
        <f t="shared" si="34"/>
        <v>4943</v>
      </c>
      <c r="BU574" s="175">
        <f t="shared" si="34"/>
        <v>1735</v>
      </c>
      <c r="BV574" s="174">
        <f t="shared" si="34"/>
        <v>5123</v>
      </c>
      <c r="BW574" s="175">
        <f t="shared" si="34"/>
        <v>1554</v>
      </c>
    </row>
    <row r="575" spans="1:75" ht="13" x14ac:dyDescent="0.25">
      <c r="A575" s="196"/>
      <c r="B575" s="197" t="s">
        <v>596</v>
      </c>
      <c r="C575" s="90">
        <f>SUM(C41:C49)</f>
        <v>10868</v>
      </c>
      <c r="D575" s="90">
        <f>SUM(D41:D49)</f>
        <v>8172</v>
      </c>
      <c r="E575" s="145">
        <f t="shared" si="19"/>
        <v>0.75193227824806774</v>
      </c>
      <c r="F575" s="174">
        <f t="shared" ref="F575:AK575" si="35">SUM(F41:F49)</f>
        <v>5049</v>
      </c>
      <c r="G575" s="175">
        <f t="shared" si="35"/>
        <v>2819</v>
      </c>
      <c r="H575" s="174">
        <f t="shared" si="35"/>
        <v>0</v>
      </c>
      <c r="I575" s="175">
        <f t="shared" si="35"/>
        <v>0</v>
      </c>
      <c r="J575" s="174">
        <f t="shared" si="35"/>
        <v>0</v>
      </c>
      <c r="K575" s="175">
        <f t="shared" si="35"/>
        <v>0</v>
      </c>
      <c r="L575" s="174">
        <f t="shared" si="35"/>
        <v>0</v>
      </c>
      <c r="M575" s="175">
        <f t="shared" si="35"/>
        <v>0</v>
      </c>
      <c r="N575" s="174">
        <f t="shared" si="35"/>
        <v>0</v>
      </c>
      <c r="O575" s="175">
        <f t="shared" si="35"/>
        <v>0</v>
      </c>
      <c r="P575" s="174">
        <f t="shared" si="35"/>
        <v>0</v>
      </c>
      <c r="Q575" s="175">
        <f t="shared" si="35"/>
        <v>0</v>
      </c>
      <c r="R575" s="174">
        <f t="shared" si="35"/>
        <v>0</v>
      </c>
      <c r="S575" s="175">
        <f t="shared" si="35"/>
        <v>0</v>
      </c>
      <c r="T575" s="174">
        <f t="shared" si="35"/>
        <v>0</v>
      </c>
      <c r="U575" s="175">
        <f t="shared" si="35"/>
        <v>0</v>
      </c>
      <c r="V575" s="174">
        <f t="shared" si="35"/>
        <v>0</v>
      </c>
      <c r="W575" s="175">
        <f t="shared" si="35"/>
        <v>0</v>
      </c>
      <c r="X575" s="174">
        <f t="shared" si="35"/>
        <v>0</v>
      </c>
      <c r="Y575" s="175">
        <f t="shared" si="35"/>
        <v>0</v>
      </c>
      <c r="Z575" s="174">
        <f t="shared" si="35"/>
        <v>0</v>
      </c>
      <c r="AA575" s="175">
        <f t="shared" si="35"/>
        <v>0</v>
      </c>
      <c r="AB575" s="174">
        <f t="shared" si="35"/>
        <v>0</v>
      </c>
      <c r="AC575" s="175">
        <f t="shared" si="35"/>
        <v>0</v>
      </c>
      <c r="AD575" s="174">
        <f t="shared" si="35"/>
        <v>0</v>
      </c>
      <c r="AE575" s="175">
        <f t="shared" si="35"/>
        <v>0</v>
      </c>
      <c r="AF575" s="174">
        <f t="shared" si="35"/>
        <v>0</v>
      </c>
      <c r="AG575" s="175">
        <f t="shared" si="35"/>
        <v>0</v>
      </c>
      <c r="AH575" s="174">
        <f t="shared" si="35"/>
        <v>0</v>
      </c>
      <c r="AI575" s="175">
        <f t="shared" si="35"/>
        <v>0</v>
      </c>
      <c r="AJ575" s="174">
        <f t="shared" si="35"/>
        <v>0</v>
      </c>
      <c r="AK575" s="175">
        <f t="shared" si="35"/>
        <v>0</v>
      </c>
      <c r="AL575" s="174">
        <f t="shared" ref="AL575:BQ575" si="36">SUM(AL41:AL49)</f>
        <v>0</v>
      </c>
      <c r="AM575" s="175">
        <f t="shared" si="36"/>
        <v>0</v>
      </c>
      <c r="AN575" s="174">
        <f t="shared" si="36"/>
        <v>0</v>
      </c>
      <c r="AO575" s="175">
        <f t="shared" si="36"/>
        <v>0</v>
      </c>
      <c r="AP575" s="174">
        <f t="shared" si="36"/>
        <v>0</v>
      </c>
      <c r="AQ575" s="175">
        <f t="shared" si="36"/>
        <v>0</v>
      </c>
      <c r="AR575" s="174">
        <f t="shared" si="36"/>
        <v>0</v>
      </c>
      <c r="AS575" s="175">
        <f t="shared" si="36"/>
        <v>0</v>
      </c>
      <c r="AT575" s="174">
        <f t="shared" si="36"/>
        <v>0</v>
      </c>
      <c r="AU575" s="175">
        <f t="shared" si="36"/>
        <v>0</v>
      </c>
      <c r="AV575" s="174">
        <f t="shared" si="36"/>
        <v>0</v>
      </c>
      <c r="AW575" s="175">
        <f t="shared" si="36"/>
        <v>0</v>
      </c>
      <c r="AX575" s="174">
        <f t="shared" si="36"/>
        <v>0</v>
      </c>
      <c r="AY575" s="175">
        <f t="shared" si="36"/>
        <v>0</v>
      </c>
      <c r="AZ575" s="174">
        <f t="shared" si="36"/>
        <v>0</v>
      </c>
      <c r="BA575" s="175">
        <f t="shared" si="36"/>
        <v>0</v>
      </c>
      <c r="BB575" s="174">
        <f t="shared" si="36"/>
        <v>0</v>
      </c>
      <c r="BC575" s="175">
        <f t="shared" si="36"/>
        <v>0</v>
      </c>
      <c r="BD575" s="174">
        <f t="shared" si="36"/>
        <v>0</v>
      </c>
      <c r="BE575" s="175">
        <f t="shared" si="36"/>
        <v>0</v>
      </c>
      <c r="BF575" s="174">
        <f t="shared" si="36"/>
        <v>0</v>
      </c>
      <c r="BG575" s="175">
        <f t="shared" si="36"/>
        <v>0</v>
      </c>
      <c r="BH575" s="174">
        <f t="shared" si="36"/>
        <v>0</v>
      </c>
      <c r="BI575" s="175">
        <f t="shared" si="36"/>
        <v>0</v>
      </c>
      <c r="BJ575" s="174">
        <f t="shared" si="36"/>
        <v>0</v>
      </c>
      <c r="BK575" s="175">
        <f t="shared" si="36"/>
        <v>0</v>
      </c>
      <c r="BL575" s="174">
        <f t="shared" si="36"/>
        <v>0</v>
      </c>
      <c r="BM575" s="175">
        <f t="shared" si="36"/>
        <v>0</v>
      </c>
      <c r="BN575" s="174">
        <f t="shared" si="36"/>
        <v>0</v>
      </c>
      <c r="BO575" s="175">
        <f t="shared" si="36"/>
        <v>0</v>
      </c>
      <c r="BP575" s="174">
        <f t="shared" si="36"/>
        <v>0</v>
      </c>
      <c r="BQ575" s="175">
        <f t="shared" si="36"/>
        <v>0</v>
      </c>
      <c r="BR575" s="174">
        <f t="shared" ref="BR575:BW575" si="37">SUM(BR41:BR49)</f>
        <v>0</v>
      </c>
      <c r="BS575" s="175">
        <f t="shared" si="37"/>
        <v>0</v>
      </c>
      <c r="BT575" s="174">
        <f t="shared" si="37"/>
        <v>5528</v>
      </c>
      <c r="BU575" s="175">
        <f t="shared" si="37"/>
        <v>2272</v>
      </c>
      <c r="BV575" s="174">
        <f t="shared" si="37"/>
        <v>5644</v>
      </c>
      <c r="BW575" s="175">
        <f t="shared" si="37"/>
        <v>2153</v>
      </c>
    </row>
    <row r="576" spans="1:75" ht="13" x14ac:dyDescent="0.25">
      <c r="A576" s="196"/>
      <c r="B576" s="197" t="s">
        <v>597</v>
      </c>
      <c r="C576" s="90">
        <f>SUM(C50:C53)</f>
        <v>7119</v>
      </c>
      <c r="D576" s="90">
        <f>SUM(D50:D53)</f>
        <v>3723</v>
      </c>
      <c r="E576" s="145">
        <f t="shared" si="19"/>
        <v>0.5229667088074168</v>
      </c>
      <c r="F576" s="174">
        <f t="shared" ref="F576:AK576" si="38">SUM(F50:F53)</f>
        <v>2680</v>
      </c>
      <c r="G576" s="175">
        <f t="shared" si="38"/>
        <v>873</v>
      </c>
      <c r="H576" s="174">
        <f t="shared" si="38"/>
        <v>0</v>
      </c>
      <c r="I576" s="175">
        <f t="shared" si="38"/>
        <v>0</v>
      </c>
      <c r="J576" s="174">
        <f t="shared" si="38"/>
        <v>0</v>
      </c>
      <c r="K576" s="175">
        <f t="shared" si="38"/>
        <v>0</v>
      </c>
      <c r="L576" s="174">
        <f t="shared" si="38"/>
        <v>0</v>
      </c>
      <c r="M576" s="175">
        <f t="shared" si="38"/>
        <v>0</v>
      </c>
      <c r="N576" s="174">
        <f t="shared" si="38"/>
        <v>895</v>
      </c>
      <c r="O576" s="175">
        <f t="shared" si="38"/>
        <v>188</v>
      </c>
      <c r="P576" s="174">
        <f t="shared" si="38"/>
        <v>0</v>
      </c>
      <c r="Q576" s="175">
        <f t="shared" si="38"/>
        <v>0</v>
      </c>
      <c r="R576" s="174">
        <f t="shared" si="38"/>
        <v>0</v>
      </c>
      <c r="S576" s="175">
        <f t="shared" si="38"/>
        <v>0</v>
      </c>
      <c r="T576" s="174">
        <f t="shared" si="38"/>
        <v>0</v>
      </c>
      <c r="U576" s="175">
        <f t="shared" si="38"/>
        <v>0</v>
      </c>
      <c r="V576" s="174">
        <f t="shared" si="38"/>
        <v>0</v>
      </c>
      <c r="W576" s="175">
        <f t="shared" si="38"/>
        <v>0</v>
      </c>
      <c r="X576" s="174">
        <f t="shared" si="38"/>
        <v>0</v>
      </c>
      <c r="Y576" s="175">
        <f t="shared" si="38"/>
        <v>0</v>
      </c>
      <c r="Z576" s="174">
        <f t="shared" si="38"/>
        <v>0</v>
      </c>
      <c r="AA576" s="175">
        <f t="shared" si="38"/>
        <v>0</v>
      </c>
      <c r="AB576" s="174">
        <f t="shared" si="38"/>
        <v>0</v>
      </c>
      <c r="AC576" s="175">
        <f t="shared" si="38"/>
        <v>0</v>
      </c>
      <c r="AD576" s="174">
        <f t="shared" si="38"/>
        <v>0</v>
      </c>
      <c r="AE576" s="175">
        <f t="shared" si="38"/>
        <v>0</v>
      </c>
      <c r="AF576" s="174">
        <f t="shared" si="38"/>
        <v>0</v>
      </c>
      <c r="AG576" s="175">
        <f t="shared" si="38"/>
        <v>0</v>
      </c>
      <c r="AH576" s="174">
        <f t="shared" si="38"/>
        <v>0</v>
      </c>
      <c r="AI576" s="175">
        <f t="shared" si="38"/>
        <v>0</v>
      </c>
      <c r="AJ576" s="174">
        <f t="shared" si="38"/>
        <v>0</v>
      </c>
      <c r="AK576" s="175">
        <f t="shared" si="38"/>
        <v>0</v>
      </c>
      <c r="AL576" s="174">
        <f t="shared" ref="AL576:BQ576" si="39">SUM(AL50:AL53)</f>
        <v>0</v>
      </c>
      <c r="AM576" s="175">
        <f t="shared" si="39"/>
        <v>0</v>
      </c>
      <c r="AN576" s="174">
        <f t="shared" si="39"/>
        <v>0</v>
      </c>
      <c r="AO576" s="175">
        <f t="shared" si="39"/>
        <v>0</v>
      </c>
      <c r="AP576" s="174">
        <f t="shared" si="39"/>
        <v>0</v>
      </c>
      <c r="AQ576" s="175">
        <f t="shared" si="39"/>
        <v>0</v>
      </c>
      <c r="AR576" s="174">
        <f t="shared" si="39"/>
        <v>0</v>
      </c>
      <c r="AS576" s="175">
        <f t="shared" si="39"/>
        <v>0</v>
      </c>
      <c r="AT576" s="174">
        <f t="shared" si="39"/>
        <v>0</v>
      </c>
      <c r="AU576" s="175">
        <f t="shared" si="39"/>
        <v>0</v>
      </c>
      <c r="AV576" s="174">
        <f t="shared" si="39"/>
        <v>0</v>
      </c>
      <c r="AW576" s="175">
        <f t="shared" si="39"/>
        <v>0</v>
      </c>
      <c r="AX576" s="174">
        <f t="shared" si="39"/>
        <v>0</v>
      </c>
      <c r="AY576" s="175">
        <f t="shared" si="39"/>
        <v>0</v>
      </c>
      <c r="AZ576" s="174">
        <f t="shared" si="39"/>
        <v>0</v>
      </c>
      <c r="BA576" s="175">
        <f t="shared" si="39"/>
        <v>0</v>
      </c>
      <c r="BB576" s="174">
        <f t="shared" si="39"/>
        <v>0</v>
      </c>
      <c r="BC576" s="175">
        <f t="shared" si="39"/>
        <v>0</v>
      </c>
      <c r="BD576" s="174">
        <f t="shared" si="39"/>
        <v>0</v>
      </c>
      <c r="BE576" s="175">
        <f t="shared" si="39"/>
        <v>0</v>
      </c>
      <c r="BF576" s="174">
        <f t="shared" si="39"/>
        <v>0</v>
      </c>
      <c r="BG576" s="175">
        <f t="shared" si="39"/>
        <v>0</v>
      </c>
      <c r="BH576" s="174">
        <f t="shared" si="39"/>
        <v>0</v>
      </c>
      <c r="BI576" s="175">
        <f t="shared" si="39"/>
        <v>0</v>
      </c>
      <c r="BJ576" s="174">
        <f t="shared" si="39"/>
        <v>0</v>
      </c>
      <c r="BK576" s="175">
        <f t="shared" si="39"/>
        <v>0</v>
      </c>
      <c r="BL576" s="174">
        <f t="shared" si="39"/>
        <v>0</v>
      </c>
      <c r="BM576" s="175">
        <f t="shared" si="39"/>
        <v>0</v>
      </c>
      <c r="BN576" s="174">
        <f t="shared" si="39"/>
        <v>0</v>
      </c>
      <c r="BO576" s="175">
        <f t="shared" si="39"/>
        <v>0</v>
      </c>
      <c r="BP576" s="174">
        <f t="shared" si="39"/>
        <v>0</v>
      </c>
      <c r="BQ576" s="175">
        <f t="shared" si="39"/>
        <v>0</v>
      </c>
      <c r="BR576" s="174">
        <f t="shared" ref="BR576:BW576" si="40">SUM(BR50:BR53)</f>
        <v>0</v>
      </c>
      <c r="BS576" s="175">
        <f t="shared" si="40"/>
        <v>0</v>
      </c>
      <c r="BT576" s="174">
        <f t="shared" si="40"/>
        <v>2885</v>
      </c>
      <c r="BU576" s="175">
        <f t="shared" si="40"/>
        <v>646</v>
      </c>
      <c r="BV576" s="174">
        <f t="shared" si="40"/>
        <v>2984</v>
      </c>
      <c r="BW576" s="175">
        <f t="shared" si="40"/>
        <v>551</v>
      </c>
    </row>
    <row r="577" spans="1:75" ht="13" x14ac:dyDescent="0.25">
      <c r="A577" s="196"/>
      <c r="B577" s="197" t="s">
        <v>598</v>
      </c>
      <c r="C577" s="90">
        <f>SUM(C55:C65)</f>
        <v>11088</v>
      </c>
      <c r="D577" s="90">
        <f>SUM(D55:D65)</f>
        <v>6468</v>
      </c>
      <c r="E577" s="145">
        <f t="shared" si="19"/>
        <v>0.58333333333333337</v>
      </c>
      <c r="F577" s="174">
        <f t="shared" ref="F577:AK577" si="41">SUM(F55:F65)</f>
        <v>4913</v>
      </c>
      <c r="G577" s="175">
        <f t="shared" si="41"/>
        <v>1168</v>
      </c>
      <c r="H577" s="174">
        <f t="shared" si="41"/>
        <v>0</v>
      </c>
      <c r="I577" s="175">
        <f t="shared" si="41"/>
        <v>0</v>
      </c>
      <c r="J577" s="174">
        <f t="shared" si="41"/>
        <v>0</v>
      </c>
      <c r="K577" s="175">
        <f t="shared" si="41"/>
        <v>0</v>
      </c>
      <c r="L577" s="174">
        <f t="shared" si="41"/>
        <v>0</v>
      </c>
      <c r="M577" s="175">
        <f t="shared" si="41"/>
        <v>0</v>
      </c>
      <c r="N577" s="174">
        <f t="shared" si="41"/>
        <v>0</v>
      </c>
      <c r="O577" s="175">
        <f t="shared" si="41"/>
        <v>0</v>
      </c>
      <c r="P577" s="174">
        <f t="shared" si="41"/>
        <v>0</v>
      </c>
      <c r="Q577" s="175">
        <f t="shared" si="41"/>
        <v>0</v>
      </c>
      <c r="R577" s="174">
        <f t="shared" si="41"/>
        <v>0</v>
      </c>
      <c r="S577" s="175">
        <f t="shared" si="41"/>
        <v>0</v>
      </c>
      <c r="T577" s="174">
        <f t="shared" si="41"/>
        <v>0</v>
      </c>
      <c r="U577" s="175">
        <f t="shared" si="41"/>
        <v>0</v>
      </c>
      <c r="V577" s="174">
        <f t="shared" si="41"/>
        <v>0</v>
      </c>
      <c r="W577" s="175">
        <f t="shared" si="41"/>
        <v>0</v>
      </c>
      <c r="X577" s="174">
        <f t="shared" si="41"/>
        <v>0</v>
      </c>
      <c r="Y577" s="175">
        <f t="shared" si="41"/>
        <v>0</v>
      </c>
      <c r="Z577" s="174">
        <f t="shared" si="41"/>
        <v>0</v>
      </c>
      <c r="AA577" s="175">
        <f t="shared" si="41"/>
        <v>0</v>
      </c>
      <c r="AB577" s="174">
        <f t="shared" si="41"/>
        <v>0</v>
      </c>
      <c r="AC577" s="175">
        <f t="shared" si="41"/>
        <v>0</v>
      </c>
      <c r="AD577" s="174">
        <f t="shared" si="41"/>
        <v>0</v>
      </c>
      <c r="AE577" s="175">
        <f t="shared" si="41"/>
        <v>0</v>
      </c>
      <c r="AF577" s="174">
        <f t="shared" si="41"/>
        <v>0</v>
      </c>
      <c r="AG577" s="175">
        <f t="shared" si="41"/>
        <v>0</v>
      </c>
      <c r="AH577" s="174">
        <f t="shared" si="41"/>
        <v>0</v>
      </c>
      <c r="AI577" s="175">
        <f t="shared" si="41"/>
        <v>0</v>
      </c>
      <c r="AJ577" s="174">
        <f t="shared" si="41"/>
        <v>0</v>
      </c>
      <c r="AK577" s="175">
        <f t="shared" si="41"/>
        <v>0</v>
      </c>
      <c r="AL577" s="174">
        <f t="shared" ref="AL577:BQ577" si="42">SUM(AL55:AL65)</f>
        <v>0</v>
      </c>
      <c r="AM577" s="175">
        <f t="shared" si="42"/>
        <v>0</v>
      </c>
      <c r="AN577" s="174">
        <f t="shared" si="42"/>
        <v>0</v>
      </c>
      <c r="AO577" s="175">
        <f t="shared" si="42"/>
        <v>0</v>
      </c>
      <c r="AP577" s="174">
        <f t="shared" si="42"/>
        <v>0</v>
      </c>
      <c r="AQ577" s="175">
        <f t="shared" si="42"/>
        <v>0</v>
      </c>
      <c r="AR577" s="174">
        <f t="shared" si="42"/>
        <v>0</v>
      </c>
      <c r="AS577" s="175">
        <f t="shared" si="42"/>
        <v>0</v>
      </c>
      <c r="AT577" s="174">
        <f t="shared" si="42"/>
        <v>0</v>
      </c>
      <c r="AU577" s="175">
        <f t="shared" si="42"/>
        <v>0</v>
      </c>
      <c r="AV577" s="174">
        <f t="shared" si="42"/>
        <v>0</v>
      </c>
      <c r="AW577" s="175">
        <f t="shared" si="42"/>
        <v>0</v>
      </c>
      <c r="AX577" s="174">
        <f t="shared" si="42"/>
        <v>0</v>
      </c>
      <c r="AY577" s="175">
        <f t="shared" si="42"/>
        <v>0</v>
      </c>
      <c r="AZ577" s="174">
        <f t="shared" si="42"/>
        <v>0</v>
      </c>
      <c r="BA577" s="175">
        <f t="shared" si="42"/>
        <v>0</v>
      </c>
      <c r="BB577" s="174">
        <f t="shared" si="42"/>
        <v>0</v>
      </c>
      <c r="BC577" s="175">
        <f t="shared" si="42"/>
        <v>0</v>
      </c>
      <c r="BD577" s="174">
        <f t="shared" si="42"/>
        <v>0</v>
      </c>
      <c r="BE577" s="175">
        <f t="shared" si="42"/>
        <v>0</v>
      </c>
      <c r="BF577" s="174">
        <f t="shared" si="42"/>
        <v>0</v>
      </c>
      <c r="BG577" s="175">
        <f t="shared" si="42"/>
        <v>0</v>
      </c>
      <c r="BH577" s="174">
        <f t="shared" si="42"/>
        <v>0</v>
      </c>
      <c r="BI577" s="175">
        <f t="shared" si="42"/>
        <v>0</v>
      </c>
      <c r="BJ577" s="174">
        <f t="shared" si="42"/>
        <v>0</v>
      </c>
      <c r="BK577" s="175">
        <f t="shared" si="42"/>
        <v>0</v>
      </c>
      <c r="BL577" s="174">
        <f t="shared" si="42"/>
        <v>0</v>
      </c>
      <c r="BM577" s="175">
        <f t="shared" si="42"/>
        <v>0</v>
      </c>
      <c r="BN577" s="174">
        <f t="shared" si="42"/>
        <v>0</v>
      </c>
      <c r="BO577" s="175">
        <f t="shared" si="42"/>
        <v>0</v>
      </c>
      <c r="BP577" s="174">
        <f t="shared" si="42"/>
        <v>0</v>
      </c>
      <c r="BQ577" s="175">
        <f t="shared" si="42"/>
        <v>0</v>
      </c>
      <c r="BR577" s="174">
        <f t="shared" ref="BR577:BW577" si="43">SUM(BR55:BR65)</f>
        <v>0</v>
      </c>
      <c r="BS577" s="175">
        <f t="shared" si="43"/>
        <v>0</v>
      </c>
      <c r="BT577" s="174">
        <f t="shared" si="43"/>
        <v>4681</v>
      </c>
      <c r="BU577" s="175">
        <f t="shared" si="43"/>
        <v>1465</v>
      </c>
      <c r="BV577" s="174">
        <f t="shared" si="43"/>
        <v>4806</v>
      </c>
      <c r="BW577" s="175">
        <f t="shared" si="43"/>
        <v>1324</v>
      </c>
    </row>
    <row r="578" spans="1:75" ht="13" x14ac:dyDescent="0.25">
      <c r="A578" s="196"/>
      <c r="B578" s="197" t="s">
        <v>599</v>
      </c>
      <c r="C578" s="90">
        <f>SUM(C66:C69)</f>
        <v>6074</v>
      </c>
      <c r="D578" s="90">
        <f>SUM(D66:D69)</f>
        <v>3431</v>
      </c>
      <c r="E578" s="145">
        <f t="shared" si="19"/>
        <v>0.56486664471517944</v>
      </c>
      <c r="F578" s="174">
        <f t="shared" ref="F578:AK578" si="44">SUM(F66:F69)</f>
        <v>2489</v>
      </c>
      <c r="G578" s="175">
        <f t="shared" si="44"/>
        <v>818</v>
      </c>
      <c r="H578" s="174">
        <f t="shared" si="44"/>
        <v>0</v>
      </c>
      <c r="I578" s="175">
        <f t="shared" si="44"/>
        <v>0</v>
      </c>
      <c r="J578" s="174">
        <f t="shared" si="44"/>
        <v>0</v>
      </c>
      <c r="K578" s="175">
        <f t="shared" si="44"/>
        <v>0</v>
      </c>
      <c r="L578" s="174">
        <f t="shared" si="44"/>
        <v>0</v>
      </c>
      <c r="M578" s="175">
        <f t="shared" si="44"/>
        <v>0</v>
      </c>
      <c r="N578" s="174">
        <f t="shared" si="44"/>
        <v>0</v>
      </c>
      <c r="O578" s="175">
        <f t="shared" si="44"/>
        <v>0</v>
      </c>
      <c r="P578" s="174">
        <f t="shared" si="44"/>
        <v>0</v>
      </c>
      <c r="Q578" s="175">
        <f t="shared" si="44"/>
        <v>0</v>
      </c>
      <c r="R578" s="174">
        <f t="shared" si="44"/>
        <v>0</v>
      </c>
      <c r="S578" s="175">
        <f t="shared" si="44"/>
        <v>0</v>
      </c>
      <c r="T578" s="174">
        <f t="shared" si="44"/>
        <v>0</v>
      </c>
      <c r="U578" s="175">
        <f t="shared" si="44"/>
        <v>0</v>
      </c>
      <c r="V578" s="174">
        <f t="shared" si="44"/>
        <v>0</v>
      </c>
      <c r="W578" s="175">
        <f t="shared" si="44"/>
        <v>0</v>
      </c>
      <c r="X578" s="174">
        <f t="shared" si="44"/>
        <v>0</v>
      </c>
      <c r="Y578" s="175">
        <f t="shared" si="44"/>
        <v>0</v>
      </c>
      <c r="Z578" s="174">
        <f t="shared" si="44"/>
        <v>0</v>
      </c>
      <c r="AA578" s="175">
        <f t="shared" si="44"/>
        <v>0</v>
      </c>
      <c r="AB578" s="174">
        <f t="shared" si="44"/>
        <v>0</v>
      </c>
      <c r="AC578" s="175">
        <f t="shared" si="44"/>
        <v>0</v>
      </c>
      <c r="AD578" s="174">
        <f t="shared" si="44"/>
        <v>0</v>
      </c>
      <c r="AE578" s="175">
        <f t="shared" si="44"/>
        <v>0</v>
      </c>
      <c r="AF578" s="174">
        <f t="shared" si="44"/>
        <v>0</v>
      </c>
      <c r="AG578" s="175">
        <f t="shared" si="44"/>
        <v>0</v>
      </c>
      <c r="AH578" s="174">
        <f t="shared" si="44"/>
        <v>0</v>
      </c>
      <c r="AI578" s="175">
        <f t="shared" si="44"/>
        <v>0</v>
      </c>
      <c r="AJ578" s="174">
        <f t="shared" si="44"/>
        <v>0</v>
      </c>
      <c r="AK578" s="175">
        <f t="shared" si="44"/>
        <v>0</v>
      </c>
      <c r="AL578" s="174">
        <f t="shared" ref="AL578:BQ578" si="45">SUM(AL66:AL69)</f>
        <v>0</v>
      </c>
      <c r="AM578" s="175">
        <f t="shared" si="45"/>
        <v>0</v>
      </c>
      <c r="AN578" s="174">
        <f t="shared" si="45"/>
        <v>0</v>
      </c>
      <c r="AO578" s="175">
        <f t="shared" si="45"/>
        <v>0</v>
      </c>
      <c r="AP578" s="174">
        <f t="shared" si="45"/>
        <v>0</v>
      </c>
      <c r="AQ578" s="175">
        <f t="shared" si="45"/>
        <v>0</v>
      </c>
      <c r="AR578" s="174">
        <f t="shared" si="45"/>
        <v>0</v>
      </c>
      <c r="AS578" s="175">
        <f t="shared" si="45"/>
        <v>0</v>
      </c>
      <c r="AT578" s="174">
        <f t="shared" si="45"/>
        <v>0</v>
      </c>
      <c r="AU578" s="175">
        <f t="shared" si="45"/>
        <v>0</v>
      </c>
      <c r="AV578" s="174">
        <f t="shared" si="45"/>
        <v>0</v>
      </c>
      <c r="AW578" s="175">
        <f t="shared" si="45"/>
        <v>0</v>
      </c>
      <c r="AX578" s="174">
        <f t="shared" si="45"/>
        <v>0</v>
      </c>
      <c r="AY578" s="175">
        <f t="shared" si="45"/>
        <v>0</v>
      </c>
      <c r="AZ578" s="174">
        <f t="shared" si="45"/>
        <v>0</v>
      </c>
      <c r="BA578" s="175">
        <f t="shared" si="45"/>
        <v>0</v>
      </c>
      <c r="BB578" s="174">
        <f t="shared" si="45"/>
        <v>0</v>
      </c>
      <c r="BC578" s="175">
        <f t="shared" si="45"/>
        <v>0</v>
      </c>
      <c r="BD578" s="174">
        <f t="shared" si="45"/>
        <v>0</v>
      </c>
      <c r="BE578" s="175">
        <f t="shared" si="45"/>
        <v>0</v>
      </c>
      <c r="BF578" s="174">
        <f t="shared" si="45"/>
        <v>0</v>
      </c>
      <c r="BG578" s="175">
        <f t="shared" si="45"/>
        <v>0</v>
      </c>
      <c r="BH578" s="174">
        <f t="shared" si="45"/>
        <v>0</v>
      </c>
      <c r="BI578" s="175">
        <f t="shared" si="45"/>
        <v>0</v>
      </c>
      <c r="BJ578" s="174">
        <f t="shared" si="45"/>
        <v>0</v>
      </c>
      <c r="BK578" s="175">
        <f t="shared" si="45"/>
        <v>0</v>
      </c>
      <c r="BL578" s="174">
        <f t="shared" si="45"/>
        <v>0</v>
      </c>
      <c r="BM578" s="175">
        <f t="shared" si="45"/>
        <v>0</v>
      </c>
      <c r="BN578" s="174">
        <f t="shared" si="45"/>
        <v>0</v>
      </c>
      <c r="BO578" s="175">
        <f t="shared" si="45"/>
        <v>0</v>
      </c>
      <c r="BP578" s="174">
        <f t="shared" si="45"/>
        <v>0</v>
      </c>
      <c r="BQ578" s="175">
        <f t="shared" si="45"/>
        <v>0</v>
      </c>
      <c r="BR578" s="174">
        <f t="shared" ref="BR578:BW578" si="46">SUM(BR66:BR69)</f>
        <v>0</v>
      </c>
      <c r="BS578" s="175">
        <f t="shared" si="46"/>
        <v>0</v>
      </c>
      <c r="BT578" s="174">
        <f t="shared" si="46"/>
        <v>2513</v>
      </c>
      <c r="BU578" s="175">
        <f t="shared" si="46"/>
        <v>760</v>
      </c>
      <c r="BV578" s="174">
        <f t="shared" si="46"/>
        <v>2586</v>
      </c>
      <c r="BW578" s="175">
        <f t="shared" si="46"/>
        <v>692</v>
      </c>
    </row>
    <row r="579" spans="1:75" ht="13" x14ac:dyDescent="0.25">
      <c r="A579" s="196"/>
      <c r="B579" s="197" t="s">
        <v>600</v>
      </c>
      <c r="C579" s="90">
        <f>SUM(C70:C73)</f>
        <v>5059</v>
      </c>
      <c r="D579" s="90">
        <f>SUM(D70:D73)</f>
        <v>2619</v>
      </c>
      <c r="E579" s="145">
        <f t="shared" si="19"/>
        <v>0.51769124332872107</v>
      </c>
      <c r="F579" s="174">
        <f t="shared" ref="F579:AK579" si="47">SUM(F70:F73)</f>
        <v>1902</v>
      </c>
      <c r="G579" s="175">
        <f t="shared" si="47"/>
        <v>547</v>
      </c>
      <c r="H579" s="174">
        <f t="shared" si="47"/>
        <v>0</v>
      </c>
      <c r="I579" s="175">
        <f t="shared" si="47"/>
        <v>0</v>
      </c>
      <c r="J579" s="174">
        <f t="shared" si="47"/>
        <v>0</v>
      </c>
      <c r="K579" s="175">
        <f t="shared" si="47"/>
        <v>0</v>
      </c>
      <c r="L579" s="174">
        <f t="shared" si="47"/>
        <v>0</v>
      </c>
      <c r="M579" s="175">
        <f t="shared" si="47"/>
        <v>0</v>
      </c>
      <c r="N579" s="174">
        <f t="shared" si="47"/>
        <v>0</v>
      </c>
      <c r="O579" s="175">
        <f t="shared" si="47"/>
        <v>0</v>
      </c>
      <c r="P579" s="174">
        <f t="shared" si="47"/>
        <v>0</v>
      </c>
      <c r="Q579" s="175">
        <f t="shared" si="47"/>
        <v>0</v>
      </c>
      <c r="R579" s="174">
        <f t="shared" si="47"/>
        <v>0</v>
      </c>
      <c r="S579" s="175">
        <f t="shared" si="47"/>
        <v>0</v>
      </c>
      <c r="T579" s="174">
        <f t="shared" si="47"/>
        <v>0</v>
      </c>
      <c r="U579" s="175">
        <f t="shared" si="47"/>
        <v>0</v>
      </c>
      <c r="V579" s="174">
        <f t="shared" si="47"/>
        <v>0</v>
      </c>
      <c r="W579" s="175">
        <f t="shared" si="47"/>
        <v>0</v>
      </c>
      <c r="X579" s="174">
        <f t="shared" si="47"/>
        <v>0</v>
      </c>
      <c r="Y579" s="175">
        <f t="shared" si="47"/>
        <v>0</v>
      </c>
      <c r="Z579" s="174">
        <f t="shared" si="47"/>
        <v>0</v>
      </c>
      <c r="AA579" s="175">
        <f t="shared" si="47"/>
        <v>0</v>
      </c>
      <c r="AB579" s="174">
        <f t="shared" si="47"/>
        <v>0</v>
      </c>
      <c r="AC579" s="175">
        <f t="shared" si="47"/>
        <v>0</v>
      </c>
      <c r="AD579" s="174">
        <f t="shared" si="47"/>
        <v>0</v>
      </c>
      <c r="AE579" s="175">
        <f t="shared" si="47"/>
        <v>0</v>
      </c>
      <c r="AF579" s="174">
        <f t="shared" si="47"/>
        <v>0</v>
      </c>
      <c r="AG579" s="175">
        <f t="shared" si="47"/>
        <v>0</v>
      </c>
      <c r="AH579" s="174">
        <f t="shared" si="47"/>
        <v>0</v>
      </c>
      <c r="AI579" s="175">
        <f t="shared" si="47"/>
        <v>0</v>
      </c>
      <c r="AJ579" s="174">
        <f t="shared" si="47"/>
        <v>0</v>
      </c>
      <c r="AK579" s="175">
        <f t="shared" si="47"/>
        <v>0</v>
      </c>
      <c r="AL579" s="174">
        <f t="shared" ref="AL579:BQ579" si="48">SUM(AL70:AL73)</f>
        <v>0</v>
      </c>
      <c r="AM579" s="175">
        <f t="shared" si="48"/>
        <v>0</v>
      </c>
      <c r="AN579" s="174">
        <f t="shared" si="48"/>
        <v>0</v>
      </c>
      <c r="AO579" s="175">
        <f t="shared" si="48"/>
        <v>0</v>
      </c>
      <c r="AP579" s="174">
        <f t="shared" si="48"/>
        <v>0</v>
      </c>
      <c r="AQ579" s="175">
        <f t="shared" si="48"/>
        <v>0</v>
      </c>
      <c r="AR579" s="174">
        <f t="shared" si="48"/>
        <v>0</v>
      </c>
      <c r="AS579" s="175">
        <f t="shared" si="48"/>
        <v>0</v>
      </c>
      <c r="AT579" s="174">
        <f t="shared" si="48"/>
        <v>0</v>
      </c>
      <c r="AU579" s="175">
        <f t="shared" si="48"/>
        <v>0</v>
      </c>
      <c r="AV579" s="174">
        <f t="shared" si="48"/>
        <v>0</v>
      </c>
      <c r="AW579" s="175">
        <f t="shared" si="48"/>
        <v>0</v>
      </c>
      <c r="AX579" s="174">
        <f t="shared" si="48"/>
        <v>0</v>
      </c>
      <c r="AY579" s="175">
        <f t="shared" si="48"/>
        <v>0</v>
      </c>
      <c r="AZ579" s="174">
        <f t="shared" si="48"/>
        <v>0</v>
      </c>
      <c r="BA579" s="175">
        <f t="shared" si="48"/>
        <v>0</v>
      </c>
      <c r="BB579" s="174">
        <f t="shared" si="48"/>
        <v>0</v>
      </c>
      <c r="BC579" s="175">
        <f t="shared" si="48"/>
        <v>0</v>
      </c>
      <c r="BD579" s="174">
        <f t="shared" si="48"/>
        <v>0</v>
      </c>
      <c r="BE579" s="175">
        <f t="shared" si="48"/>
        <v>0</v>
      </c>
      <c r="BF579" s="174">
        <f t="shared" si="48"/>
        <v>0</v>
      </c>
      <c r="BG579" s="175">
        <f t="shared" si="48"/>
        <v>0</v>
      </c>
      <c r="BH579" s="174">
        <f t="shared" si="48"/>
        <v>0</v>
      </c>
      <c r="BI579" s="175">
        <f t="shared" si="48"/>
        <v>0</v>
      </c>
      <c r="BJ579" s="174">
        <f t="shared" si="48"/>
        <v>0</v>
      </c>
      <c r="BK579" s="175">
        <f t="shared" si="48"/>
        <v>0</v>
      </c>
      <c r="BL579" s="174">
        <f t="shared" si="48"/>
        <v>0</v>
      </c>
      <c r="BM579" s="175">
        <f t="shared" si="48"/>
        <v>0</v>
      </c>
      <c r="BN579" s="174">
        <f t="shared" si="48"/>
        <v>0</v>
      </c>
      <c r="BO579" s="175">
        <f t="shared" si="48"/>
        <v>0</v>
      </c>
      <c r="BP579" s="174">
        <f t="shared" si="48"/>
        <v>0</v>
      </c>
      <c r="BQ579" s="175">
        <f t="shared" si="48"/>
        <v>0</v>
      </c>
      <c r="BR579" s="174">
        <f t="shared" ref="BR579:BW579" si="49">SUM(BR70:BR73)</f>
        <v>0</v>
      </c>
      <c r="BS579" s="175">
        <f t="shared" si="49"/>
        <v>0</v>
      </c>
      <c r="BT579" s="174">
        <f t="shared" si="49"/>
        <v>1966</v>
      </c>
      <c r="BU579" s="175">
        <f t="shared" si="49"/>
        <v>495</v>
      </c>
      <c r="BV579" s="174">
        <f t="shared" si="49"/>
        <v>2031</v>
      </c>
      <c r="BW579" s="175">
        <f t="shared" si="49"/>
        <v>419</v>
      </c>
    </row>
    <row r="580" spans="1:75" ht="13" x14ac:dyDescent="0.25">
      <c r="A580" s="196"/>
      <c r="B580" s="197" t="s">
        <v>601</v>
      </c>
      <c r="C580" s="90">
        <f>SUM(C74:C76)</f>
        <v>4325</v>
      </c>
      <c r="D580" s="90">
        <f>SUM(D74:D76)</f>
        <v>2086</v>
      </c>
      <c r="E580" s="145">
        <f t="shared" si="19"/>
        <v>0.48231213872832368</v>
      </c>
      <c r="F580" s="174">
        <f t="shared" ref="F580:AK580" si="50">SUM(F74:F76)</f>
        <v>1535</v>
      </c>
      <c r="G580" s="175">
        <f t="shared" si="50"/>
        <v>463</v>
      </c>
      <c r="H580" s="174">
        <f t="shared" si="50"/>
        <v>0</v>
      </c>
      <c r="I580" s="175">
        <f t="shared" si="50"/>
        <v>0</v>
      </c>
      <c r="J580" s="174">
        <f t="shared" si="50"/>
        <v>0</v>
      </c>
      <c r="K580" s="175">
        <f t="shared" si="50"/>
        <v>0</v>
      </c>
      <c r="L580" s="174">
        <f t="shared" si="50"/>
        <v>0</v>
      </c>
      <c r="M580" s="175">
        <f t="shared" si="50"/>
        <v>0</v>
      </c>
      <c r="N580" s="174">
        <f t="shared" si="50"/>
        <v>0</v>
      </c>
      <c r="O580" s="175">
        <f t="shared" si="50"/>
        <v>0</v>
      </c>
      <c r="P580" s="174">
        <f t="shared" si="50"/>
        <v>0</v>
      </c>
      <c r="Q580" s="175">
        <f t="shared" si="50"/>
        <v>0</v>
      </c>
      <c r="R580" s="174">
        <f t="shared" si="50"/>
        <v>0</v>
      </c>
      <c r="S580" s="175">
        <f t="shared" si="50"/>
        <v>0</v>
      </c>
      <c r="T580" s="174">
        <f t="shared" si="50"/>
        <v>0</v>
      </c>
      <c r="U580" s="175">
        <f t="shared" si="50"/>
        <v>0</v>
      </c>
      <c r="V580" s="174">
        <f t="shared" si="50"/>
        <v>0</v>
      </c>
      <c r="W580" s="175">
        <f t="shared" si="50"/>
        <v>0</v>
      </c>
      <c r="X580" s="174">
        <f t="shared" si="50"/>
        <v>0</v>
      </c>
      <c r="Y580" s="175">
        <f t="shared" si="50"/>
        <v>0</v>
      </c>
      <c r="Z580" s="174">
        <f t="shared" si="50"/>
        <v>0</v>
      </c>
      <c r="AA580" s="175">
        <f t="shared" si="50"/>
        <v>0</v>
      </c>
      <c r="AB580" s="174">
        <f t="shared" si="50"/>
        <v>0</v>
      </c>
      <c r="AC580" s="175">
        <f t="shared" si="50"/>
        <v>0</v>
      </c>
      <c r="AD580" s="174">
        <f t="shared" si="50"/>
        <v>0</v>
      </c>
      <c r="AE580" s="175">
        <f t="shared" si="50"/>
        <v>0</v>
      </c>
      <c r="AF580" s="174">
        <f t="shared" si="50"/>
        <v>0</v>
      </c>
      <c r="AG580" s="175">
        <f t="shared" si="50"/>
        <v>0</v>
      </c>
      <c r="AH580" s="174">
        <f t="shared" si="50"/>
        <v>0</v>
      </c>
      <c r="AI580" s="175">
        <f t="shared" si="50"/>
        <v>0</v>
      </c>
      <c r="AJ580" s="174">
        <f t="shared" si="50"/>
        <v>0</v>
      </c>
      <c r="AK580" s="175">
        <f t="shared" si="50"/>
        <v>0</v>
      </c>
      <c r="AL580" s="174">
        <f t="shared" ref="AL580:BQ580" si="51">SUM(AL74:AL76)</f>
        <v>0</v>
      </c>
      <c r="AM580" s="175">
        <f t="shared" si="51"/>
        <v>0</v>
      </c>
      <c r="AN580" s="174">
        <f t="shared" si="51"/>
        <v>0</v>
      </c>
      <c r="AO580" s="175">
        <f t="shared" si="51"/>
        <v>0</v>
      </c>
      <c r="AP580" s="174">
        <f t="shared" si="51"/>
        <v>0</v>
      </c>
      <c r="AQ580" s="175">
        <f t="shared" si="51"/>
        <v>0</v>
      </c>
      <c r="AR580" s="174">
        <f t="shared" si="51"/>
        <v>0</v>
      </c>
      <c r="AS580" s="175">
        <f t="shared" si="51"/>
        <v>0</v>
      </c>
      <c r="AT580" s="174">
        <f t="shared" si="51"/>
        <v>0</v>
      </c>
      <c r="AU580" s="175">
        <f t="shared" si="51"/>
        <v>0</v>
      </c>
      <c r="AV580" s="174">
        <f t="shared" si="51"/>
        <v>0</v>
      </c>
      <c r="AW580" s="175">
        <f t="shared" si="51"/>
        <v>0</v>
      </c>
      <c r="AX580" s="174">
        <f t="shared" si="51"/>
        <v>0</v>
      </c>
      <c r="AY580" s="175">
        <f t="shared" si="51"/>
        <v>0</v>
      </c>
      <c r="AZ580" s="174">
        <f t="shared" si="51"/>
        <v>0</v>
      </c>
      <c r="BA580" s="175">
        <f t="shared" si="51"/>
        <v>0</v>
      </c>
      <c r="BB580" s="174">
        <f t="shared" si="51"/>
        <v>0</v>
      </c>
      <c r="BC580" s="175">
        <f t="shared" si="51"/>
        <v>0</v>
      </c>
      <c r="BD580" s="174">
        <f t="shared" si="51"/>
        <v>0</v>
      </c>
      <c r="BE580" s="175">
        <f t="shared" si="51"/>
        <v>0</v>
      </c>
      <c r="BF580" s="174">
        <f t="shared" si="51"/>
        <v>0</v>
      </c>
      <c r="BG580" s="175">
        <f t="shared" si="51"/>
        <v>0</v>
      </c>
      <c r="BH580" s="174">
        <f t="shared" si="51"/>
        <v>0</v>
      </c>
      <c r="BI580" s="175">
        <f t="shared" si="51"/>
        <v>0</v>
      </c>
      <c r="BJ580" s="174">
        <f t="shared" si="51"/>
        <v>0</v>
      </c>
      <c r="BK580" s="175">
        <f t="shared" si="51"/>
        <v>0</v>
      </c>
      <c r="BL580" s="174">
        <f t="shared" si="51"/>
        <v>0</v>
      </c>
      <c r="BM580" s="175">
        <f t="shared" si="51"/>
        <v>0</v>
      </c>
      <c r="BN580" s="174">
        <f t="shared" si="51"/>
        <v>0</v>
      </c>
      <c r="BO580" s="175">
        <f t="shared" si="51"/>
        <v>0</v>
      </c>
      <c r="BP580" s="174">
        <f t="shared" si="51"/>
        <v>0</v>
      </c>
      <c r="BQ580" s="175">
        <f t="shared" si="51"/>
        <v>0</v>
      </c>
      <c r="BR580" s="174">
        <f t="shared" ref="BR580:BW580" si="52">SUM(BR74:BR76)</f>
        <v>0</v>
      </c>
      <c r="BS580" s="175">
        <f t="shared" si="52"/>
        <v>0</v>
      </c>
      <c r="BT580" s="174">
        <f t="shared" si="52"/>
        <v>1585</v>
      </c>
      <c r="BU580" s="175">
        <f t="shared" si="52"/>
        <v>397</v>
      </c>
      <c r="BV580" s="174">
        <f t="shared" si="52"/>
        <v>1586</v>
      </c>
      <c r="BW580" s="175">
        <f t="shared" si="52"/>
        <v>386</v>
      </c>
    </row>
    <row r="581" spans="1:75" ht="13" x14ac:dyDescent="0.25">
      <c r="A581" s="196"/>
      <c r="B581" s="197" t="s">
        <v>602</v>
      </c>
      <c r="C581" s="90">
        <f>SUM(C77:C79)</f>
        <v>3468</v>
      </c>
      <c r="D581" s="90">
        <f>SUM(D77:D79)</f>
        <v>1560</v>
      </c>
      <c r="E581" s="145">
        <f t="shared" si="19"/>
        <v>0.44982698961937717</v>
      </c>
      <c r="F581" s="174">
        <f t="shared" ref="F581:AK581" si="53">SUM(F77:F79)</f>
        <v>1101</v>
      </c>
      <c r="G581" s="175">
        <f t="shared" si="53"/>
        <v>386</v>
      </c>
      <c r="H581" s="174">
        <f t="shared" si="53"/>
        <v>0</v>
      </c>
      <c r="I581" s="175">
        <f t="shared" si="53"/>
        <v>0</v>
      </c>
      <c r="J581" s="174">
        <f t="shared" si="53"/>
        <v>0</v>
      </c>
      <c r="K581" s="175">
        <f t="shared" si="53"/>
        <v>0</v>
      </c>
      <c r="L581" s="174">
        <f t="shared" si="53"/>
        <v>0</v>
      </c>
      <c r="M581" s="175">
        <f t="shared" si="53"/>
        <v>0</v>
      </c>
      <c r="N581" s="174">
        <f t="shared" si="53"/>
        <v>0</v>
      </c>
      <c r="O581" s="175">
        <f t="shared" si="53"/>
        <v>0</v>
      </c>
      <c r="P581" s="174">
        <f t="shared" si="53"/>
        <v>0</v>
      </c>
      <c r="Q581" s="175">
        <f t="shared" si="53"/>
        <v>0</v>
      </c>
      <c r="R581" s="174">
        <f t="shared" si="53"/>
        <v>0</v>
      </c>
      <c r="S581" s="175">
        <f t="shared" si="53"/>
        <v>0</v>
      </c>
      <c r="T581" s="174">
        <f t="shared" si="53"/>
        <v>0</v>
      </c>
      <c r="U581" s="175">
        <f t="shared" si="53"/>
        <v>0</v>
      </c>
      <c r="V581" s="174">
        <f t="shared" si="53"/>
        <v>0</v>
      </c>
      <c r="W581" s="175">
        <f t="shared" si="53"/>
        <v>0</v>
      </c>
      <c r="X581" s="174">
        <f t="shared" si="53"/>
        <v>0</v>
      </c>
      <c r="Y581" s="175">
        <f t="shared" si="53"/>
        <v>0</v>
      </c>
      <c r="Z581" s="174">
        <f t="shared" si="53"/>
        <v>0</v>
      </c>
      <c r="AA581" s="175">
        <f t="shared" si="53"/>
        <v>0</v>
      </c>
      <c r="AB581" s="174">
        <f t="shared" si="53"/>
        <v>0</v>
      </c>
      <c r="AC581" s="175">
        <f t="shared" si="53"/>
        <v>0</v>
      </c>
      <c r="AD581" s="174">
        <f t="shared" si="53"/>
        <v>0</v>
      </c>
      <c r="AE581" s="175">
        <f t="shared" si="53"/>
        <v>0</v>
      </c>
      <c r="AF581" s="174">
        <f t="shared" si="53"/>
        <v>0</v>
      </c>
      <c r="AG581" s="175">
        <f t="shared" si="53"/>
        <v>0</v>
      </c>
      <c r="AH581" s="174">
        <f t="shared" si="53"/>
        <v>0</v>
      </c>
      <c r="AI581" s="175">
        <f t="shared" si="53"/>
        <v>0</v>
      </c>
      <c r="AJ581" s="174">
        <f t="shared" si="53"/>
        <v>0</v>
      </c>
      <c r="AK581" s="175">
        <f t="shared" si="53"/>
        <v>0</v>
      </c>
      <c r="AL581" s="174">
        <f t="shared" ref="AL581:BQ581" si="54">SUM(AL77:AL79)</f>
        <v>0</v>
      </c>
      <c r="AM581" s="175">
        <f t="shared" si="54"/>
        <v>0</v>
      </c>
      <c r="AN581" s="174">
        <f t="shared" si="54"/>
        <v>0</v>
      </c>
      <c r="AO581" s="175">
        <f t="shared" si="54"/>
        <v>0</v>
      </c>
      <c r="AP581" s="174">
        <f t="shared" si="54"/>
        <v>0</v>
      </c>
      <c r="AQ581" s="175">
        <f t="shared" si="54"/>
        <v>0</v>
      </c>
      <c r="AR581" s="174">
        <f t="shared" si="54"/>
        <v>0</v>
      </c>
      <c r="AS581" s="175">
        <f t="shared" si="54"/>
        <v>0</v>
      </c>
      <c r="AT581" s="174">
        <f t="shared" si="54"/>
        <v>0</v>
      </c>
      <c r="AU581" s="175">
        <f t="shared" si="54"/>
        <v>0</v>
      </c>
      <c r="AV581" s="174">
        <f t="shared" si="54"/>
        <v>0</v>
      </c>
      <c r="AW581" s="175">
        <f t="shared" si="54"/>
        <v>0</v>
      </c>
      <c r="AX581" s="174">
        <f t="shared" si="54"/>
        <v>0</v>
      </c>
      <c r="AY581" s="175">
        <f t="shared" si="54"/>
        <v>0</v>
      </c>
      <c r="AZ581" s="174">
        <f t="shared" si="54"/>
        <v>0</v>
      </c>
      <c r="BA581" s="175">
        <f t="shared" si="54"/>
        <v>0</v>
      </c>
      <c r="BB581" s="174">
        <f t="shared" si="54"/>
        <v>0</v>
      </c>
      <c r="BC581" s="175">
        <f t="shared" si="54"/>
        <v>0</v>
      </c>
      <c r="BD581" s="174">
        <f t="shared" si="54"/>
        <v>0</v>
      </c>
      <c r="BE581" s="175">
        <f t="shared" si="54"/>
        <v>0</v>
      </c>
      <c r="BF581" s="174">
        <f t="shared" si="54"/>
        <v>0</v>
      </c>
      <c r="BG581" s="175">
        <f t="shared" si="54"/>
        <v>0</v>
      </c>
      <c r="BH581" s="174">
        <f t="shared" si="54"/>
        <v>0</v>
      </c>
      <c r="BI581" s="175">
        <f t="shared" si="54"/>
        <v>0</v>
      </c>
      <c r="BJ581" s="174">
        <f t="shared" si="54"/>
        <v>0</v>
      </c>
      <c r="BK581" s="175">
        <f t="shared" si="54"/>
        <v>0</v>
      </c>
      <c r="BL581" s="174">
        <f t="shared" si="54"/>
        <v>0</v>
      </c>
      <c r="BM581" s="175">
        <f t="shared" si="54"/>
        <v>0</v>
      </c>
      <c r="BN581" s="174">
        <f t="shared" si="54"/>
        <v>0</v>
      </c>
      <c r="BO581" s="175">
        <f t="shared" si="54"/>
        <v>0</v>
      </c>
      <c r="BP581" s="174">
        <f t="shared" si="54"/>
        <v>0</v>
      </c>
      <c r="BQ581" s="175">
        <f t="shared" si="54"/>
        <v>0</v>
      </c>
      <c r="BR581" s="174">
        <f t="shared" ref="BR581:BW581" si="55">SUM(BR77:BR79)</f>
        <v>0</v>
      </c>
      <c r="BS581" s="175">
        <f t="shared" si="55"/>
        <v>0</v>
      </c>
      <c r="BT581" s="174">
        <f t="shared" si="55"/>
        <v>1117</v>
      </c>
      <c r="BU581" s="175">
        <f t="shared" si="55"/>
        <v>319</v>
      </c>
      <c r="BV581" s="174">
        <f t="shared" si="55"/>
        <v>1162</v>
      </c>
      <c r="BW581" s="175">
        <f t="shared" si="55"/>
        <v>274</v>
      </c>
    </row>
    <row r="582" spans="1:75" ht="13" x14ac:dyDescent="0.25">
      <c r="A582" s="196"/>
      <c r="B582" s="197" t="s">
        <v>603</v>
      </c>
      <c r="C582" s="90">
        <f>SUM(C81:C85)</f>
        <v>5257</v>
      </c>
      <c r="D582" s="90">
        <f>SUM(D81:D85)</f>
        <v>2141</v>
      </c>
      <c r="E582" s="145">
        <f t="shared" si="19"/>
        <v>0.40726650180711432</v>
      </c>
      <c r="F582" s="174">
        <f t="shared" ref="F582:AK582" si="56">SUM(F81:F85)</f>
        <v>1485</v>
      </c>
      <c r="G582" s="175">
        <f t="shared" si="56"/>
        <v>499</v>
      </c>
      <c r="H582" s="174">
        <f t="shared" si="56"/>
        <v>0</v>
      </c>
      <c r="I582" s="175">
        <f t="shared" si="56"/>
        <v>0</v>
      </c>
      <c r="J582" s="174">
        <f t="shared" si="56"/>
        <v>0</v>
      </c>
      <c r="K582" s="175">
        <f t="shared" si="56"/>
        <v>0</v>
      </c>
      <c r="L582" s="174">
        <f t="shared" si="56"/>
        <v>0</v>
      </c>
      <c r="M582" s="175">
        <f t="shared" si="56"/>
        <v>0</v>
      </c>
      <c r="N582" s="174">
        <f t="shared" si="56"/>
        <v>0</v>
      </c>
      <c r="O582" s="175">
        <f t="shared" si="56"/>
        <v>0</v>
      </c>
      <c r="P582" s="174">
        <f t="shared" si="56"/>
        <v>0</v>
      </c>
      <c r="Q582" s="175">
        <f t="shared" si="56"/>
        <v>0</v>
      </c>
      <c r="R582" s="174">
        <f t="shared" si="56"/>
        <v>0</v>
      </c>
      <c r="S582" s="175">
        <f t="shared" si="56"/>
        <v>0</v>
      </c>
      <c r="T582" s="174">
        <f t="shared" si="56"/>
        <v>0</v>
      </c>
      <c r="U582" s="175">
        <f t="shared" si="56"/>
        <v>0</v>
      </c>
      <c r="V582" s="174">
        <f t="shared" si="56"/>
        <v>0</v>
      </c>
      <c r="W582" s="175">
        <f t="shared" si="56"/>
        <v>0</v>
      </c>
      <c r="X582" s="174">
        <f t="shared" si="56"/>
        <v>0</v>
      </c>
      <c r="Y582" s="175">
        <f t="shared" si="56"/>
        <v>0</v>
      </c>
      <c r="Z582" s="174">
        <f t="shared" si="56"/>
        <v>0</v>
      </c>
      <c r="AA582" s="175">
        <f t="shared" si="56"/>
        <v>0</v>
      </c>
      <c r="AB582" s="174">
        <f t="shared" si="56"/>
        <v>0</v>
      </c>
      <c r="AC582" s="175">
        <f t="shared" si="56"/>
        <v>0</v>
      </c>
      <c r="AD582" s="174">
        <f t="shared" si="56"/>
        <v>0</v>
      </c>
      <c r="AE582" s="175">
        <f t="shared" si="56"/>
        <v>0</v>
      </c>
      <c r="AF582" s="174">
        <f t="shared" si="56"/>
        <v>0</v>
      </c>
      <c r="AG582" s="175">
        <f t="shared" si="56"/>
        <v>0</v>
      </c>
      <c r="AH582" s="174">
        <f t="shared" si="56"/>
        <v>0</v>
      </c>
      <c r="AI582" s="175">
        <f t="shared" si="56"/>
        <v>0</v>
      </c>
      <c r="AJ582" s="174">
        <f t="shared" si="56"/>
        <v>0</v>
      </c>
      <c r="AK582" s="175">
        <f t="shared" si="56"/>
        <v>0</v>
      </c>
      <c r="AL582" s="174">
        <f t="shared" ref="AL582:BQ582" si="57">SUM(AL81:AL85)</f>
        <v>0</v>
      </c>
      <c r="AM582" s="175">
        <f t="shared" si="57"/>
        <v>0</v>
      </c>
      <c r="AN582" s="174">
        <f t="shared" si="57"/>
        <v>0</v>
      </c>
      <c r="AO582" s="175">
        <f t="shared" si="57"/>
        <v>0</v>
      </c>
      <c r="AP582" s="174">
        <f t="shared" si="57"/>
        <v>0</v>
      </c>
      <c r="AQ582" s="175">
        <f t="shared" si="57"/>
        <v>0</v>
      </c>
      <c r="AR582" s="174">
        <f t="shared" si="57"/>
        <v>0</v>
      </c>
      <c r="AS582" s="175">
        <f t="shared" si="57"/>
        <v>0</v>
      </c>
      <c r="AT582" s="174">
        <f t="shared" si="57"/>
        <v>0</v>
      </c>
      <c r="AU582" s="175">
        <f t="shared" si="57"/>
        <v>0</v>
      </c>
      <c r="AV582" s="174">
        <f t="shared" si="57"/>
        <v>0</v>
      </c>
      <c r="AW582" s="175">
        <f t="shared" si="57"/>
        <v>0</v>
      </c>
      <c r="AX582" s="174">
        <f t="shared" si="57"/>
        <v>0</v>
      </c>
      <c r="AY582" s="175">
        <f t="shared" si="57"/>
        <v>0</v>
      </c>
      <c r="AZ582" s="174">
        <f t="shared" si="57"/>
        <v>0</v>
      </c>
      <c r="BA582" s="175">
        <f t="shared" si="57"/>
        <v>0</v>
      </c>
      <c r="BB582" s="174">
        <f t="shared" si="57"/>
        <v>0</v>
      </c>
      <c r="BC582" s="175">
        <f t="shared" si="57"/>
        <v>0</v>
      </c>
      <c r="BD582" s="174">
        <f t="shared" si="57"/>
        <v>0</v>
      </c>
      <c r="BE582" s="175">
        <f t="shared" si="57"/>
        <v>0</v>
      </c>
      <c r="BF582" s="174">
        <f t="shared" si="57"/>
        <v>0</v>
      </c>
      <c r="BG582" s="175">
        <f t="shared" si="57"/>
        <v>0</v>
      </c>
      <c r="BH582" s="174">
        <f t="shared" si="57"/>
        <v>0</v>
      </c>
      <c r="BI582" s="175">
        <f t="shared" si="57"/>
        <v>0</v>
      </c>
      <c r="BJ582" s="174">
        <f t="shared" si="57"/>
        <v>0</v>
      </c>
      <c r="BK582" s="175">
        <f t="shared" si="57"/>
        <v>0</v>
      </c>
      <c r="BL582" s="174">
        <f t="shared" si="57"/>
        <v>0</v>
      </c>
      <c r="BM582" s="175">
        <f t="shared" si="57"/>
        <v>0</v>
      </c>
      <c r="BN582" s="174">
        <f t="shared" si="57"/>
        <v>0</v>
      </c>
      <c r="BO582" s="175">
        <f t="shared" si="57"/>
        <v>0</v>
      </c>
      <c r="BP582" s="174">
        <f t="shared" si="57"/>
        <v>0</v>
      </c>
      <c r="BQ582" s="175">
        <f t="shared" si="57"/>
        <v>0</v>
      </c>
      <c r="BR582" s="174">
        <f t="shared" ref="BR582:BW582" si="58">SUM(BR81:BR85)</f>
        <v>0</v>
      </c>
      <c r="BS582" s="175">
        <f t="shared" si="58"/>
        <v>0</v>
      </c>
      <c r="BT582" s="174">
        <f t="shared" si="58"/>
        <v>1533</v>
      </c>
      <c r="BU582" s="175">
        <f t="shared" si="58"/>
        <v>362</v>
      </c>
      <c r="BV582" s="174">
        <f t="shared" si="58"/>
        <v>1617</v>
      </c>
      <c r="BW582" s="175">
        <f t="shared" si="58"/>
        <v>280</v>
      </c>
    </row>
    <row r="583" spans="1:75" ht="13" x14ac:dyDescent="0.25">
      <c r="A583" s="196"/>
      <c r="B583" s="197" t="s">
        <v>604</v>
      </c>
      <c r="C583" s="90">
        <f>SUM(C86:C93)</f>
        <v>9201</v>
      </c>
      <c r="D583" s="90">
        <f>SUM(D86:D93)</f>
        <v>4465</v>
      </c>
      <c r="E583" s="145">
        <f t="shared" si="19"/>
        <v>0.48527333985436366</v>
      </c>
      <c r="F583" s="174">
        <f t="shared" ref="F583:AK583" si="59">SUM(F86:F93)</f>
        <v>3398</v>
      </c>
      <c r="G583" s="175">
        <f t="shared" si="59"/>
        <v>844</v>
      </c>
      <c r="H583" s="174">
        <f t="shared" si="59"/>
        <v>0</v>
      </c>
      <c r="I583" s="175">
        <f t="shared" si="59"/>
        <v>0</v>
      </c>
      <c r="J583" s="174">
        <f t="shared" si="59"/>
        <v>0</v>
      </c>
      <c r="K583" s="175">
        <f t="shared" si="59"/>
        <v>0</v>
      </c>
      <c r="L583" s="174">
        <f t="shared" si="59"/>
        <v>0</v>
      </c>
      <c r="M583" s="175">
        <f t="shared" si="59"/>
        <v>0</v>
      </c>
      <c r="N583" s="174">
        <f t="shared" si="59"/>
        <v>0</v>
      </c>
      <c r="O583" s="175">
        <f t="shared" si="59"/>
        <v>0</v>
      </c>
      <c r="P583" s="174">
        <f t="shared" si="59"/>
        <v>0</v>
      </c>
      <c r="Q583" s="175">
        <f t="shared" si="59"/>
        <v>0</v>
      </c>
      <c r="R583" s="174">
        <f t="shared" si="59"/>
        <v>0</v>
      </c>
      <c r="S583" s="175">
        <f t="shared" si="59"/>
        <v>0</v>
      </c>
      <c r="T583" s="174">
        <f t="shared" si="59"/>
        <v>0</v>
      </c>
      <c r="U583" s="175">
        <f t="shared" si="59"/>
        <v>0</v>
      </c>
      <c r="V583" s="174">
        <f t="shared" si="59"/>
        <v>0</v>
      </c>
      <c r="W583" s="175">
        <f t="shared" si="59"/>
        <v>0</v>
      </c>
      <c r="X583" s="174">
        <f t="shared" si="59"/>
        <v>0</v>
      </c>
      <c r="Y583" s="175">
        <f t="shared" si="59"/>
        <v>0</v>
      </c>
      <c r="Z583" s="174">
        <f t="shared" si="59"/>
        <v>0</v>
      </c>
      <c r="AA583" s="175">
        <f t="shared" si="59"/>
        <v>0</v>
      </c>
      <c r="AB583" s="174">
        <f t="shared" si="59"/>
        <v>0</v>
      </c>
      <c r="AC583" s="175">
        <f t="shared" si="59"/>
        <v>0</v>
      </c>
      <c r="AD583" s="174">
        <f t="shared" si="59"/>
        <v>0</v>
      </c>
      <c r="AE583" s="175">
        <f t="shared" si="59"/>
        <v>0</v>
      </c>
      <c r="AF583" s="174">
        <f t="shared" si="59"/>
        <v>0</v>
      </c>
      <c r="AG583" s="175">
        <f t="shared" si="59"/>
        <v>0</v>
      </c>
      <c r="AH583" s="174">
        <f t="shared" si="59"/>
        <v>0</v>
      </c>
      <c r="AI583" s="175">
        <f t="shared" si="59"/>
        <v>0</v>
      </c>
      <c r="AJ583" s="174">
        <f t="shared" si="59"/>
        <v>0</v>
      </c>
      <c r="AK583" s="175">
        <f t="shared" si="59"/>
        <v>0</v>
      </c>
      <c r="AL583" s="174">
        <f t="shared" ref="AL583:BQ583" si="60">SUM(AL86:AL93)</f>
        <v>0</v>
      </c>
      <c r="AM583" s="175">
        <f t="shared" si="60"/>
        <v>0</v>
      </c>
      <c r="AN583" s="174">
        <f t="shared" si="60"/>
        <v>0</v>
      </c>
      <c r="AO583" s="175">
        <f t="shared" si="60"/>
        <v>0</v>
      </c>
      <c r="AP583" s="174">
        <f t="shared" si="60"/>
        <v>0</v>
      </c>
      <c r="AQ583" s="175">
        <f t="shared" si="60"/>
        <v>0</v>
      </c>
      <c r="AR583" s="174">
        <f t="shared" si="60"/>
        <v>0</v>
      </c>
      <c r="AS583" s="175">
        <f t="shared" si="60"/>
        <v>0</v>
      </c>
      <c r="AT583" s="174">
        <f t="shared" si="60"/>
        <v>0</v>
      </c>
      <c r="AU583" s="175">
        <f t="shared" si="60"/>
        <v>0</v>
      </c>
      <c r="AV583" s="174">
        <f t="shared" si="60"/>
        <v>0</v>
      </c>
      <c r="AW583" s="175">
        <f t="shared" si="60"/>
        <v>0</v>
      </c>
      <c r="AX583" s="174">
        <f t="shared" si="60"/>
        <v>0</v>
      </c>
      <c r="AY583" s="175">
        <f t="shared" si="60"/>
        <v>0</v>
      </c>
      <c r="AZ583" s="174">
        <f t="shared" si="60"/>
        <v>0</v>
      </c>
      <c r="BA583" s="175">
        <f t="shared" si="60"/>
        <v>0</v>
      </c>
      <c r="BB583" s="174">
        <f t="shared" si="60"/>
        <v>0</v>
      </c>
      <c r="BC583" s="175">
        <f t="shared" si="60"/>
        <v>0</v>
      </c>
      <c r="BD583" s="174">
        <f t="shared" si="60"/>
        <v>0</v>
      </c>
      <c r="BE583" s="175">
        <f t="shared" si="60"/>
        <v>0</v>
      </c>
      <c r="BF583" s="174">
        <f t="shared" si="60"/>
        <v>0</v>
      </c>
      <c r="BG583" s="175">
        <f t="shared" si="60"/>
        <v>0</v>
      </c>
      <c r="BH583" s="174">
        <f t="shared" si="60"/>
        <v>0</v>
      </c>
      <c r="BI583" s="175">
        <f t="shared" si="60"/>
        <v>0</v>
      </c>
      <c r="BJ583" s="174">
        <f t="shared" si="60"/>
        <v>0</v>
      </c>
      <c r="BK583" s="175">
        <f t="shared" si="60"/>
        <v>0</v>
      </c>
      <c r="BL583" s="174">
        <f t="shared" si="60"/>
        <v>0</v>
      </c>
      <c r="BM583" s="175">
        <f t="shared" si="60"/>
        <v>0</v>
      </c>
      <c r="BN583" s="174">
        <f t="shared" si="60"/>
        <v>0</v>
      </c>
      <c r="BO583" s="175">
        <f t="shared" si="60"/>
        <v>0</v>
      </c>
      <c r="BP583" s="174">
        <f t="shared" si="60"/>
        <v>0</v>
      </c>
      <c r="BQ583" s="175">
        <f t="shared" si="60"/>
        <v>0</v>
      </c>
      <c r="BR583" s="174">
        <f t="shared" ref="BR583:BW583" si="61">SUM(BR86:BR93)</f>
        <v>0</v>
      </c>
      <c r="BS583" s="175">
        <f t="shared" si="61"/>
        <v>0</v>
      </c>
      <c r="BT583" s="174">
        <f t="shared" si="61"/>
        <v>3330</v>
      </c>
      <c r="BU583" s="175">
        <f t="shared" si="61"/>
        <v>890</v>
      </c>
      <c r="BV583" s="174">
        <f t="shared" si="61"/>
        <v>3442</v>
      </c>
      <c r="BW583" s="175">
        <f t="shared" si="61"/>
        <v>773</v>
      </c>
    </row>
    <row r="584" spans="1:75" ht="13" x14ac:dyDescent="0.25">
      <c r="A584" s="196"/>
      <c r="B584" s="197" t="s">
        <v>605</v>
      </c>
      <c r="C584" s="90">
        <f>SUM(C94:C102)</f>
        <v>10377</v>
      </c>
      <c r="D584" s="90">
        <f>SUM(D94:D102)</f>
        <v>7663</v>
      </c>
      <c r="E584" s="145">
        <f t="shared" si="19"/>
        <v>0.73846005589283992</v>
      </c>
      <c r="F584" s="174">
        <f t="shared" ref="F584:AK584" si="62">SUM(F94:F102)</f>
        <v>5910</v>
      </c>
      <c r="G584" s="175">
        <f t="shared" si="62"/>
        <v>1467</v>
      </c>
      <c r="H584" s="174">
        <f t="shared" si="62"/>
        <v>0</v>
      </c>
      <c r="I584" s="175">
        <f t="shared" si="62"/>
        <v>0</v>
      </c>
      <c r="J584" s="174">
        <f t="shared" si="62"/>
        <v>0</v>
      </c>
      <c r="K584" s="175">
        <f t="shared" si="62"/>
        <v>0</v>
      </c>
      <c r="L584" s="174">
        <f t="shared" si="62"/>
        <v>0</v>
      </c>
      <c r="M584" s="175">
        <f t="shared" si="62"/>
        <v>0</v>
      </c>
      <c r="N584" s="174">
        <f t="shared" si="62"/>
        <v>0</v>
      </c>
      <c r="O584" s="175">
        <f t="shared" si="62"/>
        <v>0</v>
      </c>
      <c r="P584" s="174">
        <f t="shared" si="62"/>
        <v>0</v>
      </c>
      <c r="Q584" s="175">
        <f t="shared" si="62"/>
        <v>0</v>
      </c>
      <c r="R584" s="174">
        <f t="shared" si="62"/>
        <v>0</v>
      </c>
      <c r="S584" s="175">
        <f t="shared" si="62"/>
        <v>0</v>
      </c>
      <c r="T584" s="174">
        <f t="shared" si="62"/>
        <v>0</v>
      </c>
      <c r="U584" s="175">
        <f t="shared" si="62"/>
        <v>0</v>
      </c>
      <c r="V584" s="174">
        <f t="shared" si="62"/>
        <v>0</v>
      </c>
      <c r="W584" s="175">
        <f t="shared" si="62"/>
        <v>0</v>
      </c>
      <c r="X584" s="174">
        <f t="shared" si="62"/>
        <v>0</v>
      </c>
      <c r="Y584" s="175">
        <f t="shared" si="62"/>
        <v>0</v>
      </c>
      <c r="Z584" s="174">
        <f t="shared" si="62"/>
        <v>0</v>
      </c>
      <c r="AA584" s="175">
        <f t="shared" si="62"/>
        <v>0</v>
      </c>
      <c r="AB584" s="174">
        <f t="shared" si="62"/>
        <v>0</v>
      </c>
      <c r="AC584" s="175">
        <f t="shared" si="62"/>
        <v>0</v>
      </c>
      <c r="AD584" s="174">
        <f t="shared" si="62"/>
        <v>0</v>
      </c>
      <c r="AE584" s="175">
        <f t="shared" si="62"/>
        <v>0</v>
      </c>
      <c r="AF584" s="174">
        <f t="shared" si="62"/>
        <v>0</v>
      </c>
      <c r="AG584" s="175">
        <f t="shared" si="62"/>
        <v>0</v>
      </c>
      <c r="AH584" s="174">
        <f t="shared" si="62"/>
        <v>0</v>
      </c>
      <c r="AI584" s="175">
        <f t="shared" si="62"/>
        <v>0</v>
      </c>
      <c r="AJ584" s="174">
        <f t="shared" si="62"/>
        <v>0</v>
      </c>
      <c r="AK584" s="175">
        <f t="shared" si="62"/>
        <v>0</v>
      </c>
      <c r="AL584" s="174">
        <f t="shared" ref="AL584:BQ584" si="63">SUM(AL94:AL102)</f>
        <v>0</v>
      </c>
      <c r="AM584" s="175">
        <f t="shared" si="63"/>
        <v>0</v>
      </c>
      <c r="AN584" s="174">
        <f t="shared" si="63"/>
        <v>0</v>
      </c>
      <c r="AO584" s="175">
        <f t="shared" si="63"/>
        <v>0</v>
      </c>
      <c r="AP584" s="174">
        <f t="shared" si="63"/>
        <v>0</v>
      </c>
      <c r="AQ584" s="175">
        <f t="shared" si="63"/>
        <v>0</v>
      </c>
      <c r="AR584" s="174">
        <f t="shared" si="63"/>
        <v>0</v>
      </c>
      <c r="AS584" s="175">
        <f t="shared" si="63"/>
        <v>0</v>
      </c>
      <c r="AT584" s="174">
        <f t="shared" si="63"/>
        <v>0</v>
      </c>
      <c r="AU584" s="175">
        <f t="shared" si="63"/>
        <v>0</v>
      </c>
      <c r="AV584" s="174">
        <f t="shared" si="63"/>
        <v>0</v>
      </c>
      <c r="AW584" s="175">
        <f t="shared" si="63"/>
        <v>0</v>
      </c>
      <c r="AX584" s="174">
        <f t="shared" si="63"/>
        <v>0</v>
      </c>
      <c r="AY584" s="175">
        <f t="shared" si="63"/>
        <v>0</v>
      </c>
      <c r="AZ584" s="174">
        <f t="shared" si="63"/>
        <v>0</v>
      </c>
      <c r="BA584" s="175">
        <f t="shared" si="63"/>
        <v>0</v>
      </c>
      <c r="BB584" s="174">
        <f t="shared" si="63"/>
        <v>0</v>
      </c>
      <c r="BC584" s="175">
        <f t="shared" si="63"/>
        <v>0</v>
      </c>
      <c r="BD584" s="174">
        <f t="shared" si="63"/>
        <v>0</v>
      </c>
      <c r="BE584" s="175">
        <f t="shared" si="63"/>
        <v>0</v>
      </c>
      <c r="BF584" s="174">
        <f t="shared" si="63"/>
        <v>0</v>
      </c>
      <c r="BG584" s="175">
        <f t="shared" si="63"/>
        <v>0</v>
      </c>
      <c r="BH584" s="174">
        <f t="shared" si="63"/>
        <v>0</v>
      </c>
      <c r="BI584" s="175">
        <f t="shared" si="63"/>
        <v>0</v>
      </c>
      <c r="BJ584" s="174">
        <f t="shared" si="63"/>
        <v>0</v>
      </c>
      <c r="BK584" s="175">
        <f t="shared" si="63"/>
        <v>0</v>
      </c>
      <c r="BL584" s="174">
        <f t="shared" si="63"/>
        <v>0</v>
      </c>
      <c r="BM584" s="175">
        <f t="shared" si="63"/>
        <v>0</v>
      </c>
      <c r="BN584" s="174">
        <f t="shared" si="63"/>
        <v>0</v>
      </c>
      <c r="BO584" s="175">
        <f t="shared" si="63"/>
        <v>0</v>
      </c>
      <c r="BP584" s="174">
        <f t="shared" si="63"/>
        <v>0</v>
      </c>
      <c r="BQ584" s="175">
        <f t="shared" si="63"/>
        <v>0</v>
      </c>
      <c r="BR584" s="174">
        <f t="shared" ref="BR584:BW584" si="64">SUM(BR94:BR102)</f>
        <v>0</v>
      </c>
      <c r="BS584" s="175">
        <f t="shared" si="64"/>
        <v>0</v>
      </c>
      <c r="BT584" s="174">
        <f t="shared" si="64"/>
        <v>5875</v>
      </c>
      <c r="BU584" s="175">
        <f t="shared" si="64"/>
        <v>1470</v>
      </c>
      <c r="BV584" s="174">
        <f t="shared" si="64"/>
        <v>6047</v>
      </c>
      <c r="BW584" s="175">
        <f t="shared" si="64"/>
        <v>1301</v>
      </c>
    </row>
    <row r="585" spans="1:75" ht="13" x14ac:dyDescent="0.25">
      <c r="A585" s="196"/>
      <c r="B585" s="197" t="s">
        <v>606</v>
      </c>
      <c r="C585" s="90">
        <f>SUM(C103:C112)</f>
        <v>10765</v>
      </c>
      <c r="D585" s="90">
        <f>SUM(D103:D112)</f>
        <v>6650</v>
      </c>
      <c r="E585" s="145">
        <f t="shared" si="19"/>
        <v>0.61774268462610316</v>
      </c>
      <c r="F585" s="174">
        <f t="shared" ref="F585:AK585" si="65">SUM(F103:F112)</f>
        <v>5312</v>
      </c>
      <c r="G585" s="175">
        <f t="shared" si="65"/>
        <v>1091</v>
      </c>
      <c r="H585" s="174">
        <f t="shared" si="65"/>
        <v>0</v>
      </c>
      <c r="I585" s="175">
        <f t="shared" si="65"/>
        <v>0</v>
      </c>
      <c r="J585" s="174">
        <f t="shared" si="65"/>
        <v>0</v>
      </c>
      <c r="K585" s="175">
        <f t="shared" si="65"/>
        <v>0</v>
      </c>
      <c r="L585" s="174">
        <f t="shared" si="65"/>
        <v>0</v>
      </c>
      <c r="M585" s="175">
        <f t="shared" si="65"/>
        <v>0</v>
      </c>
      <c r="N585" s="174">
        <f t="shared" si="65"/>
        <v>0</v>
      </c>
      <c r="O585" s="175">
        <f t="shared" si="65"/>
        <v>0</v>
      </c>
      <c r="P585" s="174">
        <f t="shared" si="65"/>
        <v>0</v>
      </c>
      <c r="Q585" s="175">
        <f t="shared" si="65"/>
        <v>0</v>
      </c>
      <c r="R585" s="174">
        <f t="shared" si="65"/>
        <v>0</v>
      </c>
      <c r="S585" s="175">
        <f t="shared" si="65"/>
        <v>0</v>
      </c>
      <c r="T585" s="174">
        <f t="shared" si="65"/>
        <v>0</v>
      </c>
      <c r="U585" s="175">
        <f t="shared" si="65"/>
        <v>0</v>
      </c>
      <c r="V585" s="174">
        <f t="shared" si="65"/>
        <v>0</v>
      </c>
      <c r="W585" s="175">
        <f t="shared" si="65"/>
        <v>0</v>
      </c>
      <c r="X585" s="174">
        <f t="shared" si="65"/>
        <v>0</v>
      </c>
      <c r="Y585" s="175">
        <f t="shared" si="65"/>
        <v>0</v>
      </c>
      <c r="Z585" s="174">
        <f t="shared" si="65"/>
        <v>0</v>
      </c>
      <c r="AA585" s="175">
        <f t="shared" si="65"/>
        <v>0</v>
      </c>
      <c r="AB585" s="174">
        <f t="shared" si="65"/>
        <v>0</v>
      </c>
      <c r="AC585" s="175">
        <f t="shared" si="65"/>
        <v>0</v>
      </c>
      <c r="AD585" s="174">
        <f t="shared" si="65"/>
        <v>0</v>
      </c>
      <c r="AE585" s="175">
        <f t="shared" si="65"/>
        <v>0</v>
      </c>
      <c r="AF585" s="174">
        <f t="shared" si="65"/>
        <v>0</v>
      </c>
      <c r="AG585" s="175">
        <f t="shared" si="65"/>
        <v>0</v>
      </c>
      <c r="AH585" s="174">
        <f t="shared" si="65"/>
        <v>0</v>
      </c>
      <c r="AI585" s="175">
        <f t="shared" si="65"/>
        <v>0</v>
      </c>
      <c r="AJ585" s="174">
        <f t="shared" si="65"/>
        <v>0</v>
      </c>
      <c r="AK585" s="175">
        <f t="shared" si="65"/>
        <v>0</v>
      </c>
      <c r="AL585" s="174">
        <f t="shared" ref="AL585:BQ585" si="66">SUM(AL103:AL112)</f>
        <v>0</v>
      </c>
      <c r="AM585" s="175">
        <f t="shared" si="66"/>
        <v>0</v>
      </c>
      <c r="AN585" s="174">
        <f t="shared" si="66"/>
        <v>0</v>
      </c>
      <c r="AO585" s="175">
        <f t="shared" si="66"/>
        <v>0</v>
      </c>
      <c r="AP585" s="174">
        <f t="shared" si="66"/>
        <v>0</v>
      </c>
      <c r="AQ585" s="175">
        <f t="shared" si="66"/>
        <v>0</v>
      </c>
      <c r="AR585" s="174">
        <f t="shared" si="66"/>
        <v>0</v>
      </c>
      <c r="AS585" s="175">
        <f t="shared" si="66"/>
        <v>0</v>
      </c>
      <c r="AT585" s="174">
        <f t="shared" si="66"/>
        <v>0</v>
      </c>
      <c r="AU585" s="175">
        <f t="shared" si="66"/>
        <v>0</v>
      </c>
      <c r="AV585" s="174">
        <f t="shared" si="66"/>
        <v>0</v>
      </c>
      <c r="AW585" s="175">
        <f t="shared" si="66"/>
        <v>0</v>
      </c>
      <c r="AX585" s="174">
        <f t="shared" si="66"/>
        <v>0</v>
      </c>
      <c r="AY585" s="175">
        <f t="shared" si="66"/>
        <v>0</v>
      </c>
      <c r="AZ585" s="174">
        <f t="shared" si="66"/>
        <v>0</v>
      </c>
      <c r="BA585" s="175">
        <f t="shared" si="66"/>
        <v>0</v>
      </c>
      <c r="BB585" s="174">
        <f t="shared" si="66"/>
        <v>0</v>
      </c>
      <c r="BC585" s="175">
        <f t="shared" si="66"/>
        <v>0</v>
      </c>
      <c r="BD585" s="174">
        <f t="shared" si="66"/>
        <v>0</v>
      </c>
      <c r="BE585" s="175">
        <f t="shared" si="66"/>
        <v>0</v>
      </c>
      <c r="BF585" s="174">
        <f t="shared" si="66"/>
        <v>0</v>
      </c>
      <c r="BG585" s="175">
        <f t="shared" si="66"/>
        <v>0</v>
      </c>
      <c r="BH585" s="174">
        <f t="shared" si="66"/>
        <v>0</v>
      </c>
      <c r="BI585" s="175">
        <f t="shared" si="66"/>
        <v>0</v>
      </c>
      <c r="BJ585" s="174">
        <f t="shared" si="66"/>
        <v>0</v>
      </c>
      <c r="BK585" s="175">
        <f t="shared" si="66"/>
        <v>0</v>
      </c>
      <c r="BL585" s="174">
        <f t="shared" si="66"/>
        <v>0</v>
      </c>
      <c r="BM585" s="175">
        <f t="shared" si="66"/>
        <v>0</v>
      </c>
      <c r="BN585" s="174">
        <f t="shared" si="66"/>
        <v>0</v>
      </c>
      <c r="BO585" s="175">
        <f t="shared" si="66"/>
        <v>0</v>
      </c>
      <c r="BP585" s="174">
        <f t="shared" si="66"/>
        <v>0</v>
      </c>
      <c r="BQ585" s="175">
        <f t="shared" si="66"/>
        <v>0</v>
      </c>
      <c r="BR585" s="174">
        <f t="shared" ref="BR585:BW585" si="67">SUM(BR103:BR112)</f>
        <v>0</v>
      </c>
      <c r="BS585" s="175">
        <f t="shared" si="67"/>
        <v>0</v>
      </c>
      <c r="BT585" s="174">
        <f t="shared" si="67"/>
        <v>5321</v>
      </c>
      <c r="BU585" s="175">
        <f t="shared" si="67"/>
        <v>1067</v>
      </c>
      <c r="BV585" s="174">
        <f t="shared" si="67"/>
        <v>5433</v>
      </c>
      <c r="BW585" s="175">
        <f t="shared" si="67"/>
        <v>958</v>
      </c>
    </row>
    <row r="586" spans="1:75" ht="13" x14ac:dyDescent="0.25">
      <c r="A586" s="196"/>
      <c r="B586" s="197" t="s">
        <v>607</v>
      </c>
      <c r="C586" s="90">
        <f>SUM(C113)</f>
        <v>1389</v>
      </c>
      <c r="D586" s="90">
        <f>SUM(D113)</f>
        <v>489</v>
      </c>
      <c r="E586" s="145">
        <f t="shared" si="19"/>
        <v>0.35205183585313177</v>
      </c>
      <c r="F586" s="174">
        <f t="shared" ref="F586:AK586" si="68">SUM(F113)</f>
        <v>359</v>
      </c>
      <c r="G586" s="175">
        <f t="shared" si="68"/>
        <v>98</v>
      </c>
      <c r="H586" s="174">
        <f t="shared" si="68"/>
        <v>0</v>
      </c>
      <c r="I586" s="175">
        <f t="shared" si="68"/>
        <v>0</v>
      </c>
      <c r="J586" s="174">
        <f t="shared" si="68"/>
        <v>0</v>
      </c>
      <c r="K586" s="175">
        <f t="shared" si="68"/>
        <v>0</v>
      </c>
      <c r="L586" s="174">
        <f t="shared" si="68"/>
        <v>0</v>
      </c>
      <c r="M586" s="175">
        <f t="shared" si="68"/>
        <v>0</v>
      </c>
      <c r="N586" s="174">
        <f t="shared" si="68"/>
        <v>0</v>
      </c>
      <c r="O586" s="175">
        <f t="shared" si="68"/>
        <v>0</v>
      </c>
      <c r="P586" s="174">
        <f t="shared" si="68"/>
        <v>0</v>
      </c>
      <c r="Q586" s="175">
        <f t="shared" si="68"/>
        <v>0</v>
      </c>
      <c r="R586" s="174">
        <f t="shared" si="68"/>
        <v>0</v>
      </c>
      <c r="S586" s="175">
        <f t="shared" si="68"/>
        <v>0</v>
      </c>
      <c r="T586" s="174">
        <f t="shared" si="68"/>
        <v>0</v>
      </c>
      <c r="U586" s="175">
        <f t="shared" si="68"/>
        <v>0</v>
      </c>
      <c r="V586" s="174">
        <f t="shared" si="68"/>
        <v>0</v>
      </c>
      <c r="W586" s="175">
        <f t="shared" si="68"/>
        <v>0</v>
      </c>
      <c r="X586" s="174">
        <f t="shared" si="68"/>
        <v>0</v>
      </c>
      <c r="Y586" s="175">
        <f t="shared" si="68"/>
        <v>0</v>
      </c>
      <c r="Z586" s="174">
        <f t="shared" si="68"/>
        <v>0</v>
      </c>
      <c r="AA586" s="175">
        <f t="shared" si="68"/>
        <v>0</v>
      </c>
      <c r="AB586" s="174">
        <f t="shared" si="68"/>
        <v>0</v>
      </c>
      <c r="AC586" s="175">
        <f t="shared" si="68"/>
        <v>0</v>
      </c>
      <c r="AD586" s="174">
        <f t="shared" si="68"/>
        <v>0</v>
      </c>
      <c r="AE586" s="175">
        <f t="shared" si="68"/>
        <v>0</v>
      </c>
      <c r="AF586" s="174">
        <f t="shared" si="68"/>
        <v>0</v>
      </c>
      <c r="AG586" s="175">
        <f t="shared" si="68"/>
        <v>0</v>
      </c>
      <c r="AH586" s="174">
        <f t="shared" si="68"/>
        <v>0</v>
      </c>
      <c r="AI586" s="175">
        <f t="shared" si="68"/>
        <v>0</v>
      </c>
      <c r="AJ586" s="174">
        <f t="shared" si="68"/>
        <v>0</v>
      </c>
      <c r="AK586" s="175">
        <f t="shared" si="68"/>
        <v>0</v>
      </c>
      <c r="AL586" s="174">
        <f t="shared" ref="AL586:BQ586" si="69">SUM(AL113)</f>
        <v>0</v>
      </c>
      <c r="AM586" s="175">
        <f t="shared" si="69"/>
        <v>0</v>
      </c>
      <c r="AN586" s="174">
        <f t="shared" si="69"/>
        <v>0</v>
      </c>
      <c r="AO586" s="175">
        <f t="shared" si="69"/>
        <v>0</v>
      </c>
      <c r="AP586" s="174">
        <f t="shared" si="69"/>
        <v>0</v>
      </c>
      <c r="AQ586" s="175">
        <f t="shared" si="69"/>
        <v>0</v>
      </c>
      <c r="AR586" s="174">
        <f t="shared" si="69"/>
        <v>0</v>
      </c>
      <c r="AS586" s="175">
        <f t="shared" si="69"/>
        <v>0</v>
      </c>
      <c r="AT586" s="174">
        <f t="shared" si="69"/>
        <v>0</v>
      </c>
      <c r="AU586" s="175">
        <f t="shared" si="69"/>
        <v>0</v>
      </c>
      <c r="AV586" s="174">
        <f t="shared" si="69"/>
        <v>0</v>
      </c>
      <c r="AW586" s="175">
        <f t="shared" si="69"/>
        <v>0</v>
      </c>
      <c r="AX586" s="174">
        <f t="shared" si="69"/>
        <v>0</v>
      </c>
      <c r="AY586" s="175">
        <f t="shared" si="69"/>
        <v>0</v>
      </c>
      <c r="AZ586" s="174">
        <f t="shared" si="69"/>
        <v>0</v>
      </c>
      <c r="BA586" s="175">
        <f t="shared" si="69"/>
        <v>0</v>
      </c>
      <c r="BB586" s="174">
        <f t="shared" si="69"/>
        <v>0</v>
      </c>
      <c r="BC586" s="175">
        <f t="shared" si="69"/>
        <v>0</v>
      </c>
      <c r="BD586" s="174">
        <f t="shared" si="69"/>
        <v>0</v>
      </c>
      <c r="BE586" s="175">
        <f t="shared" si="69"/>
        <v>0</v>
      </c>
      <c r="BF586" s="174">
        <f t="shared" si="69"/>
        <v>0</v>
      </c>
      <c r="BG586" s="175">
        <f t="shared" si="69"/>
        <v>0</v>
      </c>
      <c r="BH586" s="174">
        <f t="shared" si="69"/>
        <v>0</v>
      </c>
      <c r="BI586" s="175">
        <f t="shared" si="69"/>
        <v>0</v>
      </c>
      <c r="BJ586" s="174">
        <f t="shared" si="69"/>
        <v>0</v>
      </c>
      <c r="BK586" s="175">
        <f t="shared" si="69"/>
        <v>0</v>
      </c>
      <c r="BL586" s="174">
        <f t="shared" si="69"/>
        <v>0</v>
      </c>
      <c r="BM586" s="175">
        <f t="shared" si="69"/>
        <v>0</v>
      </c>
      <c r="BN586" s="174">
        <f t="shared" si="69"/>
        <v>0</v>
      </c>
      <c r="BO586" s="175">
        <f t="shared" si="69"/>
        <v>0</v>
      </c>
      <c r="BP586" s="174">
        <f t="shared" si="69"/>
        <v>0</v>
      </c>
      <c r="BQ586" s="175">
        <f t="shared" si="69"/>
        <v>0</v>
      </c>
      <c r="BR586" s="174">
        <f t="shared" ref="BR586:BW586" si="70">SUM(BR113)</f>
        <v>0</v>
      </c>
      <c r="BS586" s="175">
        <f t="shared" si="70"/>
        <v>0</v>
      </c>
      <c r="BT586" s="174">
        <f t="shared" si="70"/>
        <v>339</v>
      </c>
      <c r="BU586" s="175">
        <f t="shared" si="70"/>
        <v>112</v>
      </c>
      <c r="BV586" s="174">
        <f t="shared" si="70"/>
        <v>346</v>
      </c>
      <c r="BW586" s="175">
        <f t="shared" si="70"/>
        <v>101</v>
      </c>
    </row>
    <row r="587" spans="1:75" ht="13" x14ac:dyDescent="0.25">
      <c r="A587" s="196"/>
      <c r="B587" s="197" t="s">
        <v>608</v>
      </c>
      <c r="C587" s="90">
        <f>SUM(C114:C116)</f>
        <v>4322</v>
      </c>
      <c r="D587" s="90">
        <f>SUM(D114:D116)</f>
        <v>1986</v>
      </c>
      <c r="E587" s="145">
        <f t="shared" si="19"/>
        <v>0.45950948634891253</v>
      </c>
      <c r="F587" s="174">
        <f t="shared" ref="F587:AK587" si="71">SUM(F114:F116)</f>
        <v>1508</v>
      </c>
      <c r="G587" s="175">
        <f t="shared" si="71"/>
        <v>342</v>
      </c>
      <c r="H587" s="174">
        <f t="shared" si="71"/>
        <v>0</v>
      </c>
      <c r="I587" s="175">
        <f t="shared" si="71"/>
        <v>0</v>
      </c>
      <c r="J587" s="174">
        <f t="shared" si="71"/>
        <v>0</v>
      </c>
      <c r="K587" s="175">
        <f t="shared" si="71"/>
        <v>0</v>
      </c>
      <c r="L587" s="174">
        <f t="shared" si="71"/>
        <v>0</v>
      </c>
      <c r="M587" s="175">
        <f t="shared" si="71"/>
        <v>0</v>
      </c>
      <c r="N587" s="174">
        <f t="shared" si="71"/>
        <v>0</v>
      </c>
      <c r="O587" s="175">
        <f t="shared" si="71"/>
        <v>0</v>
      </c>
      <c r="P587" s="174">
        <f t="shared" si="71"/>
        <v>0</v>
      </c>
      <c r="Q587" s="175">
        <f t="shared" si="71"/>
        <v>0</v>
      </c>
      <c r="R587" s="174">
        <f t="shared" si="71"/>
        <v>0</v>
      </c>
      <c r="S587" s="175">
        <f t="shared" si="71"/>
        <v>0</v>
      </c>
      <c r="T587" s="174">
        <f t="shared" si="71"/>
        <v>0</v>
      </c>
      <c r="U587" s="175">
        <f t="shared" si="71"/>
        <v>0</v>
      </c>
      <c r="V587" s="174">
        <f t="shared" si="71"/>
        <v>0</v>
      </c>
      <c r="W587" s="175">
        <f t="shared" si="71"/>
        <v>0</v>
      </c>
      <c r="X587" s="174">
        <f t="shared" si="71"/>
        <v>0</v>
      </c>
      <c r="Y587" s="175">
        <f t="shared" si="71"/>
        <v>0</v>
      </c>
      <c r="Z587" s="174">
        <f t="shared" si="71"/>
        <v>0</v>
      </c>
      <c r="AA587" s="175">
        <f t="shared" si="71"/>
        <v>0</v>
      </c>
      <c r="AB587" s="174">
        <f t="shared" si="71"/>
        <v>0</v>
      </c>
      <c r="AC587" s="175">
        <f t="shared" si="71"/>
        <v>0</v>
      </c>
      <c r="AD587" s="174">
        <f t="shared" si="71"/>
        <v>0</v>
      </c>
      <c r="AE587" s="175">
        <f t="shared" si="71"/>
        <v>0</v>
      </c>
      <c r="AF587" s="174">
        <f t="shared" si="71"/>
        <v>0</v>
      </c>
      <c r="AG587" s="175">
        <f t="shared" si="71"/>
        <v>0</v>
      </c>
      <c r="AH587" s="174">
        <f t="shared" si="71"/>
        <v>0</v>
      </c>
      <c r="AI587" s="175">
        <f t="shared" si="71"/>
        <v>0</v>
      </c>
      <c r="AJ587" s="174">
        <f t="shared" si="71"/>
        <v>0</v>
      </c>
      <c r="AK587" s="175">
        <f t="shared" si="71"/>
        <v>0</v>
      </c>
      <c r="AL587" s="174">
        <f t="shared" ref="AL587:BQ587" si="72">SUM(AL114:AL116)</f>
        <v>0</v>
      </c>
      <c r="AM587" s="175">
        <f t="shared" si="72"/>
        <v>0</v>
      </c>
      <c r="AN587" s="174">
        <f t="shared" si="72"/>
        <v>0</v>
      </c>
      <c r="AO587" s="175">
        <f t="shared" si="72"/>
        <v>0</v>
      </c>
      <c r="AP587" s="174">
        <f t="shared" si="72"/>
        <v>0</v>
      </c>
      <c r="AQ587" s="175">
        <f t="shared" si="72"/>
        <v>0</v>
      </c>
      <c r="AR587" s="174">
        <f t="shared" si="72"/>
        <v>0</v>
      </c>
      <c r="AS587" s="175">
        <f t="shared" si="72"/>
        <v>0</v>
      </c>
      <c r="AT587" s="174">
        <f t="shared" si="72"/>
        <v>0</v>
      </c>
      <c r="AU587" s="175">
        <f t="shared" si="72"/>
        <v>0</v>
      </c>
      <c r="AV587" s="174">
        <f t="shared" si="72"/>
        <v>0</v>
      </c>
      <c r="AW587" s="175">
        <f t="shared" si="72"/>
        <v>0</v>
      </c>
      <c r="AX587" s="174">
        <f t="shared" si="72"/>
        <v>0</v>
      </c>
      <c r="AY587" s="175">
        <f t="shared" si="72"/>
        <v>0</v>
      </c>
      <c r="AZ587" s="174">
        <f t="shared" si="72"/>
        <v>0</v>
      </c>
      <c r="BA587" s="175">
        <f t="shared" si="72"/>
        <v>0</v>
      </c>
      <c r="BB587" s="174">
        <f t="shared" si="72"/>
        <v>0</v>
      </c>
      <c r="BC587" s="175">
        <f t="shared" si="72"/>
        <v>0</v>
      </c>
      <c r="BD587" s="174">
        <f t="shared" si="72"/>
        <v>0</v>
      </c>
      <c r="BE587" s="175">
        <f t="shared" si="72"/>
        <v>0</v>
      </c>
      <c r="BF587" s="174">
        <f t="shared" si="72"/>
        <v>0</v>
      </c>
      <c r="BG587" s="175">
        <f t="shared" si="72"/>
        <v>0</v>
      </c>
      <c r="BH587" s="174">
        <f t="shared" si="72"/>
        <v>0</v>
      </c>
      <c r="BI587" s="175">
        <f t="shared" si="72"/>
        <v>0</v>
      </c>
      <c r="BJ587" s="174">
        <f t="shared" si="72"/>
        <v>0</v>
      </c>
      <c r="BK587" s="175">
        <f t="shared" si="72"/>
        <v>0</v>
      </c>
      <c r="BL587" s="174">
        <f t="shared" si="72"/>
        <v>0</v>
      </c>
      <c r="BM587" s="175">
        <f t="shared" si="72"/>
        <v>0</v>
      </c>
      <c r="BN587" s="174">
        <f t="shared" si="72"/>
        <v>0</v>
      </c>
      <c r="BO587" s="175">
        <f t="shared" si="72"/>
        <v>0</v>
      </c>
      <c r="BP587" s="174">
        <f t="shared" si="72"/>
        <v>0</v>
      </c>
      <c r="BQ587" s="175">
        <f t="shared" si="72"/>
        <v>0</v>
      </c>
      <c r="BR587" s="174">
        <f t="shared" ref="BR587:BW587" si="73">SUM(BR114:BR116)</f>
        <v>0</v>
      </c>
      <c r="BS587" s="175">
        <f t="shared" si="73"/>
        <v>0</v>
      </c>
      <c r="BT587" s="174">
        <f t="shared" si="73"/>
        <v>1507</v>
      </c>
      <c r="BU587" s="175">
        <f t="shared" si="73"/>
        <v>360</v>
      </c>
      <c r="BV587" s="174">
        <f t="shared" si="73"/>
        <v>1549</v>
      </c>
      <c r="BW587" s="175">
        <f t="shared" si="73"/>
        <v>313</v>
      </c>
    </row>
    <row r="588" spans="1:75" ht="13" x14ac:dyDescent="0.25">
      <c r="A588" s="196"/>
      <c r="B588" s="197" t="s">
        <v>609</v>
      </c>
      <c r="C588" s="90">
        <f>SUM(C117:C118)</f>
        <v>1781</v>
      </c>
      <c r="D588" s="90">
        <f>SUM(D117:D118)</f>
        <v>648</v>
      </c>
      <c r="E588" s="145">
        <f t="shared" si="19"/>
        <v>0.36384053902302077</v>
      </c>
      <c r="F588" s="174">
        <f t="shared" ref="F588:AK588" si="74">SUM(F117:F118)</f>
        <v>456</v>
      </c>
      <c r="G588" s="175">
        <f t="shared" si="74"/>
        <v>125</v>
      </c>
      <c r="H588" s="174">
        <f t="shared" si="74"/>
        <v>0</v>
      </c>
      <c r="I588" s="175">
        <f t="shared" si="74"/>
        <v>0</v>
      </c>
      <c r="J588" s="174">
        <f t="shared" si="74"/>
        <v>0</v>
      </c>
      <c r="K588" s="175">
        <f t="shared" si="74"/>
        <v>0</v>
      </c>
      <c r="L588" s="174">
        <f t="shared" si="74"/>
        <v>0</v>
      </c>
      <c r="M588" s="175">
        <f t="shared" si="74"/>
        <v>0</v>
      </c>
      <c r="N588" s="174">
        <f t="shared" si="74"/>
        <v>0</v>
      </c>
      <c r="O588" s="175">
        <f t="shared" si="74"/>
        <v>0</v>
      </c>
      <c r="P588" s="174">
        <f t="shared" si="74"/>
        <v>0</v>
      </c>
      <c r="Q588" s="175">
        <f t="shared" si="74"/>
        <v>0</v>
      </c>
      <c r="R588" s="174">
        <f t="shared" si="74"/>
        <v>0</v>
      </c>
      <c r="S588" s="175">
        <f t="shared" si="74"/>
        <v>0</v>
      </c>
      <c r="T588" s="174">
        <f t="shared" si="74"/>
        <v>0</v>
      </c>
      <c r="U588" s="175">
        <f t="shared" si="74"/>
        <v>0</v>
      </c>
      <c r="V588" s="174">
        <f t="shared" si="74"/>
        <v>0</v>
      </c>
      <c r="W588" s="175">
        <f t="shared" si="74"/>
        <v>0</v>
      </c>
      <c r="X588" s="174">
        <f t="shared" si="74"/>
        <v>0</v>
      </c>
      <c r="Y588" s="175">
        <f t="shared" si="74"/>
        <v>0</v>
      </c>
      <c r="Z588" s="174">
        <f t="shared" si="74"/>
        <v>0</v>
      </c>
      <c r="AA588" s="175">
        <f t="shared" si="74"/>
        <v>0</v>
      </c>
      <c r="AB588" s="174">
        <f t="shared" si="74"/>
        <v>0</v>
      </c>
      <c r="AC588" s="175">
        <f t="shared" si="74"/>
        <v>0</v>
      </c>
      <c r="AD588" s="174">
        <f t="shared" si="74"/>
        <v>0</v>
      </c>
      <c r="AE588" s="175">
        <f t="shared" si="74"/>
        <v>0</v>
      </c>
      <c r="AF588" s="174">
        <f t="shared" si="74"/>
        <v>0</v>
      </c>
      <c r="AG588" s="175">
        <f t="shared" si="74"/>
        <v>0</v>
      </c>
      <c r="AH588" s="174">
        <f t="shared" si="74"/>
        <v>0</v>
      </c>
      <c r="AI588" s="175">
        <f t="shared" si="74"/>
        <v>0</v>
      </c>
      <c r="AJ588" s="174">
        <f t="shared" si="74"/>
        <v>0</v>
      </c>
      <c r="AK588" s="175">
        <f t="shared" si="74"/>
        <v>0</v>
      </c>
      <c r="AL588" s="174">
        <f t="shared" ref="AL588:BQ588" si="75">SUM(AL117:AL118)</f>
        <v>0</v>
      </c>
      <c r="AM588" s="175">
        <f t="shared" si="75"/>
        <v>0</v>
      </c>
      <c r="AN588" s="174">
        <f t="shared" si="75"/>
        <v>0</v>
      </c>
      <c r="AO588" s="175">
        <f t="shared" si="75"/>
        <v>0</v>
      </c>
      <c r="AP588" s="174">
        <f t="shared" si="75"/>
        <v>0</v>
      </c>
      <c r="AQ588" s="175">
        <f t="shared" si="75"/>
        <v>0</v>
      </c>
      <c r="AR588" s="174">
        <f t="shared" si="75"/>
        <v>0</v>
      </c>
      <c r="AS588" s="175">
        <f t="shared" si="75"/>
        <v>0</v>
      </c>
      <c r="AT588" s="174">
        <f t="shared" si="75"/>
        <v>0</v>
      </c>
      <c r="AU588" s="175">
        <f t="shared" si="75"/>
        <v>0</v>
      </c>
      <c r="AV588" s="174">
        <f t="shared" si="75"/>
        <v>0</v>
      </c>
      <c r="AW588" s="175">
        <f t="shared" si="75"/>
        <v>0</v>
      </c>
      <c r="AX588" s="174">
        <f t="shared" si="75"/>
        <v>0</v>
      </c>
      <c r="AY588" s="175">
        <f t="shared" si="75"/>
        <v>0</v>
      </c>
      <c r="AZ588" s="174">
        <f t="shared" si="75"/>
        <v>0</v>
      </c>
      <c r="BA588" s="175">
        <f t="shared" si="75"/>
        <v>0</v>
      </c>
      <c r="BB588" s="174">
        <f t="shared" si="75"/>
        <v>0</v>
      </c>
      <c r="BC588" s="175">
        <f t="shared" si="75"/>
        <v>0</v>
      </c>
      <c r="BD588" s="174">
        <f t="shared" si="75"/>
        <v>0</v>
      </c>
      <c r="BE588" s="175">
        <f t="shared" si="75"/>
        <v>0</v>
      </c>
      <c r="BF588" s="174">
        <f t="shared" si="75"/>
        <v>0</v>
      </c>
      <c r="BG588" s="175">
        <f t="shared" si="75"/>
        <v>0</v>
      </c>
      <c r="BH588" s="174">
        <f t="shared" si="75"/>
        <v>0</v>
      </c>
      <c r="BI588" s="175">
        <f t="shared" si="75"/>
        <v>0</v>
      </c>
      <c r="BJ588" s="174">
        <f t="shared" si="75"/>
        <v>0</v>
      </c>
      <c r="BK588" s="175">
        <f t="shared" si="75"/>
        <v>0</v>
      </c>
      <c r="BL588" s="174">
        <f t="shared" si="75"/>
        <v>0</v>
      </c>
      <c r="BM588" s="175">
        <f t="shared" si="75"/>
        <v>0</v>
      </c>
      <c r="BN588" s="174">
        <f t="shared" si="75"/>
        <v>0</v>
      </c>
      <c r="BO588" s="175">
        <f t="shared" si="75"/>
        <v>0</v>
      </c>
      <c r="BP588" s="174">
        <f t="shared" si="75"/>
        <v>0</v>
      </c>
      <c r="BQ588" s="175">
        <f t="shared" si="75"/>
        <v>0</v>
      </c>
      <c r="BR588" s="174">
        <f t="shared" ref="BR588:BW588" si="76">SUM(BR117:BR118)</f>
        <v>0</v>
      </c>
      <c r="BS588" s="175">
        <f t="shared" si="76"/>
        <v>0</v>
      </c>
      <c r="BT588" s="174">
        <f t="shared" si="76"/>
        <v>450</v>
      </c>
      <c r="BU588" s="175">
        <f t="shared" si="76"/>
        <v>152</v>
      </c>
      <c r="BV588" s="174">
        <f t="shared" si="76"/>
        <v>481</v>
      </c>
      <c r="BW588" s="175">
        <f t="shared" si="76"/>
        <v>117</v>
      </c>
    </row>
    <row r="589" spans="1:75" ht="13" x14ac:dyDescent="0.25">
      <c r="A589" s="196"/>
      <c r="B589" s="197" t="s">
        <v>610</v>
      </c>
      <c r="C589" s="90">
        <f>SUM(C119:C122)</f>
        <v>4060</v>
      </c>
      <c r="D589" s="90">
        <f>SUM(D119:D122)</f>
        <v>2384</v>
      </c>
      <c r="E589" s="145">
        <f t="shared" si="19"/>
        <v>0.587192118226601</v>
      </c>
      <c r="F589" s="174">
        <f t="shared" ref="F589:AK589" si="77">SUM(F119:F122)</f>
        <v>955</v>
      </c>
      <c r="G589" s="175">
        <f t="shared" si="77"/>
        <v>1314</v>
      </c>
      <c r="H589" s="174">
        <f t="shared" si="77"/>
        <v>0</v>
      </c>
      <c r="I589" s="175">
        <f t="shared" si="77"/>
        <v>0</v>
      </c>
      <c r="J589" s="174">
        <f t="shared" si="77"/>
        <v>0</v>
      </c>
      <c r="K589" s="175">
        <f t="shared" si="77"/>
        <v>0</v>
      </c>
      <c r="L589" s="174">
        <f t="shared" si="77"/>
        <v>0</v>
      </c>
      <c r="M589" s="175">
        <f t="shared" si="77"/>
        <v>0</v>
      </c>
      <c r="N589" s="174">
        <f t="shared" si="77"/>
        <v>0</v>
      </c>
      <c r="O589" s="175">
        <f t="shared" si="77"/>
        <v>0</v>
      </c>
      <c r="P589" s="174">
        <f t="shared" si="77"/>
        <v>0</v>
      </c>
      <c r="Q589" s="175">
        <f t="shared" si="77"/>
        <v>0</v>
      </c>
      <c r="R589" s="174">
        <f t="shared" si="77"/>
        <v>0</v>
      </c>
      <c r="S589" s="175">
        <f t="shared" si="77"/>
        <v>0</v>
      </c>
      <c r="T589" s="174">
        <f t="shared" si="77"/>
        <v>0</v>
      </c>
      <c r="U589" s="175">
        <f t="shared" si="77"/>
        <v>0</v>
      </c>
      <c r="V589" s="174">
        <f t="shared" si="77"/>
        <v>0</v>
      </c>
      <c r="W589" s="175">
        <f t="shared" si="77"/>
        <v>0</v>
      </c>
      <c r="X589" s="174">
        <f t="shared" si="77"/>
        <v>0</v>
      </c>
      <c r="Y589" s="175">
        <f t="shared" si="77"/>
        <v>0</v>
      </c>
      <c r="Z589" s="174">
        <f t="shared" si="77"/>
        <v>0</v>
      </c>
      <c r="AA589" s="175">
        <f t="shared" si="77"/>
        <v>0</v>
      </c>
      <c r="AB589" s="174">
        <f t="shared" si="77"/>
        <v>0</v>
      </c>
      <c r="AC589" s="175">
        <f t="shared" si="77"/>
        <v>0</v>
      </c>
      <c r="AD589" s="174">
        <f t="shared" si="77"/>
        <v>0</v>
      </c>
      <c r="AE589" s="175">
        <f t="shared" si="77"/>
        <v>0</v>
      </c>
      <c r="AF589" s="174">
        <f t="shared" si="77"/>
        <v>0</v>
      </c>
      <c r="AG589" s="175">
        <f t="shared" si="77"/>
        <v>0</v>
      </c>
      <c r="AH589" s="174">
        <f t="shared" si="77"/>
        <v>0</v>
      </c>
      <c r="AI589" s="175">
        <f t="shared" si="77"/>
        <v>0</v>
      </c>
      <c r="AJ589" s="174">
        <f t="shared" si="77"/>
        <v>0</v>
      </c>
      <c r="AK589" s="175">
        <f t="shared" si="77"/>
        <v>0</v>
      </c>
      <c r="AL589" s="174">
        <f t="shared" ref="AL589:BQ589" si="78">SUM(AL119:AL122)</f>
        <v>0</v>
      </c>
      <c r="AM589" s="175">
        <f t="shared" si="78"/>
        <v>0</v>
      </c>
      <c r="AN589" s="174">
        <f t="shared" si="78"/>
        <v>0</v>
      </c>
      <c r="AO589" s="175">
        <f t="shared" si="78"/>
        <v>0</v>
      </c>
      <c r="AP589" s="174">
        <f t="shared" si="78"/>
        <v>0</v>
      </c>
      <c r="AQ589" s="175">
        <f t="shared" si="78"/>
        <v>0</v>
      </c>
      <c r="AR589" s="174">
        <f t="shared" si="78"/>
        <v>0</v>
      </c>
      <c r="AS589" s="175">
        <f t="shared" si="78"/>
        <v>0</v>
      </c>
      <c r="AT589" s="174">
        <f t="shared" si="78"/>
        <v>0</v>
      </c>
      <c r="AU589" s="175">
        <f t="shared" si="78"/>
        <v>0</v>
      </c>
      <c r="AV589" s="174">
        <f t="shared" si="78"/>
        <v>0</v>
      </c>
      <c r="AW589" s="175">
        <f t="shared" si="78"/>
        <v>0</v>
      </c>
      <c r="AX589" s="174">
        <f t="shared" si="78"/>
        <v>0</v>
      </c>
      <c r="AY589" s="175">
        <f t="shared" si="78"/>
        <v>0</v>
      </c>
      <c r="AZ589" s="174">
        <f t="shared" si="78"/>
        <v>0</v>
      </c>
      <c r="BA589" s="175">
        <f t="shared" si="78"/>
        <v>0</v>
      </c>
      <c r="BB589" s="174">
        <f t="shared" si="78"/>
        <v>0</v>
      </c>
      <c r="BC589" s="175">
        <f t="shared" si="78"/>
        <v>0</v>
      </c>
      <c r="BD589" s="174">
        <f t="shared" si="78"/>
        <v>0</v>
      </c>
      <c r="BE589" s="175">
        <f t="shared" si="78"/>
        <v>0</v>
      </c>
      <c r="BF589" s="174">
        <f t="shared" si="78"/>
        <v>0</v>
      </c>
      <c r="BG589" s="175">
        <f t="shared" si="78"/>
        <v>0</v>
      </c>
      <c r="BH589" s="174">
        <f t="shared" si="78"/>
        <v>0</v>
      </c>
      <c r="BI589" s="175">
        <f t="shared" si="78"/>
        <v>0</v>
      </c>
      <c r="BJ589" s="174">
        <f t="shared" si="78"/>
        <v>0</v>
      </c>
      <c r="BK589" s="175">
        <f t="shared" si="78"/>
        <v>0</v>
      </c>
      <c r="BL589" s="174">
        <f t="shared" si="78"/>
        <v>0</v>
      </c>
      <c r="BM589" s="175">
        <f t="shared" si="78"/>
        <v>0</v>
      </c>
      <c r="BN589" s="174">
        <f t="shared" si="78"/>
        <v>0</v>
      </c>
      <c r="BO589" s="175">
        <f t="shared" si="78"/>
        <v>0</v>
      </c>
      <c r="BP589" s="174">
        <f t="shared" si="78"/>
        <v>0</v>
      </c>
      <c r="BQ589" s="175">
        <f t="shared" si="78"/>
        <v>0</v>
      </c>
      <c r="BR589" s="174">
        <f t="shared" ref="BR589:BW589" si="79">SUM(BR119:BR122)</f>
        <v>0</v>
      </c>
      <c r="BS589" s="175">
        <f t="shared" si="79"/>
        <v>0</v>
      </c>
      <c r="BT589" s="174">
        <f t="shared" si="79"/>
        <v>1144</v>
      </c>
      <c r="BU589" s="175">
        <f t="shared" si="79"/>
        <v>1101</v>
      </c>
      <c r="BV589" s="174">
        <f t="shared" si="79"/>
        <v>1261</v>
      </c>
      <c r="BW589" s="175">
        <f t="shared" si="79"/>
        <v>995</v>
      </c>
    </row>
    <row r="590" spans="1:75" ht="13" x14ac:dyDescent="0.25">
      <c r="A590" s="196"/>
      <c r="B590" s="197" t="s">
        <v>611</v>
      </c>
      <c r="C590" s="90">
        <f>SUM(C123:C127)</f>
        <v>6210</v>
      </c>
      <c r="D590" s="90">
        <f>SUM(D123:D127)</f>
        <v>2962</v>
      </c>
      <c r="E590" s="145">
        <f t="shared" si="19"/>
        <v>0.47697262479871178</v>
      </c>
      <c r="F590" s="174">
        <f t="shared" ref="F590:AK590" si="80">SUM(F123:F127)</f>
        <v>1764</v>
      </c>
      <c r="G590" s="175">
        <f t="shared" si="80"/>
        <v>1033</v>
      </c>
      <c r="H590" s="174">
        <f t="shared" si="80"/>
        <v>0</v>
      </c>
      <c r="I590" s="175">
        <f t="shared" si="80"/>
        <v>0</v>
      </c>
      <c r="J590" s="174">
        <f t="shared" si="80"/>
        <v>0</v>
      </c>
      <c r="K590" s="175">
        <f t="shared" si="80"/>
        <v>0</v>
      </c>
      <c r="L590" s="174">
        <f t="shared" si="80"/>
        <v>0</v>
      </c>
      <c r="M590" s="175">
        <f t="shared" si="80"/>
        <v>0</v>
      </c>
      <c r="N590" s="174">
        <f t="shared" si="80"/>
        <v>0</v>
      </c>
      <c r="O590" s="175">
        <f t="shared" si="80"/>
        <v>0</v>
      </c>
      <c r="P590" s="174">
        <f t="shared" si="80"/>
        <v>292</v>
      </c>
      <c r="Q590" s="175">
        <f t="shared" si="80"/>
        <v>153</v>
      </c>
      <c r="R590" s="174">
        <f t="shared" si="80"/>
        <v>290</v>
      </c>
      <c r="S590" s="175">
        <f t="shared" si="80"/>
        <v>158</v>
      </c>
      <c r="T590" s="174">
        <f t="shared" si="80"/>
        <v>0</v>
      </c>
      <c r="U590" s="175">
        <f t="shared" si="80"/>
        <v>0</v>
      </c>
      <c r="V590" s="174">
        <f t="shared" si="80"/>
        <v>0</v>
      </c>
      <c r="W590" s="175">
        <f t="shared" si="80"/>
        <v>0</v>
      </c>
      <c r="X590" s="174">
        <f t="shared" si="80"/>
        <v>0</v>
      </c>
      <c r="Y590" s="175">
        <f t="shared" si="80"/>
        <v>0</v>
      </c>
      <c r="Z590" s="174">
        <f t="shared" si="80"/>
        <v>0</v>
      </c>
      <c r="AA590" s="175">
        <f t="shared" si="80"/>
        <v>0</v>
      </c>
      <c r="AB590" s="174">
        <f t="shared" si="80"/>
        <v>0</v>
      </c>
      <c r="AC590" s="175">
        <f t="shared" si="80"/>
        <v>0</v>
      </c>
      <c r="AD590" s="174">
        <f t="shared" si="80"/>
        <v>0</v>
      </c>
      <c r="AE590" s="175">
        <f t="shared" si="80"/>
        <v>0</v>
      </c>
      <c r="AF590" s="174">
        <f t="shared" si="80"/>
        <v>0</v>
      </c>
      <c r="AG590" s="175">
        <f t="shared" si="80"/>
        <v>0</v>
      </c>
      <c r="AH590" s="174">
        <f t="shared" si="80"/>
        <v>0</v>
      </c>
      <c r="AI590" s="175">
        <f t="shared" si="80"/>
        <v>0</v>
      </c>
      <c r="AJ590" s="174">
        <f t="shared" si="80"/>
        <v>0</v>
      </c>
      <c r="AK590" s="175">
        <f t="shared" si="80"/>
        <v>0</v>
      </c>
      <c r="AL590" s="174">
        <f t="shared" ref="AL590:BQ590" si="81">SUM(AL123:AL127)</f>
        <v>0</v>
      </c>
      <c r="AM590" s="175">
        <f t="shared" si="81"/>
        <v>0</v>
      </c>
      <c r="AN590" s="174">
        <f t="shared" si="81"/>
        <v>0</v>
      </c>
      <c r="AO590" s="175">
        <f t="shared" si="81"/>
        <v>0</v>
      </c>
      <c r="AP590" s="174">
        <f t="shared" si="81"/>
        <v>0</v>
      </c>
      <c r="AQ590" s="175">
        <f t="shared" si="81"/>
        <v>0</v>
      </c>
      <c r="AR590" s="174">
        <f t="shared" si="81"/>
        <v>0</v>
      </c>
      <c r="AS590" s="175">
        <f t="shared" si="81"/>
        <v>0</v>
      </c>
      <c r="AT590" s="174">
        <f t="shared" si="81"/>
        <v>0</v>
      </c>
      <c r="AU590" s="175">
        <f t="shared" si="81"/>
        <v>0</v>
      </c>
      <c r="AV590" s="174">
        <f t="shared" si="81"/>
        <v>0</v>
      </c>
      <c r="AW590" s="175">
        <f t="shared" si="81"/>
        <v>0</v>
      </c>
      <c r="AX590" s="174">
        <f t="shared" si="81"/>
        <v>0</v>
      </c>
      <c r="AY590" s="175">
        <f t="shared" si="81"/>
        <v>0</v>
      </c>
      <c r="AZ590" s="174">
        <f t="shared" si="81"/>
        <v>0</v>
      </c>
      <c r="BA590" s="175">
        <f t="shared" si="81"/>
        <v>0</v>
      </c>
      <c r="BB590" s="174">
        <f t="shared" si="81"/>
        <v>0</v>
      </c>
      <c r="BC590" s="175">
        <f t="shared" si="81"/>
        <v>0</v>
      </c>
      <c r="BD590" s="174">
        <f t="shared" si="81"/>
        <v>0</v>
      </c>
      <c r="BE590" s="175">
        <f t="shared" si="81"/>
        <v>0</v>
      </c>
      <c r="BF590" s="174">
        <f t="shared" si="81"/>
        <v>0</v>
      </c>
      <c r="BG590" s="175">
        <f t="shared" si="81"/>
        <v>0</v>
      </c>
      <c r="BH590" s="174">
        <f t="shared" si="81"/>
        <v>0</v>
      </c>
      <c r="BI590" s="175">
        <f t="shared" si="81"/>
        <v>0</v>
      </c>
      <c r="BJ590" s="174">
        <f t="shared" si="81"/>
        <v>0</v>
      </c>
      <c r="BK590" s="175">
        <f t="shared" si="81"/>
        <v>0</v>
      </c>
      <c r="BL590" s="174">
        <f t="shared" si="81"/>
        <v>0</v>
      </c>
      <c r="BM590" s="175">
        <f t="shared" si="81"/>
        <v>0</v>
      </c>
      <c r="BN590" s="174">
        <f t="shared" si="81"/>
        <v>0</v>
      </c>
      <c r="BO590" s="175">
        <f t="shared" si="81"/>
        <v>0</v>
      </c>
      <c r="BP590" s="174">
        <f t="shared" si="81"/>
        <v>0</v>
      </c>
      <c r="BQ590" s="175">
        <f t="shared" si="81"/>
        <v>0</v>
      </c>
      <c r="BR590" s="174">
        <f t="shared" ref="BR590:BW590" si="82">SUM(BR123:BR127)</f>
        <v>0</v>
      </c>
      <c r="BS590" s="175">
        <f t="shared" si="82"/>
        <v>0</v>
      </c>
      <c r="BT590" s="174">
        <f t="shared" si="82"/>
        <v>1949</v>
      </c>
      <c r="BU590" s="175">
        <f t="shared" si="82"/>
        <v>859</v>
      </c>
      <c r="BV590" s="174">
        <f t="shared" si="82"/>
        <v>2031</v>
      </c>
      <c r="BW590" s="175">
        <f t="shared" si="82"/>
        <v>771</v>
      </c>
    </row>
    <row r="591" spans="1:75" ht="13" x14ac:dyDescent="0.25">
      <c r="A591" s="196"/>
      <c r="B591" s="197" t="s">
        <v>612</v>
      </c>
      <c r="C591" s="90">
        <f>SUM(C128:C132)</f>
        <v>4270</v>
      </c>
      <c r="D591" s="90">
        <f>SUM(D128:D132)</f>
        <v>1585</v>
      </c>
      <c r="E591" s="145">
        <f t="shared" si="19"/>
        <v>0.37119437939110073</v>
      </c>
      <c r="F591" s="174">
        <f t="shared" ref="F591:AK591" si="83">SUM(F128:F132)</f>
        <v>993</v>
      </c>
      <c r="G591" s="175">
        <f t="shared" si="83"/>
        <v>480</v>
      </c>
      <c r="H591" s="174">
        <f t="shared" si="83"/>
        <v>0</v>
      </c>
      <c r="I591" s="175">
        <f t="shared" si="83"/>
        <v>0</v>
      </c>
      <c r="J591" s="174">
        <f t="shared" si="83"/>
        <v>0</v>
      </c>
      <c r="K591" s="175">
        <f t="shared" si="83"/>
        <v>0</v>
      </c>
      <c r="L591" s="174">
        <f t="shared" si="83"/>
        <v>0</v>
      </c>
      <c r="M591" s="175">
        <f t="shared" si="83"/>
        <v>0</v>
      </c>
      <c r="N591" s="174">
        <f t="shared" si="83"/>
        <v>0</v>
      </c>
      <c r="O591" s="175">
        <f t="shared" si="83"/>
        <v>0</v>
      </c>
      <c r="P591" s="174">
        <f t="shared" si="83"/>
        <v>0</v>
      </c>
      <c r="Q591" s="175">
        <f t="shared" si="83"/>
        <v>0</v>
      </c>
      <c r="R591" s="174">
        <f t="shared" si="83"/>
        <v>0</v>
      </c>
      <c r="S591" s="175">
        <f t="shared" si="83"/>
        <v>0</v>
      </c>
      <c r="T591" s="174">
        <f t="shared" si="83"/>
        <v>0</v>
      </c>
      <c r="U591" s="175">
        <f t="shared" si="83"/>
        <v>0</v>
      </c>
      <c r="V591" s="174">
        <f t="shared" si="83"/>
        <v>0</v>
      </c>
      <c r="W591" s="175">
        <f t="shared" si="83"/>
        <v>0</v>
      </c>
      <c r="X591" s="174">
        <f t="shared" si="83"/>
        <v>0</v>
      </c>
      <c r="Y591" s="175">
        <f t="shared" si="83"/>
        <v>0</v>
      </c>
      <c r="Z591" s="174">
        <f t="shared" si="83"/>
        <v>0</v>
      </c>
      <c r="AA591" s="175">
        <f t="shared" si="83"/>
        <v>0</v>
      </c>
      <c r="AB591" s="174">
        <f t="shared" si="83"/>
        <v>0</v>
      </c>
      <c r="AC591" s="175">
        <f t="shared" si="83"/>
        <v>0</v>
      </c>
      <c r="AD591" s="174">
        <f t="shared" si="83"/>
        <v>0</v>
      </c>
      <c r="AE591" s="175">
        <f t="shared" si="83"/>
        <v>0</v>
      </c>
      <c r="AF591" s="174">
        <f t="shared" si="83"/>
        <v>0</v>
      </c>
      <c r="AG591" s="175">
        <f t="shared" si="83"/>
        <v>0</v>
      </c>
      <c r="AH591" s="174">
        <f t="shared" si="83"/>
        <v>0</v>
      </c>
      <c r="AI591" s="175">
        <f t="shared" si="83"/>
        <v>0</v>
      </c>
      <c r="AJ591" s="174">
        <f t="shared" si="83"/>
        <v>0</v>
      </c>
      <c r="AK591" s="175">
        <f t="shared" si="83"/>
        <v>0</v>
      </c>
      <c r="AL591" s="174">
        <f t="shared" ref="AL591:BQ591" si="84">SUM(AL128:AL132)</f>
        <v>0</v>
      </c>
      <c r="AM591" s="175">
        <f t="shared" si="84"/>
        <v>0</v>
      </c>
      <c r="AN591" s="174">
        <f t="shared" si="84"/>
        <v>0</v>
      </c>
      <c r="AO591" s="175">
        <f t="shared" si="84"/>
        <v>0</v>
      </c>
      <c r="AP591" s="174">
        <f t="shared" si="84"/>
        <v>0</v>
      </c>
      <c r="AQ591" s="175">
        <f t="shared" si="84"/>
        <v>0</v>
      </c>
      <c r="AR591" s="174">
        <f t="shared" si="84"/>
        <v>0</v>
      </c>
      <c r="AS591" s="175">
        <f t="shared" si="84"/>
        <v>0</v>
      </c>
      <c r="AT591" s="174">
        <f t="shared" si="84"/>
        <v>0</v>
      </c>
      <c r="AU591" s="175">
        <f t="shared" si="84"/>
        <v>0</v>
      </c>
      <c r="AV591" s="174">
        <f t="shared" si="84"/>
        <v>0</v>
      </c>
      <c r="AW591" s="175">
        <f t="shared" si="84"/>
        <v>0</v>
      </c>
      <c r="AX591" s="174">
        <f t="shared" si="84"/>
        <v>0</v>
      </c>
      <c r="AY591" s="175">
        <f t="shared" si="84"/>
        <v>0</v>
      </c>
      <c r="AZ591" s="174">
        <f t="shared" si="84"/>
        <v>0</v>
      </c>
      <c r="BA591" s="175">
        <f t="shared" si="84"/>
        <v>0</v>
      </c>
      <c r="BB591" s="174">
        <f t="shared" si="84"/>
        <v>0</v>
      </c>
      <c r="BC591" s="175">
        <f t="shared" si="84"/>
        <v>0</v>
      </c>
      <c r="BD591" s="174">
        <f t="shared" si="84"/>
        <v>0</v>
      </c>
      <c r="BE591" s="175">
        <f t="shared" si="84"/>
        <v>0</v>
      </c>
      <c r="BF591" s="174">
        <f t="shared" si="84"/>
        <v>0</v>
      </c>
      <c r="BG591" s="175">
        <f t="shared" si="84"/>
        <v>0</v>
      </c>
      <c r="BH591" s="174">
        <f t="shared" si="84"/>
        <v>0</v>
      </c>
      <c r="BI591" s="175">
        <f t="shared" si="84"/>
        <v>0</v>
      </c>
      <c r="BJ591" s="174">
        <f t="shared" si="84"/>
        <v>0</v>
      </c>
      <c r="BK591" s="175">
        <f t="shared" si="84"/>
        <v>0</v>
      </c>
      <c r="BL591" s="174">
        <f t="shared" si="84"/>
        <v>0</v>
      </c>
      <c r="BM591" s="175">
        <f t="shared" si="84"/>
        <v>0</v>
      </c>
      <c r="BN591" s="174">
        <f t="shared" si="84"/>
        <v>0</v>
      </c>
      <c r="BO591" s="175">
        <f t="shared" si="84"/>
        <v>0</v>
      </c>
      <c r="BP591" s="174">
        <f t="shared" si="84"/>
        <v>0</v>
      </c>
      <c r="BQ591" s="175">
        <f t="shared" si="84"/>
        <v>0</v>
      </c>
      <c r="BR591" s="174">
        <f t="shared" ref="BR591:BW591" si="85">SUM(BR128:BR132)</f>
        <v>0</v>
      </c>
      <c r="BS591" s="175">
        <f t="shared" si="85"/>
        <v>0</v>
      </c>
      <c r="BT591" s="174">
        <f t="shared" si="85"/>
        <v>1013</v>
      </c>
      <c r="BU591" s="175">
        <f t="shared" si="85"/>
        <v>462</v>
      </c>
      <c r="BV591" s="174">
        <f t="shared" si="85"/>
        <v>1102</v>
      </c>
      <c r="BW591" s="175">
        <f t="shared" si="85"/>
        <v>378</v>
      </c>
    </row>
    <row r="592" spans="1:75" ht="13" x14ac:dyDescent="0.25">
      <c r="A592" s="196"/>
      <c r="B592" s="197" t="s">
        <v>613</v>
      </c>
      <c r="C592" s="90">
        <f>SUM(C133:C135)</f>
        <v>4143</v>
      </c>
      <c r="D592" s="90">
        <f>SUM(D133:D135)</f>
        <v>1898</v>
      </c>
      <c r="E592" s="145">
        <f t="shared" si="19"/>
        <v>0.45812213371952692</v>
      </c>
      <c r="F592" s="174">
        <f t="shared" ref="F592:AK592" si="86">SUM(F133:F135)</f>
        <v>1446</v>
      </c>
      <c r="G592" s="175">
        <f t="shared" si="86"/>
        <v>361</v>
      </c>
      <c r="H592" s="174">
        <f t="shared" si="86"/>
        <v>0</v>
      </c>
      <c r="I592" s="175">
        <f t="shared" si="86"/>
        <v>0</v>
      </c>
      <c r="J592" s="174">
        <f t="shared" si="86"/>
        <v>0</v>
      </c>
      <c r="K592" s="175">
        <f t="shared" si="86"/>
        <v>0</v>
      </c>
      <c r="L592" s="174">
        <f t="shared" si="86"/>
        <v>0</v>
      </c>
      <c r="M592" s="175">
        <f t="shared" si="86"/>
        <v>0</v>
      </c>
      <c r="N592" s="174">
        <f t="shared" si="86"/>
        <v>0</v>
      </c>
      <c r="O592" s="175">
        <f t="shared" si="86"/>
        <v>0</v>
      </c>
      <c r="P592" s="174">
        <f t="shared" si="86"/>
        <v>0</v>
      </c>
      <c r="Q592" s="175">
        <f t="shared" si="86"/>
        <v>0</v>
      </c>
      <c r="R592" s="174">
        <f t="shared" si="86"/>
        <v>0</v>
      </c>
      <c r="S592" s="175">
        <f t="shared" si="86"/>
        <v>0</v>
      </c>
      <c r="T592" s="174">
        <f t="shared" si="86"/>
        <v>0</v>
      </c>
      <c r="U592" s="175">
        <f t="shared" si="86"/>
        <v>0</v>
      </c>
      <c r="V592" s="174">
        <f t="shared" si="86"/>
        <v>0</v>
      </c>
      <c r="W592" s="175">
        <f t="shared" si="86"/>
        <v>0</v>
      </c>
      <c r="X592" s="174">
        <f t="shared" si="86"/>
        <v>0</v>
      </c>
      <c r="Y592" s="175">
        <f t="shared" si="86"/>
        <v>0</v>
      </c>
      <c r="Z592" s="174">
        <f t="shared" si="86"/>
        <v>0</v>
      </c>
      <c r="AA592" s="175">
        <f t="shared" si="86"/>
        <v>0</v>
      </c>
      <c r="AB592" s="174">
        <f t="shared" si="86"/>
        <v>0</v>
      </c>
      <c r="AC592" s="175">
        <f t="shared" si="86"/>
        <v>0</v>
      </c>
      <c r="AD592" s="174">
        <f t="shared" si="86"/>
        <v>0</v>
      </c>
      <c r="AE592" s="175">
        <f t="shared" si="86"/>
        <v>0</v>
      </c>
      <c r="AF592" s="174">
        <f t="shared" si="86"/>
        <v>0</v>
      </c>
      <c r="AG592" s="175">
        <f t="shared" si="86"/>
        <v>0</v>
      </c>
      <c r="AH592" s="174">
        <f t="shared" si="86"/>
        <v>0</v>
      </c>
      <c r="AI592" s="175">
        <f t="shared" si="86"/>
        <v>0</v>
      </c>
      <c r="AJ592" s="174">
        <f t="shared" si="86"/>
        <v>0</v>
      </c>
      <c r="AK592" s="175">
        <f t="shared" si="86"/>
        <v>0</v>
      </c>
      <c r="AL592" s="174">
        <f t="shared" ref="AL592:BQ592" si="87">SUM(AL133:AL135)</f>
        <v>0</v>
      </c>
      <c r="AM592" s="175">
        <f t="shared" si="87"/>
        <v>0</v>
      </c>
      <c r="AN592" s="174">
        <f t="shared" si="87"/>
        <v>0</v>
      </c>
      <c r="AO592" s="175">
        <f t="shared" si="87"/>
        <v>0</v>
      </c>
      <c r="AP592" s="174">
        <f t="shared" si="87"/>
        <v>0</v>
      </c>
      <c r="AQ592" s="175">
        <f t="shared" si="87"/>
        <v>0</v>
      </c>
      <c r="AR592" s="174">
        <f t="shared" si="87"/>
        <v>0</v>
      </c>
      <c r="AS592" s="175">
        <f t="shared" si="87"/>
        <v>0</v>
      </c>
      <c r="AT592" s="174">
        <f t="shared" si="87"/>
        <v>0</v>
      </c>
      <c r="AU592" s="175">
        <f t="shared" si="87"/>
        <v>0</v>
      </c>
      <c r="AV592" s="174">
        <f t="shared" si="87"/>
        <v>0</v>
      </c>
      <c r="AW592" s="175">
        <f t="shared" si="87"/>
        <v>0</v>
      </c>
      <c r="AX592" s="174">
        <f t="shared" si="87"/>
        <v>0</v>
      </c>
      <c r="AY592" s="175">
        <f t="shared" si="87"/>
        <v>0</v>
      </c>
      <c r="AZ592" s="174">
        <f t="shared" si="87"/>
        <v>0</v>
      </c>
      <c r="BA592" s="175">
        <f t="shared" si="87"/>
        <v>0</v>
      </c>
      <c r="BB592" s="174">
        <f t="shared" si="87"/>
        <v>0</v>
      </c>
      <c r="BC592" s="175">
        <f t="shared" si="87"/>
        <v>0</v>
      </c>
      <c r="BD592" s="174">
        <f t="shared" si="87"/>
        <v>0</v>
      </c>
      <c r="BE592" s="175">
        <f t="shared" si="87"/>
        <v>0</v>
      </c>
      <c r="BF592" s="174">
        <f t="shared" si="87"/>
        <v>0</v>
      </c>
      <c r="BG592" s="175">
        <f t="shared" si="87"/>
        <v>0</v>
      </c>
      <c r="BH592" s="174">
        <f t="shared" si="87"/>
        <v>0</v>
      </c>
      <c r="BI592" s="175">
        <f t="shared" si="87"/>
        <v>0</v>
      </c>
      <c r="BJ592" s="174">
        <f t="shared" si="87"/>
        <v>0</v>
      </c>
      <c r="BK592" s="175">
        <f t="shared" si="87"/>
        <v>0</v>
      </c>
      <c r="BL592" s="174">
        <f t="shared" si="87"/>
        <v>0</v>
      </c>
      <c r="BM592" s="175">
        <f t="shared" si="87"/>
        <v>0</v>
      </c>
      <c r="BN592" s="174">
        <f t="shared" si="87"/>
        <v>0</v>
      </c>
      <c r="BO592" s="175">
        <f t="shared" si="87"/>
        <v>0</v>
      </c>
      <c r="BP592" s="174">
        <f t="shared" si="87"/>
        <v>0</v>
      </c>
      <c r="BQ592" s="175">
        <f t="shared" si="87"/>
        <v>0</v>
      </c>
      <c r="BR592" s="174">
        <f t="shared" ref="BR592:BW592" si="88">SUM(BR133:BR135)</f>
        <v>0</v>
      </c>
      <c r="BS592" s="175">
        <f t="shared" si="88"/>
        <v>0</v>
      </c>
      <c r="BT592" s="174">
        <f t="shared" si="88"/>
        <v>1409</v>
      </c>
      <c r="BU592" s="175">
        <f t="shared" si="88"/>
        <v>406</v>
      </c>
      <c r="BV592" s="174">
        <f t="shared" si="88"/>
        <v>1442</v>
      </c>
      <c r="BW592" s="175">
        <f t="shared" si="88"/>
        <v>359</v>
      </c>
    </row>
    <row r="593" spans="1:75" ht="13" x14ac:dyDescent="0.25">
      <c r="A593" s="196"/>
      <c r="B593" s="197" t="s">
        <v>614</v>
      </c>
      <c r="C593" s="90">
        <f>SUM(C136:C153)</f>
        <v>19604</v>
      </c>
      <c r="D593" s="90">
        <f>SUM(D136:D153)</f>
        <v>12482</v>
      </c>
      <c r="E593" s="145">
        <f t="shared" si="19"/>
        <v>0.63670679453172818</v>
      </c>
      <c r="F593" s="174">
        <f t="shared" ref="F593:AK593" si="89">SUM(F136:F153)</f>
        <v>9384</v>
      </c>
      <c r="G593" s="175">
        <f t="shared" si="89"/>
        <v>2649</v>
      </c>
      <c r="H593" s="174">
        <f t="shared" si="89"/>
        <v>0</v>
      </c>
      <c r="I593" s="175">
        <f t="shared" si="89"/>
        <v>0</v>
      </c>
      <c r="J593" s="174">
        <f t="shared" si="89"/>
        <v>0</v>
      </c>
      <c r="K593" s="175">
        <f t="shared" si="89"/>
        <v>0</v>
      </c>
      <c r="L593" s="174">
        <f t="shared" si="89"/>
        <v>0</v>
      </c>
      <c r="M593" s="175">
        <f t="shared" si="89"/>
        <v>0</v>
      </c>
      <c r="N593" s="174">
        <f t="shared" si="89"/>
        <v>0</v>
      </c>
      <c r="O593" s="175">
        <f t="shared" si="89"/>
        <v>0</v>
      </c>
      <c r="P593" s="174">
        <f t="shared" si="89"/>
        <v>0</v>
      </c>
      <c r="Q593" s="175">
        <f t="shared" si="89"/>
        <v>0</v>
      </c>
      <c r="R593" s="174">
        <f t="shared" si="89"/>
        <v>0</v>
      </c>
      <c r="S593" s="175">
        <f t="shared" si="89"/>
        <v>0</v>
      </c>
      <c r="T593" s="174">
        <f t="shared" si="89"/>
        <v>0</v>
      </c>
      <c r="U593" s="175">
        <f t="shared" si="89"/>
        <v>0</v>
      </c>
      <c r="V593" s="174">
        <f t="shared" si="89"/>
        <v>0</v>
      </c>
      <c r="W593" s="175">
        <f t="shared" si="89"/>
        <v>0</v>
      </c>
      <c r="X593" s="174">
        <f t="shared" si="89"/>
        <v>0</v>
      </c>
      <c r="Y593" s="175">
        <f t="shared" si="89"/>
        <v>0</v>
      </c>
      <c r="Z593" s="174">
        <f t="shared" si="89"/>
        <v>0</v>
      </c>
      <c r="AA593" s="175">
        <f t="shared" si="89"/>
        <v>0</v>
      </c>
      <c r="AB593" s="174">
        <f t="shared" si="89"/>
        <v>0</v>
      </c>
      <c r="AC593" s="175">
        <f t="shared" si="89"/>
        <v>0</v>
      </c>
      <c r="AD593" s="174">
        <f t="shared" si="89"/>
        <v>0</v>
      </c>
      <c r="AE593" s="175">
        <f t="shared" si="89"/>
        <v>0</v>
      </c>
      <c r="AF593" s="174">
        <f t="shared" si="89"/>
        <v>0</v>
      </c>
      <c r="AG593" s="175">
        <f t="shared" si="89"/>
        <v>0</v>
      </c>
      <c r="AH593" s="174">
        <f t="shared" si="89"/>
        <v>0</v>
      </c>
      <c r="AI593" s="175">
        <f t="shared" si="89"/>
        <v>0</v>
      </c>
      <c r="AJ593" s="174">
        <f t="shared" si="89"/>
        <v>0</v>
      </c>
      <c r="AK593" s="175">
        <f t="shared" si="89"/>
        <v>0</v>
      </c>
      <c r="AL593" s="174">
        <f t="shared" ref="AL593:BQ593" si="90">SUM(AL136:AL153)</f>
        <v>0</v>
      </c>
      <c r="AM593" s="175">
        <f t="shared" si="90"/>
        <v>0</v>
      </c>
      <c r="AN593" s="174">
        <f t="shared" si="90"/>
        <v>0</v>
      </c>
      <c r="AO593" s="175">
        <f t="shared" si="90"/>
        <v>0</v>
      </c>
      <c r="AP593" s="174">
        <f t="shared" si="90"/>
        <v>0</v>
      </c>
      <c r="AQ593" s="175">
        <f t="shared" si="90"/>
        <v>0</v>
      </c>
      <c r="AR593" s="174">
        <f t="shared" si="90"/>
        <v>0</v>
      </c>
      <c r="AS593" s="175">
        <f t="shared" si="90"/>
        <v>0</v>
      </c>
      <c r="AT593" s="174">
        <f t="shared" si="90"/>
        <v>0</v>
      </c>
      <c r="AU593" s="175">
        <f t="shared" si="90"/>
        <v>0</v>
      </c>
      <c r="AV593" s="174">
        <f t="shared" si="90"/>
        <v>0</v>
      </c>
      <c r="AW593" s="175">
        <f t="shared" si="90"/>
        <v>0</v>
      </c>
      <c r="AX593" s="174">
        <f t="shared" si="90"/>
        <v>0</v>
      </c>
      <c r="AY593" s="175">
        <f t="shared" si="90"/>
        <v>0</v>
      </c>
      <c r="AZ593" s="174">
        <f t="shared" si="90"/>
        <v>0</v>
      </c>
      <c r="BA593" s="175">
        <f t="shared" si="90"/>
        <v>0</v>
      </c>
      <c r="BB593" s="174">
        <f t="shared" si="90"/>
        <v>0</v>
      </c>
      <c r="BC593" s="175">
        <f t="shared" si="90"/>
        <v>0</v>
      </c>
      <c r="BD593" s="174">
        <f t="shared" si="90"/>
        <v>0</v>
      </c>
      <c r="BE593" s="175">
        <f t="shared" si="90"/>
        <v>0</v>
      </c>
      <c r="BF593" s="174">
        <f t="shared" si="90"/>
        <v>0</v>
      </c>
      <c r="BG593" s="175">
        <f t="shared" si="90"/>
        <v>0</v>
      </c>
      <c r="BH593" s="174">
        <f t="shared" si="90"/>
        <v>0</v>
      </c>
      <c r="BI593" s="175">
        <f t="shared" si="90"/>
        <v>0</v>
      </c>
      <c r="BJ593" s="174">
        <f t="shared" si="90"/>
        <v>0</v>
      </c>
      <c r="BK593" s="175">
        <f t="shared" si="90"/>
        <v>0</v>
      </c>
      <c r="BL593" s="174">
        <f t="shared" si="90"/>
        <v>0</v>
      </c>
      <c r="BM593" s="175">
        <f t="shared" si="90"/>
        <v>0</v>
      </c>
      <c r="BN593" s="174">
        <f t="shared" si="90"/>
        <v>0</v>
      </c>
      <c r="BO593" s="175">
        <f t="shared" si="90"/>
        <v>0</v>
      </c>
      <c r="BP593" s="174">
        <f t="shared" si="90"/>
        <v>0</v>
      </c>
      <c r="BQ593" s="175">
        <f t="shared" si="90"/>
        <v>0</v>
      </c>
      <c r="BR593" s="174">
        <f t="shared" ref="BR593:BW593" si="91">SUM(BR136:BR153)</f>
        <v>0</v>
      </c>
      <c r="BS593" s="175">
        <f t="shared" si="91"/>
        <v>0</v>
      </c>
      <c r="BT593" s="174">
        <f t="shared" si="91"/>
        <v>9384</v>
      </c>
      <c r="BU593" s="175">
        <f t="shared" si="91"/>
        <v>2584</v>
      </c>
      <c r="BV593" s="174">
        <f t="shared" si="91"/>
        <v>9599</v>
      </c>
      <c r="BW593" s="175">
        <f t="shared" si="91"/>
        <v>2382</v>
      </c>
    </row>
    <row r="594" spans="1:75" ht="13" x14ac:dyDescent="0.25">
      <c r="A594" s="196"/>
      <c r="B594" s="197" t="s">
        <v>615</v>
      </c>
      <c r="C594" s="90">
        <f>SUM(C154:C162)</f>
        <v>10127</v>
      </c>
      <c r="D594" s="90">
        <f>SUM(D154:D162)</f>
        <v>5094</v>
      </c>
      <c r="E594" s="145">
        <f t="shared" si="19"/>
        <v>0.50301175076528093</v>
      </c>
      <c r="F594" s="174">
        <f t="shared" ref="F594:AK594" si="92">SUM(F154:F162)</f>
        <v>3548</v>
      </c>
      <c r="G594" s="175">
        <f t="shared" si="92"/>
        <v>1287</v>
      </c>
      <c r="H594" s="174">
        <f t="shared" si="92"/>
        <v>0</v>
      </c>
      <c r="I594" s="175">
        <f t="shared" si="92"/>
        <v>0</v>
      </c>
      <c r="J594" s="174">
        <f t="shared" si="92"/>
        <v>0</v>
      </c>
      <c r="K594" s="175">
        <f t="shared" si="92"/>
        <v>0</v>
      </c>
      <c r="L594" s="174">
        <f t="shared" si="92"/>
        <v>0</v>
      </c>
      <c r="M594" s="175">
        <f t="shared" si="92"/>
        <v>0</v>
      </c>
      <c r="N594" s="174">
        <f t="shared" si="92"/>
        <v>0</v>
      </c>
      <c r="O594" s="175">
        <f t="shared" si="92"/>
        <v>0</v>
      </c>
      <c r="P594" s="174">
        <f t="shared" si="92"/>
        <v>0</v>
      </c>
      <c r="Q594" s="175">
        <f t="shared" si="92"/>
        <v>0</v>
      </c>
      <c r="R594" s="174">
        <f t="shared" si="92"/>
        <v>0</v>
      </c>
      <c r="S594" s="175">
        <f t="shared" si="92"/>
        <v>0</v>
      </c>
      <c r="T594" s="174">
        <f t="shared" si="92"/>
        <v>0</v>
      </c>
      <c r="U594" s="175">
        <f t="shared" si="92"/>
        <v>0</v>
      </c>
      <c r="V594" s="174">
        <f t="shared" si="92"/>
        <v>0</v>
      </c>
      <c r="W594" s="175">
        <f t="shared" si="92"/>
        <v>0</v>
      </c>
      <c r="X594" s="174">
        <f t="shared" si="92"/>
        <v>0</v>
      </c>
      <c r="Y594" s="175">
        <f t="shared" si="92"/>
        <v>0</v>
      </c>
      <c r="Z594" s="174">
        <f t="shared" si="92"/>
        <v>0</v>
      </c>
      <c r="AA594" s="175">
        <f t="shared" si="92"/>
        <v>0</v>
      </c>
      <c r="AB594" s="174">
        <f t="shared" si="92"/>
        <v>0</v>
      </c>
      <c r="AC594" s="175">
        <f t="shared" si="92"/>
        <v>0</v>
      </c>
      <c r="AD594" s="174">
        <f t="shared" si="92"/>
        <v>0</v>
      </c>
      <c r="AE594" s="175">
        <f t="shared" si="92"/>
        <v>0</v>
      </c>
      <c r="AF594" s="174">
        <f t="shared" si="92"/>
        <v>0</v>
      </c>
      <c r="AG594" s="175">
        <f t="shared" si="92"/>
        <v>0</v>
      </c>
      <c r="AH594" s="174">
        <f t="shared" si="92"/>
        <v>0</v>
      </c>
      <c r="AI594" s="175">
        <f t="shared" si="92"/>
        <v>0</v>
      </c>
      <c r="AJ594" s="174">
        <f t="shared" si="92"/>
        <v>0</v>
      </c>
      <c r="AK594" s="175">
        <f t="shared" si="92"/>
        <v>0</v>
      </c>
      <c r="AL594" s="174">
        <f t="shared" ref="AL594:BQ594" si="93">SUM(AL154:AL162)</f>
        <v>0</v>
      </c>
      <c r="AM594" s="175">
        <f t="shared" si="93"/>
        <v>0</v>
      </c>
      <c r="AN594" s="174">
        <f t="shared" si="93"/>
        <v>0</v>
      </c>
      <c r="AO594" s="175">
        <f t="shared" si="93"/>
        <v>0</v>
      </c>
      <c r="AP594" s="174">
        <f t="shared" si="93"/>
        <v>0</v>
      </c>
      <c r="AQ594" s="175">
        <f t="shared" si="93"/>
        <v>0</v>
      </c>
      <c r="AR594" s="174">
        <f t="shared" si="93"/>
        <v>0</v>
      </c>
      <c r="AS594" s="175">
        <f t="shared" si="93"/>
        <v>0</v>
      </c>
      <c r="AT594" s="174">
        <f t="shared" si="93"/>
        <v>0</v>
      </c>
      <c r="AU594" s="175">
        <f t="shared" si="93"/>
        <v>0</v>
      </c>
      <c r="AV594" s="174">
        <f t="shared" si="93"/>
        <v>0</v>
      </c>
      <c r="AW594" s="175">
        <f t="shared" si="93"/>
        <v>0</v>
      </c>
      <c r="AX594" s="174">
        <f t="shared" si="93"/>
        <v>0</v>
      </c>
      <c r="AY594" s="175">
        <f t="shared" si="93"/>
        <v>0</v>
      </c>
      <c r="AZ594" s="174">
        <f t="shared" si="93"/>
        <v>0</v>
      </c>
      <c r="BA594" s="175">
        <f t="shared" si="93"/>
        <v>0</v>
      </c>
      <c r="BB594" s="174">
        <f t="shared" si="93"/>
        <v>0</v>
      </c>
      <c r="BC594" s="175">
        <f t="shared" si="93"/>
        <v>0</v>
      </c>
      <c r="BD594" s="174">
        <f t="shared" si="93"/>
        <v>0</v>
      </c>
      <c r="BE594" s="175">
        <f t="shared" si="93"/>
        <v>0</v>
      </c>
      <c r="BF594" s="174">
        <f t="shared" si="93"/>
        <v>0</v>
      </c>
      <c r="BG594" s="175">
        <f t="shared" si="93"/>
        <v>0</v>
      </c>
      <c r="BH594" s="174">
        <f t="shared" si="93"/>
        <v>0</v>
      </c>
      <c r="BI594" s="175">
        <f t="shared" si="93"/>
        <v>0</v>
      </c>
      <c r="BJ594" s="174">
        <f t="shared" si="93"/>
        <v>0</v>
      </c>
      <c r="BK594" s="175">
        <f t="shared" si="93"/>
        <v>0</v>
      </c>
      <c r="BL594" s="174">
        <f t="shared" si="93"/>
        <v>0</v>
      </c>
      <c r="BM594" s="175">
        <f t="shared" si="93"/>
        <v>0</v>
      </c>
      <c r="BN594" s="174">
        <f t="shared" si="93"/>
        <v>0</v>
      </c>
      <c r="BO594" s="175">
        <f t="shared" si="93"/>
        <v>0</v>
      </c>
      <c r="BP594" s="174">
        <f t="shared" si="93"/>
        <v>0</v>
      </c>
      <c r="BQ594" s="175">
        <f t="shared" si="93"/>
        <v>0</v>
      </c>
      <c r="BR594" s="174">
        <f t="shared" ref="BR594:BW594" si="94">SUM(BR154:BR162)</f>
        <v>0</v>
      </c>
      <c r="BS594" s="175">
        <f t="shared" si="94"/>
        <v>0</v>
      </c>
      <c r="BT594" s="174">
        <f t="shared" si="94"/>
        <v>3599</v>
      </c>
      <c r="BU594" s="175">
        <f t="shared" si="94"/>
        <v>1262</v>
      </c>
      <c r="BV594" s="174">
        <f t="shared" si="94"/>
        <v>3739</v>
      </c>
      <c r="BW594" s="175">
        <f t="shared" si="94"/>
        <v>1110</v>
      </c>
    </row>
    <row r="595" spans="1:75" ht="13" x14ac:dyDescent="0.25">
      <c r="A595" s="196"/>
      <c r="B595" s="197" t="s">
        <v>616</v>
      </c>
      <c r="C595" s="90">
        <f>SUM(C163:C174)</f>
        <v>13694</v>
      </c>
      <c r="D595" s="90">
        <f>SUM(D163:D174)</f>
        <v>7557</v>
      </c>
      <c r="E595" s="145">
        <f t="shared" si="19"/>
        <v>0.55184752446326857</v>
      </c>
      <c r="F595" s="174">
        <f t="shared" ref="F595:AK595" si="95">SUM(F163:F174)</f>
        <v>4309</v>
      </c>
      <c r="G595" s="175">
        <f t="shared" si="95"/>
        <v>2799</v>
      </c>
      <c r="H595" s="174">
        <f t="shared" si="95"/>
        <v>0</v>
      </c>
      <c r="I595" s="175">
        <f t="shared" si="95"/>
        <v>0</v>
      </c>
      <c r="J595" s="174">
        <f t="shared" si="95"/>
        <v>0</v>
      </c>
      <c r="K595" s="175">
        <f t="shared" si="95"/>
        <v>0</v>
      </c>
      <c r="L595" s="174">
        <f t="shared" si="95"/>
        <v>0</v>
      </c>
      <c r="M595" s="175">
        <f t="shared" si="95"/>
        <v>0</v>
      </c>
      <c r="N595" s="174">
        <f t="shared" si="95"/>
        <v>0</v>
      </c>
      <c r="O595" s="175">
        <f t="shared" si="95"/>
        <v>0</v>
      </c>
      <c r="P595" s="174">
        <f t="shared" si="95"/>
        <v>0</v>
      </c>
      <c r="Q595" s="175">
        <f t="shared" si="95"/>
        <v>0</v>
      </c>
      <c r="R595" s="174">
        <f t="shared" si="95"/>
        <v>0</v>
      </c>
      <c r="S595" s="175">
        <f t="shared" si="95"/>
        <v>0</v>
      </c>
      <c r="T595" s="174">
        <f t="shared" si="95"/>
        <v>0</v>
      </c>
      <c r="U595" s="175">
        <f t="shared" si="95"/>
        <v>0</v>
      </c>
      <c r="V595" s="174">
        <f t="shared" si="95"/>
        <v>0</v>
      </c>
      <c r="W595" s="175">
        <f t="shared" si="95"/>
        <v>0</v>
      </c>
      <c r="X595" s="174">
        <f t="shared" si="95"/>
        <v>0</v>
      </c>
      <c r="Y595" s="175">
        <f t="shared" si="95"/>
        <v>0</v>
      </c>
      <c r="Z595" s="174">
        <f t="shared" si="95"/>
        <v>0</v>
      </c>
      <c r="AA595" s="175">
        <f t="shared" si="95"/>
        <v>0</v>
      </c>
      <c r="AB595" s="174">
        <f t="shared" si="95"/>
        <v>0</v>
      </c>
      <c r="AC595" s="175">
        <f t="shared" si="95"/>
        <v>0</v>
      </c>
      <c r="AD595" s="174">
        <f t="shared" si="95"/>
        <v>0</v>
      </c>
      <c r="AE595" s="175">
        <f t="shared" si="95"/>
        <v>0</v>
      </c>
      <c r="AF595" s="174">
        <f t="shared" si="95"/>
        <v>0</v>
      </c>
      <c r="AG595" s="175">
        <f t="shared" si="95"/>
        <v>0</v>
      </c>
      <c r="AH595" s="174">
        <f t="shared" si="95"/>
        <v>0</v>
      </c>
      <c r="AI595" s="175">
        <f t="shared" si="95"/>
        <v>0</v>
      </c>
      <c r="AJ595" s="174">
        <f t="shared" si="95"/>
        <v>0</v>
      </c>
      <c r="AK595" s="175">
        <f t="shared" si="95"/>
        <v>0</v>
      </c>
      <c r="AL595" s="174">
        <f t="shared" ref="AL595:BQ595" si="96">SUM(AL163:AL174)</f>
        <v>0</v>
      </c>
      <c r="AM595" s="175">
        <f t="shared" si="96"/>
        <v>0</v>
      </c>
      <c r="AN595" s="174">
        <f t="shared" si="96"/>
        <v>0</v>
      </c>
      <c r="AO595" s="175">
        <f t="shared" si="96"/>
        <v>0</v>
      </c>
      <c r="AP595" s="174">
        <f t="shared" si="96"/>
        <v>0</v>
      </c>
      <c r="AQ595" s="175">
        <f t="shared" si="96"/>
        <v>0</v>
      </c>
      <c r="AR595" s="174">
        <f t="shared" si="96"/>
        <v>0</v>
      </c>
      <c r="AS595" s="175">
        <f t="shared" si="96"/>
        <v>0</v>
      </c>
      <c r="AT595" s="174">
        <f t="shared" si="96"/>
        <v>0</v>
      </c>
      <c r="AU595" s="175">
        <f t="shared" si="96"/>
        <v>0</v>
      </c>
      <c r="AV595" s="174">
        <f t="shared" si="96"/>
        <v>0</v>
      </c>
      <c r="AW595" s="175">
        <f t="shared" si="96"/>
        <v>0</v>
      </c>
      <c r="AX595" s="174">
        <f t="shared" si="96"/>
        <v>0</v>
      </c>
      <c r="AY595" s="175">
        <f t="shared" si="96"/>
        <v>0</v>
      </c>
      <c r="AZ595" s="174">
        <f t="shared" si="96"/>
        <v>0</v>
      </c>
      <c r="BA595" s="175">
        <f t="shared" si="96"/>
        <v>0</v>
      </c>
      <c r="BB595" s="174">
        <f t="shared" si="96"/>
        <v>0</v>
      </c>
      <c r="BC595" s="175">
        <f t="shared" si="96"/>
        <v>0</v>
      </c>
      <c r="BD595" s="174">
        <f t="shared" si="96"/>
        <v>0</v>
      </c>
      <c r="BE595" s="175">
        <f t="shared" si="96"/>
        <v>0</v>
      </c>
      <c r="BF595" s="174">
        <f t="shared" si="96"/>
        <v>0</v>
      </c>
      <c r="BG595" s="175">
        <f t="shared" si="96"/>
        <v>0</v>
      </c>
      <c r="BH595" s="174">
        <f t="shared" si="96"/>
        <v>0</v>
      </c>
      <c r="BI595" s="175">
        <f t="shared" si="96"/>
        <v>0</v>
      </c>
      <c r="BJ595" s="174">
        <f t="shared" si="96"/>
        <v>0</v>
      </c>
      <c r="BK595" s="175">
        <f t="shared" si="96"/>
        <v>0</v>
      </c>
      <c r="BL595" s="174">
        <f t="shared" si="96"/>
        <v>0</v>
      </c>
      <c r="BM595" s="175">
        <f t="shared" si="96"/>
        <v>0</v>
      </c>
      <c r="BN595" s="174">
        <f t="shared" si="96"/>
        <v>0</v>
      </c>
      <c r="BO595" s="175">
        <f t="shared" si="96"/>
        <v>0</v>
      </c>
      <c r="BP595" s="174">
        <f t="shared" si="96"/>
        <v>0</v>
      </c>
      <c r="BQ595" s="175">
        <f t="shared" si="96"/>
        <v>0</v>
      </c>
      <c r="BR595" s="174">
        <f t="shared" ref="BR595:BW595" si="97">SUM(BR163:BR174)</f>
        <v>0</v>
      </c>
      <c r="BS595" s="175">
        <f t="shared" si="97"/>
        <v>0</v>
      </c>
      <c r="BT595" s="174">
        <f t="shared" si="97"/>
        <v>4627</v>
      </c>
      <c r="BU595" s="175">
        <f t="shared" si="97"/>
        <v>2506</v>
      </c>
      <c r="BV595" s="174">
        <f t="shared" si="97"/>
        <v>4974</v>
      </c>
      <c r="BW595" s="175">
        <f t="shared" si="97"/>
        <v>2157</v>
      </c>
    </row>
    <row r="596" spans="1:75" ht="13" x14ac:dyDescent="0.25">
      <c r="A596" s="196"/>
      <c r="B596" s="197" t="s">
        <v>617</v>
      </c>
      <c r="C596" s="90">
        <f>SUM(C175:C193)</f>
        <v>20067</v>
      </c>
      <c r="D596" s="90">
        <f>SUM(D175:D193)</f>
        <v>10590</v>
      </c>
      <c r="E596" s="145">
        <f t="shared" si="19"/>
        <v>0.52773209747346395</v>
      </c>
      <c r="F596" s="174">
        <f t="shared" ref="F596:AK596" si="98">SUM(F175:F193)</f>
        <v>6938</v>
      </c>
      <c r="G596" s="175">
        <f t="shared" si="98"/>
        <v>3082</v>
      </c>
      <c r="H596" s="174">
        <f t="shared" si="98"/>
        <v>0</v>
      </c>
      <c r="I596" s="175">
        <f t="shared" si="98"/>
        <v>0</v>
      </c>
      <c r="J596" s="174">
        <f t="shared" si="98"/>
        <v>0</v>
      </c>
      <c r="K596" s="175">
        <f t="shared" si="98"/>
        <v>0</v>
      </c>
      <c r="L596" s="174">
        <f t="shared" si="98"/>
        <v>0</v>
      </c>
      <c r="M596" s="175">
        <f t="shared" si="98"/>
        <v>0</v>
      </c>
      <c r="N596" s="174">
        <f t="shared" si="98"/>
        <v>0</v>
      </c>
      <c r="O596" s="175">
        <f t="shared" si="98"/>
        <v>0</v>
      </c>
      <c r="P596" s="174">
        <f t="shared" si="98"/>
        <v>0</v>
      </c>
      <c r="Q596" s="175">
        <f t="shared" si="98"/>
        <v>0</v>
      </c>
      <c r="R596" s="174">
        <f t="shared" si="98"/>
        <v>0</v>
      </c>
      <c r="S596" s="175">
        <f t="shared" si="98"/>
        <v>0</v>
      </c>
      <c r="T596" s="174">
        <f t="shared" si="98"/>
        <v>0</v>
      </c>
      <c r="U596" s="175">
        <f t="shared" si="98"/>
        <v>0</v>
      </c>
      <c r="V596" s="174">
        <f t="shared" si="98"/>
        <v>0</v>
      </c>
      <c r="W596" s="175">
        <f t="shared" si="98"/>
        <v>0</v>
      </c>
      <c r="X596" s="174">
        <f t="shared" si="98"/>
        <v>0</v>
      </c>
      <c r="Y596" s="175">
        <f t="shared" si="98"/>
        <v>0</v>
      </c>
      <c r="Z596" s="174">
        <f t="shared" si="98"/>
        <v>0</v>
      </c>
      <c r="AA596" s="175">
        <f t="shared" si="98"/>
        <v>0</v>
      </c>
      <c r="AB596" s="174">
        <f t="shared" si="98"/>
        <v>0</v>
      </c>
      <c r="AC596" s="175">
        <f t="shared" si="98"/>
        <v>0</v>
      </c>
      <c r="AD596" s="174">
        <f t="shared" si="98"/>
        <v>0</v>
      </c>
      <c r="AE596" s="175">
        <f t="shared" si="98"/>
        <v>0</v>
      </c>
      <c r="AF596" s="174">
        <f t="shared" si="98"/>
        <v>0</v>
      </c>
      <c r="AG596" s="175">
        <f t="shared" si="98"/>
        <v>0</v>
      </c>
      <c r="AH596" s="174">
        <f t="shared" si="98"/>
        <v>0</v>
      </c>
      <c r="AI596" s="175">
        <f t="shared" si="98"/>
        <v>0</v>
      </c>
      <c r="AJ596" s="174">
        <f t="shared" si="98"/>
        <v>0</v>
      </c>
      <c r="AK596" s="175">
        <f t="shared" si="98"/>
        <v>0</v>
      </c>
      <c r="AL596" s="174">
        <f t="shared" ref="AL596:BQ596" si="99">SUM(AL175:AL193)</f>
        <v>0</v>
      </c>
      <c r="AM596" s="175">
        <f t="shared" si="99"/>
        <v>0</v>
      </c>
      <c r="AN596" s="174">
        <f t="shared" si="99"/>
        <v>0</v>
      </c>
      <c r="AO596" s="175">
        <f t="shared" si="99"/>
        <v>0</v>
      </c>
      <c r="AP596" s="174">
        <f t="shared" si="99"/>
        <v>0</v>
      </c>
      <c r="AQ596" s="175">
        <f t="shared" si="99"/>
        <v>0</v>
      </c>
      <c r="AR596" s="174">
        <f t="shared" si="99"/>
        <v>0</v>
      </c>
      <c r="AS596" s="175">
        <f t="shared" si="99"/>
        <v>0</v>
      </c>
      <c r="AT596" s="174">
        <f t="shared" si="99"/>
        <v>0</v>
      </c>
      <c r="AU596" s="175">
        <f t="shared" si="99"/>
        <v>0</v>
      </c>
      <c r="AV596" s="174">
        <f t="shared" si="99"/>
        <v>0</v>
      </c>
      <c r="AW596" s="175">
        <f t="shared" si="99"/>
        <v>0</v>
      </c>
      <c r="AX596" s="174">
        <f t="shared" si="99"/>
        <v>0</v>
      </c>
      <c r="AY596" s="175">
        <f t="shared" si="99"/>
        <v>0</v>
      </c>
      <c r="AZ596" s="174">
        <f t="shared" si="99"/>
        <v>0</v>
      </c>
      <c r="BA596" s="175">
        <f t="shared" si="99"/>
        <v>0</v>
      </c>
      <c r="BB596" s="174">
        <f t="shared" si="99"/>
        <v>0</v>
      </c>
      <c r="BC596" s="175">
        <f t="shared" si="99"/>
        <v>0</v>
      </c>
      <c r="BD596" s="174">
        <f t="shared" si="99"/>
        <v>0</v>
      </c>
      <c r="BE596" s="175">
        <f t="shared" si="99"/>
        <v>0</v>
      </c>
      <c r="BF596" s="174">
        <f t="shared" si="99"/>
        <v>0</v>
      </c>
      <c r="BG596" s="175">
        <f t="shared" si="99"/>
        <v>0</v>
      </c>
      <c r="BH596" s="174">
        <f t="shared" si="99"/>
        <v>0</v>
      </c>
      <c r="BI596" s="175">
        <f t="shared" si="99"/>
        <v>0</v>
      </c>
      <c r="BJ596" s="174">
        <f t="shared" si="99"/>
        <v>0</v>
      </c>
      <c r="BK596" s="175">
        <f t="shared" si="99"/>
        <v>0</v>
      </c>
      <c r="BL596" s="174">
        <f t="shared" si="99"/>
        <v>0</v>
      </c>
      <c r="BM596" s="175">
        <f t="shared" si="99"/>
        <v>0</v>
      </c>
      <c r="BN596" s="174">
        <f t="shared" si="99"/>
        <v>0</v>
      </c>
      <c r="BO596" s="175">
        <f t="shared" si="99"/>
        <v>0</v>
      </c>
      <c r="BP596" s="174">
        <f t="shared" si="99"/>
        <v>0</v>
      </c>
      <c r="BQ596" s="175">
        <f t="shared" si="99"/>
        <v>0</v>
      </c>
      <c r="BR596" s="174">
        <f t="shared" ref="BR596:BW596" si="100">SUM(BR175:BR193)</f>
        <v>0</v>
      </c>
      <c r="BS596" s="175">
        <f t="shared" si="100"/>
        <v>0</v>
      </c>
      <c r="BT596" s="174">
        <f t="shared" si="100"/>
        <v>7037</v>
      </c>
      <c r="BU596" s="175">
        <f t="shared" si="100"/>
        <v>2980</v>
      </c>
      <c r="BV596" s="174">
        <f t="shared" si="100"/>
        <v>7339</v>
      </c>
      <c r="BW596" s="175">
        <f t="shared" si="100"/>
        <v>2660</v>
      </c>
    </row>
    <row r="597" spans="1:75" ht="13" x14ac:dyDescent="0.25">
      <c r="A597" s="196"/>
      <c r="B597" s="197" t="s">
        <v>618</v>
      </c>
      <c r="C597" s="90">
        <f>SUM(C194:C204)</f>
        <v>10625</v>
      </c>
      <c r="D597" s="90">
        <f>SUM(D194:D204)</f>
        <v>8189</v>
      </c>
      <c r="E597" s="145">
        <f t="shared" si="19"/>
        <v>0.77072941176470589</v>
      </c>
      <c r="F597" s="174">
        <f t="shared" ref="F597:AK597" si="101">SUM(F194:F204)</f>
        <v>4492</v>
      </c>
      <c r="G597" s="175">
        <f t="shared" si="101"/>
        <v>3366</v>
      </c>
      <c r="H597" s="174">
        <f t="shared" si="101"/>
        <v>0</v>
      </c>
      <c r="I597" s="175">
        <f t="shared" si="101"/>
        <v>0</v>
      </c>
      <c r="J597" s="174">
        <f t="shared" si="101"/>
        <v>0</v>
      </c>
      <c r="K597" s="175">
        <f t="shared" si="101"/>
        <v>0</v>
      </c>
      <c r="L597" s="174">
        <f t="shared" si="101"/>
        <v>0</v>
      </c>
      <c r="M597" s="175">
        <f t="shared" si="101"/>
        <v>0</v>
      </c>
      <c r="N597" s="174">
        <f t="shared" si="101"/>
        <v>0</v>
      </c>
      <c r="O597" s="175">
        <f t="shared" si="101"/>
        <v>0</v>
      </c>
      <c r="P597" s="174">
        <f t="shared" si="101"/>
        <v>0</v>
      </c>
      <c r="Q597" s="175">
        <f t="shared" si="101"/>
        <v>0</v>
      </c>
      <c r="R597" s="174">
        <f t="shared" si="101"/>
        <v>0</v>
      </c>
      <c r="S597" s="175">
        <f t="shared" si="101"/>
        <v>0</v>
      </c>
      <c r="T597" s="174">
        <f t="shared" si="101"/>
        <v>0</v>
      </c>
      <c r="U597" s="175">
        <f t="shared" si="101"/>
        <v>0</v>
      </c>
      <c r="V597" s="174">
        <f t="shared" si="101"/>
        <v>0</v>
      </c>
      <c r="W597" s="175">
        <f t="shared" si="101"/>
        <v>0</v>
      </c>
      <c r="X597" s="174">
        <f t="shared" si="101"/>
        <v>0</v>
      </c>
      <c r="Y597" s="175">
        <f t="shared" si="101"/>
        <v>0</v>
      </c>
      <c r="Z597" s="174">
        <f t="shared" si="101"/>
        <v>0</v>
      </c>
      <c r="AA597" s="175">
        <f t="shared" si="101"/>
        <v>0</v>
      </c>
      <c r="AB597" s="174">
        <f t="shared" si="101"/>
        <v>0</v>
      </c>
      <c r="AC597" s="175">
        <f t="shared" si="101"/>
        <v>0</v>
      </c>
      <c r="AD597" s="174">
        <f t="shared" si="101"/>
        <v>0</v>
      </c>
      <c r="AE597" s="175">
        <f t="shared" si="101"/>
        <v>0</v>
      </c>
      <c r="AF597" s="174">
        <f t="shared" si="101"/>
        <v>0</v>
      </c>
      <c r="AG597" s="175">
        <f t="shared" si="101"/>
        <v>0</v>
      </c>
      <c r="AH597" s="174">
        <f t="shared" si="101"/>
        <v>0</v>
      </c>
      <c r="AI597" s="175">
        <f t="shared" si="101"/>
        <v>0</v>
      </c>
      <c r="AJ597" s="174">
        <f t="shared" si="101"/>
        <v>0</v>
      </c>
      <c r="AK597" s="175">
        <f t="shared" si="101"/>
        <v>0</v>
      </c>
      <c r="AL597" s="174">
        <f t="shared" ref="AL597:BQ597" si="102">SUM(AL194:AL204)</f>
        <v>0</v>
      </c>
      <c r="AM597" s="175">
        <f t="shared" si="102"/>
        <v>0</v>
      </c>
      <c r="AN597" s="174">
        <f t="shared" si="102"/>
        <v>0</v>
      </c>
      <c r="AO597" s="175">
        <f t="shared" si="102"/>
        <v>0</v>
      </c>
      <c r="AP597" s="174">
        <f t="shared" si="102"/>
        <v>0</v>
      </c>
      <c r="AQ597" s="175">
        <f t="shared" si="102"/>
        <v>0</v>
      </c>
      <c r="AR597" s="174">
        <f t="shared" si="102"/>
        <v>0</v>
      </c>
      <c r="AS597" s="175">
        <f t="shared" si="102"/>
        <v>0</v>
      </c>
      <c r="AT597" s="174">
        <f t="shared" si="102"/>
        <v>0</v>
      </c>
      <c r="AU597" s="175">
        <f t="shared" si="102"/>
        <v>0</v>
      </c>
      <c r="AV597" s="174">
        <f t="shared" si="102"/>
        <v>0</v>
      </c>
      <c r="AW597" s="175">
        <f t="shared" si="102"/>
        <v>0</v>
      </c>
      <c r="AX597" s="174">
        <f t="shared" si="102"/>
        <v>0</v>
      </c>
      <c r="AY597" s="175">
        <f t="shared" si="102"/>
        <v>0</v>
      </c>
      <c r="AZ597" s="174">
        <f t="shared" si="102"/>
        <v>0</v>
      </c>
      <c r="BA597" s="175">
        <f t="shared" si="102"/>
        <v>0</v>
      </c>
      <c r="BB597" s="174">
        <f t="shared" si="102"/>
        <v>0</v>
      </c>
      <c r="BC597" s="175">
        <f t="shared" si="102"/>
        <v>0</v>
      </c>
      <c r="BD597" s="174">
        <f t="shared" si="102"/>
        <v>0</v>
      </c>
      <c r="BE597" s="175">
        <f t="shared" si="102"/>
        <v>0</v>
      </c>
      <c r="BF597" s="174">
        <f t="shared" si="102"/>
        <v>0</v>
      </c>
      <c r="BG597" s="175">
        <f t="shared" si="102"/>
        <v>0</v>
      </c>
      <c r="BH597" s="174">
        <f t="shared" si="102"/>
        <v>0</v>
      </c>
      <c r="BI597" s="175">
        <f t="shared" si="102"/>
        <v>0</v>
      </c>
      <c r="BJ597" s="174">
        <f t="shared" si="102"/>
        <v>0</v>
      </c>
      <c r="BK597" s="175">
        <f t="shared" si="102"/>
        <v>0</v>
      </c>
      <c r="BL597" s="174">
        <f t="shared" si="102"/>
        <v>7</v>
      </c>
      <c r="BM597" s="175">
        <f t="shared" si="102"/>
        <v>17</v>
      </c>
      <c r="BN597" s="174">
        <f t="shared" si="102"/>
        <v>0</v>
      </c>
      <c r="BO597" s="175">
        <f t="shared" si="102"/>
        <v>0</v>
      </c>
      <c r="BP597" s="174">
        <f t="shared" si="102"/>
        <v>0</v>
      </c>
      <c r="BQ597" s="175">
        <f t="shared" si="102"/>
        <v>0</v>
      </c>
      <c r="BR597" s="174">
        <f t="shared" ref="BR597:BW597" si="103">SUM(BR194:BR204)</f>
        <v>0</v>
      </c>
      <c r="BS597" s="175">
        <f t="shared" si="103"/>
        <v>0</v>
      </c>
      <c r="BT597" s="174">
        <f t="shared" si="103"/>
        <v>5354</v>
      </c>
      <c r="BU597" s="175">
        <f t="shared" si="103"/>
        <v>2426</v>
      </c>
      <c r="BV597" s="174">
        <f t="shared" si="103"/>
        <v>5572</v>
      </c>
      <c r="BW597" s="175">
        <f t="shared" si="103"/>
        <v>2223</v>
      </c>
    </row>
    <row r="598" spans="1:75" ht="13" x14ac:dyDescent="0.25">
      <c r="A598" s="196"/>
      <c r="B598" s="197" t="s">
        <v>619</v>
      </c>
      <c r="C598" s="90">
        <f>SUM(C205:C208)</f>
        <v>6059</v>
      </c>
      <c r="D598" s="90">
        <f>SUM(D205:D208)</f>
        <v>3812</v>
      </c>
      <c r="E598" s="145">
        <f t="shared" si="19"/>
        <v>0.62914672388182868</v>
      </c>
      <c r="F598" s="174">
        <f t="shared" ref="F598:AK598" si="104">SUM(F205:F208)</f>
        <v>1903</v>
      </c>
      <c r="G598" s="175">
        <f t="shared" si="104"/>
        <v>1720</v>
      </c>
      <c r="H598" s="174">
        <f t="shared" si="104"/>
        <v>1817</v>
      </c>
      <c r="I598" s="175">
        <f t="shared" si="104"/>
        <v>1803</v>
      </c>
      <c r="J598" s="174">
        <f t="shared" si="104"/>
        <v>0</v>
      </c>
      <c r="K598" s="175">
        <f t="shared" si="104"/>
        <v>0</v>
      </c>
      <c r="L598" s="174">
        <f t="shared" si="104"/>
        <v>0</v>
      </c>
      <c r="M598" s="175">
        <f t="shared" si="104"/>
        <v>0</v>
      </c>
      <c r="N598" s="174">
        <f t="shared" si="104"/>
        <v>0</v>
      </c>
      <c r="O598" s="175">
        <f t="shared" si="104"/>
        <v>0</v>
      </c>
      <c r="P598" s="174">
        <f t="shared" si="104"/>
        <v>0</v>
      </c>
      <c r="Q598" s="175">
        <f t="shared" si="104"/>
        <v>0</v>
      </c>
      <c r="R598" s="174">
        <f t="shared" si="104"/>
        <v>0</v>
      </c>
      <c r="S598" s="175">
        <f t="shared" si="104"/>
        <v>0</v>
      </c>
      <c r="T598" s="174">
        <f t="shared" si="104"/>
        <v>0</v>
      </c>
      <c r="U598" s="175">
        <f t="shared" si="104"/>
        <v>0</v>
      </c>
      <c r="V598" s="174">
        <f t="shared" si="104"/>
        <v>0</v>
      </c>
      <c r="W598" s="175">
        <f t="shared" si="104"/>
        <v>0</v>
      </c>
      <c r="X598" s="174">
        <f t="shared" si="104"/>
        <v>0</v>
      </c>
      <c r="Y598" s="175">
        <f t="shared" si="104"/>
        <v>0</v>
      </c>
      <c r="Z598" s="174">
        <f t="shared" si="104"/>
        <v>0</v>
      </c>
      <c r="AA598" s="175">
        <f t="shared" si="104"/>
        <v>0</v>
      </c>
      <c r="AB598" s="174">
        <f t="shared" si="104"/>
        <v>0</v>
      </c>
      <c r="AC598" s="175">
        <f t="shared" si="104"/>
        <v>0</v>
      </c>
      <c r="AD598" s="174">
        <f t="shared" si="104"/>
        <v>0</v>
      </c>
      <c r="AE598" s="175">
        <f t="shared" si="104"/>
        <v>0</v>
      </c>
      <c r="AF598" s="174">
        <f t="shared" si="104"/>
        <v>0</v>
      </c>
      <c r="AG598" s="175">
        <f t="shared" si="104"/>
        <v>0</v>
      </c>
      <c r="AH598" s="174">
        <f t="shared" si="104"/>
        <v>0</v>
      </c>
      <c r="AI598" s="175">
        <f t="shared" si="104"/>
        <v>0</v>
      </c>
      <c r="AJ598" s="174">
        <f t="shared" si="104"/>
        <v>0</v>
      </c>
      <c r="AK598" s="175">
        <f t="shared" si="104"/>
        <v>0</v>
      </c>
      <c r="AL598" s="174">
        <f t="shared" ref="AL598:BQ598" si="105">SUM(AL205:AL208)</f>
        <v>0</v>
      </c>
      <c r="AM598" s="175">
        <f t="shared" si="105"/>
        <v>0</v>
      </c>
      <c r="AN598" s="174">
        <f t="shared" si="105"/>
        <v>0</v>
      </c>
      <c r="AO598" s="175">
        <f t="shared" si="105"/>
        <v>0</v>
      </c>
      <c r="AP598" s="174">
        <f t="shared" si="105"/>
        <v>0</v>
      </c>
      <c r="AQ598" s="175">
        <f t="shared" si="105"/>
        <v>0</v>
      </c>
      <c r="AR598" s="174">
        <f t="shared" si="105"/>
        <v>0</v>
      </c>
      <c r="AS598" s="175">
        <f t="shared" si="105"/>
        <v>0</v>
      </c>
      <c r="AT598" s="174">
        <f t="shared" si="105"/>
        <v>0</v>
      </c>
      <c r="AU598" s="175">
        <f t="shared" si="105"/>
        <v>0</v>
      </c>
      <c r="AV598" s="174">
        <f t="shared" si="105"/>
        <v>0</v>
      </c>
      <c r="AW598" s="175">
        <f t="shared" si="105"/>
        <v>0</v>
      </c>
      <c r="AX598" s="174">
        <f t="shared" si="105"/>
        <v>0</v>
      </c>
      <c r="AY598" s="175">
        <f t="shared" si="105"/>
        <v>0</v>
      </c>
      <c r="AZ598" s="174">
        <f t="shared" si="105"/>
        <v>0</v>
      </c>
      <c r="BA598" s="175">
        <f t="shared" si="105"/>
        <v>0</v>
      </c>
      <c r="BB598" s="174">
        <f t="shared" si="105"/>
        <v>0</v>
      </c>
      <c r="BC598" s="175">
        <f t="shared" si="105"/>
        <v>0</v>
      </c>
      <c r="BD598" s="174">
        <f t="shared" si="105"/>
        <v>0</v>
      </c>
      <c r="BE598" s="175">
        <f t="shared" si="105"/>
        <v>0</v>
      </c>
      <c r="BF598" s="174">
        <f t="shared" si="105"/>
        <v>0</v>
      </c>
      <c r="BG598" s="175">
        <f t="shared" si="105"/>
        <v>0</v>
      </c>
      <c r="BH598" s="174">
        <f t="shared" si="105"/>
        <v>0</v>
      </c>
      <c r="BI598" s="175">
        <f t="shared" si="105"/>
        <v>0</v>
      </c>
      <c r="BJ598" s="174">
        <f t="shared" si="105"/>
        <v>0</v>
      </c>
      <c r="BK598" s="175">
        <f t="shared" si="105"/>
        <v>0</v>
      </c>
      <c r="BL598" s="174">
        <f t="shared" si="105"/>
        <v>0</v>
      </c>
      <c r="BM598" s="175">
        <f t="shared" si="105"/>
        <v>0</v>
      </c>
      <c r="BN598" s="174">
        <f t="shared" si="105"/>
        <v>0</v>
      </c>
      <c r="BO598" s="175">
        <f t="shared" si="105"/>
        <v>0</v>
      </c>
      <c r="BP598" s="174">
        <f t="shared" si="105"/>
        <v>0</v>
      </c>
      <c r="BQ598" s="175">
        <f t="shared" si="105"/>
        <v>0</v>
      </c>
      <c r="BR598" s="174">
        <f t="shared" ref="BR598:BW598" si="106">SUM(BR205:BR208)</f>
        <v>0</v>
      </c>
      <c r="BS598" s="175">
        <f t="shared" si="106"/>
        <v>0</v>
      </c>
      <c r="BT598" s="174">
        <f t="shared" si="106"/>
        <v>2075</v>
      </c>
      <c r="BU598" s="175">
        <f t="shared" si="106"/>
        <v>1555</v>
      </c>
      <c r="BV598" s="174">
        <f t="shared" si="106"/>
        <v>2182</v>
      </c>
      <c r="BW598" s="175">
        <f t="shared" si="106"/>
        <v>1457</v>
      </c>
    </row>
    <row r="599" spans="1:75" ht="13" x14ac:dyDescent="0.25">
      <c r="A599" s="196"/>
      <c r="B599" s="197" t="s">
        <v>620</v>
      </c>
      <c r="C599" s="90">
        <f>SUM(C209:C212)</f>
        <v>4089</v>
      </c>
      <c r="D599" s="90">
        <f>SUM(D209:D212)</f>
        <v>3090</v>
      </c>
      <c r="E599" s="145">
        <f t="shared" si="19"/>
        <v>0.75568598679383714</v>
      </c>
      <c r="F599" s="174">
        <f t="shared" ref="F599:AK599" si="107">SUM(F209:F212)</f>
        <v>1550</v>
      </c>
      <c r="G599" s="175">
        <f t="shared" si="107"/>
        <v>1379</v>
      </c>
      <c r="H599" s="174">
        <f t="shared" si="107"/>
        <v>0</v>
      </c>
      <c r="I599" s="175">
        <f t="shared" si="107"/>
        <v>0</v>
      </c>
      <c r="J599" s="174">
        <f t="shared" si="107"/>
        <v>0</v>
      </c>
      <c r="K599" s="175">
        <f t="shared" si="107"/>
        <v>0</v>
      </c>
      <c r="L599" s="174">
        <f t="shared" si="107"/>
        <v>0</v>
      </c>
      <c r="M599" s="175">
        <f t="shared" si="107"/>
        <v>0</v>
      </c>
      <c r="N599" s="174">
        <f t="shared" si="107"/>
        <v>0</v>
      </c>
      <c r="O599" s="175">
        <f t="shared" si="107"/>
        <v>0</v>
      </c>
      <c r="P599" s="174">
        <f t="shared" si="107"/>
        <v>0</v>
      </c>
      <c r="Q599" s="175">
        <f t="shared" si="107"/>
        <v>0</v>
      </c>
      <c r="R599" s="174">
        <f t="shared" si="107"/>
        <v>0</v>
      </c>
      <c r="S599" s="175">
        <f t="shared" si="107"/>
        <v>0</v>
      </c>
      <c r="T599" s="174">
        <f t="shared" si="107"/>
        <v>0</v>
      </c>
      <c r="U599" s="175">
        <f t="shared" si="107"/>
        <v>0</v>
      </c>
      <c r="V599" s="174">
        <f t="shared" si="107"/>
        <v>0</v>
      </c>
      <c r="W599" s="175">
        <f t="shared" si="107"/>
        <v>0</v>
      </c>
      <c r="X599" s="174">
        <f t="shared" si="107"/>
        <v>0</v>
      </c>
      <c r="Y599" s="175">
        <f t="shared" si="107"/>
        <v>0</v>
      </c>
      <c r="Z599" s="174">
        <f t="shared" si="107"/>
        <v>0</v>
      </c>
      <c r="AA599" s="175">
        <f t="shared" si="107"/>
        <v>0</v>
      </c>
      <c r="AB599" s="174">
        <f t="shared" si="107"/>
        <v>0</v>
      </c>
      <c r="AC599" s="175">
        <f t="shared" si="107"/>
        <v>0</v>
      </c>
      <c r="AD599" s="174">
        <f t="shared" si="107"/>
        <v>0</v>
      </c>
      <c r="AE599" s="175">
        <f t="shared" si="107"/>
        <v>0</v>
      </c>
      <c r="AF599" s="174">
        <f t="shared" si="107"/>
        <v>0</v>
      </c>
      <c r="AG599" s="175">
        <f t="shared" si="107"/>
        <v>0</v>
      </c>
      <c r="AH599" s="174">
        <f t="shared" si="107"/>
        <v>0</v>
      </c>
      <c r="AI599" s="175">
        <f t="shared" si="107"/>
        <v>0</v>
      </c>
      <c r="AJ599" s="174">
        <f t="shared" si="107"/>
        <v>0</v>
      </c>
      <c r="AK599" s="175">
        <f t="shared" si="107"/>
        <v>0</v>
      </c>
      <c r="AL599" s="174">
        <f t="shared" ref="AL599:BQ599" si="108">SUM(AL209:AL212)</f>
        <v>0</v>
      </c>
      <c r="AM599" s="175">
        <f t="shared" si="108"/>
        <v>0</v>
      </c>
      <c r="AN599" s="174">
        <f t="shared" si="108"/>
        <v>0</v>
      </c>
      <c r="AO599" s="175">
        <f t="shared" si="108"/>
        <v>0</v>
      </c>
      <c r="AP599" s="174">
        <f t="shared" si="108"/>
        <v>0</v>
      </c>
      <c r="AQ599" s="175">
        <f t="shared" si="108"/>
        <v>0</v>
      </c>
      <c r="AR599" s="174">
        <f t="shared" si="108"/>
        <v>0</v>
      </c>
      <c r="AS599" s="175">
        <f t="shared" si="108"/>
        <v>0</v>
      </c>
      <c r="AT599" s="174">
        <f t="shared" si="108"/>
        <v>0</v>
      </c>
      <c r="AU599" s="175">
        <f t="shared" si="108"/>
        <v>0</v>
      </c>
      <c r="AV599" s="174">
        <f t="shared" si="108"/>
        <v>0</v>
      </c>
      <c r="AW599" s="175">
        <f t="shared" si="108"/>
        <v>0</v>
      </c>
      <c r="AX599" s="174">
        <f t="shared" si="108"/>
        <v>0</v>
      </c>
      <c r="AY599" s="175">
        <f t="shared" si="108"/>
        <v>0</v>
      </c>
      <c r="AZ599" s="174">
        <f t="shared" si="108"/>
        <v>0</v>
      </c>
      <c r="BA599" s="175">
        <f t="shared" si="108"/>
        <v>0</v>
      </c>
      <c r="BB599" s="174">
        <f t="shared" si="108"/>
        <v>0</v>
      </c>
      <c r="BC599" s="175">
        <f t="shared" si="108"/>
        <v>0</v>
      </c>
      <c r="BD599" s="174">
        <f t="shared" si="108"/>
        <v>0</v>
      </c>
      <c r="BE599" s="175">
        <f t="shared" si="108"/>
        <v>0</v>
      </c>
      <c r="BF599" s="174">
        <f t="shared" si="108"/>
        <v>0</v>
      </c>
      <c r="BG599" s="175">
        <f t="shared" si="108"/>
        <v>0</v>
      </c>
      <c r="BH599" s="174">
        <f t="shared" si="108"/>
        <v>0</v>
      </c>
      <c r="BI599" s="175">
        <f t="shared" si="108"/>
        <v>0</v>
      </c>
      <c r="BJ599" s="174">
        <f t="shared" si="108"/>
        <v>0</v>
      </c>
      <c r="BK599" s="175">
        <f t="shared" si="108"/>
        <v>0</v>
      </c>
      <c r="BL599" s="174">
        <f t="shared" si="108"/>
        <v>0</v>
      </c>
      <c r="BM599" s="175">
        <f t="shared" si="108"/>
        <v>0</v>
      </c>
      <c r="BN599" s="174">
        <f t="shared" si="108"/>
        <v>0</v>
      </c>
      <c r="BO599" s="175">
        <f t="shared" si="108"/>
        <v>0</v>
      </c>
      <c r="BP599" s="174">
        <f t="shared" si="108"/>
        <v>0</v>
      </c>
      <c r="BQ599" s="175">
        <f t="shared" si="108"/>
        <v>0</v>
      </c>
      <c r="BR599" s="174">
        <f t="shared" ref="BR599:BW599" si="109">SUM(BR209:BR212)</f>
        <v>0</v>
      </c>
      <c r="BS599" s="175">
        <f t="shared" si="109"/>
        <v>0</v>
      </c>
      <c r="BT599" s="174">
        <f t="shared" si="109"/>
        <v>1834</v>
      </c>
      <c r="BU599" s="175">
        <f t="shared" si="109"/>
        <v>1088</v>
      </c>
      <c r="BV599" s="174">
        <f t="shared" si="109"/>
        <v>1938</v>
      </c>
      <c r="BW599" s="175">
        <f t="shared" si="109"/>
        <v>979</v>
      </c>
    </row>
    <row r="600" spans="1:75" ht="13" x14ac:dyDescent="0.25">
      <c r="A600" s="196"/>
      <c r="B600" s="197" t="s">
        <v>621</v>
      </c>
      <c r="C600" s="90">
        <f>SUM(C213:C225)</f>
        <v>12330</v>
      </c>
      <c r="D600" s="90">
        <f>SUM(D213:D225)</f>
        <v>8050</v>
      </c>
      <c r="E600" s="145">
        <f t="shared" si="19"/>
        <v>0.65287915652879158</v>
      </c>
      <c r="F600" s="174">
        <f t="shared" ref="F600:AK600" si="110">SUM(F213:F225)</f>
        <v>5565</v>
      </c>
      <c r="G600" s="175">
        <f t="shared" si="110"/>
        <v>2042</v>
      </c>
      <c r="H600" s="174">
        <f t="shared" si="110"/>
        <v>0</v>
      </c>
      <c r="I600" s="175">
        <f t="shared" si="110"/>
        <v>0</v>
      </c>
      <c r="J600" s="174">
        <f t="shared" si="110"/>
        <v>0</v>
      </c>
      <c r="K600" s="175">
        <f t="shared" si="110"/>
        <v>0</v>
      </c>
      <c r="L600" s="174">
        <f t="shared" si="110"/>
        <v>0</v>
      </c>
      <c r="M600" s="175">
        <f t="shared" si="110"/>
        <v>0</v>
      </c>
      <c r="N600" s="174">
        <f t="shared" si="110"/>
        <v>0</v>
      </c>
      <c r="O600" s="175">
        <f t="shared" si="110"/>
        <v>0</v>
      </c>
      <c r="P600" s="174">
        <f t="shared" si="110"/>
        <v>0</v>
      </c>
      <c r="Q600" s="175">
        <f t="shared" si="110"/>
        <v>0</v>
      </c>
      <c r="R600" s="174">
        <f t="shared" si="110"/>
        <v>0</v>
      </c>
      <c r="S600" s="175">
        <f t="shared" si="110"/>
        <v>0</v>
      </c>
      <c r="T600" s="174">
        <f t="shared" si="110"/>
        <v>0</v>
      </c>
      <c r="U600" s="175">
        <f t="shared" si="110"/>
        <v>0</v>
      </c>
      <c r="V600" s="174">
        <f t="shared" si="110"/>
        <v>0</v>
      </c>
      <c r="W600" s="175">
        <f t="shared" si="110"/>
        <v>0</v>
      </c>
      <c r="X600" s="174">
        <f t="shared" si="110"/>
        <v>0</v>
      </c>
      <c r="Y600" s="175">
        <f t="shared" si="110"/>
        <v>0</v>
      </c>
      <c r="Z600" s="174">
        <f t="shared" si="110"/>
        <v>0</v>
      </c>
      <c r="AA600" s="175">
        <f t="shared" si="110"/>
        <v>0</v>
      </c>
      <c r="AB600" s="174">
        <f t="shared" si="110"/>
        <v>0</v>
      </c>
      <c r="AC600" s="175">
        <f t="shared" si="110"/>
        <v>0</v>
      </c>
      <c r="AD600" s="174">
        <f t="shared" si="110"/>
        <v>0</v>
      </c>
      <c r="AE600" s="175">
        <f t="shared" si="110"/>
        <v>0</v>
      </c>
      <c r="AF600" s="174">
        <f t="shared" si="110"/>
        <v>0</v>
      </c>
      <c r="AG600" s="175">
        <f t="shared" si="110"/>
        <v>0</v>
      </c>
      <c r="AH600" s="174">
        <f t="shared" si="110"/>
        <v>0</v>
      </c>
      <c r="AI600" s="175">
        <f t="shared" si="110"/>
        <v>0</v>
      </c>
      <c r="AJ600" s="174">
        <f t="shared" si="110"/>
        <v>0</v>
      </c>
      <c r="AK600" s="175">
        <f t="shared" si="110"/>
        <v>0</v>
      </c>
      <c r="AL600" s="174">
        <f t="shared" ref="AL600:BQ600" si="111">SUM(AL213:AL225)</f>
        <v>0</v>
      </c>
      <c r="AM600" s="175">
        <f t="shared" si="111"/>
        <v>0</v>
      </c>
      <c r="AN600" s="174">
        <f t="shared" si="111"/>
        <v>0</v>
      </c>
      <c r="AO600" s="175">
        <f t="shared" si="111"/>
        <v>0</v>
      </c>
      <c r="AP600" s="174">
        <f t="shared" si="111"/>
        <v>0</v>
      </c>
      <c r="AQ600" s="175">
        <f t="shared" si="111"/>
        <v>0</v>
      </c>
      <c r="AR600" s="174">
        <f t="shared" si="111"/>
        <v>0</v>
      </c>
      <c r="AS600" s="175">
        <f t="shared" si="111"/>
        <v>0</v>
      </c>
      <c r="AT600" s="174">
        <f t="shared" si="111"/>
        <v>0</v>
      </c>
      <c r="AU600" s="175">
        <f t="shared" si="111"/>
        <v>0</v>
      </c>
      <c r="AV600" s="174">
        <f t="shared" si="111"/>
        <v>0</v>
      </c>
      <c r="AW600" s="175">
        <f t="shared" si="111"/>
        <v>0</v>
      </c>
      <c r="AX600" s="174">
        <f t="shared" si="111"/>
        <v>0</v>
      </c>
      <c r="AY600" s="175">
        <f t="shared" si="111"/>
        <v>0</v>
      </c>
      <c r="AZ600" s="174">
        <f t="shared" si="111"/>
        <v>0</v>
      </c>
      <c r="BA600" s="175">
        <f t="shared" si="111"/>
        <v>0</v>
      </c>
      <c r="BB600" s="174">
        <f t="shared" si="111"/>
        <v>0</v>
      </c>
      <c r="BC600" s="175">
        <f t="shared" si="111"/>
        <v>0</v>
      </c>
      <c r="BD600" s="174">
        <f t="shared" si="111"/>
        <v>0</v>
      </c>
      <c r="BE600" s="175">
        <f t="shared" si="111"/>
        <v>0</v>
      </c>
      <c r="BF600" s="174">
        <f t="shared" si="111"/>
        <v>0</v>
      </c>
      <c r="BG600" s="175">
        <f t="shared" si="111"/>
        <v>0</v>
      </c>
      <c r="BH600" s="174">
        <f t="shared" si="111"/>
        <v>0</v>
      </c>
      <c r="BI600" s="175">
        <f t="shared" si="111"/>
        <v>0</v>
      </c>
      <c r="BJ600" s="174">
        <f t="shared" si="111"/>
        <v>0</v>
      </c>
      <c r="BK600" s="175">
        <f t="shared" si="111"/>
        <v>0</v>
      </c>
      <c r="BL600" s="174">
        <f t="shared" si="111"/>
        <v>0</v>
      </c>
      <c r="BM600" s="175">
        <f t="shared" si="111"/>
        <v>0</v>
      </c>
      <c r="BN600" s="174">
        <f t="shared" si="111"/>
        <v>0</v>
      </c>
      <c r="BO600" s="175">
        <f t="shared" si="111"/>
        <v>0</v>
      </c>
      <c r="BP600" s="174">
        <f t="shared" si="111"/>
        <v>0</v>
      </c>
      <c r="BQ600" s="175">
        <f t="shared" si="111"/>
        <v>0</v>
      </c>
      <c r="BR600" s="174">
        <f t="shared" ref="BR600:BW600" si="112">SUM(BR213:BR225)</f>
        <v>0</v>
      </c>
      <c r="BS600" s="175">
        <f t="shared" si="112"/>
        <v>0</v>
      </c>
      <c r="BT600" s="174">
        <f t="shared" si="112"/>
        <v>5294</v>
      </c>
      <c r="BU600" s="175">
        <f t="shared" si="112"/>
        <v>2343</v>
      </c>
      <c r="BV600" s="174">
        <f t="shared" si="112"/>
        <v>5478</v>
      </c>
      <c r="BW600" s="175">
        <f t="shared" si="112"/>
        <v>2156</v>
      </c>
    </row>
    <row r="601" spans="1:75" ht="13" x14ac:dyDescent="0.25">
      <c r="A601" s="196"/>
      <c r="B601" s="197" t="s">
        <v>622</v>
      </c>
      <c r="C601" s="90">
        <f>SUM(C226:C232)</f>
        <v>9686</v>
      </c>
      <c r="D601" s="90">
        <f>SUM(D226:D232)</f>
        <v>7218</v>
      </c>
      <c r="E601" s="145">
        <f t="shared" si="19"/>
        <v>0.74519925665909559</v>
      </c>
      <c r="F601" s="174">
        <f t="shared" ref="F601:AK601" si="113">SUM(F226:F232)</f>
        <v>1993</v>
      </c>
      <c r="G601" s="175">
        <f t="shared" si="113"/>
        <v>4765</v>
      </c>
      <c r="H601" s="174">
        <f t="shared" si="113"/>
        <v>0</v>
      </c>
      <c r="I601" s="175">
        <f t="shared" si="113"/>
        <v>0</v>
      </c>
      <c r="J601" s="174">
        <f t="shared" si="113"/>
        <v>0</v>
      </c>
      <c r="K601" s="175">
        <f t="shared" si="113"/>
        <v>0</v>
      </c>
      <c r="L601" s="174">
        <f t="shared" si="113"/>
        <v>0</v>
      </c>
      <c r="M601" s="175">
        <f t="shared" si="113"/>
        <v>0</v>
      </c>
      <c r="N601" s="174">
        <f t="shared" si="113"/>
        <v>0</v>
      </c>
      <c r="O601" s="175">
        <f t="shared" si="113"/>
        <v>0</v>
      </c>
      <c r="P601" s="174">
        <f t="shared" si="113"/>
        <v>0</v>
      </c>
      <c r="Q601" s="175">
        <f t="shared" si="113"/>
        <v>0</v>
      </c>
      <c r="R601" s="174">
        <f t="shared" si="113"/>
        <v>0</v>
      </c>
      <c r="S601" s="175">
        <f t="shared" si="113"/>
        <v>0</v>
      </c>
      <c r="T601" s="174">
        <f t="shared" si="113"/>
        <v>0</v>
      </c>
      <c r="U601" s="175">
        <f t="shared" si="113"/>
        <v>0</v>
      </c>
      <c r="V601" s="174">
        <f t="shared" si="113"/>
        <v>0</v>
      </c>
      <c r="W601" s="175">
        <f t="shared" si="113"/>
        <v>0</v>
      </c>
      <c r="X601" s="174">
        <f t="shared" si="113"/>
        <v>0</v>
      </c>
      <c r="Y601" s="175">
        <f t="shared" si="113"/>
        <v>0</v>
      </c>
      <c r="Z601" s="174">
        <f t="shared" si="113"/>
        <v>0</v>
      </c>
      <c r="AA601" s="175">
        <f t="shared" si="113"/>
        <v>0</v>
      </c>
      <c r="AB601" s="174">
        <f t="shared" si="113"/>
        <v>0</v>
      </c>
      <c r="AC601" s="175">
        <f t="shared" si="113"/>
        <v>0</v>
      </c>
      <c r="AD601" s="174">
        <f t="shared" si="113"/>
        <v>0</v>
      </c>
      <c r="AE601" s="175">
        <f t="shared" si="113"/>
        <v>0</v>
      </c>
      <c r="AF601" s="174">
        <f t="shared" si="113"/>
        <v>0</v>
      </c>
      <c r="AG601" s="175">
        <f t="shared" si="113"/>
        <v>0</v>
      </c>
      <c r="AH601" s="174">
        <f t="shared" si="113"/>
        <v>0</v>
      </c>
      <c r="AI601" s="175">
        <f t="shared" si="113"/>
        <v>0</v>
      </c>
      <c r="AJ601" s="174">
        <f t="shared" si="113"/>
        <v>0</v>
      </c>
      <c r="AK601" s="175">
        <f t="shared" si="113"/>
        <v>0</v>
      </c>
      <c r="AL601" s="174">
        <f t="shared" ref="AL601:BQ601" si="114">SUM(AL226:AL232)</f>
        <v>0</v>
      </c>
      <c r="AM601" s="175">
        <f t="shared" si="114"/>
        <v>0</v>
      </c>
      <c r="AN601" s="174">
        <f t="shared" si="114"/>
        <v>0</v>
      </c>
      <c r="AO601" s="175">
        <f t="shared" si="114"/>
        <v>0</v>
      </c>
      <c r="AP601" s="174">
        <f t="shared" si="114"/>
        <v>0</v>
      </c>
      <c r="AQ601" s="175">
        <f t="shared" si="114"/>
        <v>0</v>
      </c>
      <c r="AR601" s="174">
        <f t="shared" si="114"/>
        <v>0</v>
      </c>
      <c r="AS601" s="175">
        <f t="shared" si="114"/>
        <v>0</v>
      </c>
      <c r="AT601" s="174">
        <f t="shared" si="114"/>
        <v>0</v>
      </c>
      <c r="AU601" s="175">
        <f t="shared" si="114"/>
        <v>0</v>
      </c>
      <c r="AV601" s="174">
        <f t="shared" si="114"/>
        <v>0</v>
      </c>
      <c r="AW601" s="175">
        <f t="shared" si="114"/>
        <v>0</v>
      </c>
      <c r="AX601" s="174">
        <f t="shared" si="114"/>
        <v>0</v>
      </c>
      <c r="AY601" s="175">
        <f t="shared" si="114"/>
        <v>0</v>
      </c>
      <c r="AZ601" s="174">
        <f t="shared" si="114"/>
        <v>0</v>
      </c>
      <c r="BA601" s="175">
        <f t="shared" si="114"/>
        <v>0</v>
      </c>
      <c r="BB601" s="174">
        <f t="shared" si="114"/>
        <v>0</v>
      </c>
      <c r="BC601" s="175">
        <f t="shared" si="114"/>
        <v>0</v>
      </c>
      <c r="BD601" s="174">
        <f t="shared" si="114"/>
        <v>0</v>
      </c>
      <c r="BE601" s="175">
        <f t="shared" si="114"/>
        <v>0</v>
      </c>
      <c r="BF601" s="174">
        <f t="shared" si="114"/>
        <v>0</v>
      </c>
      <c r="BG601" s="175">
        <f t="shared" si="114"/>
        <v>0</v>
      </c>
      <c r="BH601" s="174">
        <f t="shared" si="114"/>
        <v>0</v>
      </c>
      <c r="BI601" s="175">
        <f t="shared" si="114"/>
        <v>0</v>
      </c>
      <c r="BJ601" s="174">
        <f t="shared" si="114"/>
        <v>0</v>
      </c>
      <c r="BK601" s="175">
        <f t="shared" si="114"/>
        <v>0</v>
      </c>
      <c r="BL601" s="174">
        <f t="shared" si="114"/>
        <v>0</v>
      </c>
      <c r="BM601" s="175">
        <f t="shared" si="114"/>
        <v>0</v>
      </c>
      <c r="BN601" s="174">
        <f t="shared" si="114"/>
        <v>0</v>
      </c>
      <c r="BO601" s="175">
        <f t="shared" si="114"/>
        <v>0</v>
      </c>
      <c r="BP601" s="174">
        <f t="shared" si="114"/>
        <v>0</v>
      </c>
      <c r="BQ601" s="175">
        <f t="shared" si="114"/>
        <v>0</v>
      </c>
      <c r="BR601" s="174">
        <f t="shared" ref="BR601:BW601" si="115">SUM(BR226:BR232)</f>
        <v>0</v>
      </c>
      <c r="BS601" s="175">
        <f t="shared" si="115"/>
        <v>0</v>
      </c>
      <c r="BT601" s="174">
        <f t="shared" si="115"/>
        <v>2816</v>
      </c>
      <c r="BU601" s="175">
        <f t="shared" si="115"/>
        <v>3921</v>
      </c>
      <c r="BV601" s="174">
        <f t="shared" si="115"/>
        <v>3322</v>
      </c>
      <c r="BW601" s="175">
        <f t="shared" si="115"/>
        <v>3426</v>
      </c>
    </row>
    <row r="602" spans="1:75" ht="13" x14ac:dyDescent="0.25">
      <c r="A602" s="196"/>
      <c r="B602" s="197" t="s">
        <v>623</v>
      </c>
      <c r="C602" s="90">
        <f>SUM(C233:C238)</f>
        <v>5327</v>
      </c>
      <c r="D602" s="90">
        <f>SUM(D233:D238)</f>
        <v>4237</v>
      </c>
      <c r="E602" s="145">
        <f t="shared" si="19"/>
        <v>0.79538201614417126</v>
      </c>
      <c r="F602" s="174">
        <f t="shared" ref="F602:AK602" si="116">SUM(F233:F238)</f>
        <v>1652</v>
      </c>
      <c r="G602" s="175">
        <f t="shared" si="116"/>
        <v>2389</v>
      </c>
      <c r="H602" s="174">
        <f t="shared" si="116"/>
        <v>0</v>
      </c>
      <c r="I602" s="175">
        <f t="shared" si="116"/>
        <v>0</v>
      </c>
      <c r="J602" s="174">
        <f t="shared" si="116"/>
        <v>0</v>
      </c>
      <c r="K602" s="175">
        <f t="shared" si="116"/>
        <v>0</v>
      </c>
      <c r="L602" s="174">
        <f t="shared" si="116"/>
        <v>0</v>
      </c>
      <c r="M602" s="175">
        <f t="shared" si="116"/>
        <v>0</v>
      </c>
      <c r="N602" s="174">
        <f t="shared" si="116"/>
        <v>0</v>
      </c>
      <c r="O602" s="175">
        <f t="shared" si="116"/>
        <v>0</v>
      </c>
      <c r="P602" s="174">
        <f t="shared" si="116"/>
        <v>0</v>
      </c>
      <c r="Q602" s="175">
        <f t="shared" si="116"/>
        <v>0</v>
      </c>
      <c r="R602" s="174">
        <f t="shared" si="116"/>
        <v>0</v>
      </c>
      <c r="S602" s="175">
        <f t="shared" si="116"/>
        <v>0</v>
      </c>
      <c r="T602" s="174">
        <f t="shared" si="116"/>
        <v>2925</v>
      </c>
      <c r="U602" s="175">
        <f t="shared" si="116"/>
        <v>840</v>
      </c>
      <c r="V602" s="174">
        <f t="shared" si="116"/>
        <v>0</v>
      </c>
      <c r="W602" s="175">
        <f t="shared" si="116"/>
        <v>0</v>
      </c>
      <c r="X602" s="174">
        <f t="shared" si="116"/>
        <v>0</v>
      </c>
      <c r="Y602" s="175">
        <f t="shared" si="116"/>
        <v>0</v>
      </c>
      <c r="Z602" s="174">
        <f t="shared" si="116"/>
        <v>0</v>
      </c>
      <c r="AA602" s="175">
        <f t="shared" si="116"/>
        <v>0</v>
      </c>
      <c r="AB602" s="174">
        <f t="shared" si="116"/>
        <v>0</v>
      </c>
      <c r="AC602" s="175">
        <f t="shared" si="116"/>
        <v>0</v>
      </c>
      <c r="AD602" s="174">
        <f t="shared" si="116"/>
        <v>0</v>
      </c>
      <c r="AE602" s="175">
        <f t="shared" si="116"/>
        <v>0</v>
      </c>
      <c r="AF602" s="174">
        <f t="shared" si="116"/>
        <v>0</v>
      </c>
      <c r="AG602" s="175">
        <f t="shared" si="116"/>
        <v>0</v>
      </c>
      <c r="AH602" s="174">
        <f t="shared" si="116"/>
        <v>0</v>
      </c>
      <c r="AI602" s="175">
        <f t="shared" si="116"/>
        <v>0</v>
      </c>
      <c r="AJ602" s="174">
        <f t="shared" si="116"/>
        <v>0</v>
      </c>
      <c r="AK602" s="175">
        <f t="shared" si="116"/>
        <v>0</v>
      </c>
      <c r="AL602" s="174">
        <f t="shared" ref="AL602:BQ602" si="117">SUM(AL233:AL238)</f>
        <v>0</v>
      </c>
      <c r="AM602" s="175">
        <f t="shared" si="117"/>
        <v>0</v>
      </c>
      <c r="AN602" s="174">
        <f t="shared" si="117"/>
        <v>0</v>
      </c>
      <c r="AO602" s="175">
        <f t="shared" si="117"/>
        <v>0</v>
      </c>
      <c r="AP602" s="174">
        <f t="shared" si="117"/>
        <v>0</v>
      </c>
      <c r="AQ602" s="175">
        <f t="shared" si="117"/>
        <v>0</v>
      </c>
      <c r="AR602" s="174">
        <f t="shared" si="117"/>
        <v>0</v>
      </c>
      <c r="AS602" s="175">
        <f t="shared" si="117"/>
        <v>0</v>
      </c>
      <c r="AT602" s="174">
        <f t="shared" si="117"/>
        <v>0</v>
      </c>
      <c r="AU602" s="175">
        <f t="shared" si="117"/>
        <v>0</v>
      </c>
      <c r="AV602" s="174">
        <f t="shared" si="117"/>
        <v>0</v>
      </c>
      <c r="AW602" s="175">
        <f t="shared" si="117"/>
        <v>0</v>
      </c>
      <c r="AX602" s="174">
        <f t="shared" si="117"/>
        <v>0</v>
      </c>
      <c r="AY602" s="175">
        <f t="shared" si="117"/>
        <v>0</v>
      </c>
      <c r="AZ602" s="174">
        <f t="shared" si="117"/>
        <v>0</v>
      </c>
      <c r="BA602" s="175">
        <f t="shared" si="117"/>
        <v>0</v>
      </c>
      <c r="BB602" s="174">
        <f t="shared" si="117"/>
        <v>0</v>
      </c>
      <c r="BC602" s="175">
        <f t="shared" si="117"/>
        <v>0</v>
      </c>
      <c r="BD602" s="174">
        <f t="shared" si="117"/>
        <v>0</v>
      </c>
      <c r="BE602" s="175">
        <f t="shared" si="117"/>
        <v>0</v>
      </c>
      <c r="BF602" s="174">
        <f t="shared" si="117"/>
        <v>3</v>
      </c>
      <c r="BG602" s="175">
        <f t="shared" si="117"/>
        <v>1</v>
      </c>
      <c r="BH602" s="174">
        <f t="shared" si="117"/>
        <v>0</v>
      </c>
      <c r="BI602" s="175">
        <f t="shared" si="117"/>
        <v>0</v>
      </c>
      <c r="BJ602" s="174">
        <f t="shared" si="117"/>
        <v>0</v>
      </c>
      <c r="BK602" s="175">
        <f t="shared" si="117"/>
        <v>0</v>
      </c>
      <c r="BL602" s="174">
        <f t="shared" si="117"/>
        <v>0</v>
      </c>
      <c r="BM602" s="175">
        <f t="shared" si="117"/>
        <v>0</v>
      </c>
      <c r="BN602" s="174">
        <f t="shared" si="117"/>
        <v>0</v>
      </c>
      <c r="BO602" s="175">
        <f t="shared" si="117"/>
        <v>0</v>
      </c>
      <c r="BP602" s="174">
        <f t="shared" si="117"/>
        <v>0</v>
      </c>
      <c r="BQ602" s="175">
        <f t="shared" si="117"/>
        <v>0</v>
      </c>
      <c r="BR602" s="174">
        <f t="shared" ref="BR602:BW602" si="118">SUM(BR233:BR238)</f>
        <v>0</v>
      </c>
      <c r="BS602" s="175">
        <f t="shared" si="118"/>
        <v>0</v>
      </c>
      <c r="BT602" s="174">
        <f t="shared" si="118"/>
        <v>2255</v>
      </c>
      <c r="BU602" s="175">
        <f t="shared" si="118"/>
        <v>1714</v>
      </c>
      <c r="BV602" s="174">
        <f t="shared" si="118"/>
        <v>2316</v>
      </c>
      <c r="BW602" s="175">
        <f t="shared" si="118"/>
        <v>1652</v>
      </c>
    </row>
    <row r="603" spans="1:75" ht="13" x14ac:dyDescent="0.25">
      <c r="A603" s="196"/>
      <c r="B603" s="197" t="s">
        <v>624</v>
      </c>
      <c r="C603" s="90">
        <f>SUM(C239:C245)</f>
        <v>6838</v>
      </c>
      <c r="D603" s="90">
        <f>SUM(D239:D245)</f>
        <v>5310</v>
      </c>
      <c r="E603" s="145">
        <f t="shared" si="19"/>
        <v>0.77654284878619484</v>
      </c>
      <c r="F603" s="174">
        <f t="shared" ref="F603:AK603" si="119">SUM(F239:F245)</f>
        <v>2351</v>
      </c>
      <c r="G603" s="175">
        <f t="shared" si="119"/>
        <v>2732</v>
      </c>
      <c r="H603" s="174">
        <f t="shared" si="119"/>
        <v>0</v>
      </c>
      <c r="I603" s="175">
        <f t="shared" si="119"/>
        <v>0</v>
      </c>
      <c r="J603" s="174">
        <f t="shared" si="119"/>
        <v>0</v>
      </c>
      <c r="K603" s="175">
        <f t="shared" si="119"/>
        <v>0</v>
      </c>
      <c r="L603" s="174">
        <f t="shared" si="119"/>
        <v>0</v>
      </c>
      <c r="M603" s="175">
        <f t="shared" si="119"/>
        <v>0</v>
      </c>
      <c r="N603" s="174">
        <f t="shared" si="119"/>
        <v>0</v>
      </c>
      <c r="O603" s="175">
        <f t="shared" si="119"/>
        <v>0</v>
      </c>
      <c r="P603" s="174">
        <f t="shared" si="119"/>
        <v>0</v>
      </c>
      <c r="Q603" s="175">
        <f t="shared" si="119"/>
        <v>0</v>
      </c>
      <c r="R603" s="174">
        <f t="shared" si="119"/>
        <v>0</v>
      </c>
      <c r="S603" s="175">
        <f t="shared" si="119"/>
        <v>0</v>
      </c>
      <c r="T603" s="174">
        <f t="shared" si="119"/>
        <v>0</v>
      </c>
      <c r="U603" s="175">
        <f t="shared" si="119"/>
        <v>0</v>
      </c>
      <c r="V603" s="174">
        <f t="shared" si="119"/>
        <v>0</v>
      </c>
      <c r="W603" s="175">
        <f t="shared" si="119"/>
        <v>0</v>
      </c>
      <c r="X603" s="174">
        <f t="shared" si="119"/>
        <v>0</v>
      </c>
      <c r="Y603" s="175">
        <f t="shared" si="119"/>
        <v>0</v>
      </c>
      <c r="Z603" s="174">
        <f t="shared" si="119"/>
        <v>0</v>
      </c>
      <c r="AA603" s="175">
        <f t="shared" si="119"/>
        <v>0</v>
      </c>
      <c r="AB603" s="174">
        <f t="shared" si="119"/>
        <v>0</v>
      </c>
      <c r="AC603" s="175">
        <f t="shared" si="119"/>
        <v>0</v>
      </c>
      <c r="AD603" s="174">
        <f t="shared" si="119"/>
        <v>0</v>
      </c>
      <c r="AE603" s="175">
        <f t="shared" si="119"/>
        <v>0</v>
      </c>
      <c r="AF603" s="174">
        <f t="shared" si="119"/>
        <v>0</v>
      </c>
      <c r="AG603" s="175">
        <f t="shared" si="119"/>
        <v>0</v>
      </c>
      <c r="AH603" s="174">
        <f t="shared" si="119"/>
        <v>0</v>
      </c>
      <c r="AI603" s="175">
        <f t="shared" si="119"/>
        <v>0</v>
      </c>
      <c r="AJ603" s="174">
        <f t="shared" si="119"/>
        <v>0</v>
      </c>
      <c r="AK603" s="175">
        <f t="shared" si="119"/>
        <v>0</v>
      </c>
      <c r="AL603" s="174">
        <f t="shared" ref="AL603:BQ603" si="120">SUM(AL239:AL245)</f>
        <v>0</v>
      </c>
      <c r="AM603" s="175">
        <f t="shared" si="120"/>
        <v>0</v>
      </c>
      <c r="AN603" s="174">
        <f t="shared" si="120"/>
        <v>0</v>
      </c>
      <c r="AO603" s="175">
        <f t="shared" si="120"/>
        <v>0</v>
      </c>
      <c r="AP603" s="174">
        <f t="shared" si="120"/>
        <v>0</v>
      </c>
      <c r="AQ603" s="175">
        <f t="shared" si="120"/>
        <v>0</v>
      </c>
      <c r="AR603" s="174">
        <f t="shared" si="120"/>
        <v>0</v>
      </c>
      <c r="AS603" s="175">
        <f t="shared" si="120"/>
        <v>0</v>
      </c>
      <c r="AT603" s="174">
        <f t="shared" si="120"/>
        <v>0</v>
      </c>
      <c r="AU603" s="175">
        <f t="shared" si="120"/>
        <v>0</v>
      </c>
      <c r="AV603" s="174">
        <f t="shared" si="120"/>
        <v>0</v>
      </c>
      <c r="AW603" s="175">
        <f t="shared" si="120"/>
        <v>0</v>
      </c>
      <c r="AX603" s="174">
        <f t="shared" si="120"/>
        <v>0</v>
      </c>
      <c r="AY603" s="175">
        <f t="shared" si="120"/>
        <v>0</v>
      </c>
      <c r="AZ603" s="174">
        <f t="shared" si="120"/>
        <v>0</v>
      </c>
      <c r="BA603" s="175">
        <f t="shared" si="120"/>
        <v>0</v>
      </c>
      <c r="BB603" s="174">
        <f t="shared" si="120"/>
        <v>0</v>
      </c>
      <c r="BC603" s="175">
        <f t="shared" si="120"/>
        <v>0</v>
      </c>
      <c r="BD603" s="174">
        <f t="shared" si="120"/>
        <v>0</v>
      </c>
      <c r="BE603" s="175">
        <f t="shared" si="120"/>
        <v>0</v>
      </c>
      <c r="BF603" s="174">
        <f t="shared" si="120"/>
        <v>0</v>
      </c>
      <c r="BG603" s="175">
        <f t="shared" si="120"/>
        <v>0</v>
      </c>
      <c r="BH603" s="174">
        <f t="shared" si="120"/>
        <v>0</v>
      </c>
      <c r="BI603" s="175">
        <f t="shared" si="120"/>
        <v>0</v>
      </c>
      <c r="BJ603" s="174">
        <f t="shared" si="120"/>
        <v>0</v>
      </c>
      <c r="BK603" s="175">
        <f t="shared" si="120"/>
        <v>0</v>
      </c>
      <c r="BL603" s="174">
        <f t="shared" si="120"/>
        <v>0</v>
      </c>
      <c r="BM603" s="175">
        <f t="shared" si="120"/>
        <v>0</v>
      </c>
      <c r="BN603" s="174">
        <f t="shared" si="120"/>
        <v>0</v>
      </c>
      <c r="BO603" s="175">
        <f t="shared" si="120"/>
        <v>0</v>
      </c>
      <c r="BP603" s="174">
        <f t="shared" si="120"/>
        <v>0</v>
      </c>
      <c r="BQ603" s="175">
        <f t="shared" si="120"/>
        <v>0</v>
      </c>
      <c r="BR603" s="174">
        <f t="shared" ref="BR603:BW603" si="121">SUM(BR239:BR245)</f>
        <v>0</v>
      </c>
      <c r="BS603" s="175">
        <f t="shared" si="121"/>
        <v>0</v>
      </c>
      <c r="BT603" s="174">
        <f t="shared" si="121"/>
        <v>2857</v>
      </c>
      <c r="BU603" s="175">
        <f t="shared" si="121"/>
        <v>2150</v>
      </c>
      <c r="BV603" s="174">
        <f t="shared" si="121"/>
        <v>3017</v>
      </c>
      <c r="BW603" s="175">
        <f t="shared" si="121"/>
        <v>1999</v>
      </c>
    </row>
    <row r="604" spans="1:75" ht="13" x14ac:dyDescent="0.25">
      <c r="A604" s="196"/>
      <c r="B604" s="197" t="s">
        <v>625</v>
      </c>
      <c r="C604" s="90">
        <f>SUM(C246:C253)</f>
        <v>7427</v>
      </c>
      <c r="D604" s="90">
        <f>SUM(D246:D253)</f>
        <v>6170</v>
      </c>
      <c r="E604" s="145">
        <f t="shared" si="19"/>
        <v>0.83075265921637265</v>
      </c>
      <c r="F604" s="174">
        <f t="shared" ref="F604:AK604" si="122">SUM(F246:F253)</f>
        <v>3123</v>
      </c>
      <c r="G604" s="175">
        <f t="shared" si="122"/>
        <v>2779</v>
      </c>
      <c r="H604" s="174">
        <f t="shared" si="122"/>
        <v>0</v>
      </c>
      <c r="I604" s="175">
        <f t="shared" si="122"/>
        <v>0</v>
      </c>
      <c r="J604" s="174">
        <f t="shared" si="122"/>
        <v>0</v>
      </c>
      <c r="K604" s="175">
        <f t="shared" si="122"/>
        <v>0</v>
      </c>
      <c r="L604" s="174">
        <f t="shared" si="122"/>
        <v>0</v>
      </c>
      <c r="M604" s="175">
        <f t="shared" si="122"/>
        <v>0</v>
      </c>
      <c r="N604" s="174">
        <f t="shared" si="122"/>
        <v>0</v>
      </c>
      <c r="O604" s="175">
        <f t="shared" si="122"/>
        <v>0</v>
      </c>
      <c r="P604" s="174">
        <f t="shared" si="122"/>
        <v>0</v>
      </c>
      <c r="Q604" s="175">
        <f t="shared" si="122"/>
        <v>0</v>
      </c>
      <c r="R604" s="174">
        <f t="shared" si="122"/>
        <v>0</v>
      </c>
      <c r="S604" s="175">
        <f t="shared" si="122"/>
        <v>0</v>
      </c>
      <c r="T604" s="174">
        <f t="shared" si="122"/>
        <v>0</v>
      </c>
      <c r="U604" s="175">
        <f t="shared" si="122"/>
        <v>0</v>
      </c>
      <c r="V604" s="174">
        <f t="shared" si="122"/>
        <v>0</v>
      </c>
      <c r="W604" s="175">
        <f t="shared" si="122"/>
        <v>0</v>
      </c>
      <c r="X604" s="174">
        <f t="shared" si="122"/>
        <v>0</v>
      </c>
      <c r="Y604" s="175">
        <f t="shared" si="122"/>
        <v>0</v>
      </c>
      <c r="Z604" s="174">
        <f t="shared" si="122"/>
        <v>0</v>
      </c>
      <c r="AA604" s="175">
        <f t="shared" si="122"/>
        <v>0</v>
      </c>
      <c r="AB604" s="174">
        <f t="shared" si="122"/>
        <v>0</v>
      </c>
      <c r="AC604" s="175">
        <f t="shared" si="122"/>
        <v>0</v>
      </c>
      <c r="AD604" s="174">
        <f t="shared" si="122"/>
        <v>0</v>
      </c>
      <c r="AE604" s="175">
        <f t="shared" si="122"/>
        <v>0</v>
      </c>
      <c r="AF604" s="174">
        <f t="shared" si="122"/>
        <v>0</v>
      </c>
      <c r="AG604" s="175">
        <f t="shared" si="122"/>
        <v>0</v>
      </c>
      <c r="AH604" s="174">
        <f t="shared" si="122"/>
        <v>0</v>
      </c>
      <c r="AI604" s="175">
        <f t="shared" si="122"/>
        <v>0</v>
      </c>
      <c r="AJ604" s="174">
        <f t="shared" si="122"/>
        <v>0</v>
      </c>
      <c r="AK604" s="175">
        <f t="shared" si="122"/>
        <v>0</v>
      </c>
      <c r="AL604" s="174">
        <f t="shared" ref="AL604:BQ604" si="123">SUM(AL246:AL253)</f>
        <v>0</v>
      </c>
      <c r="AM604" s="175">
        <f t="shared" si="123"/>
        <v>0</v>
      </c>
      <c r="AN604" s="174">
        <f t="shared" si="123"/>
        <v>0</v>
      </c>
      <c r="AO604" s="175">
        <f t="shared" si="123"/>
        <v>0</v>
      </c>
      <c r="AP604" s="174">
        <f t="shared" si="123"/>
        <v>0</v>
      </c>
      <c r="AQ604" s="175">
        <f t="shared" si="123"/>
        <v>0</v>
      </c>
      <c r="AR604" s="174">
        <f t="shared" si="123"/>
        <v>0</v>
      </c>
      <c r="AS604" s="175">
        <f t="shared" si="123"/>
        <v>0</v>
      </c>
      <c r="AT604" s="174">
        <f t="shared" si="123"/>
        <v>0</v>
      </c>
      <c r="AU604" s="175">
        <f t="shared" si="123"/>
        <v>0</v>
      </c>
      <c r="AV604" s="174">
        <f t="shared" si="123"/>
        <v>0</v>
      </c>
      <c r="AW604" s="175">
        <f t="shared" si="123"/>
        <v>0</v>
      </c>
      <c r="AX604" s="174">
        <f t="shared" si="123"/>
        <v>0</v>
      </c>
      <c r="AY604" s="175">
        <f t="shared" si="123"/>
        <v>0</v>
      </c>
      <c r="AZ604" s="174">
        <f t="shared" si="123"/>
        <v>0</v>
      </c>
      <c r="BA604" s="175">
        <f t="shared" si="123"/>
        <v>0</v>
      </c>
      <c r="BB604" s="174">
        <f t="shared" si="123"/>
        <v>0</v>
      </c>
      <c r="BC604" s="175">
        <f t="shared" si="123"/>
        <v>0</v>
      </c>
      <c r="BD604" s="174">
        <f t="shared" si="123"/>
        <v>0</v>
      </c>
      <c r="BE604" s="175">
        <f t="shared" si="123"/>
        <v>0</v>
      </c>
      <c r="BF604" s="174">
        <f t="shared" si="123"/>
        <v>0</v>
      </c>
      <c r="BG604" s="175">
        <f t="shared" si="123"/>
        <v>0</v>
      </c>
      <c r="BH604" s="174">
        <f t="shared" si="123"/>
        <v>0</v>
      </c>
      <c r="BI604" s="175">
        <f t="shared" si="123"/>
        <v>0</v>
      </c>
      <c r="BJ604" s="174">
        <f t="shared" si="123"/>
        <v>0</v>
      </c>
      <c r="BK604" s="175">
        <f t="shared" si="123"/>
        <v>0</v>
      </c>
      <c r="BL604" s="174">
        <f t="shared" si="123"/>
        <v>0</v>
      </c>
      <c r="BM604" s="175">
        <f t="shared" si="123"/>
        <v>0</v>
      </c>
      <c r="BN604" s="174">
        <f t="shared" si="123"/>
        <v>0</v>
      </c>
      <c r="BO604" s="175">
        <f t="shared" si="123"/>
        <v>0</v>
      </c>
      <c r="BP604" s="174">
        <f t="shared" si="123"/>
        <v>0</v>
      </c>
      <c r="BQ604" s="175">
        <f t="shared" si="123"/>
        <v>0</v>
      </c>
      <c r="BR604" s="174">
        <f t="shared" ref="BR604:BW604" si="124">SUM(BR246:BR253)</f>
        <v>0</v>
      </c>
      <c r="BS604" s="175">
        <f t="shared" si="124"/>
        <v>0</v>
      </c>
      <c r="BT604" s="174">
        <f t="shared" si="124"/>
        <v>3888</v>
      </c>
      <c r="BU604" s="175">
        <f t="shared" si="124"/>
        <v>1922</v>
      </c>
      <c r="BV604" s="174">
        <f t="shared" si="124"/>
        <v>4006</v>
      </c>
      <c r="BW604" s="175">
        <f t="shared" si="124"/>
        <v>1808</v>
      </c>
    </row>
    <row r="605" spans="1:75" ht="13" x14ac:dyDescent="0.25">
      <c r="A605" s="196"/>
      <c r="B605" s="197" t="s">
        <v>626</v>
      </c>
      <c r="C605" s="90">
        <f>SUM(C398:C398)</f>
        <v>92</v>
      </c>
      <c r="D605" s="90">
        <f>SUM(D398:D398)</f>
        <v>64</v>
      </c>
      <c r="E605" s="145">
        <f t="shared" si="19"/>
        <v>0.69565217391304346</v>
      </c>
      <c r="F605" s="174">
        <f t="shared" ref="F605:AK605" si="125">SUM(F398:F398)</f>
        <v>40</v>
      </c>
      <c r="G605" s="175">
        <f t="shared" si="125"/>
        <v>21</v>
      </c>
      <c r="H605" s="174">
        <f t="shared" si="125"/>
        <v>0</v>
      </c>
      <c r="I605" s="175">
        <f t="shared" si="125"/>
        <v>0</v>
      </c>
      <c r="J605" s="174">
        <f t="shared" si="125"/>
        <v>0</v>
      </c>
      <c r="K605" s="175">
        <f t="shared" si="125"/>
        <v>0</v>
      </c>
      <c r="L605" s="174">
        <f t="shared" si="125"/>
        <v>0</v>
      </c>
      <c r="M605" s="175">
        <f t="shared" si="125"/>
        <v>0</v>
      </c>
      <c r="N605" s="174">
        <f t="shared" si="125"/>
        <v>0</v>
      </c>
      <c r="O605" s="175">
        <f t="shared" si="125"/>
        <v>0</v>
      </c>
      <c r="P605" s="174">
        <f t="shared" si="125"/>
        <v>0</v>
      </c>
      <c r="Q605" s="175">
        <f t="shared" si="125"/>
        <v>0</v>
      </c>
      <c r="R605" s="174">
        <f t="shared" si="125"/>
        <v>0</v>
      </c>
      <c r="S605" s="175">
        <f t="shared" si="125"/>
        <v>0</v>
      </c>
      <c r="T605" s="174">
        <f t="shared" si="125"/>
        <v>0</v>
      </c>
      <c r="U605" s="175">
        <f t="shared" si="125"/>
        <v>0</v>
      </c>
      <c r="V605" s="174">
        <f t="shared" si="125"/>
        <v>0</v>
      </c>
      <c r="W605" s="175">
        <f t="shared" si="125"/>
        <v>0</v>
      </c>
      <c r="X605" s="174">
        <f t="shared" si="125"/>
        <v>0</v>
      </c>
      <c r="Y605" s="175">
        <f t="shared" si="125"/>
        <v>0</v>
      </c>
      <c r="Z605" s="174">
        <f t="shared" si="125"/>
        <v>0</v>
      </c>
      <c r="AA605" s="175">
        <f t="shared" si="125"/>
        <v>0</v>
      </c>
      <c r="AB605" s="174">
        <f t="shared" si="125"/>
        <v>0</v>
      </c>
      <c r="AC605" s="175">
        <f t="shared" si="125"/>
        <v>0</v>
      </c>
      <c r="AD605" s="174">
        <f t="shared" si="125"/>
        <v>0</v>
      </c>
      <c r="AE605" s="175">
        <f t="shared" si="125"/>
        <v>0</v>
      </c>
      <c r="AF605" s="174">
        <f t="shared" si="125"/>
        <v>0</v>
      </c>
      <c r="AG605" s="175">
        <f t="shared" si="125"/>
        <v>0</v>
      </c>
      <c r="AH605" s="174">
        <f t="shared" si="125"/>
        <v>0</v>
      </c>
      <c r="AI605" s="175">
        <f t="shared" si="125"/>
        <v>0</v>
      </c>
      <c r="AJ605" s="174">
        <f t="shared" si="125"/>
        <v>0</v>
      </c>
      <c r="AK605" s="175">
        <f t="shared" si="125"/>
        <v>0</v>
      </c>
      <c r="AL605" s="174">
        <f t="shared" ref="AL605:BQ605" si="126">SUM(AL398:AL398)</f>
        <v>0</v>
      </c>
      <c r="AM605" s="175">
        <f t="shared" si="126"/>
        <v>0</v>
      </c>
      <c r="AN605" s="174">
        <f t="shared" si="126"/>
        <v>0</v>
      </c>
      <c r="AO605" s="175">
        <f t="shared" si="126"/>
        <v>0</v>
      </c>
      <c r="AP605" s="174">
        <f t="shared" si="126"/>
        <v>0</v>
      </c>
      <c r="AQ605" s="175">
        <f t="shared" si="126"/>
        <v>0</v>
      </c>
      <c r="AR605" s="174">
        <f t="shared" si="126"/>
        <v>0</v>
      </c>
      <c r="AS605" s="175">
        <f t="shared" si="126"/>
        <v>0</v>
      </c>
      <c r="AT605" s="174">
        <f t="shared" si="126"/>
        <v>0</v>
      </c>
      <c r="AU605" s="175">
        <f t="shared" si="126"/>
        <v>0</v>
      </c>
      <c r="AV605" s="174">
        <f t="shared" si="126"/>
        <v>0</v>
      </c>
      <c r="AW605" s="175">
        <f t="shared" si="126"/>
        <v>0</v>
      </c>
      <c r="AX605" s="174">
        <f t="shared" si="126"/>
        <v>0</v>
      </c>
      <c r="AY605" s="175">
        <f t="shared" si="126"/>
        <v>0</v>
      </c>
      <c r="AZ605" s="174">
        <f t="shared" si="126"/>
        <v>0</v>
      </c>
      <c r="BA605" s="175">
        <f t="shared" si="126"/>
        <v>0</v>
      </c>
      <c r="BB605" s="174">
        <f t="shared" si="126"/>
        <v>0</v>
      </c>
      <c r="BC605" s="175">
        <f t="shared" si="126"/>
        <v>0</v>
      </c>
      <c r="BD605" s="174">
        <f t="shared" si="126"/>
        <v>0</v>
      </c>
      <c r="BE605" s="175">
        <f t="shared" si="126"/>
        <v>0</v>
      </c>
      <c r="BF605" s="174">
        <f t="shared" si="126"/>
        <v>0</v>
      </c>
      <c r="BG605" s="175">
        <f t="shared" si="126"/>
        <v>0</v>
      </c>
      <c r="BH605" s="174">
        <f t="shared" si="126"/>
        <v>0</v>
      </c>
      <c r="BI605" s="175">
        <f t="shared" si="126"/>
        <v>0</v>
      </c>
      <c r="BJ605" s="174">
        <f t="shared" si="126"/>
        <v>0</v>
      </c>
      <c r="BK605" s="175">
        <f t="shared" si="126"/>
        <v>0</v>
      </c>
      <c r="BL605" s="174">
        <f t="shared" si="126"/>
        <v>0</v>
      </c>
      <c r="BM605" s="175">
        <f t="shared" si="126"/>
        <v>0</v>
      </c>
      <c r="BN605" s="174">
        <f t="shared" si="126"/>
        <v>0</v>
      </c>
      <c r="BO605" s="175">
        <f t="shared" si="126"/>
        <v>0</v>
      </c>
      <c r="BP605" s="174">
        <f t="shared" si="126"/>
        <v>0</v>
      </c>
      <c r="BQ605" s="175">
        <f t="shared" si="126"/>
        <v>0</v>
      </c>
      <c r="BR605" s="174">
        <f t="shared" ref="BR605:BW605" si="127">SUM(BR398:BR398)</f>
        <v>41</v>
      </c>
      <c r="BS605" s="175">
        <f t="shared" si="127"/>
        <v>17</v>
      </c>
      <c r="BT605" s="174">
        <f t="shared" si="127"/>
        <v>36</v>
      </c>
      <c r="BU605" s="175">
        <f t="shared" si="127"/>
        <v>22</v>
      </c>
      <c r="BV605" s="174">
        <f t="shared" si="127"/>
        <v>39</v>
      </c>
      <c r="BW605" s="175">
        <f t="shared" si="127"/>
        <v>20</v>
      </c>
    </row>
    <row r="606" spans="1:75" ht="13" x14ac:dyDescent="0.25">
      <c r="A606" s="196"/>
      <c r="B606" s="197" t="s">
        <v>627</v>
      </c>
      <c r="C606" s="90">
        <f>SUM(C255:C263)</f>
        <v>9136</v>
      </c>
      <c r="D606" s="90">
        <f>SUM(D255:D263)</f>
        <v>7520</v>
      </c>
      <c r="E606" s="145">
        <f t="shared" si="19"/>
        <v>0.82311733800350262</v>
      </c>
      <c r="F606" s="174">
        <f t="shared" ref="F606:AK606" si="128">SUM(F255:F263)</f>
        <v>3937</v>
      </c>
      <c r="G606" s="175">
        <f t="shared" si="128"/>
        <v>3301</v>
      </c>
      <c r="H606" s="174">
        <f t="shared" si="128"/>
        <v>0</v>
      </c>
      <c r="I606" s="175">
        <f t="shared" si="128"/>
        <v>0</v>
      </c>
      <c r="J606" s="174">
        <f t="shared" si="128"/>
        <v>0</v>
      </c>
      <c r="K606" s="175">
        <f t="shared" si="128"/>
        <v>0</v>
      </c>
      <c r="L606" s="174">
        <f t="shared" si="128"/>
        <v>0</v>
      </c>
      <c r="M606" s="175">
        <f t="shared" si="128"/>
        <v>0</v>
      </c>
      <c r="N606" s="174">
        <f t="shared" si="128"/>
        <v>0</v>
      </c>
      <c r="O606" s="175">
        <f t="shared" si="128"/>
        <v>0</v>
      </c>
      <c r="P606" s="174">
        <f t="shared" si="128"/>
        <v>0</v>
      </c>
      <c r="Q606" s="175">
        <f t="shared" si="128"/>
        <v>0</v>
      </c>
      <c r="R606" s="174">
        <f t="shared" si="128"/>
        <v>0</v>
      </c>
      <c r="S606" s="175">
        <f t="shared" si="128"/>
        <v>0</v>
      </c>
      <c r="T606" s="174">
        <f t="shared" si="128"/>
        <v>0</v>
      </c>
      <c r="U606" s="175">
        <f t="shared" si="128"/>
        <v>0</v>
      </c>
      <c r="V606" s="174">
        <f t="shared" si="128"/>
        <v>0</v>
      </c>
      <c r="W606" s="175">
        <f t="shared" si="128"/>
        <v>0</v>
      </c>
      <c r="X606" s="174">
        <f t="shared" si="128"/>
        <v>0</v>
      </c>
      <c r="Y606" s="175">
        <f t="shared" si="128"/>
        <v>0</v>
      </c>
      <c r="Z606" s="174">
        <f t="shared" si="128"/>
        <v>0</v>
      </c>
      <c r="AA606" s="175">
        <f t="shared" si="128"/>
        <v>0</v>
      </c>
      <c r="AB606" s="174">
        <f t="shared" si="128"/>
        <v>0</v>
      </c>
      <c r="AC606" s="175">
        <f t="shared" si="128"/>
        <v>0</v>
      </c>
      <c r="AD606" s="174">
        <f t="shared" si="128"/>
        <v>0</v>
      </c>
      <c r="AE606" s="175">
        <f t="shared" si="128"/>
        <v>0</v>
      </c>
      <c r="AF606" s="174">
        <f t="shared" si="128"/>
        <v>0</v>
      </c>
      <c r="AG606" s="175">
        <f t="shared" si="128"/>
        <v>0</v>
      </c>
      <c r="AH606" s="174">
        <f t="shared" si="128"/>
        <v>0</v>
      </c>
      <c r="AI606" s="175">
        <f t="shared" si="128"/>
        <v>0</v>
      </c>
      <c r="AJ606" s="174">
        <f t="shared" si="128"/>
        <v>0</v>
      </c>
      <c r="AK606" s="175">
        <f t="shared" si="128"/>
        <v>0</v>
      </c>
      <c r="AL606" s="174">
        <f t="shared" ref="AL606:BQ606" si="129">SUM(AL255:AL263)</f>
        <v>0</v>
      </c>
      <c r="AM606" s="175">
        <f t="shared" si="129"/>
        <v>0</v>
      </c>
      <c r="AN606" s="174">
        <f t="shared" si="129"/>
        <v>0</v>
      </c>
      <c r="AO606" s="175">
        <f t="shared" si="129"/>
        <v>0</v>
      </c>
      <c r="AP606" s="174">
        <f t="shared" si="129"/>
        <v>0</v>
      </c>
      <c r="AQ606" s="175">
        <f t="shared" si="129"/>
        <v>0</v>
      </c>
      <c r="AR606" s="174">
        <f t="shared" si="129"/>
        <v>0</v>
      </c>
      <c r="AS606" s="175">
        <f t="shared" si="129"/>
        <v>0</v>
      </c>
      <c r="AT606" s="174">
        <f t="shared" si="129"/>
        <v>0</v>
      </c>
      <c r="AU606" s="175">
        <f t="shared" si="129"/>
        <v>0</v>
      </c>
      <c r="AV606" s="174">
        <f t="shared" si="129"/>
        <v>0</v>
      </c>
      <c r="AW606" s="175">
        <f t="shared" si="129"/>
        <v>0</v>
      </c>
      <c r="AX606" s="174">
        <f t="shared" si="129"/>
        <v>0</v>
      </c>
      <c r="AY606" s="175">
        <f t="shared" si="129"/>
        <v>0</v>
      </c>
      <c r="AZ606" s="174">
        <f t="shared" si="129"/>
        <v>0</v>
      </c>
      <c r="BA606" s="175">
        <f t="shared" si="129"/>
        <v>0</v>
      </c>
      <c r="BB606" s="174">
        <f t="shared" si="129"/>
        <v>0</v>
      </c>
      <c r="BC606" s="175">
        <f t="shared" si="129"/>
        <v>0</v>
      </c>
      <c r="BD606" s="174">
        <f t="shared" si="129"/>
        <v>0</v>
      </c>
      <c r="BE606" s="175">
        <f t="shared" si="129"/>
        <v>0</v>
      </c>
      <c r="BF606" s="174">
        <f t="shared" si="129"/>
        <v>0</v>
      </c>
      <c r="BG606" s="175">
        <f t="shared" si="129"/>
        <v>0</v>
      </c>
      <c r="BH606" s="174">
        <f t="shared" si="129"/>
        <v>0</v>
      </c>
      <c r="BI606" s="175">
        <f t="shared" si="129"/>
        <v>0</v>
      </c>
      <c r="BJ606" s="174">
        <f t="shared" si="129"/>
        <v>0</v>
      </c>
      <c r="BK606" s="175">
        <f t="shared" si="129"/>
        <v>0</v>
      </c>
      <c r="BL606" s="174">
        <f t="shared" si="129"/>
        <v>0</v>
      </c>
      <c r="BM606" s="175">
        <f t="shared" si="129"/>
        <v>0</v>
      </c>
      <c r="BN606" s="174">
        <f t="shared" si="129"/>
        <v>0</v>
      </c>
      <c r="BO606" s="175">
        <f t="shared" si="129"/>
        <v>0</v>
      </c>
      <c r="BP606" s="174">
        <f t="shared" si="129"/>
        <v>0</v>
      </c>
      <c r="BQ606" s="175">
        <f t="shared" si="129"/>
        <v>0</v>
      </c>
      <c r="BR606" s="174">
        <f t="shared" ref="BR606:BW606" si="130">SUM(BR255:BR263)</f>
        <v>0</v>
      </c>
      <c r="BS606" s="175">
        <f t="shared" si="130"/>
        <v>0</v>
      </c>
      <c r="BT606" s="174">
        <f t="shared" si="130"/>
        <v>4831</v>
      </c>
      <c r="BU606" s="175">
        <f t="shared" si="130"/>
        <v>2298</v>
      </c>
      <c r="BV606" s="174">
        <f t="shared" si="130"/>
        <v>5021</v>
      </c>
      <c r="BW606" s="175">
        <f t="shared" si="130"/>
        <v>2128</v>
      </c>
    </row>
    <row r="607" spans="1:75" ht="13" x14ac:dyDescent="0.25">
      <c r="A607" s="196"/>
      <c r="B607" s="197" t="s">
        <v>628</v>
      </c>
      <c r="C607" s="90">
        <f>SUM(C264:C267)</f>
        <v>4427</v>
      </c>
      <c r="D607" s="90">
        <f>SUM(D264:D267)</f>
        <v>2817</v>
      </c>
      <c r="E607" s="145">
        <f t="shared" si="19"/>
        <v>0.63632256607183191</v>
      </c>
      <c r="F607" s="174">
        <f t="shared" ref="F607:AK607" si="131">SUM(F264:F267)</f>
        <v>1622</v>
      </c>
      <c r="G607" s="175">
        <f t="shared" si="131"/>
        <v>1034</v>
      </c>
      <c r="H607" s="174">
        <f t="shared" si="131"/>
        <v>0</v>
      </c>
      <c r="I607" s="175">
        <f t="shared" si="131"/>
        <v>0</v>
      </c>
      <c r="J607" s="174">
        <f t="shared" si="131"/>
        <v>0</v>
      </c>
      <c r="K607" s="175">
        <f t="shared" si="131"/>
        <v>0</v>
      </c>
      <c r="L607" s="174">
        <f t="shared" si="131"/>
        <v>0</v>
      </c>
      <c r="M607" s="175">
        <f t="shared" si="131"/>
        <v>0</v>
      </c>
      <c r="N607" s="174">
        <f t="shared" si="131"/>
        <v>0</v>
      </c>
      <c r="O607" s="175">
        <f t="shared" si="131"/>
        <v>0</v>
      </c>
      <c r="P607" s="174">
        <f t="shared" si="131"/>
        <v>0</v>
      </c>
      <c r="Q607" s="175">
        <f t="shared" si="131"/>
        <v>0</v>
      </c>
      <c r="R607" s="174">
        <f t="shared" si="131"/>
        <v>0</v>
      </c>
      <c r="S607" s="175">
        <f t="shared" si="131"/>
        <v>0</v>
      </c>
      <c r="T607" s="174">
        <f t="shared" si="131"/>
        <v>0</v>
      </c>
      <c r="U607" s="175">
        <f t="shared" si="131"/>
        <v>0</v>
      </c>
      <c r="V607" s="174">
        <f t="shared" si="131"/>
        <v>0</v>
      </c>
      <c r="W607" s="175">
        <f t="shared" si="131"/>
        <v>0</v>
      </c>
      <c r="X607" s="174">
        <f t="shared" si="131"/>
        <v>0</v>
      </c>
      <c r="Y607" s="175">
        <f t="shared" si="131"/>
        <v>0</v>
      </c>
      <c r="Z607" s="174">
        <f t="shared" si="131"/>
        <v>0</v>
      </c>
      <c r="AA607" s="175">
        <f t="shared" si="131"/>
        <v>0</v>
      </c>
      <c r="AB607" s="174">
        <f t="shared" si="131"/>
        <v>0</v>
      </c>
      <c r="AC607" s="175">
        <f t="shared" si="131"/>
        <v>0</v>
      </c>
      <c r="AD607" s="174">
        <f t="shared" si="131"/>
        <v>0</v>
      </c>
      <c r="AE607" s="175">
        <f t="shared" si="131"/>
        <v>0</v>
      </c>
      <c r="AF607" s="174">
        <f t="shared" si="131"/>
        <v>0</v>
      </c>
      <c r="AG607" s="175">
        <f t="shared" si="131"/>
        <v>0</v>
      </c>
      <c r="AH607" s="174">
        <f t="shared" si="131"/>
        <v>0</v>
      </c>
      <c r="AI607" s="175">
        <f t="shared" si="131"/>
        <v>0</v>
      </c>
      <c r="AJ607" s="174">
        <f t="shared" si="131"/>
        <v>0</v>
      </c>
      <c r="AK607" s="175">
        <f t="shared" si="131"/>
        <v>0</v>
      </c>
      <c r="AL607" s="174">
        <f t="shared" ref="AL607:BQ607" si="132">SUM(AL264:AL267)</f>
        <v>0</v>
      </c>
      <c r="AM607" s="175">
        <f t="shared" si="132"/>
        <v>0</v>
      </c>
      <c r="AN607" s="174">
        <f t="shared" si="132"/>
        <v>0</v>
      </c>
      <c r="AO607" s="175">
        <f t="shared" si="132"/>
        <v>0</v>
      </c>
      <c r="AP607" s="174">
        <f t="shared" si="132"/>
        <v>0</v>
      </c>
      <c r="AQ607" s="175">
        <f t="shared" si="132"/>
        <v>0</v>
      </c>
      <c r="AR607" s="174">
        <f t="shared" si="132"/>
        <v>0</v>
      </c>
      <c r="AS607" s="175">
        <f t="shared" si="132"/>
        <v>0</v>
      </c>
      <c r="AT607" s="174">
        <f t="shared" si="132"/>
        <v>0</v>
      </c>
      <c r="AU607" s="175">
        <f t="shared" si="132"/>
        <v>0</v>
      </c>
      <c r="AV607" s="174">
        <f t="shared" si="132"/>
        <v>0</v>
      </c>
      <c r="AW607" s="175">
        <f t="shared" si="132"/>
        <v>0</v>
      </c>
      <c r="AX607" s="174">
        <f t="shared" si="132"/>
        <v>0</v>
      </c>
      <c r="AY607" s="175">
        <f t="shared" si="132"/>
        <v>0</v>
      </c>
      <c r="AZ607" s="174">
        <f t="shared" si="132"/>
        <v>0</v>
      </c>
      <c r="BA607" s="175">
        <f t="shared" si="132"/>
        <v>0</v>
      </c>
      <c r="BB607" s="174">
        <f t="shared" si="132"/>
        <v>0</v>
      </c>
      <c r="BC607" s="175">
        <f t="shared" si="132"/>
        <v>0</v>
      </c>
      <c r="BD607" s="174">
        <f t="shared" si="132"/>
        <v>0</v>
      </c>
      <c r="BE607" s="175">
        <f t="shared" si="132"/>
        <v>0</v>
      </c>
      <c r="BF607" s="174">
        <f t="shared" si="132"/>
        <v>0</v>
      </c>
      <c r="BG607" s="175">
        <f t="shared" si="132"/>
        <v>0</v>
      </c>
      <c r="BH607" s="174">
        <f t="shared" si="132"/>
        <v>0</v>
      </c>
      <c r="BI607" s="175">
        <f t="shared" si="132"/>
        <v>0</v>
      </c>
      <c r="BJ607" s="174">
        <f t="shared" si="132"/>
        <v>1203</v>
      </c>
      <c r="BK607" s="175">
        <f t="shared" si="132"/>
        <v>1451</v>
      </c>
      <c r="BL607" s="174">
        <f t="shared" si="132"/>
        <v>0</v>
      </c>
      <c r="BM607" s="175">
        <f t="shared" si="132"/>
        <v>0</v>
      </c>
      <c r="BN607" s="174">
        <f t="shared" si="132"/>
        <v>0</v>
      </c>
      <c r="BO607" s="175">
        <f t="shared" si="132"/>
        <v>0</v>
      </c>
      <c r="BP607" s="174">
        <f t="shared" si="132"/>
        <v>0</v>
      </c>
      <c r="BQ607" s="175">
        <f t="shared" si="132"/>
        <v>0</v>
      </c>
      <c r="BR607" s="174">
        <f t="shared" ref="BR607:BW607" si="133">SUM(BR264:BR267)</f>
        <v>0</v>
      </c>
      <c r="BS607" s="175">
        <f t="shared" si="133"/>
        <v>0</v>
      </c>
      <c r="BT607" s="174">
        <f t="shared" si="133"/>
        <v>1658</v>
      </c>
      <c r="BU607" s="175">
        <f t="shared" si="133"/>
        <v>999</v>
      </c>
      <c r="BV607" s="174">
        <f t="shared" si="133"/>
        <v>1727</v>
      </c>
      <c r="BW607" s="175">
        <f t="shared" si="133"/>
        <v>924</v>
      </c>
    </row>
    <row r="608" spans="1:75" ht="13" x14ac:dyDescent="0.25">
      <c r="A608" s="196"/>
      <c r="B608" s="197" t="s">
        <v>629</v>
      </c>
      <c r="C608" s="90">
        <f>SUM(C268:C274)</f>
        <v>6567</v>
      </c>
      <c r="D608" s="90">
        <f>SUM(D268:D274)</f>
        <v>3995</v>
      </c>
      <c r="E608" s="145">
        <f t="shared" si="19"/>
        <v>0.60834475407339728</v>
      </c>
      <c r="F608" s="174">
        <f t="shared" ref="F608:AK608" si="134">SUM(F268:F274)</f>
        <v>2609</v>
      </c>
      <c r="G608" s="175">
        <f t="shared" si="134"/>
        <v>1208</v>
      </c>
      <c r="H608" s="174">
        <f t="shared" si="134"/>
        <v>0</v>
      </c>
      <c r="I608" s="175">
        <f t="shared" si="134"/>
        <v>0</v>
      </c>
      <c r="J608" s="174">
        <f t="shared" si="134"/>
        <v>0</v>
      </c>
      <c r="K608" s="175">
        <f t="shared" si="134"/>
        <v>0</v>
      </c>
      <c r="L608" s="174">
        <f t="shared" si="134"/>
        <v>0</v>
      </c>
      <c r="M608" s="175">
        <f t="shared" si="134"/>
        <v>0</v>
      </c>
      <c r="N608" s="174">
        <f t="shared" si="134"/>
        <v>0</v>
      </c>
      <c r="O608" s="175">
        <f t="shared" si="134"/>
        <v>0</v>
      </c>
      <c r="P608" s="174">
        <f t="shared" si="134"/>
        <v>0</v>
      </c>
      <c r="Q608" s="175">
        <f t="shared" si="134"/>
        <v>0</v>
      </c>
      <c r="R608" s="174">
        <f t="shared" si="134"/>
        <v>0</v>
      </c>
      <c r="S608" s="175">
        <f t="shared" si="134"/>
        <v>0</v>
      </c>
      <c r="T608" s="174">
        <f t="shared" si="134"/>
        <v>0</v>
      </c>
      <c r="U608" s="175">
        <f t="shared" si="134"/>
        <v>0</v>
      </c>
      <c r="V608" s="174">
        <f t="shared" si="134"/>
        <v>0</v>
      </c>
      <c r="W608" s="175">
        <f t="shared" si="134"/>
        <v>0</v>
      </c>
      <c r="X608" s="174">
        <f t="shared" si="134"/>
        <v>0</v>
      </c>
      <c r="Y608" s="175">
        <f t="shared" si="134"/>
        <v>0</v>
      </c>
      <c r="Z608" s="174">
        <f t="shared" si="134"/>
        <v>0</v>
      </c>
      <c r="AA608" s="175">
        <f t="shared" si="134"/>
        <v>0</v>
      </c>
      <c r="AB608" s="174">
        <f t="shared" si="134"/>
        <v>0</v>
      </c>
      <c r="AC608" s="175">
        <f t="shared" si="134"/>
        <v>0</v>
      </c>
      <c r="AD608" s="174">
        <f t="shared" si="134"/>
        <v>0</v>
      </c>
      <c r="AE608" s="175">
        <f t="shared" si="134"/>
        <v>0</v>
      </c>
      <c r="AF608" s="174">
        <f t="shared" si="134"/>
        <v>0</v>
      </c>
      <c r="AG608" s="175">
        <f t="shared" si="134"/>
        <v>0</v>
      </c>
      <c r="AH608" s="174">
        <f t="shared" si="134"/>
        <v>0</v>
      </c>
      <c r="AI608" s="175">
        <f t="shared" si="134"/>
        <v>0</v>
      </c>
      <c r="AJ608" s="174">
        <f t="shared" si="134"/>
        <v>0</v>
      </c>
      <c r="AK608" s="175">
        <f t="shared" si="134"/>
        <v>0</v>
      </c>
      <c r="AL608" s="174">
        <f t="shared" ref="AL608:BQ608" si="135">SUM(AL268:AL274)</f>
        <v>0</v>
      </c>
      <c r="AM608" s="175">
        <f t="shared" si="135"/>
        <v>0</v>
      </c>
      <c r="AN608" s="174">
        <f t="shared" si="135"/>
        <v>0</v>
      </c>
      <c r="AO608" s="175">
        <f t="shared" si="135"/>
        <v>0</v>
      </c>
      <c r="AP608" s="174">
        <f t="shared" si="135"/>
        <v>0</v>
      </c>
      <c r="AQ608" s="175">
        <f t="shared" si="135"/>
        <v>0</v>
      </c>
      <c r="AR608" s="174">
        <f t="shared" si="135"/>
        <v>0</v>
      </c>
      <c r="AS608" s="175">
        <f t="shared" si="135"/>
        <v>0</v>
      </c>
      <c r="AT608" s="174">
        <f t="shared" si="135"/>
        <v>0</v>
      </c>
      <c r="AU608" s="175">
        <f t="shared" si="135"/>
        <v>0</v>
      </c>
      <c r="AV608" s="174">
        <f t="shared" si="135"/>
        <v>0</v>
      </c>
      <c r="AW608" s="175">
        <f t="shared" si="135"/>
        <v>0</v>
      </c>
      <c r="AX608" s="174">
        <f t="shared" si="135"/>
        <v>0</v>
      </c>
      <c r="AY608" s="175">
        <f t="shared" si="135"/>
        <v>0</v>
      </c>
      <c r="AZ608" s="174">
        <f t="shared" si="135"/>
        <v>0</v>
      </c>
      <c r="BA608" s="175">
        <f t="shared" si="135"/>
        <v>0</v>
      </c>
      <c r="BB608" s="174">
        <f t="shared" si="135"/>
        <v>0</v>
      </c>
      <c r="BC608" s="175">
        <f t="shared" si="135"/>
        <v>0</v>
      </c>
      <c r="BD608" s="174">
        <f t="shared" si="135"/>
        <v>0</v>
      </c>
      <c r="BE608" s="175">
        <f t="shared" si="135"/>
        <v>0</v>
      </c>
      <c r="BF608" s="174">
        <f t="shared" si="135"/>
        <v>0</v>
      </c>
      <c r="BG608" s="175">
        <f t="shared" si="135"/>
        <v>0</v>
      </c>
      <c r="BH608" s="174">
        <f t="shared" si="135"/>
        <v>0</v>
      </c>
      <c r="BI608" s="175">
        <f t="shared" si="135"/>
        <v>0</v>
      </c>
      <c r="BJ608" s="174">
        <f t="shared" si="135"/>
        <v>0</v>
      </c>
      <c r="BK608" s="175">
        <f t="shared" si="135"/>
        <v>0</v>
      </c>
      <c r="BL608" s="174">
        <f t="shared" si="135"/>
        <v>0</v>
      </c>
      <c r="BM608" s="175">
        <f t="shared" si="135"/>
        <v>0</v>
      </c>
      <c r="BN608" s="174">
        <f t="shared" si="135"/>
        <v>0</v>
      </c>
      <c r="BO608" s="175">
        <f t="shared" si="135"/>
        <v>0</v>
      </c>
      <c r="BP608" s="174">
        <f t="shared" si="135"/>
        <v>0</v>
      </c>
      <c r="BQ608" s="175">
        <f t="shared" si="135"/>
        <v>0</v>
      </c>
      <c r="BR608" s="174">
        <f t="shared" ref="BR608:BW608" si="136">SUM(BR268:BR274)</f>
        <v>0</v>
      </c>
      <c r="BS608" s="175">
        <f t="shared" si="136"/>
        <v>0</v>
      </c>
      <c r="BT608" s="174">
        <f t="shared" si="136"/>
        <v>2711</v>
      </c>
      <c r="BU608" s="175">
        <f t="shared" si="136"/>
        <v>1075</v>
      </c>
      <c r="BV608" s="174">
        <f t="shared" si="136"/>
        <v>2836</v>
      </c>
      <c r="BW608" s="175">
        <f t="shared" si="136"/>
        <v>957</v>
      </c>
    </row>
    <row r="609" spans="1:75" ht="13" x14ac:dyDescent="0.25">
      <c r="A609" s="196"/>
      <c r="B609" s="197" t="s">
        <v>630</v>
      </c>
      <c r="C609" s="90">
        <f>SUM(C275:C286)</f>
        <v>13325</v>
      </c>
      <c r="D609" s="90">
        <f>SUM(D275:D286)</f>
        <v>8591</v>
      </c>
      <c r="E609" s="145">
        <f t="shared" si="19"/>
        <v>0.64472795497185742</v>
      </c>
      <c r="F609" s="174">
        <f t="shared" ref="F609:AK609" si="137">SUM(F275:F286)</f>
        <v>4689</v>
      </c>
      <c r="G609" s="175">
        <f t="shared" si="137"/>
        <v>3470</v>
      </c>
      <c r="H609" s="174">
        <f t="shared" si="137"/>
        <v>0</v>
      </c>
      <c r="I609" s="175">
        <f t="shared" si="137"/>
        <v>0</v>
      </c>
      <c r="J609" s="174">
        <f t="shared" si="137"/>
        <v>0</v>
      </c>
      <c r="K609" s="175">
        <f t="shared" si="137"/>
        <v>0</v>
      </c>
      <c r="L609" s="174">
        <f t="shared" si="137"/>
        <v>0</v>
      </c>
      <c r="M609" s="175">
        <f t="shared" si="137"/>
        <v>0</v>
      </c>
      <c r="N609" s="174">
        <f t="shared" si="137"/>
        <v>0</v>
      </c>
      <c r="O609" s="175">
        <f t="shared" si="137"/>
        <v>0</v>
      </c>
      <c r="P609" s="174">
        <f t="shared" si="137"/>
        <v>0</v>
      </c>
      <c r="Q609" s="175">
        <f t="shared" si="137"/>
        <v>0</v>
      </c>
      <c r="R609" s="174">
        <f t="shared" si="137"/>
        <v>0</v>
      </c>
      <c r="S609" s="175">
        <f t="shared" si="137"/>
        <v>0</v>
      </c>
      <c r="T609" s="174">
        <f t="shared" si="137"/>
        <v>0</v>
      </c>
      <c r="U609" s="175">
        <f t="shared" si="137"/>
        <v>0</v>
      </c>
      <c r="V609" s="174">
        <f t="shared" si="137"/>
        <v>0</v>
      </c>
      <c r="W609" s="175">
        <f t="shared" si="137"/>
        <v>0</v>
      </c>
      <c r="X609" s="174">
        <f t="shared" si="137"/>
        <v>658</v>
      </c>
      <c r="Y609" s="175">
        <f t="shared" si="137"/>
        <v>113</v>
      </c>
      <c r="Z609" s="174">
        <f t="shared" si="137"/>
        <v>0</v>
      </c>
      <c r="AA609" s="175">
        <f t="shared" si="137"/>
        <v>0</v>
      </c>
      <c r="AB609" s="174">
        <f t="shared" si="137"/>
        <v>0</v>
      </c>
      <c r="AC609" s="175">
        <f t="shared" si="137"/>
        <v>0</v>
      </c>
      <c r="AD609" s="174">
        <f t="shared" si="137"/>
        <v>0</v>
      </c>
      <c r="AE609" s="175">
        <f t="shared" si="137"/>
        <v>0</v>
      </c>
      <c r="AF609" s="174">
        <f t="shared" si="137"/>
        <v>0</v>
      </c>
      <c r="AG609" s="175">
        <f t="shared" si="137"/>
        <v>0</v>
      </c>
      <c r="AH609" s="174">
        <f t="shared" si="137"/>
        <v>0</v>
      </c>
      <c r="AI609" s="175">
        <f t="shared" si="137"/>
        <v>0</v>
      </c>
      <c r="AJ609" s="174">
        <f t="shared" si="137"/>
        <v>0</v>
      </c>
      <c r="AK609" s="175">
        <f t="shared" si="137"/>
        <v>0</v>
      </c>
      <c r="AL609" s="174">
        <f t="shared" ref="AL609:BQ609" si="138">SUM(AL275:AL286)</f>
        <v>0</v>
      </c>
      <c r="AM609" s="175">
        <f t="shared" si="138"/>
        <v>0</v>
      </c>
      <c r="AN609" s="174">
        <f t="shared" si="138"/>
        <v>0</v>
      </c>
      <c r="AO609" s="175">
        <f t="shared" si="138"/>
        <v>0</v>
      </c>
      <c r="AP609" s="174">
        <f t="shared" si="138"/>
        <v>0</v>
      </c>
      <c r="AQ609" s="175">
        <f t="shared" si="138"/>
        <v>0</v>
      </c>
      <c r="AR609" s="174">
        <f t="shared" si="138"/>
        <v>0</v>
      </c>
      <c r="AS609" s="175">
        <f t="shared" si="138"/>
        <v>0</v>
      </c>
      <c r="AT609" s="174">
        <f t="shared" si="138"/>
        <v>0</v>
      </c>
      <c r="AU609" s="175">
        <f t="shared" si="138"/>
        <v>0</v>
      </c>
      <c r="AV609" s="174">
        <f t="shared" si="138"/>
        <v>0</v>
      </c>
      <c r="AW609" s="175">
        <f t="shared" si="138"/>
        <v>0</v>
      </c>
      <c r="AX609" s="174">
        <f t="shared" si="138"/>
        <v>0</v>
      </c>
      <c r="AY609" s="175">
        <f t="shared" si="138"/>
        <v>0</v>
      </c>
      <c r="AZ609" s="174">
        <f t="shared" si="138"/>
        <v>0</v>
      </c>
      <c r="BA609" s="175">
        <f t="shared" si="138"/>
        <v>0</v>
      </c>
      <c r="BB609" s="174">
        <f t="shared" si="138"/>
        <v>0</v>
      </c>
      <c r="BC609" s="175">
        <f t="shared" si="138"/>
        <v>0</v>
      </c>
      <c r="BD609" s="174">
        <f t="shared" si="138"/>
        <v>0</v>
      </c>
      <c r="BE609" s="175">
        <f t="shared" si="138"/>
        <v>0</v>
      </c>
      <c r="BF609" s="174">
        <f t="shared" si="138"/>
        <v>0</v>
      </c>
      <c r="BG609" s="175">
        <f t="shared" si="138"/>
        <v>0</v>
      </c>
      <c r="BH609" s="174">
        <f t="shared" si="138"/>
        <v>0</v>
      </c>
      <c r="BI609" s="175">
        <f t="shared" si="138"/>
        <v>0</v>
      </c>
      <c r="BJ609" s="174">
        <f t="shared" si="138"/>
        <v>0</v>
      </c>
      <c r="BK609" s="175">
        <f t="shared" si="138"/>
        <v>0</v>
      </c>
      <c r="BL609" s="174">
        <f t="shared" si="138"/>
        <v>0</v>
      </c>
      <c r="BM609" s="175">
        <f t="shared" si="138"/>
        <v>0</v>
      </c>
      <c r="BN609" s="174">
        <f t="shared" si="138"/>
        <v>0</v>
      </c>
      <c r="BO609" s="175">
        <f t="shared" si="138"/>
        <v>0</v>
      </c>
      <c r="BP609" s="174">
        <f t="shared" si="138"/>
        <v>0</v>
      </c>
      <c r="BQ609" s="175">
        <f t="shared" si="138"/>
        <v>0</v>
      </c>
      <c r="BR609" s="174">
        <f t="shared" ref="BR609:BW609" si="139">SUM(BR275:BR286)</f>
        <v>0</v>
      </c>
      <c r="BS609" s="175">
        <f t="shared" si="139"/>
        <v>0</v>
      </c>
      <c r="BT609" s="174">
        <f t="shared" si="139"/>
        <v>5364</v>
      </c>
      <c r="BU609" s="175">
        <f t="shared" si="139"/>
        <v>2757</v>
      </c>
      <c r="BV609" s="174">
        <f t="shared" si="139"/>
        <v>5674</v>
      </c>
      <c r="BW609" s="175">
        <f t="shared" si="139"/>
        <v>2449</v>
      </c>
    </row>
    <row r="610" spans="1:75" ht="13" x14ac:dyDescent="0.25">
      <c r="A610" s="196"/>
      <c r="B610" s="197" t="s">
        <v>631</v>
      </c>
      <c r="C610" s="90">
        <f>SUM(C287:C294)</f>
        <v>7298</v>
      </c>
      <c r="D610" s="90">
        <f>SUM(D287:D294)</f>
        <v>5151</v>
      </c>
      <c r="E610" s="145">
        <f t="shared" si="19"/>
        <v>0.70580981090709782</v>
      </c>
      <c r="F610" s="174">
        <f t="shared" ref="F610:AK610" si="140">SUM(F287:F294)</f>
        <v>2052</v>
      </c>
      <c r="G610" s="175">
        <f t="shared" si="140"/>
        <v>2820</v>
      </c>
      <c r="H610" s="174">
        <f t="shared" si="140"/>
        <v>0</v>
      </c>
      <c r="I610" s="175">
        <f t="shared" si="140"/>
        <v>0</v>
      </c>
      <c r="J610" s="174">
        <f t="shared" si="140"/>
        <v>0</v>
      </c>
      <c r="K610" s="175">
        <f t="shared" si="140"/>
        <v>0</v>
      </c>
      <c r="L610" s="174">
        <f t="shared" si="140"/>
        <v>0</v>
      </c>
      <c r="M610" s="175">
        <f t="shared" si="140"/>
        <v>0</v>
      </c>
      <c r="N610" s="174">
        <f t="shared" si="140"/>
        <v>0</v>
      </c>
      <c r="O610" s="175">
        <f t="shared" si="140"/>
        <v>0</v>
      </c>
      <c r="P610" s="174">
        <f t="shared" si="140"/>
        <v>0</v>
      </c>
      <c r="Q610" s="175">
        <f t="shared" si="140"/>
        <v>0</v>
      </c>
      <c r="R610" s="174">
        <f t="shared" si="140"/>
        <v>0</v>
      </c>
      <c r="S610" s="175">
        <f t="shared" si="140"/>
        <v>0</v>
      </c>
      <c r="T610" s="174">
        <f t="shared" si="140"/>
        <v>0</v>
      </c>
      <c r="U610" s="175">
        <f t="shared" si="140"/>
        <v>0</v>
      </c>
      <c r="V610" s="174">
        <f t="shared" si="140"/>
        <v>0</v>
      </c>
      <c r="W610" s="175">
        <f t="shared" si="140"/>
        <v>0</v>
      </c>
      <c r="X610" s="174">
        <f t="shared" si="140"/>
        <v>0</v>
      </c>
      <c r="Y610" s="175">
        <f t="shared" si="140"/>
        <v>0</v>
      </c>
      <c r="Z610" s="174">
        <f t="shared" si="140"/>
        <v>0</v>
      </c>
      <c r="AA610" s="175">
        <f t="shared" si="140"/>
        <v>0</v>
      </c>
      <c r="AB610" s="174">
        <f t="shared" si="140"/>
        <v>0</v>
      </c>
      <c r="AC610" s="175">
        <f t="shared" si="140"/>
        <v>0</v>
      </c>
      <c r="AD610" s="174">
        <f t="shared" si="140"/>
        <v>0</v>
      </c>
      <c r="AE610" s="175">
        <f t="shared" si="140"/>
        <v>0</v>
      </c>
      <c r="AF610" s="174">
        <f t="shared" si="140"/>
        <v>0</v>
      </c>
      <c r="AG610" s="175">
        <f t="shared" si="140"/>
        <v>0</v>
      </c>
      <c r="AH610" s="174">
        <f t="shared" si="140"/>
        <v>0</v>
      </c>
      <c r="AI610" s="175">
        <f t="shared" si="140"/>
        <v>0</v>
      </c>
      <c r="AJ610" s="174">
        <f t="shared" si="140"/>
        <v>0</v>
      </c>
      <c r="AK610" s="175">
        <f t="shared" si="140"/>
        <v>0</v>
      </c>
      <c r="AL610" s="174">
        <f t="shared" ref="AL610:BQ610" si="141">SUM(AL287:AL294)</f>
        <v>0</v>
      </c>
      <c r="AM610" s="175">
        <f t="shared" si="141"/>
        <v>0</v>
      </c>
      <c r="AN610" s="174">
        <f t="shared" si="141"/>
        <v>0</v>
      </c>
      <c r="AO610" s="175">
        <f t="shared" si="141"/>
        <v>0</v>
      </c>
      <c r="AP610" s="174">
        <f t="shared" si="141"/>
        <v>0</v>
      </c>
      <c r="AQ610" s="175">
        <f t="shared" si="141"/>
        <v>0</v>
      </c>
      <c r="AR610" s="174">
        <f t="shared" si="141"/>
        <v>0</v>
      </c>
      <c r="AS610" s="175">
        <f t="shared" si="141"/>
        <v>0</v>
      </c>
      <c r="AT610" s="174">
        <f t="shared" si="141"/>
        <v>0</v>
      </c>
      <c r="AU610" s="175">
        <f t="shared" si="141"/>
        <v>0</v>
      </c>
      <c r="AV610" s="174">
        <f t="shared" si="141"/>
        <v>0</v>
      </c>
      <c r="AW610" s="175">
        <f t="shared" si="141"/>
        <v>0</v>
      </c>
      <c r="AX610" s="174">
        <f t="shared" si="141"/>
        <v>0</v>
      </c>
      <c r="AY610" s="175">
        <f t="shared" si="141"/>
        <v>0</v>
      </c>
      <c r="AZ610" s="174">
        <f t="shared" si="141"/>
        <v>0</v>
      </c>
      <c r="BA610" s="175">
        <f t="shared" si="141"/>
        <v>0</v>
      </c>
      <c r="BB610" s="174">
        <f t="shared" si="141"/>
        <v>0</v>
      </c>
      <c r="BC610" s="175">
        <f t="shared" si="141"/>
        <v>0</v>
      </c>
      <c r="BD610" s="174">
        <f t="shared" si="141"/>
        <v>0</v>
      </c>
      <c r="BE610" s="175">
        <f t="shared" si="141"/>
        <v>0</v>
      </c>
      <c r="BF610" s="174">
        <f t="shared" si="141"/>
        <v>0</v>
      </c>
      <c r="BG610" s="175">
        <f t="shared" si="141"/>
        <v>0</v>
      </c>
      <c r="BH610" s="174">
        <f t="shared" si="141"/>
        <v>0</v>
      </c>
      <c r="BI610" s="175">
        <f t="shared" si="141"/>
        <v>0</v>
      </c>
      <c r="BJ610" s="174">
        <f t="shared" si="141"/>
        <v>0</v>
      </c>
      <c r="BK610" s="175">
        <f t="shared" si="141"/>
        <v>0</v>
      </c>
      <c r="BL610" s="174">
        <f t="shared" si="141"/>
        <v>0</v>
      </c>
      <c r="BM610" s="175">
        <f t="shared" si="141"/>
        <v>0</v>
      </c>
      <c r="BN610" s="174">
        <f t="shared" si="141"/>
        <v>0</v>
      </c>
      <c r="BO610" s="175">
        <f t="shared" si="141"/>
        <v>0</v>
      </c>
      <c r="BP610" s="174">
        <f t="shared" si="141"/>
        <v>0</v>
      </c>
      <c r="BQ610" s="175">
        <f t="shared" si="141"/>
        <v>0</v>
      </c>
      <c r="BR610" s="174">
        <f t="shared" ref="BR610:BW610" si="142">SUM(BR287:BR294)</f>
        <v>0</v>
      </c>
      <c r="BS610" s="175">
        <f t="shared" si="142"/>
        <v>0</v>
      </c>
      <c r="BT610" s="174">
        <f t="shared" si="142"/>
        <v>2614</v>
      </c>
      <c r="BU610" s="175">
        <f t="shared" si="142"/>
        <v>2237</v>
      </c>
      <c r="BV610" s="174">
        <f t="shared" si="142"/>
        <v>2829</v>
      </c>
      <c r="BW610" s="175">
        <f t="shared" si="142"/>
        <v>2012</v>
      </c>
    </row>
    <row r="611" spans="1:75" ht="13" x14ac:dyDescent="0.25">
      <c r="A611" s="196"/>
      <c r="B611" s="197" t="s">
        <v>632</v>
      </c>
      <c r="C611" s="90">
        <f>SUM(C295:C301)</f>
        <v>7718</v>
      </c>
      <c r="D611" s="90">
        <f>SUM(D295:D301)</f>
        <v>5668</v>
      </c>
      <c r="E611" s="145">
        <f t="shared" si="19"/>
        <v>0.73438714692925633</v>
      </c>
      <c r="F611" s="174">
        <f t="shared" ref="F611:AK611" si="143">SUM(F295:F301)</f>
        <v>2686</v>
      </c>
      <c r="G611" s="175">
        <f t="shared" si="143"/>
        <v>2735</v>
      </c>
      <c r="H611" s="174">
        <f t="shared" si="143"/>
        <v>0</v>
      </c>
      <c r="I611" s="175">
        <f t="shared" si="143"/>
        <v>0</v>
      </c>
      <c r="J611" s="174">
        <f t="shared" si="143"/>
        <v>0</v>
      </c>
      <c r="K611" s="175">
        <f t="shared" si="143"/>
        <v>0</v>
      </c>
      <c r="L611" s="174">
        <f t="shared" si="143"/>
        <v>0</v>
      </c>
      <c r="M611" s="175">
        <f t="shared" si="143"/>
        <v>0</v>
      </c>
      <c r="N611" s="174">
        <f t="shared" si="143"/>
        <v>0</v>
      </c>
      <c r="O611" s="175">
        <f t="shared" si="143"/>
        <v>0</v>
      </c>
      <c r="P611" s="174">
        <f t="shared" si="143"/>
        <v>0</v>
      </c>
      <c r="Q611" s="175">
        <f t="shared" si="143"/>
        <v>0</v>
      </c>
      <c r="R611" s="174">
        <f t="shared" si="143"/>
        <v>0</v>
      </c>
      <c r="S611" s="175">
        <f t="shared" si="143"/>
        <v>0</v>
      </c>
      <c r="T611" s="174">
        <f t="shared" si="143"/>
        <v>0</v>
      </c>
      <c r="U611" s="175">
        <f t="shared" si="143"/>
        <v>0</v>
      </c>
      <c r="V611" s="174">
        <f t="shared" si="143"/>
        <v>0</v>
      </c>
      <c r="W611" s="175">
        <f t="shared" si="143"/>
        <v>0</v>
      </c>
      <c r="X611" s="174">
        <f t="shared" si="143"/>
        <v>0</v>
      </c>
      <c r="Y611" s="175">
        <f t="shared" si="143"/>
        <v>0</v>
      </c>
      <c r="Z611" s="174">
        <f t="shared" si="143"/>
        <v>0</v>
      </c>
      <c r="AA611" s="175">
        <f t="shared" si="143"/>
        <v>0</v>
      </c>
      <c r="AB611" s="174">
        <f t="shared" si="143"/>
        <v>0</v>
      </c>
      <c r="AC611" s="175">
        <f t="shared" si="143"/>
        <v>0</v>
      </c>
      <c r="AD611" s="174">
        <f t="shared" si="143"/>
        <v>0</v>
      </c>
      <c r="AE611" s="175">
        <f t="shared" si="143"/>
        <v>0</v>
      </c>
      <c r="AF611" s="174">
        <f t="shared" si="143"/>
        <v>0</v>
      </c>
      <c r="AG611" s="175">
        <f t="shared" si="143"/>
        <v>0</v>
      </c>
      <c r="AH611" s="174">
        <f t="shared" si="143"/>
        <v>0</v>
      </c>
      <c r="AI611" s="175">
        <f t="shared" si="143"/>
        <v>0</v>
      </c>
      <c r="AJ611" s="174">
        <f t="shared" si="143"/>
        <v>0</v>
      </c>
      <c r="AK611" s="175">
        <f t="shared" si="143"/>
        <v>0</v>
      </c>
      <c r="AL611" s="174">
        <f t="shared" ref="AL611:BQ611" si="144">SUM(AL295:AL301)</f>
        <v>0</v>
      </c>
      <c r="AM611" s="175">
        <f t="shared" si="144"/>
        <v>0</v>
      </c>
      <c r="AN611" s="174">
        <f t="shared" si="144"/>
        <v>0</v>
      </c>
      <c r="AO611" s="175">
        <f t="shared" si="144"/>
        <v>0</v>
      </c>
      <c r="AP611" s="174">
        <f t="shared" si="144"/>
        <v>0</v>
      </c>
      <c r="AQ611" s="175">
        <f t="shared" si="144"/>
        <v>0</v>
      </c>
      <c r="AR611" s="174">
        <f t="shared" si="144"/>
        <v>0</v>
      </c>
      <c r="AS611" s="175">
        <f t="shared" si="144"/>
        <v>0</v>
      </c>
      <c r="AT611" s="174">
        <f t="shared" si="144"/>
        <v>0</v>
      </c>
      <c r="AU611" s="175">
        <f t="shared" si="144"/>
        <v>0</v>
      </c>
      <c r="AV611" s="174">
        <f t="shared" si="144"/>
        <v>0</v>
      </c>
      <c r="AW611" s="175">
        <f t="shared" si="144"/>
        <v>0</v>
      </c>
      <c r="AX611" s="174">
        <f t="shared" si="144"/>
        <v>0</v>
      </c>
      <c r="AY611" s="175">
        <f t="shared" si="144"/>
        <v>0</v>
      </c>
      <c r="AZ611" s="174">
        <f t="shared" si="144"/>
        <v>0</v>
      </c>
      <c r="BA611" s="175">
        <f t="shared" si="144"/>
        <v>0</v>
      </c>
      <c r="BB611" s="174">
        <f t="shared" si="144"/>
        <v>0</v>
      </c>
      <c r="BC611" s="175">
        <f t="shared" si="144"/>
        <v>0</v>
      </c>
      <c r="BD611" s="174">
        <f t="shared" si="144"/>
        <v>0</v>
      </c>
      <c r="BE611" s="175">
        <f t="shared" si="144"/>
        <v>0</v>
      </c>
      <c r="BF611" s="174">
        <f t="shared" si="144"/>
        <v>0</v>
      </c>
      <c r="BG611" s="175">
        <f t="shared" si="144"/>
        <v>0</v>
      </c>
      <c r="BH611" s="174">
        <f t="shared" si="144"/>
        <v>0</v>
      </c>
      <c r="BI611" s="175">
        <f t="shared" si="144"/>
        <v>0</v>
      </c>
      <c r="BJ611" s="174">
        <f t="shared" si="144"/>
        <v>0</v>
      </c>
      <c r="BK611" s="175">
        <f t="shared" si="144"/>
        <v>0</v>
      </c>
      <c r="BL611" s="174">
        <f t="shared" si="144"/>
        <v>2360</v>
      </c>
      <c r="BM611" s="175">
        <f t="shared" si="144"/>
        <v>3039</v>
      </c>
      <c r="BN611" s="174">
        <f t="shared" si="144"/>
        <v>0</v>
      </c>
      <c r="BO611" s="175">
        <f t="shared" si="144"/>
        <v>0</v>
      </c>
      <c r="BP611" s="174">
        <f t="shared" si="144"/>
        <v>0</v>
      </c>
      <c r="BQ611" s="175">
        <f t="shared" si="144"/>
        <v>0</v>
      </c>
      <c r="BR611" s="174">
        <f t="shared" ref="BR611:BW611" si="145">SUM(BR295:BR301)</f>
        <v>0</v>
      </c>
      <c r="BS611" s="175">
        <f t="shared" si="145"/>
        <v>0</v>
      </c>
      <c r="BT611" s="174">
        <f t="shared" si="145"/>
        <v>3210</v>
      </c>
      <c r="BU611" s="175">
        <f t="shared" si="145"/>
        <v>2177</v>
      </c>
      <c r="BV611" s="174">
        <f t="shared" si="145"/>
        <v>3343</v>
      </c>
      <c r="BW611" s="175">
        <f t="shared" si="145"/>
        <v>2059</v>
      </c>
    </row>
    <row r="612" spans="1:75" ht="13" x14ac:dyDescent="0.25">
      <c r="A612" s="196"/>
      <c r="B612" s="197" t="s">
        <v>633</v>
      </c>
      <c r="C612" s="90">
        <f>SUM(C302:C309)</f>
        <v>7099</v>
      </c>
      <c r="D612" s="90">
        <f>SUM(D302:D309)</f>
        <v>5108</v>
      </c>
      <c r="E612" s="145">
        <f t="shared" si="19"/>
        <v>0.71953796309339346</v>
      </c>
      <c r="F612" s="174">
        <f t="shared" ref="F612:AK612" si="146">SUM(F302:F309)</f>
        <v>2979</v>
      </c>
      <c r="G612" s="175">
        <f t="shared" si="146"/>
        <v>1836</v>
      </c>
      <c r="H612" s="174">
        <f t="shared" si="146"/>
        <v>0</v>
      </c>
      <c r="I612" s="175">
        <f t="shared" si="146"/>
        <v>0</v>
      </c>
      <c r="J612" s="174">
        <f t="shared" si="146"/>
        <v>0</v>
      </c>
      <c r="K612" s="175">
        <f t="shared" si="146"/>
        <v>0</v>
      </c>
      <c r="L612" s="174">
        <f t="shared" si="146"/>
        <v>0</v>
      </c>
      <c r="M612" s="175">
        <f t="shared" si="146"/>
        <v>0</v>
      </c>
      <c r="N612" s="174">
        <f t="shared" si="146"/>
        <v>0</v>
      </c>
      <c r="O612" s="175">
        <f t="shared" si="146"/>
        <v>0</v>
      </c>
      <c r="P612" s="174">
        <f t="shared" si="146"/>
        <v>0</v>
      </c>
      <c r="Q612" s="175">
        <f t="shared" si="146"/>
        <v>0</v>
      </c>
      <c r="R612" s="174">
        <f t="shared" si="146"/>
        <v>0</v>
      </c>
      <c r="S612" s="175">
        <f t="shared" si="146"/>
        <v>0</v>
      </c>
      <c r="T612" s="174">
        <f t="shared" si="146"/>
        <v>0</v>
      </c>
      <c r="U612" s="175">
        <f t="shared" si="146"/>
        <v>0</v>
      </c>
      <c r="V612" s="174">
        <f t="shared" si="146"/>
        <v>0</v>
      </c>
      <c r="W612" s="175">
        <f t="shared" si="146"/>
        <v>0</v>
      </c>
      <c r="X612" s="174">
        <f t="shared" si="146"/>
        <v>0</v>
      </c>
      <c r="Y612" s="175">
        <f t="shared" si="146"/>
        <v>0</v>
      </c>
      <c r="Z612" s="174">
        <f t="shared" si="146"/>
        <v>442</v>
      </c>
      <c r="AA612" s="175">
        <f t="shared" si="146"/>
        <v>131</v>
      </c>
      <c r="AB612" s="174">
        <f t="shared" si="146"/>
        <v>0</v>
      </c>
      <c r="AC612" s="175">
        <f t="shared" si="146"/>
        <v>0</v>
      </c>
      <c r="AD612" s="174">
        <f t="shared" si="146"/>
        <v>0</v>
      </c>
      <c r="AE612" s="175">
        <f t="shared" si="146"/>
        <v>0</v>
      </c>
      <c r="AF612" s="174">
        <f t="shared" si="146"/>
        <v>0</v>
      </c>
      <c r="AG612" s="175">
        <f t="shared" si="146"/>
        <v>0</v>
      </c>
      <c r="AH612" s="174">
        <f t="shared" si="146"/>
        <v>0</v>
      </c>
      <c r="AI612" s="175">
        <f t="shared" si="146"/>
        <v>0</v>
      </c>
      <c r="AJ612" s="174">
        <f t="shared" si="146"/>
        <v>0</v>
      </c>
      <c r="AK612" s="175">
        <f t="shared" si="146"/>
        <v>0</v>
      </c>
      <c r="AL612" s="174">
        <f t="shared" ref="AL612:BQ612" si="147">SUM(AL302:AL309)</f>
        <v>0</v>
      </c>
      <c r="AM612" s="175">
        <f t="shared" si="147"/>
        <v>0</v>
      </c>
      <c r="AN612" s="174">
        <f t="shared" si="147"/>
        <v>0</v>
      </c>
      <c r="AO612" s="175">
        <f t="shared" si="147"/>
        <v>0</v>
      </c>
      <c r="AP612" s="174">
        <f t="shared" si="147"/>
        <v>0</v>
      </c>
      <c r="AQ612" s="175">
        <f t="shared" si="147"/>
        <v>0</v>
      </c>
      <c r="AR612" s="174">
        <f t="shared" si="147"/>
        <v>0</v>
      </c>
      <c r="AS612" s="175">
        <f t="shared" si="147"/>
        <v>0</v>
      </c>
      <c r="AT612" s="174">
        <f t="shared" si="147"/>
        <v>0</v>
      </c>
      <c r="AU612" s="175">
        <f t="shared" si="147"/>
        <v>0</v>
      </c>
      <c r="AV612" s="174">
        <f t="shared" si="147"/>
        <v>0</v>
      </c>
      <c r="AW612" s="175">
        <f t="shared" si="147"/>
        <v>0</v>
      </c>
      <c r="AX612" s="174">
        <f t="shared" si="147"/>
        <v>0</v>
      </c>
      <c r="AY612" s="175">
        <f t="shared" si="147"/>
        <v>0</v>
      </c>
      <c r="AZ612" s="174">
        <f t="shared" si="147"/>
        <v>0</v>
      </c>
      <c r="BA612" s="175">
        <f t="shared" si="147"/>
        <v>0</v>
      </c>
      <c r="BB612" s="174">
        <f t="shared" si="147"/>
        <v>0</v>
      </c>
      <c r="BC612" s="175">
        <f t="shared" si="147"/>
        <v>0</v>
      </c>
      <c r="BD612" s="174">
        <f t="shared" si="147"/>
        <v>0</v>
      </c>
      <c r="BE612" s="175">
        <f t="shared" si="147"/>
        <v>0</v>
      </c>
      <c r="BF612" s="174">
        <f t="shared" si="147"/>
        <v>0</v>
      </c>
      <c r="BG612" s="175">
        <f t="shared" si="147"/>
        <v>0</v>
      </c>
      <c r="BH612" s="174">
        <f t="shared" si="147"/>
        <v>0</v>
      </c>
      <c r="BI612" s="175">
        <f t="shared" si="147"/>
        <v>0</v>
      </c>
      <c r="BJ612" s="174">
        <f t="shared" si="147"/>
        <v>0</v>
      </c>
      <c r="BK612" s="175">
        <f t="shared" si="147"/>
        <v>0</v>
      </c>
      <c r="BL612" s="174">
        <f t="shared" si="147"/>
        <v>2536</v>
      </c>
      <c r="BM612" s="175">
        <f t="shared" si="147"/>
        <v>2244</v>
      </c>
      <c r="BN612" s="174">
        <f t="shared" si="147"/>
        <v>0</v>
      </c>
      <c r="BO612" s="175">
        <f t="shared" si="147"/>
        <v>0</v>
      </c>
      <c r="BP612" s="174">
        <f t="shared" si="147"/>
        <v>0</v>
      </c>
      <c r="BQ612" s="175">
        <f t="shared" si="147"/>
        <v>0</v>
      </c>
      <c r="BR612" s="174">
        <f t="shared" ref="BR612:BW612" si="148">SUM(BR302:BR309)</f>
        <v>0</v>
      </c>
      <c r="BS612" s="175">
        <f t="shared" si="148"/>
        <v>0</v>
      </c>
      <c r="BT612" s="174">
        <f t="shared" si="148"/>
        <v>3235</v>
      </c>
      <c r="BU612" s="175">
        <f t="shared" si="148"/>
        <v>1586</v>
      </c>
      <c r="BV612" s="174">
        <f t="shared" si="148"/>
        <v>3307</v>
      </c>
      <c r="BW612" s="175">
        <f t="shared" si="148"/>
        <v>1528</v>
      </c>
    </row>
    <row r="613" spans="1:75" ht="13" x14ac:dyDescent="0.25">
      <c r="A613" s="196"/>
      <c r="B613" s="197" t="s">
        <v>634</v>
      </c>
      <c r="C613" s="90">
        <f>SUM(C310:C314)</f>
        <v>7164</v>
      </c>
      <c r="D613" s="90">
        <f>SUM(D310:D314)</f>
        <v>5861</v>
      </c>
      <c r="E613" s="145">
        <f t="shared" si="19"/>
        <v>0.81811836962590734</v>
      </c>
      <c r="F613" s="174">
        <f t="shared" ref="F613:AK613" si="149">SUM(F310:F314)</f>
        <v>3821</v>
      </c>
      <c r="G613" s="175">
        <f t="shared" si="149"/>
        <v>1840</v>
      </c>
      <c r="H613" s="174">
        <f t="shared" si="149"/>
        <v>0</v>
      </c>
      <c r="I613" s="175">
        <f t="shared" si="149"/>
        <v>0</v>
      </c>
      <c r="J613" s="174">
        <f t="shared" si="149"/>
        <v>0</v>
      </c>
      <c r="K613" s="175">
        <f t="shared" si="149"/>
        <v>0</v>
      </c>
      <c r="L613" s="174">
        <f t="shared" si="149"/>
        <v>0</v>
      </c>
      <c r="M613" s="175">
        <f t="shared" si="149"/>
        <v>0</v>
      </c>
      <c r="N613" s="174">
        <f t="shared" si="149"/>
        <v>0</v>
      </c>
      <c r="O613" s="175">
        <f t="shared" si="149"/>
        <v>0</v>
      </c>
      <c r="P613" s="174">
        <f t="shared" si="149"/>
        <v>0</v>
      </c>
      <c r="Q613" s="175">
        <f t="shared" si="149"/>
        <v>0</v>
      </c>
      <c r="R613" s="174">
        <f t="shared" si="149"/>
        <v>0</v>
      </c>
      <c r="S613" s="175">
        <f t="shared" si="149"/>
        <v>0</v>
      </c>
      <c r="T613" s="174">
        <f t="shared" si="149"/>
        <v>0</v>
      </c>
      <c r="U613" s="175">
        <f t="shared" si="149"/>
        <v>0</v>
      </c>
      <c r="V613" s="174">
        <f t="shared" si="149"/>
        <v>0</v>
      </c>
      <c r="W613" s="175">
        <f t="shared" si="149"/>
        <v>0</v>
      </c>
      <c r="X613" s="174">
        <f t="shared" si="149"/>
        <v>0</v>
      </c>
      <c r="Y613" s="175">
        <f t="shared" si="149"/>
        <v>0</v>
      </c>
      <c r="Z613" s="174">
        <f t="shared" si="149"/>
        <v>0</v>
      </c>
      <c r="AA613" s="175">
        <f t="shared" si="149"/>
        <v>0</v>
      </c>
      <c r="AB613" s="174">
        <f t="shared" si="149"/>
        <v>0</v>
      </c>
      <c r="AC613" s="175">
        <f t="shared" si="149"/>
        <v>0</v>
      </c>
      <c r="AD613" s="174">
        <f t="shared" si="149"/>
        <v>0</v>
      </c>
      <c r="AE613" s="175">
        <f t="shared" si="149"/>
        <v>0</v>
      </c>
      <c r="AF613" s="174">
        <f t="shared" si="149"/>
        <v>0</v>
      </c>
      <c r="AG613" s="175">
        <f t="shared" si="149"/>
        <v>0</v>
      </c>
      <c r="AH613" s="174">
        <f t="shared" si="149"/>
        <v>0</v>
      </c>
      <c r="AI613" s="175">
        <f t="shared" si="149"/>
        <v>0</v>
      </c>
      <c r="AJ613" s="174">
        <f t="shared" si="149"/>
        <v>0</v>
      </c>
      <c r="AK613" s="175">
        <f t="shared" si="149"/>
        <v>0</v>
      </c>
      <c r="AL613" s="174">
        <f t="shared" ref="AL613:BQ613" si="150">SUM(AL310:AL314)</f>
        <v>0</v>
      </c>
      <c r="AM613" s="175">
        <f t="shared" si="150"/>
        <v>0</v>
      </c>
      <c r="AN613" s="174">
        <f t="shared" si="150"/>
        <v>0</v>
      </c>
      <c r="AO613" s="175">
        <f t="shared" si="150"/>
        <v>0</v>
      </c>
      <c r="AP613" s="174">
        <f t="shared" si="150"/>
        <v>0</v>
      </c>
      <c r="AQ613" s="175">
        <f t="shared" si="150"/>
        <v>0</v>
      </c>
      <c r="AR613" s="174">
        <f t="shared" si="150"/>
        <v>0</v>
      </c>
      <c r="AS613" s="175">
        <f t="shared" si="150"/>
        <v>0</v>
      </c>
      <c r="AT613" s="174">
        <f t="shared" si="150"/>
        <v>0</v>
      </c>
      <c r="AU613" s="175">
        <f t="shared" si="150"/>
        <v>0</v>
      </c>
      <c r="AV613" s="174">
        <f t="shared" si="150"/>
        <v>0</v>
      </c>
      <c r="AW613" s="175">
        <f t="shared" si="150"/>
        <v>0</v>
      </c>
      <c r="AX613" s="174">
        <f t="shared" si="150"/>
        <v>0</v>
      </c>
      <c r="AY613" s="175">
        <f t="shared" si="150"/>
        <v>0</v>
      </c>
      <c r="AZ613" s="174">
        <f t="shared" si="150"/>
        <v>0</v>
      </c>
      <c r="BA613" s="175">
        <f t="shared" si="150"/>
        <v>1</v>
      </c>
      <c r="BB613" s="174">
        <f t="shared" si="150"/>
        <v>0</v>
      </c>
      <c r="BC613" s="175">
        <f t="shared" si="150"/>
        <v>0</v>
      </c>
      <c r="BD613" s="174">
        <f t="shared" si="150"/>
        <v>0</v>
      </c>
      <c r="BE613" s="175">
        <f t="shared" si="150"/>
        <v>0</v>
      </c>
      <c r="BF613" s="174">
        <f t="shared" si="150"/>
        <v>0</v>
      </c>
      <c r="BG613" s="175">
        <f t="shared" si="150"/>
        <v>0</v>
      </c>
      <c r="BH613" s="174">
        <f t="shared" si="150"/>
        <v>0</v>
      </c>
      <c r="BI613" s="175">
        <f t="shared" si="150"/>
        <v>0</v>
      </c>
      <c r="BJ613" s="174">
        <f t="shared" si="150"/>
        <v>0</v>
      </c>
      <c r="BK613" s="175">
        <f t="shared" si="150"/>
        <v>0</v>
      </c>
      <c r="BL613" s="174">
        <f t="shared" si="150"/>
        <v>0</v>
      </c>
      <c r="BM613" s="175">
        <f t="shared" si="150"/>
        <v>0</v>
      </c>
      <c r="BN613" s="174">
        <f t="shared" si="150"/>
        <v>3854</v>
      </c>
      <c r="BO613" s="175">
        <f t="shared" si="150"/>
        <v>1742</v>
      </c>
      <c r="BP613" s="174">
        <f t="shared" si="150"/>
        <v>0</v>
      </c>
      <c r="BQ613" s="175">
        <f t="shared" si="150"/>
        <v>0</v>
      </c>
      <c r="BR613" s="174">
        <f t="shared" ref="BR613:BW613" si="151">SUM(BR310:BR314)</f>
        <v>0</v>
      </c>
      <c r="BS613" s="175">
        <f t="shared" si="151"/>
        <v>0</v>
      </c>
      <c r="BT613" s="174">
        <f t="shared" si="151"/>
        <v>4353</v>
      </c>
      <c r="BU613" s="175">
        <f t="shared" si="151"/>
        <v>1301</v>
      </c>
      <c r="BV613" s="174">
        <f t="shared" si="151"/>
        <v>4431</v>
      </c>
      <c r="BW613" s="175">
        <f t="shared" si="151"/>
        <v>1221</v>
      </c>
    </row>
    <row r="614" spans="1:75" ht="13" x14ac:dyDescent="0.25">
      <c r="A614" s="196"/>
      <c r="B614" s="197" t="s">
        <v>635</v>
      </c>
      <c r="C614" s="90">
        <f>SUM(C319:C350)</f>
        <v>35032</v>
      </c>
      <c r="D614" s="90">
        <f>SUM(D319:D350)</f>
        <v>28663</v>
      </c>
      <c r="E614" s="145">
        <f t="shared" si="19"/>
        <v>0.81819479333181089</v>
      </c>
      <c r="F614" s="174">
        <f t="shared" ref="F614:AK614" si="152">SUM(F319:F350)</f>
        <v>13049</v>
      </c>
      <c r="G614" s="175">
        <f t="shared" si="152"/>
        <v>14373</v>
      </c>
      <c r="H614" s="174">
        <f t="shared" si="152"/>
        <v>0</v>
      </c>
      <c r="I614" s="175">
        <f t="shared" si="152"/>
        <v>0</v>
      </c>
      <c r="J614" s="174">
        <f t="shared" si="152"/>
        <v>0</v>
      </c>
      <c r="K614" s="175">
        <f t="shared" si="152"/>
        <v>0</v>
      </c>
      <c r="L614" s="174">
        <f t="shared" si="152"/>
        <v>0</v>
      </c>
      <c r="M614" s="175">
        <f t="shared" si="152"/>
        <v>0</v>
      </c>
      <c r="N614" s="174">
        <f t="shared" si="152"/>
        <v>0</v>
      </c>
      <c r="O614" s="175">
        <f t="shared" si="152"/>
        <v>0</v>
      </c>
      <c r="P614" s="174">
        <f t="shared" si="152"/>
        <v>0</v>
      </c>
      <c r="Q614" s="175">
        <f t="shared" si="152"/>
        <v>0</v>
      </c>
      <c r="R614" s="174">
        <f t="shared" si="152"/>
        <v>0</v>
      </c>
      <c r="S614" s="175">
        <f t="shared" si="152"/>
        <v>0</v>
      </c>
      <c r="T614" s="174">
        <f t="shared" si="152"/>
        <v>0</v>
      </c>
      <c r="U614" s="175">
        <f t="shared" si="152"/>
        <v>0</v>
      </c>
      <c r="V614" s="174">
        <f t="shared" si="152"/>
        <v>0</v>
      </c>
      <c r="W614" s="175">
        <f t="shared" si="152"/>
        <v>0</v>
      </c>
      <c r="X614" s="174">
        <f t="shared" si="152"/>
        <v>0</v>
      </c>
      <c r="Y614" s="175">
        <f t="shared" si="152"/>
        <v>0</v>
      </c>
      <c r="Z614" s="174">
        <f t="shared" si="152"/>
        <v>0</v>
      </c>
      <c r="AA614" s="175">
        <f t="shared" si="152"/>
        <v>0</v>
      </c>
      <c r="AB614" s="174">
        <f t="shared" si="152"/>
        <v>0</v>
      </c>
      <c r="AC614" s="175">
        <f t="shared" si="152"/>
        <v>0</v>
      </c>
      <c r="AD614" s="174">
        <f t="shared" si="152"/>
        <v>0</v>
      </c>
      <c r="AE614" s="175">
        <f t="shared" si="152"/>
        <v>0</v>
      </c>
      <c r="AF614" s="174">
        <f t="shared" si="152"/>
        <v>0</v>
      </c>
      <c r="AG614" s="175">
        <f t="shared" si="152"/>
        <v>0</v>
      </c>
      <c r="AH614" s="174">
        <f t="shared" si="152"/>
        <v>0</v>
      </c>
      <c r="AI614" s="175">
        <f t="shared" si="152"/>
        <v>0</v>
      </c>
      <c r="AJ614" s="174">
        <f t="shared" si="152"/>
        <v>0</v>
      </c>
      <c r="AK614" s="175">
        <f t="shared" si="152"/>
        <v>0</v>
      </c>
      <c r="AL614" s="174">
        <f t="shared" ref="AL614:BQ614" si="153">SUM(AL319:AL350)</f>
        <v>0</v>
      </c>
      <c r="AM614" s="175">
        <f t="shared" si="153"/>
        <v>0</v>
      </c>
      <c r="AN614" s="174">
        <f t="shared" si="153"/>
        <v>0</v>
      </c>
      <c r="AO614" s="175">
        <f t="shared" si="153"/>
        <v>0</v>
      </c>
      <c r="AP614" s="174">
        <f t="shared" si="153"/>
        <v>0</v>
      </c>
      <c r="AQ614" s="175">
        <f t="shared" si="153"/>
        <v>0</v>
      </c>
      <c r="AR614" s="174">
        <f t="shared" si="153"/>
        <v>0</v>
      </c>
      <c r="AS614" s="175">
        <f t="shared" si="153"/>
        <v>0</v>
      </c>
      <c r="AT614" s="174">
        <f t="shared" si="153"/>
        <v>13899</v>
      </c>
      <c r="AU614" s="175">
        <f t="shared" si="153"/>
        <v>13501</v>
      </c>
      <c r="AV614" s="174">
        <f t="shared" si="153"/>
        <v>0</v>
      </c>
      <c r="AW614" s="175">
        <f t="shared" si="153"/>
        <v>0</v>
      </c>
      <c r="AX614" s="174">
        <f t="shared" si="153"/>
        <v>0</v>
      </c>
      <c r="AY614" s="175">
        <f t="shared" si="153"/>
        <v>0</v>
      </c>
      <c r="AZ614" s="174">
        <f t="shared" si="153"/>
        <v>0</v>
      </c>
      <c r="BA614" s="175">
        <f t="shared" si="153"/>
        <v>0</v>
      </c>
      <c r="BB614" s="174">
        <f t="shared" si="153"/>
        <v>0</v>
      </c>
      <c r="BC614" s="175">
        <f t="shared" si="153"/>
        <v>0</v>
      </c>
      <c r="BD614" s="174">
        <f t="shared" si="153"/>
        <v>0</v>
      </c>
      <c r="BE614" s="175">
        <f t="shared" si="153"/>
        <v>0</v>
      </c>
      <c r="BF614" s="174">
        <f t="shared" si="153"/>
        <v>0</v>
      </c>
      <c r="BG614" s="175">
        <f t="shared" si="153"/>
        <v>0</v>
      </c>
      <c r="BH614" s="174">
        <f t="shared" si="153"/>
        <v>0</v>
      </c>
      <c r="BI614" s="175">
        <f t="shared" si="153"/>
        <v>0</v>
      </c>
      <c r="BJ614" s="174">
        <f t="shared" si="153"/>
        <v>0</v>
      </c>
      <c r="BK614" s="175">
        <f t="shared" si="153"/>
        <v>0</v>
      </c>
      <c r="BL614" s="174">
        <f t="shared" si="153"/>
        <v>0</v>
      </c>
      <c r="BM614" s="175">
        <f t="shared" si="153"/>
        <v>0</v>
      </c>
      <c r="BN614" s="174">
        <f t="shared" si="153"/>
        <v>0</v>
      </c>
      <c r="BO614" s="175">
        <f t="shared" si="153"/>
        <v>0</v>
      </c>
      <c r="BP614" s="174">
        <f t="shared" si="153"/>
        <v>13437</v>
      </c>
      <c r="BQ614" s="175">
        <f t="shared" si="153"/>
        <v>14024</v>
      </c>
      <c r="BR614" s="174">
        <f t="shared" ref="BR614:BW614" si="154">SUM(BR319:BR350)</f>
        <v>0</v>
      </c>
      <c r="BS614" s="175">
        <f t="shared" si="154"/>
        <v>0</v>
      </c>
      <c r="BT614" s="174">
        <f t="shared" si="154"/>
        <v>15733</v>
      </c>
      <c r="BU614" s="175">
        <f t="shared" si="154"/>
        <v>11654</v>
      </c>
      <c r="BV614" s="174">
        <f t="shared" si="154"/>
        <v>16327</v>
      </c>
      <c r="BW614" s="175">
        <f t="shared" si="154"/>
        <v>11104</v>
      </c>
    </row>
    <row r="615" spans="1:75" ht="13" x14ac:dyDescent="0.25">
      <c r="A615" s="196"/>
      <c r="B615" s="197" t="s">
        <v>636</v>
      </c>
      <c r="C615" s="90">
        <f>SUM(C352:C389)</f>
        <v>41614</v>
      </c>
      <c r="D615" s="90">
        <f>SUM(D352:D389)</f>
        <v>29989</v>
      </c>
      <c r="E615" s="145">
        <f t="shared" si="19"/>
        <v>0.72064689767866585</v>
      </c>
      <c r="F615" s="174">
        <f t="shared" ref="F615:AK615" si="155">SUM(F352:F389)</f>
        <v>12572</v>
      </c>
      <c r="G615" s="175">
        <f t="shared" si="155"/>
        <v>15866</v>
      </c>
      <c r="H615" s="174">
        <f t="shared" si="155"/>
        <v>0</v>
      </c>
      <c r="I615" s="175">
        <f t="shared" si="155"/>
        <v>0</v>
      </c>
      <c r="J615" s="174">
        <f t="shared" si="155"/>
        <v>0</v>
      </c>
      <c r="K615" s="175">
        <f t="shared" si="155"/>
        <v>0</v>
      </c>
      <c r="L615" s="174">
        <f t="shared" si="155"/>
        <v>0</v>
      </c>
      <c r="M615" s="175">
        <f t="shared" si="155"/>
        <v>0</v>
      </c>
      <c r="N615" s="174">
        <f t="shared" si="155"/>
        <v>0</v>
      </c>
      <c r="O615" s="175">
        <f t="shared" si="155"/>
        <v>0</v>
      </c>
      <c r="P615" s="174">
        <f t="shared" si="155"/>
        <v>0</v>
      </c>
      <c r="Q615" s="175">
        <f t="shared" si="155"/>
        <v>0</v>
      </c>
      <c r="R615" s="174">
        <f t="shared" si="155"/>
        <v>0</v>
      </c>
      <c r="S615" s="175">
        <f t="shared" si="155"/>
        <v>0</v>
      </c>
      <c r="T615" s="174">
        <f t="shared" si="155"/>
        <v>0</v>
      </c>
      <c r="U615" s="175">
        <f t="shared" si="155"/>
        <v>0</v>
      </c>
      <c r="V615" s="174">
        <f t="shared" si="155"/>
        <v>0</v>
      </c>
      <c r="W615" s="175">
        <f t="shared" si="155"/>
        <v>0</v>
      </c>
      <c r="X615" s="174">
        <f t="shared" si="155"/>
        <v>0</v>
      </c>
      <c r="Y615" s="175">
        <f t="shared" si="155"/>
        <v>0</v>
      </c>
      <c r="Z615" s="174">
        <f t="shared" si="155"/>
        <v>0</v>
      </c>
      <c r="AA615" s="175">
        <f t="shared" si="155"/>
        <v>0</v>
      </c>
      <c r="AB615" s="174">
        <f t="shared" si="155"/>
        <v>0</v>
      </c>
      <c r="AC615" s="175">
        <f t="shared" si="155"/>
        <v>0</v>
      </c>
      <c r="AD615" s="174">
        <f t="shared" si="155"/>
        <v>0</v>
      </c>
      <c r="AE615" s="175">
        <f t="shared" si="155"/>
        <v>0</v>
      </c>
      <c r="AF615" s="174">
        <f t="shared" si="155"/>
        <v>0</v>
      </c>
      <c r="AG615" s="175">
        <f t="shared" si="155"/>
        <v>0</v>
      </c>
      <c r="AH615" s="174">
        <f t="shared" si="155"/>
        <v>0</v>
      </c>
      <c r="AI615" s="175">
        <f t="shared" si="155"/>
        <v>0</v>
      </c>
      <c r="AJ615" s="174">
        <f t="shared" si="155"/>
        <v>0</v>
      </c>
      <c r="AK615" s="175">
        <f t="shared" si="155"/>
        <v>0</v>
      </c>
      <c r="AL615" s="174">
        <f t="shared" ref="AL615:BQ615" si="156">SUM(AL352:AL389)</f>
        <v>0</v>
      </c>
      <c r="AM615" s="175">
        <f t="shared" si="156"/>
        <v>0</v>
      </c>
      <c r="AN615" s="174">
        <f t="shared" si="156"/>
        <v>0</v>
      </c>
      <c r="AO615" s="175">
        <f t="shared" si="156"/>
        <v>0</v>
      </c>
      <c r="AP615" s="174">
        <f t="shared" si="156"/>
        <v>0</v>
      </c>
      <c r="AQ615" s="175">
        <f t="shared" si="156"/>
        <v>0</v>
      </c>
      <c r="AR615" s="174">
        <f t="shared" si="156"/>
        <v>0</v>
      </c>
      <c r="AS615" s="175">
        <f t="shared" si="156"/>
        <v>0</v>
      </c>
      <c r="AT615" s="174">
        <f t="shared" si="156"/>
        <v>0</v>
      </c>
      <c r="AU615" s="175">
        <f t="shared" si="156"/>
        <v>0</v>
      </c>
      <c r="AV615" s="174">
        <f t="shared" si="156"/>
        <v>0</v>
      </c>
      <c r="AW615" s="175">
        <f t="shared" si="156"/>
        <v>0</v>
      </c>
      <c r="AX615" s="174">
        <f t="shared" si="156"/>
        <v>0</v>
      </c>
      <c r="AY615" s="175">
        <f t="shared" si="156"/>
        <v>0</v>
      </c>
      <c r="AZ615" s="174">
        <f t="shared" si="156"/>
        <v>0</v>
      </c>
      <c r="BA615" s="175">
        <f t="shared" si="156"/>
        <v>0</v>
      </c>
      <c r="BB615" s="174">
        <f t="shared" si="156"/>
        <v>0</v>
      </c>
      <c r="BC615" s="175">
        <f t="shared" si="156"/>
        <v>0</v>
      </c>
      <c r="BD615" s="174">
        <f t="shared" si="156"/>
        <v>0</v>
      </c>
      <c r="BE615" s="175">
        <f t="shared" si="156"/>
        <v>0</v>
      </c>
      <c r="BF615" s="174">
        <f t="shared" si="156"/>
        <v>0</v>
      </c>
      <c r="BG615" s="175">
        <f t="shared" si="156"/>
        <v>0</v>
      </c>
      <c r="BH615" s="174">
        <f t="shared" si="156"/>
        <v>0</v>
      </c>
      <c r="BI615" s="175">
        <f t="shared" si="156"/>
        <v>0</v>
      </c>
      <c r="BJ615" s="174">
        <f t="shared" si="156"/>
        <v>1042</v>
      </c>
      <c r="BK615" s="175">
        <f t="shared" si="156"/>
        <v>1582</v>
      </c>
      <c r="BL615" s="174">
        <f t="shared" si="156"/>
        <v>0</v>
      </c>
      <c r="BM615" s="175">
        <f t="shared" si="156"/>
        <v>0</v>
      </c>
      <c r="BN615" s="174">
        <f t="shared" si="156"/>
        <v>0</v>
      </c>
      <c r="BO615" s="175">
        <f t="shared" si="156"/>
        <v>0</v>
      </c>
      <c r="BP615" s="174">
        <f t="shared" si="156"/>
        <v>0</v>
      </c>
      <c r="BQ615" s="175">
        <f t="shared" si="156"/>
        <v>0</v>
      </c>
      <c r="BR615" s="174">
        <f t="shared" ref="BR615:BW615" si="157">SUM(BR352:BR389)</f>
        <v>0</v>
      </c>
      <c r="BS615" s="175">
        <f t="shared" si="157"/>
        <v>0</v>
      </c>
      <c r="BT615" s="174">
        <f t="shared" si="157"/>
        <v>14852</v>
      </c>
      <c r="BU615" s="175">
        <f t="shared" si="157"/>
        <v>13598</v>
      </c>
      <c r="BV615" s="174">
        <f t="shared" si="157"/>
        <v>15886</v>
      </c>
      <c r="BW615" s="175">
        <f t="shared" si="157"/>
        <v>12575</v>
      </c>
    </row>
    <row r="616" spans="1:75" ht="13" x14ac:dyDescent="0.25">
      <c r="A616" s="196"/>
      <c r="B616" s="197" t="s">
        <v>637</v>
      </c>
      <c r="C616" s="90">
        <f>SUM(C390:C398)</f>
        <v>3447</v>
      </c>
      <c r="D616" s="90">
        <f>SUM(D390:D398)</f>
        <v>2499</v>
      </c>
      <c r="E616" s="145">
        <f t="shared" si="19"/>
        <v>0.72497824194952132</v>
      </c>
      <c r="F616" s="174">
        <f t="shared" ref="F616:AK616" si="158">SUM(F390:F398)</f>
        <v>1542</v>
      </c>
      <c r="G616" s="175">
        <f t="shared" si="158"/>
        <v>853</v>
      </c>
      <c r="H616" s="174">
        <f t="shared" si="158"/>
        <v>0</v>
      </c>
      <c r="I616" s="175">
        <f t="shared" si="158"/>
        <v>0</v>
      </c>
      <c r="J616" s="174">
        <f t="shared" si="158"/>
        <v>0</v>
      </c>
      <c r="K616" s="175">
        <f t="shared" si="158"/>
        <v>0</v>
      </c>
      <c r="L616" s="174">
        <f t="shared" si="158"/>
        <v>0</v>
      </c>
      <c r="M616" s="175">
        <f t="shared" si="158"/>
        <v>0</v>
      </c>
      <c r="N616" s="174">
        <f t="shared" si="158"/>
        <v>0</v>
      </c>
      <c r="O616" s="175">
        <f t="shared" si="158"/>
        <v>0</v>
      </c>
      <c r="P616" s="174">
        <f t="shared" si="158"/>
        <v>0</v>
      </c>
      <c r="Q616" s="175">
        <f t="shared" si="158"/>
        <v>0</v>
      </c>
      <c r="R616" s="174">
        <f t="shared" si="158"/>
        <v>0</v>
      </c>
      <c r="S616" s="175">
        <f t="shared" si="158"/>
        <v>0</v>
      </c>
      <c r="T616" s="174">
        <f t="shared" si="158"/>
        <v>0</v>
      </c>
      <c r="U616" s="175">
        <f t="shared" si="158"/>
        <v>0</v>
      </c>
      <c r="V616" s="174">
        <f t="shared" si="158"/>
        <v>0</v>
      </c>
      <c r="W616" s="175">
        <f t="shared" si="158"/>
        <v>0</v>
      </c>
      <c r="X616" s="174">
        <f t="shared" si="158"/>
        <v>0</v>
      </c>
      <c r="Y616" s="175">
        <f t="shared" si="158"/>
        <v>0</v>
      </c>
      <c r="Z616" s="174">
        <f t="shared" si="158"/>
        <v>0</v>
      </c>
      <c r="AA616" s="175">
        <f t="shared" si="158"/>
        <v>0</v>
      </c>
      <c r="AB616" s="174">
        <f t="shared" si="158"/>
        <v>0</v>
      </c>
      <c r="AC616" s="175">
        <f t="shared" si="158"/>
        <v>0</v>
      </c>
      <c r="AD616" s="174">
        <f t="shared" si="158"/>
        <v>0</v>
      </c>
      <c r="AE616" s="175">
        <f t="shared" si="158"/>
        <v>0</v>
      </c>
      <c r="AF616" s="174">
        <f t="shared" si="158"/>
        <v>0</v>
      </c>
      <c r="AG616" s="175">
        <f t="shared" si="158"/>
        <v>0</v>
      </c>
      <c r="AH616" s="174">
        <f t="shared" si="158"/>
        <v>0</v>
      </c>
      <c r="AI616" s="175">
        <f t="shared" si="158"/>
        <v>0</v>
      </c>
      <c r="AJ616" s="174">
        <f t="shared" si="158"/>
        <v>0</v>
      </c>
      <c r="AK616" s="175">
        <f t="shared" si="158"/>
        <v>0</v>
      </c>
      <c r="AL616" s="174">
        <f t="shared" ref="AL616:BQ616" si="159">SUM(AL390:AL398)</f>
        <v>0</v>
      </c>
      <c r="AM616" s="175">
        <f t="shared" si="159"/>
        <v>0</v>
      </c>
      <c r="AN616" s="174">
        <f t="shared" si="159"/>
        <v>0</v>
      </c>
      <c r="AO616" s="175">
        <f t="shared" si="159"/>
        <v>0</v>
      </c>
      <c r="AP616" s="174">
        <f t="shared" si="159"/>
        <v>0</v>
      </c>
      <c r="AQ616" s="175">
        <f t="shared" si="159"/>
        <v>0</v>
      </c>
      <c r="AR616" s="174">
        <f t="shared" si="159"/>
        <v>0</v>
      </c>
      <c r="AS616" s="175">
        <f t="shared" si="159"/>
        <v>0</v>
      </c>
      <c r="AT616" s="174">
        <f t="shared" si="159"/>
        <v>0</v>
      </c>
      <c r="AU616" s="175">
        <f t="shared" si="159"/>
        <v>0</v>
      </c>
      <c r="AV616" s="174">
        <f t="shared" si="159"/>
        <v>0</v>
      </c>
      <c r="AW616" s="175">
        <f t="shared" si="159"/>
        <v>0</v>
      </c>
      <c r="AX616" s="174">
        <f t="shared" si="159"/>
        <v>0</v>
      </c>
      <c r="AY616" s="175">
        <f t="shared" si="159"/>
        <v>0</v>
      </c>
      <c r="AZ616" s="174">
        <f t="shared" si="159"/>
        <v>0</v>
      </c>
      <c r="BA616" s="175">
        <f t="shared" si="159"/>
        <v>0</v>
      </c>
      <c r="BB616" s="174">
        <f t="shared" si="159"/>
        <v>0</v>
      </c>
      <c r="BC616" s="175">
        <f t="shared" si="159"/>
        <v>0</v>
      </c>
      <c r="BD616" s="174">
        <f t="shared" si="159"/>
        <v>0</v>
      </c>
      <c r="BE616" s="175">
        <f t="shared" si="159"/>
        <v>0</v>
      </c>
      <c r="BF616" s="174">
        <f t="shared" si="159"/>
        <v>353</v>
      </c>
      <c r="BG616" s="175">
        <f t="shared" si="159"/>
        <v>222</v>
      </c>
      <c r="BH616" s="174">
        <f t="shared" si="159"/>
        <v>0</v>
      </c>
      <c r="BI616" s="175">
        <f t="shared" si="159"/>
        <v>0</v>
      </c>
      <c r="BJ616" s="174">
        <f t="shared" si="159"/>
        <v>0</v>
      </c>
      <c r="BK616" s="175">
        <f t="shared" si="159"/>
        <v>0</v>
      </c>
      <c r="BL616" s="174">
        <f t="shared" si="159"/>
        <v>0</v>
      </c>
      <c r="BM616" s="175">
        <f t="shared" si="159"/>
        <v>0</v>
      </c>
      <c r="BN616" s="174">
        <f t="shared" si="159"/>
        <v>0</v>
      </c>
      <c r="BO616" s="175">
        <f t="shared" si="159"/>
        <v>0</v>
      </c>
      <c r="BP616" s="174">
        <f t="shared" si="159"/>
        <v>0</v>
      </c>
      <c r="BQ616" s="175">
        <f t="shared" si="159"/>
        <v>0</v>
      </c>
      <c r="BR616" s="174">
        <f t="shared" ref="BR616:BW616" si="160">SUM(BR390:BR398)</f>
        <v>1877</v>
      </c>
      <c r="BS616" s="175">
        <f t="shared" si="160"/>
        <v>508</v>
      </c>
      <c r="BT616" s="174">
        <f t="shared" si="160"/>
        <v>1764</v>
      </c>
      <c r="BU616" s="175">
        <f t="shared" si="160"/>
        <v>609</v>
      </c>
      <c r="BV616" s="174">
        <f t="shared" si="160"/>
        <v>1829</v>
      </c>
      <c r="BW616" s="175">
        <f t="shared" si="160"/>
        <v>560</v>
      </c>
    </row>
    <row r="617" spans="1:75" ht="13" x14ac:dyDescent="0.25">
      <c r="A617" s="196"/>
      <c r="B617" s="197" t="s">
        <v>638</v>
      </c>
      <c r="C617" s="90">
        <f>SUM(C399:C400)+C231</f>
        <v>4457</v>
      </c>
      <c r="D617" s="90">
        <f>SUM(D399:D400)+D231</f>
        <v>3601</v>
      </c>
      <c r="E617" s="145">
        <f t="shared" si="19"/>
        <v>0.80794256226161099</v>
      </c>
      <c r="F617" s="174">
        <f t="shared" ref="F617:AK617" si="161">SUM(F399:F400)+F231</f>
        <v>943</v>
      </c>
      <c r="G617" s="175">
        <f t="shared" si="161"/>
        <v>2430</v>
      </c>
      <c r="H617" s="174">
        <f t="shared" si="161"/>
        <v>0</v>
      </c>
      <c r="I617" s="175">
        <f t="shared" si="161"/>
        <v>0</v>
      </c>
      <c r="J617" s="174">
        <f t="shared" si="161"/>
        <v>0</v>
      </c>
      <c r="K617" s="175">
        <f t="shared" si="161"/>
        <v>0</v>
      </c>
      <c r="L617" s="174">
        <f t="shared" si="161"/>
        <v>0</v>
      </c>
      <c r="M617" s="175">
        <f t="shared" si="161"/>
        <v>0</v>
      </c>
      <c r="N617" s="174">
        <f t="shared" si="161"/>
        <v>0</v>
      </c>
      <c r="O617" s="175">
        <f t="shared" si="161"/>
        <v>0</v>
      </c>
      <c r="P617" s="174">
        <f t="shared" si="161"/>
        <v>0</v>
      </c>
      <c r="Q617" s="175">
        <f t="shared" si="161"/>
        <v>0</v>
      </c>
      <c r="R617" s="174">
        <f t="shared" si="161"/>
        <v>0</v>
      </c>
      <c r="S617" s="175">
        <f t="shared" si="161"/>
        <v>0</v>
      </c>
      <c r="T617" s="174">
        <f t="shared" si="161"/>
        <v>0</v>
      </c>
      <c r="U617" s="175">
        <f t="shared" si="161"/>
        <v>0</v>
      </c>
      <c r="V617" s="174">
        <f t="shared" si="161"/>
        <v>0</v>
      </c>
      <c r="W617" s="175">
        <f t="shared" si="161"/>
        <v>0</v>
      </c>
      <c r="X617" s="174">
        <f t="shared" si="161"/>
        <v>0</v>
      </c>
      <c r="Y617" s="175">
        <f t="shared" si="161"/>
        <v>0</v>
      </c>
      <c r="Z617" s="174">
        <f t="shared" si="161"/>
        <v>0</v>
      </c>
      <c r="AA617" s="175">
        <f t="shared" si="161"/>
        <v>0</v>
      </c>
      <c r="AB617" s="174">
        <f t="shared" si="161"/>
        <v>0</v>
      </c>
      <c r="AC617" s="175">
        <f t="shared" si="161"/>
        <v>0</v>
      </c>
      <c r="AD617" s="174">
        <f t="shared" si="161"/>
        <v>0</v>
      </c>
      <c r="AE617" s="175">
        <f t="shared" si="161"/>
        <v>0</v>
      </c>
      <c r="AF617" s="174">
        <f t="shared" si="161"/>
        <v>0</v>
      </c>
      <c r="AG617" s="175">
        <f t="shared" si="161"/>
        <v>0</v>
      </c>
      <c r="AH617" s="174">
        <f t="shared" si="161"/>
        <v>0</v>
      </c>
      <c r="AI617" s="175">
        <f t="shared" si="161"/>
        <v>0</v>
      </c>
      <c r="AJ617" s="174">
        <f t="shared" si="161"/>
        <v>0</v>
      </c>
      <c r="AK617" s="175">
        <f t="shared" si="161"/>
        <v>0</v>
      </c>
      <c r="AL617" s="174">
        <f t="shared" ref="AL617:BQ617" si="162">SUM(AL399:AL400)+AL231</f>
        <v>0</v>
      </c>
      <c r="AM617" s="175">
        <f t="shared" si="162"/>
        <v>0</v>
      </c>
      <c r="AN617" s="174">
        <f t="shared" si="162"/>
        <v>0</v>
      </c>
      <c r="AO617" s="175">
        <f t="shared" si="162"/>
        <v>0</v>
      </c>
      <c r="AP617" s="174">
        <f t="shared" si="162"/>
        <v>0</v>
      </c>
      <c r="AQ617" s="175">
        <f t="shared" si="162"/>
        <v>0</v>
      </c>
      <c r="AR617" s="174">
        <f t="shared" si="162"/>
        <v>0</v>
      </c>
      <c r="AS617" s="175">
        <f t="shared" si="162"/>
        <v>0</v>
      </c>
      <c r="AT617" s="174">
        <f t="shared" si="162"/>
        <v>0</v>
      </c>
      <c r="AU617" s="175">
        <f t="shared" si="162"/>
        <v>0</v>
      </c>
      <c r="AV617" s="174">
        <f t="shared" si="162"/>
        <v>0</v>
      </c>
      <c r="AW617" s="175">
        <f t="shared" si="162"/>
        <v>0</v>
      </c>
      <c r="AX617" s="174">
        <f t="shared" si="162"/>
        <v>0</v>
      </c>
      <c r="AY617" s="175">
        <f t="shared" si="162"/>
        <v>0</v>
      </c>
      <c r="AZ617" s="174">
        <f t="shared" si="162"/>
        <v>0</v>
      </c>
      <c r="BA617" s="175">
        <f t="shared" si="162"/>
        <v>0</v>
      </c>
      <c r="BB617" s="174">
        <f t="shared" si="162"/>
        <v>0</v>
      </c>
      <c r="BC617" s="175">
        <f t="shared" si="162"/>
        <v>0</v>
      </c>
      <c r="BD617" s="174">
        <f t="shared" si="162"/>
        <v>0</v>
      </c>
      <c r="BE617" s="175">
        <f t="shared" si="162"/>
        <v>0</v>
      </c>
      <c r="BF617" s="174">
        <f t="shared" si="162"/>
        <v>0</v>
      </c>
      <c r="BG617" s="175">
        <f t="shared" si="162"/>
        <v>0</v>
      </c>
      <c r="BH617" s="174">
        <f t="shared" si="162"/>
        <v>0</v>
      </c>
      <c r="BI617" s="175">
        <f t="shared" si="162"/>
        <v>0</v>
      </c>
      <c r="BJ617" s="174">
        <f t="shared" si="162"/>
        <v>0</v>
      </c>
      <c r="BK617" s="175">
        <f t="shared" si="162"/>
        <v>0</v>
      </c>
      <c r="BL617" s="174">
        <f t="shared" si="162"/>
        <v>0</v>
      </c>
      <c r="BM617" s="175">
        <f t="shared" si="162"/>
        <v>0</v>
      </c>
      <c r="BN617" s="174">
        <f t="shared" si="162"/>
        <v>0</v>
      </c>
      <c r="BO617" s="175">
        <f t="shared" si="162"/>
        <v>0</v>
      </c>
      <c r="BP617" s="174">
        <f t="shared" si="162"/>
        <v>0</v>
      </c>
      <c r="BQ617" s="175">
        <f t="shared" si="162"/>
        <v>0</v>
      </c>
      <c r="BR617" s="174">
        <f t="shared" ref="BR617:BW617" si="163">SUM(BR399:BR400)+BR231</f>
        <v>0</v>
      </c>
      <c r="BS617" s="175">
        <f t="shared" si="163"/>
        <v>0</v>
      </c>
      <c r="BT617" s="174">
        <f t="shared" si="163"/>
        <v>1368</v>
      </c>
      <c r="BU617" s="175">
        <f t="shared" si="163"/>
        <v>1999</v>
      </c>
      <c r="BV617" s="174">
        <f t="shared" si="163"/>
        <v>1585</v>
      </c>
      <c r="BW617" s="175">
        <f t="shared" si="163"/>
        <v>1783</v>
      </c>
    </row>
    <row r="618" spans="1:75" ht="13" x14ac:dyDescent="0.25">
      <c r="A618" s="196"/>
      <c r="B618" s="197" t="s">
        <v>639</v>
      </c>
      <c r="C618" s="90">
        <f>SUM(C401:C419)</f>
        <v>20654</v>
      </c>
      <c r="D618" s="90">
        <f>SUM(D401:D419)</f>
        <v>15797</v>
      </c>
      <c r="E618" s="145">
        <f t="shared" si="19"/>
        <v>0.76483974048610437</v>
      </c>
      <c r="F618" s="174">
        <f t="shared" ref="F618:AK618" si="164">SUM(F401:F419)</f>
        <v>5503</v>
      </c>
      <c r="G618" s="175">
        <f t="shared" si="164"/>
        <v>9463</v>
      </c>
      <c r="H618" s="174">
        <f t="shared" si="164"/>
        <v>0</v>
      </c>
      <c r="I618" s="175">
        <f t="shared" si="164"/>
        <v>0</v>
      </c>
      <c r="J618" s="174">
        <f t="shared" si="164"/>
        <v>0</v>
      </c>
      <c r="K618" s="175">
        <f t="shared" si="164"/>
        <v>0</v>
      </c>
      <c r="L618" s="174">
        <f t="shared" si="164"/>
        <v>0</v>
      </c>
      <c r="M618" s="175">
        <f t="shared" si="164"/>
        <v>0</v>
      </c>
      <c r="N618" s="174">
        <f t="shared" si="164"/>
        <v>0</v>
      </c>
      <c r="O618" s="175">
        <f t="shared" si="164"/>
        <v>0</v>
      </c>
      <c r="P618" s="174">
        <f t="shared" si="164"/>
        <v>0</v>
      </c>
      <c r="Q618" s="175">
        <f t="shared" si="164"/>
        <v>0</v>
      </c>
      <c r="R618" s="174">
        <f t="shared" si="164"/>
        <v>0</v>
      </c>
      <c r="S618" s="175">
        <f t="shared" si="164"/>
        <v>0</v>
      </c>
      <c r="T618" s="174">
        <f t="shared" si="164"/>
        <v>0</v>
      </c>
      <c r="U618" s="175">
        <f t="shared" si="164"/>
        <v>0</v>
      </c>
      <c r="V618" s="174">
        <f t="shared" si="164"/>
        <v>0</v>
      </c>
      <c r="W618" s="175">
        <f t="shared" si="164"/>
        <v>0</v>
      </c>
      <c r="X618" s="174">
        <f t="shared" si="164"/>
        <v>0</v>
      </c>
      <c r="Y618" s="175">
        <f t="shared" si="164"/>
        <v>0</v>
      </c>
      <c r="Z618" s="174">
        <f t="shared" si="164"/>
        <v>0</v>
      </c>
      <c r="AA618" s="175">
        <f t="shared" si="164"/>
        <v>0</v>
      </c>
      <c r="AB618" s="174">
        <f t="shared" si="164"/>
        <v>0</v>
      </c>
      <c r="AC618" s="175">
        <f t="shared" si="164"/>
        <v>0</v>
      </c>
      <c r="AD618" s="174">
        <f t="shared" si="164"/>
        <v>0</v>
      </c>
      <c r="AE618" s="175">
        <f t="shared" si="164"/>
        <v>0</v>
      </c>
      <c r="AF618" s="174">
        <f t="shared" si="164"/>
        <v>0</v>
      </c>
      <c r="AG618" s="175">
        <f t="shared" si="164"/>
        <v>0</v>
      </c>
      <c r="AH618" s="174">
        <f t="shared" si="164"/>
        <v>0</v>
      </c>
      <c r="AI618" s="175">
        <f t="shared" si="164"/>
        <v>0</v>
      </c>
      <c r="AJ618" s="174">
        <f t="shared" si="164"/>
        <v>0</v>
      </c>
      <c r="AK618" s="175">
        <f t="shared" si="164"/>
        <v>0</v>
      </c>
      <c r="AL618" s="174">
        <f t="shared" ref="AL618:BQ618" si="165">SUM(AL401:AL419)</f>
        <v>0</v>
      </c>
      <c r="AM618" s="175">
        <f t="shared" si="165"/>
        <v>0</v>
      </c>
      <c r="AN618" s="174">
        <f t="shared" si="165"/>
        <v>0</v>
      </c>
      <c r="AO618" s="175">
        <f t="shared" si="165"/>
        <v>0</v>
      </c>
      <c r="AP618" s="174">
        <f t="shared" si="165"/>
        <v>0</v>
      </c>
      <c r="AQ618" s="175">
        <f t="shared" si="165"/>
        <v>0</v>
      </c>
      <c r="AR618" s="174">
        <f t="shared" si="165"/>
        <v>0</v>
      </c>
      <c r="AS618" s="175">
        <f t="shared" si="165"/>
        <v>0</v>
      </c>
      <c r="AT618" s="174">
        <f t="shared" si="165"/>
        <v>0</v>
      </c>
      <c r="AU618" s="175">
        <f t="shared" si="165"/>
        <v>0</v>
      </c>
      <c r="AV618" s="174">
        <f t="shared" si="165"/>
        <v>0</v>
      </c>
      <c r="AW618" s="175">
        <f t="shared" si="165"/>
        <v>0</v>
      </c>
      <c r="AX618" s="174">
        <f t="shared" si="165"/>
        <v>0</v>
      </c>
      <c r="AY618" s="175">
        <f t="shared" si="165"/>
        <v>0</v>
      </c>
      <c r="AZ618" s="174">
        <f t="shared" si="165"/>
        <v>0</v>
      </c>
      <c r="BA618" s="175">
        <f t="shared" si="165"/>
        <v>0</v>
      </c>
      <c r="BB618" s="174">
        <f t="shared" si="165"/>
        <v>0</v>
      </c>
      <c r="BC618" s="175">
        <f t="shared" si="165"/>
        <v>0</v>
      </c>
      <c r="BD618" s="174">
        <f t="shared" si="165"/>
        <v>0</v>
      </c>
      <c r="BE618" s="175">
        <f t="shared" si="165"/>
        <v>0</v>
      </c>
      <c r="BF618" s="174">
        <f t="shared" si="165"/>
        <v>0</v>
      </c>
      <c r="BG618" s="175">
        <f t="shared" si="165"/>
        <v>0</v>
      </c>
      <c r="BH618" s="174">
        <f t="shared" si="165"/>
        <v>0</v>
      </c>
      <c r="BI618" s="175">
        <f t="shared" si="165"/>
        <v>0</v>
      </c>
      <c r="BJ618" s="174">
        <f t="shared" si="165"/>
        <v>0</v>
      </c>
      <c r="BK618" s="175">
        <f t="shared" si="165"/>
        <v>0</v>
      </c>
      <c r="BL618" s="174">
        <f t="shared" si="165"/>
        <v>0</v>
      </c>
      <c r="BM618" s="175">
        <f t="shared" si="165"/>
        <v>0</v>
      </c>
      <c r="BN618" s="174">
        <f t="shared" si="165"/>
        <v>0</v>
      </c>
      <c r="BO618" s="175">
        <f t="shared" si="165"/>
        <v>0</v>
      </c>
      <c r="BP618" s="174">
        <f t="shared" si="165"/>
        <v>0</v>
      </c>
      <c r="BQ618" s="175">
        <f t="shared" si="165"/>
        <v>0</v>
      </c>
      <c r="BR618" s="174">
        <f t="shared" ref="BR618:BW618" si="166">SUM(BR401:BR419)</f>
        <v>0</v>
      </c>
      <c r="BS618" s="175">
        <f t="shared" si="166"/>
        <v>0</v>
      </c>
      <c r="BT618" s="174">
        <f t="shared" si="166"/>
        <v>7340</v>
      </c>
      <c r="BU618" s="175">
        <f t="shared" si="166"/>
        <v>7545</v>
      </c>
      <c r="BV618" s="174">
        <f t="shared" si="166"/>
        <v>8199</v>
      </c>
      <c r="BW618" s="175">
        <f t="shared" si="166"/>
        <v>6694</v>
      </c>
    </row>
    <row r="619" spans="1:75" ht="13" x14ac:dyDescent="0.25">
      <c r="A619" s="196"/>
      <c r="B619" s="197" t="s">
        <v>640</v>
      </c>
      <c r="C619" s="90">
        <f>SUM(C429:C471)</f>
        <v>46121</v>
      </c>
      <c r="D619" s="90">
        <f>SUM(D429:D471)</f>
        <v>36571</v>
      </c>
      <c r="E619" s="145">
        <f t="shared" si="19"/>
        <v>0.792935972767286</v>
      </c>
      <c r="F619" s="174">
        <f t="shared" ref="F619:AK619" si="167">SUM(F429:F471)</f>
        <v>12552</v>
      </c>
      <c r="G619" s="175">
        <f t="shared" si="167"/>
        <v>22294</v>
      </c>
      <c r="H619" s="174">
        <f t="shared" si="167"/>
        <v>0</v>
      </c>
      <c r="I619" s="175">
        <f t="shared" si="167"/>
        <v>0</v>
      </c>
      <c r="J619" s="174">
        <f t="shared" si="167"/>
        <v>0</v>
      </c>
      <c r="K619" s="175">
        <f t="shared" si="167"/>
        <v>0</v>
      </c>
      <c r="L619" s="174">
        <f t="shared" si="167"/>
        <v>0</v>
      </c>
      <c r="M619" s="175">
        <f t="shared" si="167"/>
        <v>0</v>
      </c>
      <c r="N619" s="174">
        <f t="shared" si="167"/>
        <v>0</v>
      </c>
      <c r="O619" s="175">
        <f t="shared" si="167"/>
        <v>0</v>
      </c>
      <c r="P619" s="174">
        <f t="shared" si="167"/>
        <v>0</v>
      </c>
      <c r="Q619" s="175">
        <f t="shared" si="167"/>
        <v>0</v>
      </c>
      <c r="R619" s="174">
        <f t="shared" si="167"/>
        <v>0</v>
      </c>
      <c r="S619" s="175">
        <f t="shared" si="167"/>
        <v>0</v>
      </c>
      <c r="T619" s="174">
        <f t="shared" si="167"/>
        <v>0</v>
      </c>
      <c r="U619" s="175">
        <f t="shared" si="167"/>
        <v>0</v>
      </c>
      <c r="V619" s="174">
        <f t="shared" si="167"/>
        <v>0</v>
      </c>
      <c r="W619" s="175">
        <f t="shared" si="167"/>
        <v>0</v>
      </c>
      <c r="X619" s="174">
        <f t="shared" si="167"/>
        <v>0</v>
      </c>
      <c r="Y619" s="175">
        <f t="shared" si="167"/>
        <v>0</v>
      </c>
      <c r="Z619" s="174">
        <f t="shared" si="167"/>
        <v>0</v>
      </c>
      <c r="AA619" s="175">
        <f t="shared" si="167"/>
        <v>0</v>
      </c>
      <c r="AB619" s="174">
        <f t="shared" si="167"/>
        <v>0</v>
      </c>
      <c r="AC619" s="175">
        <f t="shared" si="167"/>
        <v>0</v>
      </c>
      <c r="AD619" s="174">
        <f t="shared" si="167"/>
        <v>0</v>
      </c>
      <c r="AE619" s="175">
        <f t="shared" si="167"/>
        <v>0</v>
      </c>
      <c r="AF619" s="174">
        <f t="shared" si="167"/>
        <v>0</v>
      </c>
      <c r="AG619" s="175">
        <f t="shared" si="167"/>
        <v>0</v>
      </c>
      <c r="AH619" s="174">
        <f t="shared" si="167"/>
        <v>0</v>
      </c>
      <c r="AI619" s="175">
        <f t="shared" si="167"/>
        <v>0</v>
      </c>
      <c r="AJ619" s="174">
        <f t="shared" si="167"/>
        <v>0</v>
      </c>
      <c r="AK619" s="175">
        <f t="shared" si="167"/>
        <v>0</v>
      </c>
      <c r="AL619" s="174">
        <f t="shared" ref="AL619:BQ619" si="168">SUM(AL429:AL471)</f>
        <v>0</v>
      </c>
      <c r="AM619" s="175">
        <f t="shared" si="168"/>
        <v>0</v>
      </c>
      <c r="AN619" s="174">
        <f t="shared" si="168"/>
        <v>0</v>
      </c>
      <c r="AO619" s="175">
        <f t="shared" si="168"/>
        <v>0</v>
      </c>
      <c r="AP619" s="174">
        <f t="shared" si="168"/>
        <v>0</v>
      </c>
      <c r="AQ619" s="175">
        <f t="shared" si="168"/>
        <v>0</v>
      </c>
      <c r="AR619" s="174">
        <f t="shared" si="168"/>
        <v>0</v>
      </c>
      <c r="AS619" s="175">
        <f t="shared" si="168"/>
        <v>0</v>
      </c>
      <c r="AT619" s="174">
        <f t="shared" si="168"/>
        <v>0</v>
      </c>
      <c r="AU619" s="175">
        <f t="shared" si="168"/>
        <v>0</v>
      </c>
      <c r="AV619" s="174">
        <f t="shared" si="168"/>
        <v>0</v>
      </c>
      <c r="AW619" s="175">
        <f t="shared" si="168"/>
        <v>0</v>
      </c>
      <c r="AX619" s="174">
        <f t="shared" si="168"/>
        <v>0</v>
      </c>
      <c r="AY619" s="175">
        <f t="shared" si="168"/>
        <v>0</v>
      </c>
      <c r="AZ619" s="174">
        <f t="shared" si="168"/>
        <v>0</v>
      </c>
      <c r="BA619" s="175">
        <f t="shared" si="168"/>
        <v>0</v>
      </c>
      <c r="BB619" s="174">
        <f t="shared" si="168"/>
        <v>0</v>
      </c>
      <c r="BC619" s="175">
        <f t="shared" si="168"/>
        <v>0</v>
      </c>
      <c r="BD619" s="174">
        <f t="shared" si="168"/>
        <v>0</v>
      </c>
      <c r="BE619" s="175">
        <f t="shared" si="168"/>
        <v>0</v>
      </c>
      <c r="BF619" s="174">
        <f t="shared" si="168"/>
        <v>0</v>
      </c>
      <c r="BG619" s="175">
        <f t="shared" si="168"/>
        <v>0</v>
      </c>
      <c r="BH619" s="174">
        <f t="shared" si="168"/>
        <v>0</v>
      </c>
      <c r="BI619" s="175">
        <f t="shared" si="168"/>
        <v>0</v>
      </c>
      <c r="BJ619" s="174">
        <f t="shared" si="168"/>
        <v>0</v>
      </c>
      <c r="BK619" s="175">
        <f t="shared" si="168"/>
        <v>0</v>
      </c>
      <c r="BL619" s="174">
        <f t="shared" si="168"/>
        <v>0</v>
      </c>
      <c r="BM619" s="175">
        <f t="shared" si="168"/>
        <v>0</v>
      </c>
      <c r="BN619" s="174">
        <f t="shared" si="168"/>
        <v>0</v>
      </c>
      <c r="BO619" s="175">
        <f t="shared" si="168"/>
        <v>0</v>
      </c>
      <c r="BP619" s="174">
        <f t="shared" si="168"/>
        <v>0</v>
      </c>
      <c r="BQ619" s="175">
        <f t="shared" si="168"/>
        <v>0</v>
      </c>
      <c r="BR619" s="174">
        <f t="shared" ref="BR619:BW619" si="169">SUM(BR429:BR471)</f>
        <v>0</v>
      </c>
      <c r="BS619" s="175">
        <f t="shared" si="169"/>
        <v>0</v>
      </c>
      <c r="BT619" s="174">
        <f t="shared" si="169"/>
        <v>17376</v>
      </c>
      <c r="BU619" s="175">
        <f t="shared" si="169"/>
        <v>17136</v>
      </c>
      <c r="BV619" s="174">
        <f t="shared" si="169"/>
        <v>19084</v>
      </c>
      <c r="BW619" s="175">
        <f t="shared" si="169"/>
        <v>15484</v>
      </c>
    </row>
    <row r="620" spans="1:75" ht="13" x14ac:dyDescent="0.25">
      <c r="A620" s="196"/>
      <c r="B620" s="197" t="s">
        <v>641</v>
      </c>
      <c r="C620" s="90">
        <f>SUM(C226:C230)+SUM(C475:C477)</f>
        <v>10509</v>
      </c>
      <c r="D620" s="90">
        <f>SUM(D226:D230)+SUM(D475:D477)</f>
        <v>7617</v>
      </c>
      <c r="E620" s="145">
        <f t="shared" si="19"/>
        <v>0.72480730802169568</v>
      </c>
      <c r="F620" s="174">
        <f t="shared" ref="F620:AK620" si="170">SUM(F226:F230)+SUM(F475:F477)</f>
        <v>2024</v>
      </c>
      <c r="G620" s="175">
        <f t="shared" si="170"/>
        <v>5162</v>
      </c>
      <c r="H620" s="174">
        <f t="shared" si="170"/>
        <v>0</v>
      </c>
      <c r="I620" s="175">
        <f t="shared" si="170"/>
        <v>0</v>
      </c>
      <c r="J620" s="174">
        <f t="shared" si="170"/>
        <v>0</v>
      </c>
      <c r="K620" s="175">
        <f t="shared" si="170"/>
        <v>0</v>
      </c>
      <c r="L620" s="174">
        <f t="shared" si="170"/>
        <v>0</v>
      </c>
      <c r="M620" s="175">
        <f t="shared" si="170"/>
        <v>0</v>
      </c>
      <c r="N620" s="174">
        <f t="shared" si="170"/>
        <v>0</v>
      </c>
      <c r="O620" s="175">
        <f t="shared" si="170"/>
        <v>0</v>
      </c>
      <c r="P620" s="174">
        <f t="shared" si="170"/>
        <v>0</v>
      </c>
      <c r="Q620" s="175">
        <f t="shared" si="170"/>
        <v>0</v>
      </c>
      <c r="R620" s="174">
        <f t="shared" si="170"/>
        <v>0</v>
      </c>
      <c r="S620" s="175">
        <f t="shared" si="170"/>
        <v>0</v>
      </c>
      <c r="T620" s="174">
        <f t="shared" si="170"/>
        <v>0</v>
      </c>
      <c r="U620" s="175">
        <f t="shared" si="170"/>
        <v>0</v>
      </c>
      <c r="V620" s="174">
        <f t="shared" si="170"/>
        <v>0</v>
      </c>
      <c r="W620" s="175">
        <f t="shared" si="170"/>
        <v>0</v>
      </c>
      <c r="X620" s="174">
        <f t="shared" si="170"/>
        <v>0</v>
      </c>
      <c r="Y620" s="175">
        <f t="shared" si="170"/>
        <v>0</v>
      </c>
      <c r="Z620" s="174">
        <f t="shared" si="170"/>
        <v>0</v>
      </c>
      <c r="AA620" s="175">
        <f t="shared" si="170"/>
        <v>0</v>
      </c>
      <c r="AB620" s="174">
        <f t="shared" si="170"/>
        <v>0</v>
      </c>
      <c r="AC620" s="175">
        <f t="shared" si="170"/>
        <v>0</v>
      </c>
      <c r="AD620" s="174">
        <f t="shared" si="170"/>
        <v>0</v>
      </c>
      <c r="AE620" s="175">
        <f t="shared" si="170"/>
        <v>0</v>
      </c>
      <c r="AF620" s="174">
        <f t="shared" si="170"/>
        <v>0</v>
      </c>
      <c r="AG620" s="175">
        <f t="shared" si="170"/>
        <v>0</v>
      </c>
      <c r="AH620" s="174">
        <f t="shared" si="170"/>
        <v>0</v>
      </c>
      <c r="AI620" s="175">
        <f t="shared" si="170"/>
        <v>0</v>
      </c>
      <c r="AJ620" s="174">
        <f t="shared" si="170"/>
        <v>0</v>
      </c>
      <c r="AK620" s="175">
        <f t="shared" si="170"/>
        <v>0</v>
      </c>
      <c r="AL620" s="174">
        <f t="shared" ref="AL620:BQ620" si="171">SUM(AL226:AL230)+SUM(AL475:AL477)</f>
        <v>0</v>
      </c>
      <c r="AM620" s="175">
        <f t="shared" si="171"/>
        <v>0</v>
      </c>
      <c r="AN620" s="174">
        <f t="shared" si="171"/>
        <v>0</v>
      </c>
      <c r="AO620" s="175">
        <f t="shared" si="171"/>
        <v>0</v>
      </c>
      <c r="AP620" s="174">
        <f t="shared" si="171"/>
        <v>0</v>
      </c>
      <c r="AQ620" s="175">
        <f t="shared" si="171"/>
        <v>0</v>
      </c>
      <c r="AR620" s="174">
        <f t="shared" si="171"/>
        <v>0</v>
      </c>
      <c r="AS620" s="175">
        <f t="shared" si="171"/>
        <v>0</v>
      </c>
      <c r="AT620" s="174">
        <f t="shared" si="171"/>
        <v>0</v>
      </c>
      <c r="AU620" s="175">
        <f t="shared" si="171"/>
        <v>0</v>
      </c>
      <c r="AV620" s="174">
        <f t="shared" si="171"/>
        <v>0</v>
      </c>
      <c r="AW620" s="175">
        <f t="shared" si="171"/>
        <v>0</v>
      </c>
      <c r="AX620" s="174">
        <f t="shared" si="171"/>
        <v>0</v>
      </c>
      <c r="AY620" s="175">
        <f t="shared" si="171"/>
        <v>0</v>
      </c>
      <c r="AZ620" s="174">
        <f t="shared" si="171"/>
        <v>0</v>
      </c>
      <c r="BA620" s="175">
        <f t="shared" si="171"/>
        <v>0</v>
      </c>
      <c r="BB620" s="174">
        <f t="shared" si="171"/>
        <v>0</v>
      </c>
      <c r="BC620" s="175">
        <f t="shared" si="171"/>
        <v>0</v>
      </c>
      <c r="BD620" s="174">
        <f t="shared" si="171"/>
        <v>0</v>
      </c>
      <c r="BE620" s="175">
        <f t="shared" si="171"/>
        <v>0</v>
      </c>
      <c r="BF620" s="174">
        <f t="shared" si="171"/>
        <v>0</v>
      </c>
      <c r="BG620" s="175">
        <f t="shared" si="171"/>
        <v>0</v>
      </c>
      <c r="BH620" s="174">
        <f t="shared" si="171"/>
        <v>0</v>
      </c>
      <c r="BI620" s="175">
        <f t="shared" si="171"/>
        <v>0</v>
      </c>
      <c r="BJ620" s="174">
        <f t="shared" si="171"/>
        <v>0</v>
      </c>
      <c r="BK620" s="175">
        <f t="shared" si="171"/>
        <v>0</v>
      </c>
      <c r="BL620" s="174">
        <f t="shared" si="171"/>
        <v>0</v>
      </c>
      <c r="BM620" s="175">
        <f t="shared" si="171"/>
        <v>0</v>
      </c>
      <c r="BN620" s="174">
        <f t="shared" si="171"/>
        <v>0</v>
      </c>
      <c r="BO620" s="175">
        <f t="shared" si="171"/>
        <v>0</v>
      </c>
      <c r="BP620" s="174">
        <f t="shared" si="171"/>
        <v>0</v>
      </c>
      <c r="BQ620" s="175">
        <f t="shared" si="171"/>
        <v>0</v>
      </c>
      <c r="BR620" s="174">
        <f t="shared" ref="BR620:BW620" si="172">SUM(BR226:BR230)+SUM(BR475:BR477)</f>
        <v>0</v>
      </c>
      <c r="BS620" s="175">
        <f t="shared" si="172"/>
        <v>0</v>
      </c>
      <c r="BT620" s="174">
        <f t="shared" si="172"/>
        <v>2818</v>
      </c>
      <c r="BU620" s="175">
        <f t="shared" si="172"/>
        <v>4313</v>
      </c>
      <c r="BV620" s="174">
        <f t="shared" si="172"/>
        <v>3284</v>
      </c>
      <c r="BW620" s="175">
        <f t="shared" si="172"/>
        <v>3852</v>
      </c>
    </row>
    <row r="621" spans="1:75" ht="13" x14ac:dyDescent="0.25">
      <c r="A621" s="196"/>
      <c r="B621" s="197" t="s">
        <v>642</v>
      </c>
      <c r="C621" s="90">
        <f>SUM(C484:C495)</f>
        <v>12578</v>
      </c>
      <c r="D621" s="90">
        <f>SUM(D484:D495)</f>
        <v>10145</v>
      </c>
      <c r="E621" s="145">
        <f t="shared" si="19"/>
        <v>0.80656702178406747</v>
      </c>
      <c r="F621" s="174">
        <f t="shared" ref="F621:AK621" si="173">SUM(F484:F495)</f>
        <v>2616</v>
      </c>
      <c r="G621" s="175">
        <f t="shared" si="173"/>
        <v>7000</v>
      </c>
      <c r="H621" s="174">
        <f t="shared" si="173"/>
        <v>0</v>
      </c>
      <c r="I621" s="175">
        <f t="shared" si="173"/>
        <v>0</v>
      </c>
      <c r="J621" s="174">
        <f t="shared" si="173"/>
        <v>0</v>
      </c>
      <c r="K621" s="175">
        <f t="shared" si="173"/>
        <v>0</v>
      </c>
      <c r="L621" s="174">
        <f t="shared" si="173"/>
        <v>0</v>
      </c>
      <c r="M621" s="175">
        <f t="shared" si="173"/>
        <v>0</v>
      </c>
      <c r="N621" s="174">
        <f t="shared" si="173"/>
        <v>0</v>
      </c>
      <c r="O621" s="175">
        <f t="shared" si="173"/>
        <v>0</v>
      </c>
      <c r="P621" s="174">
        <f t="shared" si="173"/>
        <v>0</v>
      </c>
      <c r="Q621" s="175">
        <f t="shared" si="173"/>
        <v>0</v>
      </c>
      <c r="R621" s="174">
        <f t="shared" si="173"/>
        <v>0</v>
      </c>
      <c r="S621" s="175">
        <f t="shared" si="173"/>
        <v>0</v>
      </c>
      <c r="T621" s="174">
        <f t="shared" si="173"/>
        <v>0</v>
      </c>
      <c r="U621" s="175">
        <f t="shared" si="173"/>
        <v>0</v>
      </c>
      <c r="V621" s="174">
        <f t="shared" si="173"/>
        <v>0</v>
      </c>
      <c r="W621" s="175">
        <f t="shared" si="173"/>
        <v>0</v>
      </c>
      <c r="X621" s="174">
        <f t="shared" si="173"/>
        <v>0</v>
      </c>
      <c r="Y621" s="175">
        <f t="shared" si="173"/>
        <v>0</v>
      </c>
      <c r="Z621" s="174">
        <f t="shared" si="173"/>
        <v>0</v>
      </c>
      <c r="AA621" s="175">
        <f t="shared" si="173"/>
        <v>0</v>
      </c>
      <c r="AB621" s="174">
        <f t="shared" si="173"/>
        <v>172</v>
      </c>
      <c r="AC621" s="175">
        <f t="shared" si="173"/>
        <v>123</v>
      </c>
      <c r="AD621" s="174">
        <f t="shared" si="173"/>
        <v>0</v>
      </c>
      <c r="AE621" s="175">
        <f t="shared" si="173"/>
        <v>0</v>
      </c>
      <c r="AF621" s="174">
        <f t="shared" si="173"/>
        <v>0</v>
      </c>
      <c r="AG621" s="175">
        <f t="shared" si="173"/>
        <v>0</v>
      </c>
      <c r="AH621" s="174">
        <f t="shared" si="173"/>
        <v>0</v>
      </c>
      <c r="AI621" s="175">
        <f t="shared" si="173"/>
        <v>0</v>
      </c>
      <c r="AJ621" s="174">
        <f t="shared" si="173"/>
        <v>0</v>
      </c>
      <c r="AK621" s="175">
        <f t="shared" si="173"/>
        <v>0</v>
      </c>
      <c r="AL621" s="174">
        <f t="shared" ref="AL621:BQ621" si="174">SUM(AL484:AL495)</f>
        <v>401</v>
      </c>
      <c r="AM621" s="175">
        <f t="shared" si="174"/>
        <v>194</v>
      </c>
      <c r="AN621" s="174">
        <f t="shared" si="174"/>
        <v>269</v>
      </c>
      <c r="AO621" s="175">
        <f t="shared" si="174"/>
        <v>316</v>
      </c>
      <c r="AP621" s="174">
        <f t="shared" si="174"/>
        <v>0</v>
      </c>
      <c r="AQ621" s="175">
        <f t="shared" si="174"/>
        <v>0</v>
      </c>
      <c r="AR621" s="174">
        <f t="shared" si="174"/>
        <v>0</v>
      </c>
      <c r="AS621" s="175">
        <f t="shared" si="174"/>
        <v>0</v>
      </c>
      <c r="AT621" s="174">
        <f t="shared" si="174"/>
        <v>0</v>
      </c>
      <c r="AU621" s="175">
        <f t="shared" si="174"/>
        <v>0</v>
      </c>
      <c r="AV621" s="174">
        <f t="shared" si="174"/>
        <v>3263</v>
      </c>
      <c r="AW621" s="175">
        <f t="shared" si="174"/>
        <v>3805</v>
      </c>
      <c r="AX621" s="174">
        <f t="shared" si="174"/>
        <v>4306</v>
      </c>
      <c r="AY621" s="175">
        <f t="shared" si="174"/>
        <v>2740</v>
      </c>
      <c r="AZ621" s="174">
        <f t="shared" si="174"/>
        <v>0</v>
      </c>
      <c r="BA621" s="175">
        <f t="shared" si="174"/>
        <v>0</v>
      </c>
      <c r="BB621" s="174">
        <f t="shared" si="174"/>
        <v>0</v>
      </c>
      <c r="BC621" s="175">
        <f t="shared" si="174"/>
        <v>0</v>
      </c>
      <c r="BD621" s="174">
        <f t="shared" si="174"/>
        <v>0</v>
      </c>
      <c r="BE621" s="175">
        <f t="shared" si="174"/>
        <v>0</v>
      </c>
      <c r="BF621" s="174">
        <f t="shared" si="174"/>
        <v>0</v>
      </c>
      <c r="BG621" s="175">
        <f t="shared" si="174"/>
        <v>0</v>
      </c>
      <c r="BH621" s="174">
        <f t="shared" si="174"/>
        <v>0</v>
      </c>
      <c r="BI621" s="175">
        <f t="shared" si="174"/>
        <v>0</v>
      </c>
      <c r="BJ621" s="174">
        <f t="shared" si="174"/>
        <v>0</v>
      </c>
      <c r="BK621" s="175">
        <f t="shared" si="174"/>
        <v>0</v>
      </c>
      <c r="BL621" s="174">
        <f t="shared" si="174"/>
        <v>0</v>
      </c>
      <c r="BM621" s="175">
        <f t="shared" si="174"/>
        <v>0</v>
      </c>
      <c r="BN621" s="174">
        <f t="shared" si="174"/>
        <v>0</v>
      </c>
      <c r="BO621" s="175">
        <f t="shared" si="174"/>
        <v>0</v>
      </c>
      <c r="BP621" s="174">
        <f t="shared" si="174"/>
        <v>0</v>
      </c>
      <c r="BQ621" s="175">
        <f t="shared" si="174"/>
        <v>0</v>
      </c>
      <c r="BR621" s="174">
        <f t="shared" ref="BR621:BW621" si="175">SUM(BR484:BR495)</f>
        <v>0</v>
      </c>
      <c r="BS621" s="175">
        <f t="shared" si="175"/>
        <v>0</v>
      </c>
      <c r="BT621" s="174">
        <f t="shared" si="175"/>
        <v>4566</v>
      </c>
      <c r="BU621" s="175">
        <f t="shared" si="175"/>
        <v>4983</v>
      </c>
      <c r="BV621" s="174">
        <f t="shared" si="175"/>
        <v>5123</v>
      </c>
      <c r="BW621" s="175">
        <f t="shared" si="175"/>
        <v>4476</v>
      </c>
    </row>
    <row r="622" spans="1:75" ht="13" x14ac:dyDescent="0.25">
      <c r="A622" s="196"/>
      <c r="B622" s="197" t="s">
        <v>643</v>
      </c>
      <c r="C622" s="90">
        <f>SUM(C505:C532)</f>
        <v>26995</v>
      </c>
      <c r="D622" s="90">
        <f>SUM(D505:D532)</f>
        <v>19389</v>
      </c>
      <c r="E622" s="145">
        <f t="shared" si="19"/>
        <v>0.71824411928134835</v>
      </c>
      <c r="F622" s="174">
        <f t="shared" ref="F622:AK622" si="176">SUM(F505:F532)</f>
        <v>11328</v>
      </c>
      <c r="G622" s="175">
        <f t="shared" si="176"/>
        <v>7100</v>
      </c>
      <c r="H622" s="174">
        <f t="shared" si="176"/>
        <v>0</v>
      </c>
      <c r="I622" s="175">
        <f t="shared" si="176"/>
        <v>0</v>
      </c>
      <c r="J622" s="174">
        <f t="shared" si="176"/>
        <v>0</v>
      </c>
      <c r="K622" s="175">
        <f t="shared" si="176"/>
        <v>0</v>
      </c>
      <c r="L622" s="174">
        <f t="shared" si="176"/>
        <v>0</v>
      </c>
      <c r="M622" s="175">
        <f t="shared" si="176"/>
        <v>0</v>
      </c>
      <c r="N622" s="174">
        <f t="shared" si="176"/>
        <v>0</v>
      </c>
      <c r="O622" s="175">
        <f t="shared" si="176"/>
        <v>0</v>
      </c>
      <c r="P622" s="174">
        <f t="shared" si="176"/>
        <v>0</v>
      </c>
      <c r="Q622" s="175">
        <f t="shared" si="176"/>
        <v>0</v>
      </c>
      <c r="R622" s="174">
        <f t="shared" si="176"/>
        <v>0</v>
      </c>
      <c r="S622" s="175">
        <f t="shared" si="176"/>
        <v>0</v>
      </c>
      <c r="T622" s="174">
        <f t="shared" si="176"/>
        <v>0</v>
      </c>
      <c r="U622" s="175">
        <f t="shared" si="176"/>
        <v>0</v>
      </c>
      <c r="V622" s="174">
        <f t="shared" si="176"/>
        <v>0</v>
      </c>
      <c r="W622" s="175">
        <f t="shared" si="176"/>
        <v>0</v>
      </c>
      <c r="X622" s="174">
        <f t="shared" si="176"/>
        <v>0</v>
      </c>
      <c r="Y622" s="175">
        <f t="shared" si="176"/>
        <v>0</v>
      </c>
      <c r="Z622" s="174">
        <f t="shared" si="176"/>
        <v>0</v>
      </c>
      <c r="AA622" s="175">
        <f t="shared" si="176"/>
        <v>0</v>
      </c>
      <c r="AB622" s="174">
        <f t="shared" si="176"/>
        <v>0</v>
      </c>
      <c r="AC622" s="175">
        <f t="shared" si="176"/>
        <v>0</v>
      </c>
      <c r="AD622" s="174">
        <f t="shared" si="176"/>
        <v>0</v>
      </c>
      <c r="AE622" s="175">
        <f t="shared" si="176"/>
        <v>0</v>
      </c>
      <c r="AF622" s="174">
        <f t="shared" si="176"/>
        <v>0</v>
      </c>
      <c r="AG622" s="175">
        <f t="shared" si="176"/>
        <v>0</v>
      </c>
      <c r="AH622" s="174">
        <f t="shared" si="176"/>
        <v>0</v>
      </c>
      <c r="AI622" s="175">
        <f t="shared" si="176"/>
        <v>0</v>
      </c>
      <c r="AJ622" s="174">
        <f t="shared" si="176"/>
        <v>0</v>
      </c>
      <c r="AK622" s="175">
        <f t="shared" si="176"/>
        <v>0</v>
      </c>
      <c r="AL622" s="174">
        <f t="shared" ref="AL622:BQ622" si="177">SUM(AL505:AL532)</f>
        <v>0</v>
      </c>
      <c r="AM622" s="175">
        <f t="shared" si="177"/>
        <v>0</v>
      </c>
      <c r="AN622" s="174">
        <f t="shared" si="177"/>
        <v>0</v>
      </c>
      <c r="AO622" s="175">
        <f t="shared" si="177"/>
        <v>0</v>
      </c>
      <c r="AP622" s="174">
        <f t="shared" si="177"/>
        <v>0</v>
      </c>
      <c r="AQ622" s="175">
        <f t="shared" si="177"/>
        <v>0</v>
      </c>
      <c r="AR622" s="174">
        <f t="shared" si="177"/>
        <v>0</v>
      </c>
      <c r="AS622" s="175">
        <f t="shared" si="177"/>
        <v>0</v>
      </c>
      <c r="AT622" s="174">
        <f t="shared" si="177"/>
        <v>0</v>
      </c>
      <c r="AU622" s="175">
        <f t="shared" si="177"/>
        <v>0</v>
      </c>
      <c r="AV622" s="174">
        <f t="shared" si="177"/>
        <v>0</v>
      </c>
      <c r="AW622" s="175">
        <f t="shared" si="177"/>
        <v>0</v>
      </c>
      <c r="AX622" s="174">
        <f t="shared" si="177"/>
        <v>0</v>
      </c>
      <c r="AY622" s="175">
        <f t="shared" si="177"/>
        <v>0</v>
      </c>
      <c r="AZ622" s="174">
        <f t="shared" si="177"/>
        <v>10337</v>
      </c>
      <c r="BA622" s="175">
        <f t="shared" si="177"/>
        <v>8136</v>
      </c>
      <c r="BB622" s="174">
        <f t="shared" si="177"/>
        <v>0</v>
      </c>
      <c r="BC622" s="175">
        <f t="shared" si="177"/>
        <v>0</v>
      </c>
      <c r="BD622" s="174">
        <f t="shared" si="177"/>
        <v>0</v>
      </c>
      <c r="BE622" s="175">
        <f t="shared" si="177"/>
        <v>0</v>
      </c>
      <c r="BF622" s="174">
        <f t="shared" si="177"/>
        <v>0</v>
      </c>
      <c r="BG622" s="175">
        <f t="shared" si="177"/>
        <v>0</v>
      </c>
      <c r="BH622" s="174">
        <f t="shared" si="177"/>
        <v>0</v>
      </c>
      <c r="BI622" s="175">
        <f t="shared" si="177"/>
        <v>0</v>
      </c>
      <c r="BJ622" s="174">
        <f t="shared" si="177"/>
        <v>2352</v>
      </c>
      <c r="BK622" s="175">
        <f t="shared" si="177"/>
        <v>2666</v>
      </c>
      <c r="BL622" s="174">
        <f t="shared" si="177"/>
        <v>166</v>
      </c>
      <c r="BM622" s="175">
        <f t="shared" si="177"/>
        <v>105</v>
      </c>
      <c r="BN622" s="174">
        <f t="shared" si="177"/>
        <v>0</v>
      </c>
      <c r="BO622" s="175">
        <f t="shared" si="177"/>
        <v>0</v>
      </c>
      <c r="BP622" s="174">
        <f t="shared" si="177"/>
        <v>0</v>
      </c>
      <c r="BQ622" s="175">
        <f t="shared" si="177"/>
        <v>0</v>
      </c>
      <c r="BR622" s="174">
        <f t="shared" ref="BR622:BW622" si="178">SUM(BR505:BR532)</f>
        <v>0</v>
      </c>
      <c r="BS622" s="175">
        <f t="shared" si="178"/>
        <v>0</v>
      </c>
      <c r="BT622" s="174">
        <f t="shared" si="178"/>
        <v>11779</v>
      </c>
      <c r="BU622" s="175">
        <f t="shared" si="178"/>
        <v>6739</v>
      </c>
      <c r="BV622" s="174">
        <f t="shared" si="178"/>
        <v>12252</v>
      </c>
      <c r="BW622" s="175">
        <f t="shared" si="178"/>
        <v>6329</v>
      </c>
    </row>
    <row r="623" spans="1:75" ht="13" x14ac:dyDescent="0.25">
      <c r="A623" s="196"/>
      <c r="B623" s="197" t="s">
        <v>644</v>
      </c>
      <c r="C623" s="90">
        <f>SUM(C533:C546)</f>
        <v>14503</v>
      </c>
      <c r="D623" s="90">
        <f>SUM(D533:D546)</f>
        <v>11136</v>
      </c>
      <c r="E623" s="145">
        <f t="shared" si="19"/>
        <v>0.7678411363166241</v>
      </c>
      <c r="F623" s="174">
        <f t="shared" ref="F623:AK623" si="179">SUM(F533:F546)</f>
        <v>5303</v>
      </c>
      <c r="G623" s="175">
        <f t="shared" si="179"/>
        <v>5307</v>
      </c>
      <c r="H623" s="174">
        <f t="shared" si="179"/>
        <v>0</v>
      </c>
      <c r="I623" s="175">
        <f t="shared" si="179"/>
        <v>0</v>
      </c>
      <c r="J623" s="174">
        <f t="shared" si="179"/>
        <v>0</v>
      </c>
      <c r="K623" s="175">
        <f t="shared" si="179"/>
        <v>0</v>
      </c>
      <c r="L623" s="174">
        <f t="shared" si="179"/>
        <v>0</v>
      </c>
      <c r="M623" s="175">
        <f t="shared" si="179"/>
        <v>0</v>
      </c>
      <c r="N623" s="174">
        <f t="shared" si="179"/>
        <v>0</v>
      </c>
      <c r="O623" s="175">
        <f t="shared" si="179"/>
        <v>0</v>
      </c>
      <c r="P623" s="174">
        <f t="shared" si="179"/>
        <v>0</v>
      </c>
      <c r="Q623" s="175">
        <f t="shared" si="179"/>
        <v>0</v>
      </c>
      <c r="R623" s="174">
        <f t="shared" si="179"/>
        <v>0</v>
      </c>
      <c r="S623" s="175">
        <f t="shared" si="179"/>
        <v>0</v>
      </c>
      <c r="T623" s="174">
        <f t="shared" si="179"/>
        <v>0</v>
      </c>
      <c r="U623" s="175">
        <f t="shared" si="179"/>
        <v>0</v>
      </c>
      <c r="V623" s="174">
        <f t="shared" si="179"/>
        <v>0</v>
      </c>
      <c r="W623" s="175">
        <f t="shared" si="179"/>
        <v>0</v>
      </c>
      <c r="X623" s="174">
        <f t="shared" si="179"/>
        <v>0</v>
      </c>
      <c r="Y623" s="175">
        <f t="shared" si="179"/>
        <v>0</v>
      </c>
      <c r="Z623" s="174">
        <f t="shared" si="179"/>
        <v>0</v>
      </c>
      <c r="AA623" s="175">
        <f t="shared" si="179"/>
        <v>0</v>
      </c>
      <c r="AB623" s="174">
        <f t="shared" si="179"/>
        <v>0</v>
      </c>
      <c r="AC623" s="175">
        <f t="shared" si="179"/>
        <v>0</v>
      </c>
      <c r="AD623" s="174">
        <f t="shared" si="179"/>
        <v>0</v>
      </c>
      <c r="AE623" s="175">
        <f t="shared" si="179"/>
        <v>0</v>
      </c>
      <c r="AF623" s="174">
        <f t="shared" si="179"/>
        <v>0</v>
      </c>
      <c r="AG623" s="175">
        <f t="shared" si="179"/>
        <v>0</v>
      </c>
      <c r="AH623" s="174">
        <f t="shared" si="179"/>
        <v>0</v>
      </c>
      <c r="AI623" s="175">
        <f t="shared" si="179"/>
        <v>0</v>
      </c>
      <c r="AJ623" s="174">
        <f t="shared" si="179"/>
        <v>0</v>
      </c>
      <c r="AK623" s="175">
        <f t="shared" si="179"/>
        <v>0</v>
      </c>
      <c r="AL623" s="174">
        <f t="shared" ref="AL623:BQ623" si="180">SUM(AL533:AL546)</f>
        <v>0</v>
      </c>
      <c r="AM623" s="175">
        <f t="shared" si="180"/>
        <v>0</v>
      </c>
      <c r="AN623" s="174">
        <f t="shared" si="180"/>
        <v>0</v>
      </c>
      <c r="AO623" s="175">
        <f t="shared" si="180"/>
        <v>0</v>
      </c>
      <c r="AP623" s="174">
        <f t="shared" si="180"/>
        <v>0</v>
      </c>
      <c r="AQ623" s="175">
        <f t="shared" si="180"/>
        <v>0</v>
      </c>
      <c r="AR623" s="174">
        <f t="shared" si="180"/>
        <v>0</v>
      </c>
      <c r="AS623" s="175">
        <f t="shared" si="180"/>
        <v>0</v>
      </c>
      <c r="AT623" s="174">
        <f t="shared" si="180"/>
        <v>0</v>
      </c>
      <c r="AU623" s="175">
        <f t="shared" si="180"/>
        <v>0</v>
      </c>
      <c r="AV623" s="174">
        <f t="shared" si="180"/>
        <v>0</v>
      </c>
      <c r="AW623" s="175">
        <f t="shared" si="180"/>
        <v>0</v>
      </c>
      <c r="AX623" s="174">
        <f t="shared" si="180"/>
        <v>0</v>
      </c>
      <c r="AY623" s="175">
        <f t="shared" si="180"/>
        <v>0</v>
      </c>
      <c r="AZ623" s="174">
        <f t="shared" si="180"/>
        <v>0</v>
      </c>
      <c r="BA623" s="175">
        <f t="shared" si="180"/>
        <v>0</v>
      </c>
      <c r="BB623" s="174">
        <f t="shared" si="180"/>
        <v>0</v>
      </c>
      <c r="BC623" s="175">
        <f t="shared" si="180"/>
        <v>0</v>
      </c>
      <c r="BD623" s="174">
        <f t="shared" si="180"/>
        <v>0</v>
      </c>
      <c r="BE623" s="175">
        <f t="shared" si="180"/>
        <v>0</v>
      </c>
      <c r="BF623" s="174">
        <f t="shared" si="180"/>
        <v>0</v>
      </c>
      <c r="BG623" s="175">
        <f t="shared" si="180"/>
        <v>0</v>
      </c>
      <c r="BH623" s="174">
        <f t="shared" si="180"/>
        <v>0</v>
      </c>
      <c r="BI623" s="175">
        <f t="shared" si="180"/>
        <v>0</v>
      </c>
      <c r="BJ623" s="174">
        <f t="shared" si="180"/>
        <v>0</v>
      </c>
      <c r="BK623" s="175">
        <f t="shared" si="180"/>
        <v>0</v>
      </c>
      <c r="BL623" s="174">
        <f t="shared" si="180"/>
        <v>768</v>
      </c>
      <c r="BM623" s="175">
        <f t="shared" si="180"/>
        <v>1253</v>
      </c>
      <c r="BN623" s="174">
        <f t="shared" si="180"/>
        <v>0</v>
      </c>
      <c r="BO623" s="175">
        <f t="shared" si="180"/>
        <v>0</v>
      </c>
      <c r="BP623" s="174">
        <f t="shared" si="180"/>
        <v>0</v>
      </c>
      <c r="BQ623" s="175">
        <f t="shared" si="180"/>
        <v>0</v>
      </c>
      <c r="BR623" s="174">
        <f t="shared" ref="BR623:BW623" si="181">SUM(BR533:BR546)</f>
        <v>0</v>
      </c>
      <c r="BS623" s="175">
        <f t="shared" si="181"/>
        <v>0</v>
      </c>
      <c r="BT623" s="174">
        <f t="shared" si="181"/>
        <v>6797</v>
      </c>
      <c r="BU623" s="175">
        <f t="shared" si="181"/>
        <v>3710</v>
      </c>
      <c r="BV623" s="174">
        <f t="shared" si="181"/>
        <v>7016</v>
      </c>
      <c r="BW623" s="175">
        <f t="shared" si="181"/>
        <v>3513</v>
      </c>
    </row>
    <row r="624" spans="1:75" ht="13" x14ac:dyDescent="0.25">
      <c r="A624" s="196"/>
      <c r="B624" s="197" t="s">
        <v>645</v>
      </c>
      <c r="C624" s="90">
        <f>SUM(C547:C558)</f>
        <v>11395</v>
      </c>
      <c r="D624" s="90">
        <f>SUM(D547:D558)</f>
        <v>8862</v>
      </c>
      <c r="E624" s="145">
        <f t="shared" si="19"/>
        <v>0.7777095217200527</v>
      </c>
      <c r="F624" s="174">
        <f t="shared" ref="F624:AK624" si="182">SUM(F547:F558)</f>
        <v>4293</v>
      </c>
      <c r="G624" s="175">
        <f t="shared" si="182"/>
        <v>4199</v>
      </c>
      <c r="H624" s="174">
        <f t="shared" si="182"/>
        <v>0</v>
      </c>
      <c r="I624" s="175">
        <f t="shared" si="182"/>
        <v>0</v>
      </c>
      <c r="J624" s="174">
        <f t="shared" si="182"/>
        <v>0</v>
      </c>
      <c r="K624" s="175">
        <f t="shared" si="182"/>
        <v>0</v>
      </c>
      <c r="L624" s="174">
        <f t="shared" si="182"/>
        <v>0</v>
      </c>
      <c r="M624" s="175">
        <f t="shared" si="182"/>
        <v>0</v>
      </c>
      <c r="N624" s="174">
        <f t="shared" si="182"/>
        <v>0</v>
      </c>
      <c r="O624" s="175">
        <f t="shared" si="182"/>
        <v>0</v>
      </c>
      <c r="P624" s="174">
        <f t="shared" si="182"/>
        <v>0</v>
      </c>
      <c r="Q624" s="175">
        <f t="shared" si="182"/>
        <v>0</v>
      </c>
      <c r="R624" s="174">
        <f t="shared" si="182"/>
        <v>0</v>
      </c>
      <c r="S624" s="175">
        <f t="shared" si="182"/>
        <v>0</v>
      </c>
      <c r="T624" s="174">
        <f t="shared" si="182"/>
        <v>0</v>
      </c>
      <c r="U624" s="175">
        <f t="shared" si="182"/>
        <v>0</v>
      </c>
      <c r="V624" s="174">
        <f t="shared" si="182"/>
        <v>0</v>
      </c>
      <c r="W624" s="175">
        <f t="shared" si="182"/>
        <v>0</v>
      </c>
      <c r="X624" s="174">
        <f t="shared" si="182"/>
        <v>0</v>
      </c>
      <c r="Y624" s="175">
        <f t="shared" si="182"/>
        <v>0</v>
      </c>
      <c r="Z624" s="174">
        <f t="shared" si="182"/>
        <v>0</v>
      </c>
      <c r="AA624" s="175">
        <f t="shared" si="182"/>
        <v>0</v>
      </c>
      <c r="AB624" s="174">
        <f t="shared" si="182"/>
        <v>0</v>
      </c>
      <c r="AC624" s="175">
        <f t="shared" si="182"/>
        <v>0</v>
      </c>
      <c r="AD624" s="174">
        <f t="shared" si="182"/>
        <v>0</v>
      </c>
      <c r="AE624" s="175">
        <f t="shared" si="182"/>
        <v>0</v>
      </c>
      <c r="AF624" s="174">
        <f t="shared" si="182"/>
        <v>0</v>
      </c>
      <c r="AG624" s="175">
        <f t="shared" si="182"/>
        <v>0</v>
      </c>
      <c r="AH624" s="174">
        <f t="shared" si="182"/>
        <v>0</v>
      </c>
      <c r="AI624" s="175">
        <f t="shared" si="182"/>
        <v>0</v>
      </c>
      <c r="AJ624" s="174">
        <f t="shared" si="182"/>
        <v>0</v>
      </c>
      <c r="AK624" s="175">
        <f t="shared" si="182"/>
        <v>0</v>
      </c>
      <c r="AL624" s="174">
        <f t="shared" ref="AL624:BQ624" si="183">SUM(AL547:AL558)</f>
        <v>0</v>
      </c>
      <c r="AM624" s="175">
        <f t="shared" si="183"/>
        <v>0</v>
      </c>
      <c r="AN624" s="174">
        <f t="shared" si="183"/>
        <v>0</v>
      </c>
      <c r="AO624" s="175">
        <f t="shared" si="183"/>
        <v>0</v>
      </c>
      <c r="AP624" s="174">
        <f t="shared" si="183"/>
        <v>0</v>
      </c>
      <c r="AQ624" s="175">
        <f t="shared" si="183"/>
        <v>0</v>
      </c>
      <c r="AR624" s="174">
        <f t="shared" si="183"/>
        <v>0</v>
      </c>
      <c r="AS624" s="175">
        <f t="shared" si="183"/>
        <v>0</v>
      </c>
      <c r="AT624" s="174">
        <f t="shared" si="183"/>
        <v>0</v>
      </c>
      <c r="AU624" s="175">
        <f t="shared" si="183"/>
        <v>0</v>
      </c>
      <c r="AV624" s="174">
        <f t="shared" si="183"/>
        <v>0</v>
      </c>
      <c r="AW624" s="175">
        <f t="shared" si="183"/>
        <v>0</v>
      </c>
      <c r="AX624" s="174">
        <f t="shared" si="183"/>
        <v>0</v>
      </c>
      <c r="AY624" s="175">
        <f t="shared" si="183"/>
        <v>0</v>
      </c>
      <c r="AZ624" s="174">
        <f t="shared" si="183"/>
        <v>0</v>
      </c>
      <c r="BA624" s="175">
        <f t="shared" si="183"/>
        <v>0</v>
      </c>
      <c r="BB624" s="174">
        <f t="shared" si="183"/>
        <v>4618</v>
      </c>
      <c r="BC624" s="175">
        <f t="shared" si="183"/>
        <v>3864</v>
      </c>
      <c r="BD624" s="174">
        <f t="shared" si="183"/>
        <v>0</v>
      </c>
      <c r="BE624" s="175">
        <f t="shared" si="183"/>
        <v>0</v>
      </c>
      <c r="BF624" s="174">
        <f t="shared" si="183"/>
        <v>0</v>
      </c>
      <c r="BG624" s="175">
        <f t="shared" si="183"/>
        <v>0</v>
      </c>
      <c r="BH624" s="174">
        <f t="shared" si="183"/>
        <v>0</v>
      </c>
      <c r="BI624" s="175">
        <f t="shared" si="183"/>
        <v>0</v>
      </c>
      <c r="BJ624" s="174">
        <f t="shared" si="183"/>
        <v>0</v>
      </c>
      <c r="BK624" s="175">
        <f t="shared" si="183"/>
        <v>0</v>
      </c>
      <c r="BL624" s="174">
        <f t="shared" si="183"/>
        <v>0</v>
      </c>
      <c r="BM624" s="175">
        <f t="shared" si="183"/>
        <v>0</v>
      </c>
      <c r="BN624" s="174">
        <f t="shared" si="183"/>
        <v>0</v>
      </c>
      <c r="BO624" s="175">
        <f t="shared" si="183"/>
        <v>0</v>
      </c>
      <c r="BP624" s="174">
        <f t="shared" si="183"/>
        <v>0</v>
      </c>
      <c r="BQ624" s="175">
        <f t="shared" si="183"/>
        <v>0</v>
      </c>
      <c r="BR624" s="174">
        <f t="shared" ref="BR624:BW624" si="184">SUM(BR547:BR558)</f>
        <v>0</v>
      </c>
      <c r="BS624" s="175">
        <f t="shared" si="184"/>
        <v>0</v>
      </c>
      <c r="BT624" s="174">
        <f t="shared" si="184"/>
        <v>5084</v>
      </c>
      <c r="BU624" s="175">
        <f t="shared" si="184"/>
        <v>3363</v>
      </c>
      <c r="BV624" s="174">
        <f t="shared" si="184"/>
        <v>5197</v>
      </c>
      <c r="BW624" s="175">
        <f t="shared" si="184"/>
        <v>3286</v>
      </c>
    </row>
    <row r="625" spans="1:75" ht="13" x14ac:dyDescent="0.25">
      <c r="A625" s="196"/>
      <c r="B625" s="197" t="s">
        <v>646</v>
      </c>
      <c r="C625" s="90">
        <f>SUM(C561:C563)</f>
        <v>4246</v>
      </c>
      <c r="D625" s="90">
        <f>SUM(D561:D563)</f>
        <v>2750</v>
      </c>
      <c r="E625" s="145">
        <f t="shared" si="19"/>
        <v>0.64766839378238339</v>
      </c>
      <c r="F625" s="174">
        <f t="shared" ref="F625:AK625" si="185">SUM(F561:F563)</f>
        <v>720</v>
      </c>
      <c r="G625" s="175">
        <f t="shared" si="185"/>
        <v>1874</v>
      </c>
      <c r="H625" s="174">
        <f t="shared" si="185"/>
        <v>0</v>
      </c>
      <c r="I625" s="175">
        <f t="shared" si="185"/>
        <v>0</v>
      </c>
      <c r="J625" s="174">
        <f t="shared" si="185"/>
        <v>0</v>
      </c>
      <c r="K625" s="175">
        <f t="shared" si="185"/>
        <v>0</v>
      </c>
      <c r="L625" s="174">
        <f t="shared" si="185"/>
        <v>0</v>
      </c>
      <c r="M625" s="175">
        <f t="shared" si="185"/>
        <v>0</v>
      </c>
      <c r="N625" s="174">
        <f t="shared" si="185"/>
        <v>0</v>
      </c>
      <c r="O625" s="175">
        <f t="shared" si="185"/>
        <v>0</v>
      </c>
      <c r="P625" s="174">
        <f t="shared" si="185"/>
        <v>0</v>
      </c>
      <c r="Q625" s="175">
        <f t="shared" si="185"/>
        <v>0</v>
      </c>
      <c r="R625" s="174">
        <f t="shared" si="185"/>
        <v>0</v>
      </c>
      <c r="S625" s="175">
        <f t="shared" si="185"/>
        <v>0</v>
      </c>
      <c r="T625" s="174">
        <f t="shared" si="185"/>
        <v>0</v>
      </c>
      <c r="U625" s="175">
        <f t="shared" si="185"/>
        <v>0</v>
      </c>
      <c r="V625" s="174">
        <f t="shared" si="185"/>
        <v>0</v>
      </c>
      <c r="W625" s="175">
        <f t="shared" si="185"/>
        <v>0</v>
      </c>
      <c r="X625" s="174">
        <f t="shared" si="185"/>
        <v>0</v>
      </c>
      <c r="Y625" s="175">
        <f t="shared" si="185"/>
        <v>0</v>
      </c>
      <c r="Z625" s="174">
        <f t="shared" si="185"/>
        <v>0</v>
      </c>
      <c r="AA625" s="175">
        <f t="shared" si="185"/>
        <v>0</v>
      </c>
      <c r="AB625" s="174">
        <f t="shared" si="185"/>
        <v>0</v>
      </c>
      <c r="AC625" s="175">
        <f t="shared" si="185"/>
        <v>0</v>
      </c>
      <c r="AD625" s="174">
        <f t="shared" si="185"/>
        <v>0</v>
      </c>
      <c r="AE625" s="175">
        <f t="shared" si="185"/>
        <v>0</v>
      </c>
      <c r="AF625" s="174">
        <f t="shared" si="185"/>
        <v>0</v>
      </c>
      <c r="AG625" s="175">
        <f t="shared" si="185"/>
        <v>0</v>
      </c>
      <c r="AH625" s="174">
        <f t="shared" si="185"/>
        <v>0</v>
      </c>
      <c r="AI625" s="175">
        <f t="shared" si="185"/>
        <v>0</v>
      </c>
      <c r="AJ625" s="174">
        <f t="shared" si="185"/>
        <v>0</v>
      </c>
      <c r="AK625" s="175">
        <f t="shared" si="185"/>
        <v>0</v>
      </c>
      <c r="AL625" s="174">
        <f t="shared" ref="AL625:BQ625" si="186">SUM(AL561:AL563)</f>
        <v>0</v>
      </c>
      <c r="AM625" s="175">
        <f t="shared" si="186"/>
        <v>0</v>
      </c>
      <c r="AN625" s="174">
        <f t="shared" si="186"/>
        <v>0</v>
      </c>
      <c r="AO625" s="175">
        <f t="shared" si="186"/>
        <v>0</v>
      </c>
      <c r="AP625" s="174">
        <f t="shared" si="186"/>
        <v>0</v>
      </c>
      <c r="AQ625" s="175">
        <f t="shared" si="186"/>
        <v>0</v>
      </c>
      <c r="AR625" s="174">
        <f t="shared" si="186"/>
        <v>0</v>
      </c>
      <c r="AS625" s="175">
        <f t="shared" si="186"/>
        <v>0</v>
      </c>
      <c r="AT625" s="174">
        <f t="shared" si="186"/>
        <v>0</v>
      </c>
      <c r="AU625" s="175">
        <f t="shared" si="186"/>
        <v>0</v>
      </c>
      <c r="AV625" s="174">
        <f t="shared" si="186"/>
        <v>0</v>
      </c>
      <c r="AW625" s="175">
        <f t="shared" si="186"/>
        <v>0</v>
      </c>
      <c r="AX625" s="174">
        <f t="shared" si="186"/>
        <v>0</v>
      </c>
      <c r="AY625" s="175">
        <f t="shared" si="186"/>
        <v>0</v>
      </c>
      <c r="AZ625" s="174">
        <f t="shared" si="186"/>
        <v>0</v>
      </c>
      <c r="BA625" s="175">
        <f t="shared" si="186"/>
        <v>0</v>
      </c>
      <c r="BB625" s="174">
        <f t="shared" si="186"/>
        <v>0</v>
      </c>
      <c r="BC625" s="175">
        <f t="shared" si="186"/>
        <v>0</v>
      </c>
      <c r="BD625" s="174">
        <f t="shared" si="186"/>
        <v>966</v>
      </c>
      <c r="BE625" s="175">
        <f t="shared" si="186"/>
        <v>1622</v>
      </c>
      <c r="BF625" s="174">
        <f t="shared" si="186"/>
        <v>0</v>
      </c>
      <c r="BG625" s="175">
        <f t="shared" si="186"/>
        <v>0</v>
      </c>
      <c r="BH625" s="174">
        <f t="shared" si="186"/>
        <v>0</v>
      </c>
      <c r="BI625" s="175">
        <f t="shared" si="186"/>
        <v>0</v>
      </c>
      <c r="BJ625" s="174">
        <f t="shared" si="186"/>
        <v>0</v>
      </c>
      <c r="BK625" s="175">
        <f t="shared" si="186"/>
        <v>0</v>
      </c>
      <c r="BL625" s="174">
        <f t="shared" si="186"/>
        <v>0</v>
      </c>
      <c r="BM625" s="175">
        <f t="shared" si="186"/>
        <v>0</v>
      </c>
      <c r="BN625" s="174">
        <f t="shared" si="186"/>
        <v>0</v>
      </c>
      <c r="BO625" s="175">
        <f t="shared" si="186"/>
        <v>0</v>
      </c>
      <c r="BP625" s="174">
        <f t="shared" si="186"/>
        <v>0</v>
      </c>
      <c r="BQ625" s="175">
        <f t="shared" si="186"/>
        <v>0</v>
      </c>
      <c r="BR625" s="174">
        <f t="shared" ref="BR625:BW625" si="187">SUM(BR561:BR563)</f>
        <v>0</v>
      </c>
      <c r="BS625" s="175">
        <f t="shared" si="187"/>
        <v>0</v>
      </c>
      <c r="BT625" s="174">
        <f t="shared" si="187"/>
        <v>972</v>
      </c>
      <c r="BU625" s="175">
        <f t="shared" si="187"/>
        <v>1611</v>
      </c>
      <c r="BV625" s="174">
        <f t="shared" si="187"/>
        <v>1110</v>
      </c>
      <c r="BW625" s="175">
        <f t="shared" si="187"/>
        <v>1474</v>
      </c>
    </row>
    <row r="626" spans="1:75" ht="13" x14ac:dyDescent="0.25">
      <c r="A626" s="196"/>
      <c r="B626" s="197" t="s">
        <v>647</v>
      </c>
      <c r="C626" s="90">
        <f>SUM(C484)</f>
        <v>523</v>
      </c>
      <c r="D626" s="90">
        <f>SUM(D484)</f>
        <v>310</v>
      </c>
      <c r="E626" s="145">
        <f t="shared" si="19"/>
        <v>0.59273422562141487</v>
      </c>
      <c r="F626" s="174">
        <f t="shared" ref="F626:AK626" si="188">SUM(F484)</f>
        <v>85</v>
      </c>
      <c r="G626" s="175">
        <f t="shared" si="188"/>
        <v>210</v>
      </c>
      <c r="H626" s="174">
        <f t="shared" si="188"/>
        <v>0</v>
      </c>
      <c r="I626" s="175">
        <f t="shared" si="188"/>
        <v>0</v>
      </c>
      <c r="J626" s="174">
        <f t="shared" si="188"/>
        <v>0</v>
      </c>
      <c r="K626" s="175">
        <f t="shared" si="188"/>
        <v>0</v>
      </c>
      <c r="L626" s="174">
        <f t="shared" si="188"/>
        <v>0</v>
      </c>
      <c r="M626" s="175">
        <f t="shared" si="188"/>
        <v>0</v>
      </c>
      <c r="N626" s="174">
        <f t="shared" si="188"/>
        <v>0</v>
      </c>
      <c r="O626" s="175">
        <f t="shared" si="188"/>
        <v>0</v>
      </c>
      <c r="P626" s="174">
        <f t="shared" si="188"/>
        <v>0</v>
      </c>
      <c r="Q626" s="175">
        <f t="shared" si="188"/>
        <v>0</v>
      </c>
      <c r="R626" s="174">
        <f t="shared" si="188"/>
        <v>0</v>
      </c>
      <c r="S626" s="175">
        <f t="shared" si="188"/>
        <v>0</v>
      </c>
      <c r="T626" s="174">
        <f t="shared" si="188"/>
        <v>0</v>
      </c>
      <c r="U626" s="175">
        <f t="shared" si="188"/>
        <v>0</v>
      </c>
      <c r="V626" s="174">
        <f t="shared" si="188"/>
        <v>0</v>
      </c>
      <c r="W626" s="175">
        <f t="shared" si="188"/>
        <v>0</v>
      </c>
      <c r="X626" s="174">
        <f t="shared" si="188"/>
        <v>0</v>
      </c>
      <c r="Y626" s="175">
        <f t="shared" si="188"/>
        <v>0</v>
      </c>
      <c r="Z626" s="174">
        <f t="shared" si="188"/>
        <v>0</v>
      </c>
      <c r="AA626" s="175">
        <f t="shared" si="188"/>
        <v>0</v>
      </c>
      <c r="AB626" s="174">
        <f t="shared" si="188"/>
        <v>172</v>
      </c>
      <c r="AC626" s="175">
        <f t="shared" si="188"/>
        <v>123</v>
      </c>
      <c r="AD626" s="174">
        <f t="shared" si="188"/>
        <v>0</v>
      </c>
      <c r="AE626" s="175">
        <f t="shared" si="188"/>
        <v>0</v>
      </c>
      <c r="AF626" s="174">
        <f t="shared" si="188"/>
        <v>0</v>
      </c>
      <c r="AG626" s="175">
        <f t="shared" si="188"/>
        <v>0</v>
      </c>
      <c r="AH626" s="174">
        <f t="shared" si="188"/>
        <v>0</v>
      </c>
      <c r="AI626" s="175">
        <f t="shared" si="188"/>
        <v>0</v>
      </c>
      <c r="AJ626" s="174">
        <f t="shared" si="188"/>
        <v>0</v>
      </c>
      <c r="AK626" s="175">
        <f t="shared" si="188"/>
        <v>0</v>
      </c>
      <c r="AL626" s="174">
        <f t="shared" ref="AL626:BQ626" si="189">SUM(AL484)</f>
        <v>0</v>
      </c>
      <c r="AM626" s="175">
        <f t="shared" si="189"/>
        <v>0</v>
      </c>
      <c r="AN626" s="174">
        <f t="shared" si="189"/>
        <v>0</v>
      </c>
      <c r="AO626" s="175">
        <f t="shared" si="189"/>
        <v>0</v>
      </c>
      <c r="AP626" s="174">
        <f t="shared" si="189"/>
        <v>0</v>
      </c>
      <c r="AQ626" s="175">
        <f t="shared" si="189"/>
        <v>0</v>
      </c>
      <c r="AR626" s="174">
        <f t="shared" si="189"/>
        <v>0</v>
      </c>
      <c r="AS626" s="175">
        <f t="shared" si="189"/>
        <v>0</v>
      </c>
      <c r="AT626" s="174">
        <f t="shared" si="189"/>
        <v>0</v>
      </c>
      <c r="AU626" s="175">
        <f t="shared" si="189"/>
        <v>0</v>
      </c>
      <c r="AV626" s="174">
        <f t="shared" si="189"/>
        <v>0</v>
      </c>
      <c r="AW626" s="175">
        <f t="shared" si="189"/>
        <v>0</v>
      </c>
      <c r="AX626" s="174">
        <f t="shared" si="189"/>
        <v>0</v>
      </c>
      <c r="AY626" s="175">
        <f t="shared" si="189"/>
        <v>0</v>
      </c>
      <c r="AZ626" s="174">
        <f t="shared" si="189"/>
        <v>0</v>
      </c>
      <c r="BA626" s="175">
        <f t="shared" si="189"/>
        <v>0</v>
      </c>
      <c r="BB626" s="174">
        <f t="shared" si="189"/>
        <v>0</v>
      </c>
      <c r="BC626" s="175">
        <f t="shared" si="189"/>
        <v>0</v>
      </c>
      <c r="BD626" s="174">
        <f t="shared" si="189"/>
        <v>0</v>
      </c>
      <c r="BE626" s="175">
        <f t="shared" si="189"/>
        <v>0</v>
      </c>
      <c r="BF626" s="174">
        <f t="shared" si="189"/>
        <v>0</v>
      </c>
      <c r="BG626" s="175">
        <f t="shared" si="189"/>
        <v>0</v>
      </c>
      <c r="BH626" s="174">
        <f t="shared" si="189"/>
        <v>0</v>
      </c>
      <c r="BI626" s="175">
        <f t="shared" si="189"/>
        <v>0</v>
      </c>
      <c r="BJ626" s="174">
        <f t="shared" si="189"/>
        <v>0</v>
      </c>
      <c r="BK626" s="175">
        <f t="shared" si="189"/>
        <v>0</v>
      </c>
      <c r="BL626" s="174">
        <f t="shared" si="189"/>
        <v>0</v>
      </c>
      <c r="BM626" s="175">
        <f t="shared" si="189"/>
        <v>0</v>
      </c>
      <c r="BN626" s="174">
        <f t="shared" si="189"/>
        <v>0</v>
      </c>
      <c r="BO626" s="175">
        <f t="shared" si="189"/>
        <v>0</v>
      </c>
      <c r="BP626" s="174">
        <f t="shared" si="189"/>
        <v>0</v>
      </c>
      <c r="BQ626" s="175">
        <f t="shared" si="189"/>
        <v>0</v>
      </c>
      <c r="BR626" s="174">
        <f t="shared" ref="BR626:BW626" si="190">SUM(BR484)</f>
        <v>0</v>
      </c>
      <c r="BS626" s="175">
        <f t="shared" si="190"/>
        <v>0</v>
      </c>
      <c r="BT626" s="174">
        <f t="shared" si="190"/>
        <v>138</v>
      </c>
      <c r="BU626" s="175">
        <f t="shared" si="190"/>
        <v>155</v>
      </c>
      <c r="BV626" s="174">
        <f t="shared" si="190"/>
        <v>156</v>
      </c>
      <c r="BW626" s="175">
        <f t="shared" si="190"/>
        <v>140</v>
      </c>
    </row>
    <row r="627" spans="1:75" ht="13" x14ac:dyDescent="0.25">
      <c r="A627" s="196"/>
      <c r="B627" s="197" t="s">
        <v>648</v>
      </c>
      <c r="C627" s="90">
        <f>SUM(C315:C318)</f>
        <v>3274</v>
      </c>
      <c r="D627" s="90">
        <f>SUM(D315:D318)</f>
        <v>2682</v>
      </c>
      <c r="E627" s="145">
        <f t="shared" si="19"/>
        <v>0.8191814294441051</v>
      </c>
      <c r="F627" s="174">
        <f t="shared" ref="F627:AK627" si="191">SUM(F315:F318)</f>
        <v>1527</v>
      </c>
      <c r="G627" s="175">
        <f t="shared" si="191"/>
        <v>1061</v>
      </c>
      <c r="H627" s="174">
        <f t="shared" si="191"/>
        <v>0</v>
      </c>
      <c r="I627" s="175">
        <f t="shared" si="191"/>
        <v>0</v>
      </c>
      <c r="J627" s="174">
        <f t="shared" si="191"/>
        <v>0</v>
      </c>
      <c r="K627" s="175">
        <f t="shared" si="191"/>
        <v>0</v>
      </c>
      <c r="L627" s="174">
        <f t="shared" si="191"/>
        <v>0</v>
      </c>
      <c r="M627" s="175">
        <f t="shared" si="191"/>
        <v>0</v>
      </c>
      <c r="N627" s="174">
        <f t="shared" si="191"/>
        <v>0</v>
      </c>
      <c r="O627" s="175">
        <f t="shared" si="191"/>
        <v>0</v>
      </c>
      <c r="P627" s="174">
        <f t="shared" si="191"/>
        <v>0</v>
      </c>
      <c r="Q627" s="175">
        <f t="shared" si="191"/>
        <v>0</v>
      </c>
      <c r="R627" s="174">
        <f t="shared" si="191"/>
        <v>0</v>
      </c>
      <c r="S627" s="175">
        <f t="shared" si="191"/>
        <v>0</v>
      </c>
      <c r="T627" s="174">
        <f t="shared" si="191"/>
        <v>0</v>
      </c>
      <c r="U627" s="175">
        <f t="shared" si="191"/>
        <v>0</v>
      </c>
      <c r="V627" s="174">
        <f t="shared" si="191"/>
        <v>0</v>
      </c>
      <c r="W627" s="175">
        <f t="shared" si="191"/>
        <v>0</v>
      </c>
      <c r="X627" s="174">
        <f t="shared" si="191"/>
        <v>0</v>
      </c>
      <c r="Y627" s="175">
        <f t="shared" si="191"/>
        <v>0</v>
      </c>
      <c r="Z627" s="174">
        <f t="shared" si="191"/>
        <v>0</v>
      </c>
      <c r="AA627" s="175">
        <f t="shared" si="191"/>
        <v>0</v>
      </c>
      <c r="AB627" s="174">
        <f t="shared" si="191"/>
        <v>0</v>
      </c>
      <c r="AC627" s="175">
        <f t="shared" si="191"/>
        <v>0</v>
      </c>
      <c r="AD627" s="174">
        <f t="shared" si="191"/>
        <v>0</v>
      </c>
      <c r="AE627" s="175">
        <f t="shared" si="191"/>
        <v>0</v>
      </c>
      <c r="AF627" s="174">
        <f t="shared" si="191"/>
        <v>0</v>
      </c>
      <c r="AG627" s="175">
        <f t="shared" si="191"/>
        <v>0</v>
      </c>
      <c r="AH627" s="174">
        <f t="shared" si="191"/>
        <v>0</v>
      </c>
      <c r="AI627" s="175">
        <f t="shared" si="191"/>
        <v>0</v>
      </c>
      <c r="AJ627" s="174">
        <f t="shared" si="191"/>
        <v>0</v>
      </c>
      <c r="AK627" s="175">
        <f t="shared" si="191"/>
        <v>0</v>
      </c>
      <c r="AL627" s="174">
        <f t="shared" ref="AL627:BQ627" si="192">SUM(AL315:AL318)</f>
        <v>0</v>
      </c>
      <c r="AM627" s="175">
        <f t="shared" si="192"/>
        <v>0</v>
      </c>
      <c r="AN627" s="174">
        <f t="shared" si="192"/>
        <v>0</v>
      </c>
      <c r="AO627" s="175">
        <f t="shared" si="192"/>
        <v>0</v>
      </c>
      <c r="AP627" s="174">
        <f t="shared" si="192"/>
        <v>0</v>
      </c>
      <c r="AQ627" s="175">
        <f t="shared" si="192"/>
        <v>0</v>
      </c>
      <c r="AR627" s="174">
        <f t="shared" si="192"/>
        <v>0</v>
      </c>
      <c r="AS627" s="175">
        <f t="shared" si="192"/>
        <v>0</v>
      </c>
      <c r="AT627" s="174">
        <f t="shared" si="192"/>
        <v>0</v>
      </c>
      <c r="AU627" s="175">
        <f t="shared" si="192"/>
        <v>0</v>
      </c>
      <c r="AV627" s="174">
        <f t="shared" si="192"/>
        <v>0</v>
      </c>
      <c r="AW627" s="175">
        <f t="shared" si="192"/>
        <v>0</v>
      </c>
      <c r="AX627" s="174">
        <f t="shared" si="192"/>
        <v>0</v>
      </c>
      <c r="AY627" s="175">
        <f t="shared" si="192"/>
        <v>0</v>
      </c>
      <c r="AZ627" s="174">
        <f t="shared" si="192"/>
        <v>0</v>
      </c>
      <c r="BA627" s="175">
        <f t="shared" si="192"/>
        <v>0</v>
      </c>
      <c r="BB627" s="174">
        <f t="shared" si="192"/>
        <v>0</v>
      </c>
      <c r="BC627" s="175">
        <f t="shared" si="192"/>
        <v>0</v>
      </c>
      <c r="BD627" s="174">
        <f t="shared" si="192"/>
        <v>0</v>
      </c>
      <c r="BE627" s="175">
        <f t="shared" si="192"/>
        <v>0</v>
      </c>
      <c r="BF627" s="174">
        <f t="shared" si="192"/>
        <v>0</v>
      </c>
      <c r="BG627" s="175">
        <f t="shared" si="192"/>
        <v>0</v>
      </c>
      <c r="BH627" s="174">
        <f t="shared" si="192"/>
        <v>0</v>
      </c>
      <c r="BI627" s="175">
        <f t="shared" si="192"/>
        <v>0</v>
      </c>
      <c r="BJ627" s="174">
        <f t="shared" si="192"/>
        <v>0</v>
      </c>
      <c r="BK627" s="175">
        <f t="shared" si="192"/>
        <v>0</v>
      </c>
      <c r="BL627" s="174">
        <f t="shared" si="192"/>
        <v>0</v>
      </c>
      <c r="BM627" s="175">
        <f t="shared" si="192"/>
        <v>0</v>
      </c>
      <c r="BN627" s="174">
        <f t="shared" si="192"/>
        <v>0</v>
      </c>
      <c r="BO627" s="175">
        <f t="shared" si="192"/>
        <v>0</v>
      </c>
      <c r="BP627" s="174">
        <f t="shared" si="192"/>
        <v>0</v>
      </c>
      <c r="BQ627" s="175">
        <f t="shared" si="192"/>
        <v>0</v>
      </c>
      <c r="BR627" s="174">
        <f t="shared" ref="BR627:BW627" si="193">SUM(BR315:BR318)</f>
        <v>0</v>
      </c>
      <c r="BS627" s="175">
        <f t="shared" si="193"/>
        <v>0</v>
      </c>
      <c r="BT627" s="174">
        <f t="shared" si="193"/>
        <v>1728</v>
      </c>
      <c r="BU627" s="175">
        <f t="shared" si="193"/>
        <v>822</v>
      </c>
      <c r="BV627" s="174">
        <f t="shared" si="193"/>
        <v>1755</v>
      </c>
      <c r="BW627" s="175">
        <f t="shared" si="193"/>
        <v>796</v>
      </c>
    </row>
    <row r="628" spans="1:75" ht="13" x14ac:dyDescent="0.25">
      <c r="A628" s="196"/>
      <c r="B628" s="197" t="s">
        <v>649</v>
      </c>
      <c r="C628" s="90">
        <f>SUM(C351)</f>
        <v>525</v>
      </c>
      <c r="D628" s="90">
        <f>SUM(D351)</f>
        <v>299</v>
      </c>
      <c r="E628" s="145">
        <f t="shared" si="19"/>
        <v>0.56952380952380954</v>
      </c>
      <c r="F628" s="174">
        <f t="shared" ref="F628:AK628" si="194">SUM(F351)</f>
        <v>146</v>
      </c>
      <c r="G628" s="175">
        <f t="shared" si="194"/>
        <v>142</v>
      </c>
      <c r="H628" s="174">
        <f t="shared" si="194"/>
        <v>0</v>
      </c>
      <c r="I628" s="175">
        <f t="shared" si="194"/>
        <v>0</v>
      </c>
      <c r="J628" s="174">
        <f t="shared" si="194"/>
        <v>0</v>
      </c>
      <c r="K628" s="175">
        <f t="shared" si="194"/>
        <v>0</v>
      </c>
      <c r="L628" s="174">
        <f t="shared" si="194"/>
        <v>0</v>
      </c>
      <c r="M628" s="175">
        <f t="shared" si="194"/>
        <v>0</v>
      </c>
      <c r="N628" s="174">
        <f t="shared" si="194"/>
        <v>0</v>
      </c>
      <c r="O628" s="175">
        <f t="shared" si="194"/>
        <v>0</v>
      </c>
      <c r="P628" s="174">
        <f t="shared" si="194"/>
        <v>0</v>
      </c>
      <c r="Q628" s="175">
        <f t="shared" si="194"/>
        <v>0</v>
      </c>
      <c r="R628" s="174">
        <f t="shared" si="194"/>
        <v>0</v>
      </c>
      <c r="S628" s="175">
        <f t="shared" si="194"/>
        <v>0</v>
      </c>
      <c r="T628" s="174">
        <f t="shared" si="194"/>
        <v>0</v>
      </c>
      <c r="U628" s="175">
        <f t="shared" si="194"/>
        <v>0</v>
      </c>
      <c r="V628" s="174">
        <f t="shared" si="194"/>
        <v>0</v>
      </c>
      <c r="W628" s="175">
        <f t="shared" si="194"/>
        <v>0</v>
      </c>
      <c r="X628" s="174">
        <f t="shared" si="194"/>
        <v>0</v>
      </c>
      <c r="Y628" s="175">
        <f t="shared" si="194"/>
        <v>0</v>
      </c>
      <c r="Z628" s="174">
        <f t="shared" si="194"/>
        <v>0</v>
      </c>
      <c r="AA628" s="175">
        <f t="shared" si="194"/>
        <v>0</v>
      </c>
      <c r="AB628" s="174">
        <f t="shared" si="194"/>
        <v>0</v>
      </c>
      <c r="AC628" s="175">
        <f t="shared" si="194"/>
        <v>0</v>
      </c>
      <c r="AD628" s="174">
        <f t="shared" si="194"/>
        <v>0</v>
      </c>
      <c r="AE628" s="175">
        <f t="shared" si="194"/>
        <v>0</v>
      </c>
      <c r="AF628" s="174">
        <f t="shared" si="194"/>
        <v>0</v>
      </c>
      <c r="AG628" s="175">
        <f t="shared" si="194"/>
        <v>0</v>
      </c>
      <c r="AH628" s="174">
        <f t="shared" si="194"/>
        <v>0</v>
      </c>
      <c r="AI628" s="175">
        <f t="shared" si="194"/>
        <v>0</v>
      </c>
      <c r="AJ628" s="174">
        <f t="shared" si="194"/>
        <v>0</v>
      </c>
      <c r="AK628" s="175">
        <f t="shared" si="194"/>
        <v>0</v>
      </c>
      <c r="AL628" s="174">
        <f t="shared" ref="AL628:BQ628" si="195">SUM(AL351)</f>
        <v>0</v>
      </c>
      <c r="AM628" s="175">
        <f t="shared" si="195"/>
        <v>0</v>
      </c>
      <c r="AN628" s="174">
        <f t="shared" si="195"/>
        <v>0</v>
      </c>
      <c r="AO628" s="175">
        <f t="shared" si="195"/>
        <v>0</v>
      </c>
      <c r="AP628" s="174">
        <f t="shared" si="195"/>
        <v>0</v>
      </c>
      <c r="AQ628" s="175">
        <f t="shared" si="195"/>
        <v>0</v>
      </c>
      <c r="AR628" s="174">
        <f t="shared" si="195"/>
        <v>0</v>
      </c>
      <c r="AS628" s="175">
        <f t="shared" si="195"/>
        <v>0</v>
      </c>
      <c r="AT628" s="174">
        <f t="shared" si="195"/>
        <v>0</v>
      </c>
      <c r="AU628" s="175">
        <f t="shared" si="195"/>
        <v>0</v>
      </c>
      <c r="AV628" s="174">
        <f t="shared" si="195"/>
        <v>0</v>
      </c>
      <c r="AW628" s="175">
        <f t="shared" si="195"/>
        <v>0</v>
      </c>
      <c r="AX628" s="174">
        <f t="shared" si="195"/>
        <v>0</v>
      </c>
      <c r="AY628" s="175">
        <f t="shared" si="195"/>
        <v>0</v>
      </c>
      <c r="AZ628" s="174">
        <f t="shared" si="195"/>
        <v>0</v>
      </c>
      <c r="BA628" s="175">
        <f t="shared" si="195"/>
        <v>0</v>
      </c>
      <c r="BB628" s="174">
        <f t="shared" si="195"/>
        <v>0</v>
      </c>
      <c r="BC628" s="175">
        <f t="shared" si="195"/>
        <v>0</v>
      </c>
      <c r="BD628" s="174">
        <f t="shared" si="195"/>
        <v>0</v>
      </c>
      <c r="BE628" s="175">
        <f t="shared" si="195"/>
        <v>0</v>
      </c>
      <c r="BF628" s="174">
        <f t="shared" si="195"/>
        <v>0</v>
      </c>
      <c r="BG628" s="175">
        <f t="shared" si="195"/>
        <v>0</v>
      </c>
      <c r="BH628" s="174">
        <f t="shared" si="195"/>
        <v>0</v>
      </c>
      <c r="BI628" s="175">
        <f t="shared" si="195"/>
        <v>0</v>
      </c>
      <c r="BJ628" s="174">
        <f t="shared" si="195"/>
        <v>0</v>
      </c>
      <c r="BK628" s="175">
        <f t="shared" si="195"/>
        <v>0</v>
      </c>
      <c r="BL628" s="174">
        <f t="shared" si="195"/>
        <v>0</v>
      </c>
      <c r="BM628" s="175">
        <f t="shared" si="195"/>
        <v>0</v>
      </c>
      <c r="BN628" s="174">
        <f t="shared" si="195"/>
        <v>0</v>
      </c>
      <c r="BO628" s="175">
        <f t="shared" si="195"/>
        <v>0</v>
      </c>
      <c r="BP628" s="174">
        <f t="shared" si="195"/>
        <v>0</v>
      </c>
      <c r="BQ628" s="175">
        <f t="shared" si="195"/>
        <v>0</v>
      </c>
      <c r="BR628" s="174">
        <f t="shared" ref="BR628:BW628" si="196">SUM(BR351)</f>
        <v>0</v>
      </c>
      <c r="BS628" s="175">
        <f t="shared" si="196"/>
        <v>0</v>
      </c>
      <c r="BT628" s="174">
        <f t="shared" si="196"/>
        <v>156</v>
      </c>
      <c r="BU628" s="175">
        <f t="shared" si="196"/>
        <v>131</v>
      </c>
      <c r="BV628" s="174">
        <f t="shared" si="196"/>
        <v>165</v>
      </c>
      <c r="BW628" s="175">
        <f t="shared" si="196"/>
        <v>120</v>
      </c>
    </row>
    <row r="629" spans="1:75" ht="13" x14ac:dyDescent="0.25">
      <c r="A629" s="196"/>
      <c r="B629" s="197" t="s">
        <v>650</v>
      </c>
      <c r="C629" s="90">
        <f>SUM(C485:C486)</f>
        <v>2370</v>
      </c>
      <c r="D629" s="90">
        <f>SUM(D485:D486)</f>
        <v>1747</v>
      </c>
      <c r="E629" s="145">
        <f t="shared" si="19"/>
        <v>0.73713080168776368</v>
      </c>
      <c r="F629" s="174">
        <f t="shared" ref="F629:AK629" si="197">SUM(F485:F486)</f>
        <v>483</v>
      </c>
      <c r="G629" s="175">
        <f t="shared" si="197"/>
        <v>1160</v>
      </c>
      <c r="H629" s="174">
        <f t="shared" si="197"/>
        <v>0</v>
      </c>
      <c r="I629" s="175">
        <f t="shared" si="197"/>
        <v>0</v>
      </c>
      <c r="J629" s="174">
        <f t="shared" si="197"/>
        <v>0</v>
      </c>
      <c r="K629" s="175">
        <f t="shared" si="197"/>
        <v>0</v>
      </c>
      <c r="L629" s="174">
        <f t="shared" si="197"/>
        <v>0</v>
      </c>
      <c r="M629" s="175">
        <f t="shared" si="197"/>
        <v>0</v>
      </c>
      <c r="N629" s="174">
        <f t="shared" si="197"/>
        <v>0</v>
      </c>
      <c r="O629" s="175">
        <f t="shared" si="197"/>
        <v>0</v>
      </c>
      <c r="P629" s="174">
        <f t="shared" si="197"/>
        <v>0</v>
      </c>
      <c r="Q629" s="175">
        <f t="shared" si="197"/>
        <v>0</v>
      </c>
      <c r="R629" s="174">
        <f t="shared" si="197"/>
        <v>0</v>
      </c>
      <c r="S629" s="175">
        <f t="shared" si="197"/>
        <v>0</v>
      </c>
      <c r="T629" s="174">
        <f t="shared" si="197"/>
        <v>0</v>
      </c>
      <c r="U629" s="175">
        <f t="shared" si="197"/>
        <v>0</v>
      </c>
      <c r="V629" s="174">
        <f t="shared" si="197"/>
        <v>0</v>
      </c>
      <c r="W629" s="175">
        <f t="shared" si="197"/>
        <v>0</v>
      </c>
      <c r="X629" s="174">
        <f t="shared" si="197"/>
        <v>0</v>
      </c>
      <c r="Y629" s="175">
        <f t="shared" si="197"/>
        <v>0</v>
      </c>
      <c r="Z629" s="174">
        <f t="shared" si="197"/>
        <v>0</v>
      </c>
      <c r="AA629" s="175">
        <f t="shared" si="197"/>
        <v>0</v>
      </c>
      <c r="AB629" s="174">
        <f t="shared" si="197"/>
        <v>0</v>
      </c>
      <c r="AC629" s="175">
        <f t="shared" si="197"/>
        <v>0</v>
      </c>
      <c r="AD629" s="174">
        <f t="shared" si="197"/>
        <v>0</v>
      </c>
      <c r="AE629" s="175">
        <f t="shared" si="197"/>
        <v>0</v>
      </c>
      <c r="AF629" s="174">
        <f t="shared" si="197"/>
        <v>0</v>
      </c>
      <c r="AG629" s="175">
        <f t="shared" si="197"/>
        <v>0</v>
      </c>
      <c r="AH629" s="174">
        <f t="shared" si="197"/>
        <v>0</v>
      </c>
      <c r="AI629" s="175">
        <f t="shared" si="197"/>
        <v>0</v>
      </c>
      <c r="AJ629" s="174">
        <f t="shared" si="197"/>
        <v>0</v>
      </c>
      <c r="AK629" s="175">
        <f t="shared" si="197"/>
        <v>0</v>
      </c>
      <c r="AL629" s="174">
        <f t="shared" ref="AL629:BQ629" si="198">SUM(AL485:AL486)</f>
        <v>0</v>
      </c>
      <c r="AM629" s="175">
        <f t="shared" si="198"/>
        <v>0</v>
      </c>
      <c r="AN629" s="174">
        <f t="shared" si="198"/>
        <v>0</v>
      </c>
      <c r="AO629" s="175">
        <f t="shared" si="198"/>
        <v>0</v>
      </c>
      <c r="AP629" s="174">
        <f t="shared" si="198"/>
        <v>0</v>
      </c>
      <c r="AQ629" s="175">
        <f t="shared" si="198"/>
        <v>0</v>
      </c>
      <c r="AR629" s="174">
        <f t="shared" si="198"/>
        <v>0</v>
      </c>
      <c r="AS629" s="175">
        <f t="shared" si="198"/>
        <v>0</v>
      </c>
      <c r="AT629" s="174">
        <f t="shared" si="198"/>
        <v>0</v>
      </c>
      <c r="AU629" s="175">
        <f t="shared" si="198"/>
        <v>0</v>
      </c>
      <c r="AV629" s="174">
        <f t="shared" si="198"/>
        <v>0</v>
      </c>
      <c r="AW629" s="175">
        <f t="shared" si="198"/>
        <v>0</v>
      </c>
      <c r="AX629" s="174">
        <f t="shared" si="198"/>
        <v>0</v>
      </c>
      <c r="AY629" s="175">
        <f t="shared" si="198"/>
        <v>0</v>
      </c>
      <c r="AZ629" s="174">
        <f t="shared" si="198"/>
        <v>0</v>
      </c>
      <c r="BA629" s="175">
        <f t="shared" si="198"/>
        <v>0</v>
      </c>
      <c r="BB629" s="174">
        <f t="shared" si="198"/>
        <v>0</v>
      </c>
      <c r="BC629" s="175">
        <f t="shared" si="198"/>
        <v>0</v>
      </c>
      <c r="BD629" s="174">
        <f t="shared" si="198"/>
        <v>0</v>
      </c>
      <c r="BE629" s="175">
        <f t="shared" si="198"/>
        <v>0</v>
      </c>
      <c r="BF629" s="174">
        <f t="shared" si="198"/>
        <v>0</v>
      </c>
      <c r="BG629" s="175">
        <f t="shared" si="198"/>
        <v>0</v>
      </c>
      <c r="BH629" s="174">
        <f t="shared" si="198"/>
        <v>0</v>
      </c>
      <c r="BI629" s="175">
        <f t="shared" si="198"/>
        <v>0</v>
      </c>
      <c r="BJ629" s="174">
        <f t="shared" si="198"/>
        <v>0</v>
      </c>
      <c r="BK629" s="175">
        <f t="shared" si="198"/>
        <v>0</v>
      </c>
      <c r="BL629" s="174">
        <f t="shared" si="198"/>
        <v>0</v>
      </c>
      <c r="BM629" s="175">
        <f t="shared" si="198"/>
        <v>0</v>
      </c>
      <c r="BN629" s="174">
        <f t="shared" si="198"/>
        <v>0</v>
      </c>
      <c r="BO629" s="175">
        <f t="shared" si="198"/>
        <v>0</v>
      </c>
      <c r="BP629" s="174">
        <f t="shared" si="198"/>
        <v>0</v>
      </c>
      <c r="BQ629" s="175">
        <f t="shared" si="198"/>
        <v>0</v>
      </c>
      <c r="BR629" s="174">
        <f t="shared" ref="BR629:BW629" si="199">SUM(BR485:BR486)</f>
        <v>0</v>
      </c>
      <c r="BS629" s="175">
        <f t="shared" si="199"/>
        <v>0</v>
      </c>
      <c r="BT629" s="174">
        <f t="shared" si="199"/>
        <v>774</v>
      </c>
      <c r="BU629" s="175">
        <f t="shared" si="199"/>
        <v>880</v>
      </c>
      <c r="BV629" s="174">
        <f t="shared" si="199"/>
        <v>883</v>
      </c>
      <c r="BW629" s="175">
        <f t="shared" si="199"/>
        <v>769</v>
      </c>
    </row>
    <row r="630" spans="1:75" ht="13" x14ac:dyDescent="0.25">
      <c r="A630" s="196"/>
      <c r="B630" s="197" t="s">
        <v>651</v>
      </c>
      <c r="C630" s="90">
        <f>SUM(C420)</f>
        <v>1114</v>
      </c>
      <c r="D630" s="90">
        <f>SUM(D420)</f>
        <v>527</v>
      </c>
      <c r="E630" s="145">
        <f t="shared" si="19"/>
        <v>0.47307001795332138</v>
      </c>
      <c r="F630" s="174">
        <f t="shared" ref="F630:AK630" si="200">SUM(F420)</f>
        <v>238</v>
      </c>
      <c r="G630" s="175">
        <f t="shared" si="200"/>
        <v>243</v>
      </c>
      <c r="H630" s="174">
        <f t="shared" si="200"/>
        <v>0</v>
      </c>
      <c r="I630" s="175">
        <f t="shared" si="200"/>
        <v>0</v>
      </c>
      <c r="J630" s="174">
        <f t="shared" si="200"/>
        <v>0</v>
      </c>
      <c r="K630" s="175">
        <f t="shared" si="200"/>
        <v>0</v>
      </c>
      <c r="L630" s="174">
        <f t="shared" si="200"/>
        <v>0</v>
      </c>
      <c r="M630" s="175">
        <f t="shared" si="200"/>
        <v>0</v>
      </c>
      <c r="N630" s="174">
        <f t="shared" si="200"/>
        <v>0</v>
      </c>
      <c r="O630" s="175">
        <f t="shared" si="200"/>
        <v>0</v>
      </c>
      <c r="P630" s="174">
        <f t="shared" si="200"/>
        <v>0</v>
      </c>
      <c r="Q630" s="175">
        <f t="shared" si="200"/>
        <v>0</v>
      </c>
      <c r="R630" s="174">
        <f t="shared" si="200"/>
        <v>0</v>
      </c>
      <c r="S630" s="175">
        <f t="shared" si="200"/>
        <v>0</v>
      </c>
      <c r="T630" s="174">
        <f t="shared" si="200"/>
        <v>0</v>
      </c>
      <c r="U630" s="175">
        <f t="shared" si="200"/>
        <v>0</v>
      </c>
      <c r="V630" s="174">
        <f t="shared" si="200"/>
        <v>0</v>
      </c>
      <c r="W630" s="175">
        <f t="shared" si="200"/>
        <v>0</v>
      </c>
      <c r="X630" s="174">
        <f t="shared" si="200"/>
        <v>0</v>
      </c>
      <c r="Y630" s="175">
        <f t="shared" si="200"/>
        <v>0</v>
      </c>
      <c r="Z630" s="174">
        <f t="shared" si="200"/>
        <v>0</v>
      </c>
      <c r="AA630" s="175">
        <f t="shared" si="200"/>
        <v>0</v>
      </c>
      <c r="AB630" s="174">
        <f t="shared" si="200"/>
        <v>0</v>
      </c>
      <c r="AC630" s="175">
        <f t="shared" si="200"/>
        <v>0</v>
      </c>
      <c r="AD630" s="174">
        <f t="shared" si="200"/>
        <v>0</v>
      </c>
      <c r="AE630" s="175">
        <f t="shared" si="200"/>
        <v>0</v>
      </c>
      <c r="AF630" s="174">
        <f t="shared" si="200"/>
        <v>0</v>
      </c>
      <c r="AG630" s="175">
        <f t="shared" si="200"/>
        <v>0</v>
      </c>
      <c r="AH630" s="174">
        <f t="shared" si="200"/>
        <v>0</v>
      </c>
      <c r="AI630" s="175">
        <f t="shared" si="200"/>
        <v>0</v>
      </c>
      <c r="AJ630" s="174">
        <f t="shared" si="200"/>
        <v>0</v>
      </c>
      <c r="AK630" s="175">
        <f t="shared" si="200"/>
        <v>0</v>
      </c>
      <c r="AL630" s="174">
        <f t="shared" ref="AL630:BQ630" si="201">SUM(AL420)</f>
        <v>0</v>
      </c>
      <c r="AM630" s="175">
        <f t="shared" si="201"/>
        <v>0</v>
      </c>
      <c r="AN630" s="174">
        <f t="shared" si="201"/>
        <v>0</v>
      </c>
      <c r="AO630" s="175">
        <f t="shared" si="201"/>
        <v>0</v>
      </c>
      <c r="AP630" s="174">
        <f t="shared" si="201"/>
        <v>0</v>
      </c>
      <c r="AQ630" s="175">
        <f t="shared" si="201"/>
        <v>0</v>
      </c>
      <c r="AR630" s="174">
        <f t="shared" si="201"/>
        <v>0</v>
      </c>
      <c r="AS630" s="175">
        <f t="shared" si="201"/>
        <v>0</v>
      </c>
      <c r="AT630" s="174">
        <f t="shared" si="201"/>
        <v>0</v>
      </c>
      <c r="AU630" s="175">
        <f t="shared" si="201"/>
        <v>0</v>
      </c>
      <c r="AV630" s="174">
        <f t="shared" si="201"/>
        <v>0</v>
      </c>
      <c r="AW630" s="175">
        <f t="shared" si="201"/>
        <v>0</v>
      </c>
      <c r="AX630" s="174">
        <f t="shared" si="201"/>
        <v>0</v>
      </c>
      <c r="AY630" s="175">
        <f t="shared" si="201"/>
        <v>0</v>
      </c>
      <c r="AZ630" s="174">
        <f t="shared" si="201"/>
        <v>0</v>
      </c>
      <c r="BA630" s="175">
        <f t="shared" si="201"/>
        <v>0</v>
      </c>
      <c r="BB630" s="174">
        <f t="shared" si="201"/>
        <v>0</v>
      </c>
      <c r="BC630" s="175">
        <f t="shared" si="201"/>
        <v>0</v>
      </c>
      <c r="BD630" s="174">
        <f t="shared" si="201"/>
        <v>0</v>
      </c>
      <c r="BE630" s="175">
        <f t="shared" si="201"/>
        <v>0</v>
      </c>
      <c r="BF630" s="174">
        <f t="shared" si="201"/>
        <v>0</v>
      </c>
      <c r="BG630" s="175">
        <f t="shared" si="201"/>
        <v>0</v>
      </c>
      <c r="BH630" s="174">
        <f t="shared" si="201"/>
        <v>0</v>
      </c>
      <c r="BI630" s="175">
        <f t="shared" si="201"/>
        <v>0</v>
      </c>
      <c r="BJ630" s="174">
        <f t="shared" si="201"/>
        <v>0</v>
      </c>
      <c r="BK630" s="175">
        <f t="shared" si="201"/>
        <v>0</v>
      </c>
      <c r="BL630" s="174">
        <f t="shared" si="201"/>
        <v>0</v>
      </c>
      <c r="BM630" s="175">
        <f t="shared" si="201"/>
        <v>0</v>
      </c>
      <c r="BN630" s="174">
        <f t="shared" si="201"/>
        <v>0</v>
      </c>
      <c r="BO630" s="175">
        <f t="shared" si="201"/>
        <v>0</v>
      </c>
      <c r="BP630" s="174">
        <f t="shared" si="201"/>
        <v>0</v>
      </c>
      <c r="BQ630" s="175">
        <f t="shared" si="201"/>
        <v>0</v>
      </c>
      <c r="BR630" s="174">
        <f t="shared" ref="BR630:BW630" si="202">SUM(BR420)</f>
        <v>0</v>
      </c>
      <c r="BS630" s="175">
        <f t="shared" si="202"/>
        <v>0</v>
      </c>
      <c r="BT630" s="174">
        <f t="shared" si="202"/>
        <v>268</v>
      </c>
      <c r="BU630" s="175">
        <f t="shared" si="202"/>
        <v>217</v>
      </c>
      <c r="BV630" s="174">
        <f t="shared" si="202"/>
        <v>299</v>
      </c>
      <c r="BW630" s="175">
        <f t="shared" si="202"/>
        <v>185</v>
      </c>
    </row>
    <row r="631" spans="1:75" ht="13" x14ac:dyDescent="0.25">
      <c r="A631" s="196"/>
      <c r="B631" s="197" t="s">
        <v>652</v>
      </c>
      <c r="C631" s="176">
        <f>SUM(C421:C423)</f>
        <v>2316</v>
      </c>
      <c r="D631" s="176">
        <f>SUM(D421:D423)</f>
        <v>1946</v>
      </c>
      <c r="E631" s="145">
        <f t="shared" si="19"/>
        <v>0.84024179620034545</v>
      </c>
      <c r="F631" s="174">
        <f t="shared" ref="F631:AK631" si="203">SUM(F421:F423)</f>
        <v>897</v>
      </c>
      <c r="G631" s="175">
        <f t="shared" si="203"/>
        <v>968</v>
      </c>
      <c r="H631" s="174">
        <f t="shared" si="203"/>
        <v>0</v>
      </c>
      <c r="I631" s="175">
        <f t="shared" si="203"/>
        <v>0</v>
      </c>
      <c r="J631" s="174">
        <f t="shared" si="203"/>
        <v>0</v>
      </c>
      <c r="K631" s="175">
        <f t="shared" si="203"/>
        <v>0</v>
      </c>
      <c r="L631" s="174">
        <f t="shared" si="203"/>
        <v>0</v>
      </c>
      <c r="M631" s="175">
        <f t="shared" si="203"/>
        <v>0</v>
      </c>
      <c r="N631" s="174">
        <f t="shared" si="203"/>
        <v>0</v>
      </c>
      <c r="O631" s="175">
        <f t="shared" si="203"/>
        <v>0</v>
      </c>
      <c r="P631" s="174">
        <f t="shared" si="203"/>
        <v>0</v>
      </c>
      <c r="Q631" s="175">
        <f t="shared" si="203"/>
        <v>0</v>
      </c>
      <c r="R631" s="174">
        <f t="shared" si="203"/>
        <v>0</v>
      </c>
      <c r="S631" s="175">
        <f t="shared" si="203"/>
        <v>0</v>
      </c>
      <c r="T631" s="174">
        <f t="shared" si="203"/>
        <v>0</v>
      </c>
      <c r="U631" s="175">
        <f t="shared" si="203"/>
        <v>0</v>
      </c>
      <c r="V631" s="174">
        <f t="shared" si="203"/>
        <v>0</v>
      </c>
      <c r="W631" s="175">
        <f t="shared" si="203"/>
        <v>0</v>
      </c>
      <c r="X631" s="174">
        <f t="shared" si="203"/>
        <v>0</v>
      </c>
      <c r="Y631" s="175">
        <f t="shared" si="203"/>
        <v>0</v>
      </c>
      <c r="Z631" s="174">
        <f t="shared" si="203"/>
        <v>0</v>
      </c>
      <c r="AA631" s="175">
        <f t="shared" si="203"/>
        <v>0</v>
      </c>
      <c r="AB631" s="174">
        <f t="shared" si="203"/>
        <v>0</v>
      </c>
      <c r="AC631" s="175">
        <f t="shared" si="203"/>
        <v>0</v>
      </c>
      <c r="AD631" s="174">
        <f t="shared" si="203"/>
        <v>0</v>
      </c>
      <c r="AE631" s="175">
        <f t="shared" si="203"/>
        <v>0</v>
      </c>
      <c r="AF631" s="174">
        <f t="shared" si="203"/>
        <v>0</v>
      </c>
      <c r="AG631" s="175">
        <f t="shared" si="203"/>
        <v>0</v>
      </c>
      <c r="AH631" s="174">
        <f t="shared" si="203"/>
        <v>0</v>
      </c>
      <c r="AI631" s="175">
        <f t="shared" si="203"/>
        <v>0</v>
      </c>
      <c r="AJ631" s="174">
        <f t="shared" si="203"/>
        <v>0</v>
      </c>
      <c r="AK631" s="175">
        <f t="shared" si="203"/>
        <v>0</v>
      </c>
      <c r="AL631" s="174">
        <f t="shared" ref="AL631:BQ631" si="204">SUM(AL421:AL423)</f>
        <v>0</v>
      </c>
      <c r="AM631" s="175">
        <f t="shared" si="204"/>
        <v>0</v>
      </c>
      <c r="AN631" s="174">
        <f t="shared" si="204"/>
        <v>0</v>
      </c>
      <c r="AO631" s="175">
        <f t="shared" si="204"/>
        <v>0</v>
      </c>
      <c r="AP631" s="174">
        <f t="shared" si="204"/>
        <v>0</v>
      </c>
      <c r="AQ631" s="175">
        <f t="shared" si="204"/>
        <v>0</v>
      </c>
      <c r="AR631" s="174">
        <f t="shared" si="204"/>
        <v>0</v>
      </c>
      <c r="AS631" s="175">
        <f t="shared" si="204"/>
        <v>0</v>
      </c>
      <c r="AT631" s="174">
        <f t="shared" si="204"/>
        <v>0</v>
      </c>
      <c r="AU631" s="175">
        <f t="shared" si="204"/>
        <v>0</v>
      </c>
      <c r="AV631" s="174">
        <f t="shared" si="204"/>
        <v>0</v>
      </c>
      <c r="AW631" s="175">
        <f t="shared" si="204"/>
        <v>0</v>
      </c>
      <c r="AX631" s="174">
        <f t="shared" si="204"/>
        <v>0</v>
      </c>
      <c r="AY631" s="175">
        <f t="shared" si="204"/>
        <v>0</v>
      </c>
      <c r="AZ631" s="174">
        <f t="shared" si="204"/>
        <v>0</v>
      </c>
      <c r="BA631" s="175">
        <f t="shared" si="204"/>
        <v>0</v>
      </c>
      <c r="BB631" s="174">
        <f t="shared" si="204"/>
        <v>0</v>
      </c>
      <c r="BC631" s="175">
        <f t="shared" si="204"/>
        <v>0</v>
      </c>
      <c r="BD631" s="174">
        <f t="shared" si="204"/>
        <v>0</v>
      </c>
      <c r="BE631" s="175">
        <f t="shared" si="204"/>
        <v>0</v>
      </c>
      <c r="BF631" s="174">
        <f t="shared" si="204"/>
        <v>0</v>
      </c>
      <c r="BG631" s="175">
        <f t="shared" si="204"/>
        <v>0</v>
      </c>
      <c r="BH631" s="174">
        <f t="shared" si="204"/>
        <v>0</v>
      </c>
      <c r="BI631" s="175">
        <f t="shared" si="204"/>
        <v>0</v>
      </c>
      <c r="BJ631" s="174">
        <f t="shared" si="204"/>
        <v>0</v>
      </c>
      <c r="BK631" s="175">
        <f t="shared" si="204"/>
        <v>0</v>
      </c>
      <c r="BL631" s="174">
        <f t="shared" si="204"/>
        <v>737</v>
      </c>
      <c r="BM631" s="175">
        <f t="shared" si="204"/>
        <v>937</v>
      </c>
      <c r="BN631" s="174">
        <f t="shared" si="204"/>
        <v>0</v>
      </c>
      <c r="BO631" s="175">
        <f t="shared" si="204"/>
        <v>0</v>
      </c>
      <c r="BP631" s="174">
        <f t="shared" si="204"/>
        <v>0</v>
      </c>
      <c r="BQ631" s="175">
        <f t="shared" si="204"/>
        <v>0</v>
      </c>
      <c r="BR631" s="174">
        <f t="shared" ref="BR631:BW631" si="205">SUM(BR421:BR423)</f>
        <v>0</v>
      </c>
      <c r="BS631" s="175">
        <f t="shared" si="205"/>
        <v>0</v>
      </c>
      <c r="BT631" s="174">
        <f t="shared" si="205"/>
        <v>1190</v>
      </c>
      <c r="BU631" s="175">
        <f t="shared" si="205"/>
        <v>672</v>
      </c>
      <c r="BV631" s="174">
        <f t="shared" si="205"/>
        <v>1208</v>
      </c>
      <c r="BW631" s="175">
        <f t="shared" si="205"/>
        <v>656</v>
      </c>
    </row>
    <row r="632" spans="1:75" ht="13" x14ac:dyDescent="0.25">
      <c r="A632" s="196"/>
      <c r="B632" s="197" t="s">
        <v>653</v>
      </c>
      <c r="C632" s="176">
        <f>SUM(C424)</f>
        <v>1344</v>
      </c>
      <c r="D632" s="176">
        <f>SUM(D424)</f>
        <v>1029</v>
      </c>
      <c r="E632" s="145">
        <f t="shared" si="19"/>
        <v>0.765625</v>
      </c>
      <c r="F632" s="174">
        <f t="shared" ref="F632:AK632" si="206">SUM(F424)</f>
        <v>534</v>
      </c>
      <c r="G632" s="175">
        <f t="shared" si="206"/>
        <v>435</v>
      </c>
      <c r="H632" s="174">
        <f t="shared" si="206"/>
        <v>0</v>
      </c>
      <c r="I632" s="175">
        <f t="shared" si="206"/>
        <v>0</v>
      </c>
      <c r="J632" s="174">
        <f t="shared" si="206"/>
        <v>0</v>
      </c>
      <c r="K632" s="175">
        <f t="shared" si="206"/>
        <v>0</v>
      </c>
      <c r="L632" s="174">
        <f t="shared" si="206"/>
        <v>0</v>
      </c>
      <c r="M632" s="175">
        <f t="shared" si="206"/>
        <v>0</v>
      </c>
      <c r="N632" s="174">
        <f t="shared" si="206"/>
        <v>0</v>
      </c>
      <c r="O632" s="175">
        <f t="shared" si="206"/>
        <v>0</v>
      </c>
      <c r="P632" s="174">
        <f t="shared" si="206"/>
        <v>0</v>
      </c>
      <c r="Q632" s="175">
        <f t="shared" si="206"/>
        <v>0</v>
      </c>
      <c r="R632" s="174">
        <f t="shared" si="206"/>
        <v>0</v>
      </c>
      <c r="S632" s="175">
        <f t="shared" si="206"/>
        <v>0</v>
      </c>
      <c r="T632" s="174">
        <f t="shared" si="206"/>
        <v>0</v>
      </c>
      <c r="U632" s="175">
        <f t="shared" si="206"/>
        <v>0</v>
      </c>
      <c r="V632" s="174">
        <f t="shared" si="206"/>
        <v>0</v>
      </c>
      <c r="W632" s="175">
        <f t="shared" si="206"/>
        <v>0</v>
      </c>
      <c r="X632" s="174">
        <f t="shared" si="206"/>
        <v>0</v>
      </c>
      <c r="Y632" s="175">
        <f t="shared" si="206"/>
        <v>0</v>
      </c>
      <c r="Z632" s="174">
        <f t="shared" si="206"/>
        <v>0</v>
      </c>
      <c r="AA632" s="175">
        <f t="shared" si="206"/>
        <v>0</v>
      </c>
      <c r="AB632" s="174">
        <f t="shared" si="206"/>
        <v>0</v>
      </c>
      <c r="AC632" s="175">
        <f t="shared" si="206"/>
        <v>0</v>
      </c>
      <c r="AD632" s="174">
        <f t="shared" si="206"/>
        <v>0</v>
      </c>
      <c r="AE632" s="175">
        <f t="shared" si="206"/>
        <v>0</v>
      </c>
      <c r="AF632" s="174">
        <f t="shared" si="206"/>
        <v>0</v>
      </c>
      <c r="AG632" s="175">
        <f t="shared" si="206"/>
        <v>0</v>
      </c>
      <c r="AH632" s="174">
        <f t="shared" si="206"/>
        <v>0</v>
      </c>
      <c r="AI632" s="175">
        <f t="shared" si="206"/>
        <v>0</v>
      </c>
      <c r="AJ632" s="174">
        <f t="shared" si="206"/>
        <v>0</v>
      </c>
      <c r="AK632" s="175">
        <f t="shared" si="206"/>
        <v>0</v>
      </c>
      <c r="AL632" s="174">
        <f t="shared" ref="AL632:BQ632" si="207">SUM(AL424)</f>
        <v>0</v>
      </c>
      <c r="AM632" s="175">
        <f t="shared" si="207"/>
        <v>0</v>
      </c>
      <c r="AN632" s="174">
        <f t="shared" si="207"/>
        <v>0</v>
      </c>
      <c r="AO632" s="175">
        <f t="shared" si="207"/>
        <v>0</v>
      </c>
      <c r="AP632" s="174">
        <f t="shared" si="207"/>
        <v>0</v>
      </c>
      <c r="AQ632" s="175">
        <f t="shared" si="207"/>
        <v>0</v>
      </c>
      <c r="AR632" s="174">
        <f t="shared" si="207"/>
        <v>0</v>
      </c>
      <c r="AS632" s="175">
        <f t="shared" si="207"/>
        <v>0</v>
      </c>
      <c r="AT632" s="174">
        <f t="shared" si="207"/>
        <v>0</v>
      </c>
      <c r="AU632" s="175">
        <f t="shared" si="207"/>
        <v>0</v>
      </c>
      <c r="AV632" s="174">
        <f t="shared" si="207"/>
        <v>0</v>
      </c>
      <c r="AW632" s="175">
        <f t="shared" si="207"/>
        <v>0</v>
      </c>
      <c r="AX632" s="174">
        <f t="shared" si="207"/>
        <v>0</v>
      </c>
      <c r="AY632" s="175">
        <f t="shared" si="207"/>
        <v>0</v>
      </c>
      <c r="AZ632" s="174">
        <f t="shared" si="207"/>
        <v>0</v>
      </c>
      <c r="BA632" s="175">
        <f t="shared" si="207"/>
        <v>0</v>
      </c>
      <c r="BB632" s="174">
        <f t="shared" si="207"/>
        <v>0</v>
      </c>
      <c r="BC632" s="175">
        <f t="shared" si="207"/>
        <v>0</v>
      </c>
      <c r="BD632" s="174">
        <f t="shared" si="207"/>
        <v>0</v>
      </c>
      <c r="BE632" s="175">
        <f t="shared" si="207"/>
        <v>0</v>
      </c>
      <c r="BF632" s="174">
        <f t="shared" si="207"/>
        <v>536</v>
      </c>
      <c r="BG632" s="175">
        <f t="shared" si="207"/>
        <v>454</v>
      </c>
      <c r="BH632" s="174">
        <f t="shared" si="207"/>
        <v>0</v>
      </c>
      <c r="BI632" s="175">
        <f t="shared" si="207"/>
        <v>0</v>
      </c>
      <c r="BJ632" s="174">
        <f t="shared" si="207"/>
        <v>0</v>
      </c>
      <c r="BK632" s="175">
        <f t="shared" si="207"/>
        <v>0</v>
      </c>
      <c r="BL632" s="174">
        <f t="shared" si="207"/>
        <v>0</v>
      </c>
      <c r="BM632" s="175">
        <f t="shared" si="207"/>
        <v>0</v>
      </c>
      <c r="BN632" s="174">
        <f t="shared" si="207"/>
        <v>0</v>
      </c>
      <c r="BO632" s="175">
        <f t="shared" si="207"/>
        <v>0</v>
      </c>
      <c r="BP632" s="174">
        <f t="shared" si="207"/>
        <v>0</v>
      </c>
      <c r="BQ632" s="175">
        <f t="shared" si="207"/>
        <v>0</v>
      </c>
      <c r="BR632" s="174">
        <f t="shared" ref="BR632:BW632" si="208">SUM(BR424)</f>
        <v>0</v>
      </c>
      <c r="BS632" s="175">
        <f t="shared" si="208"/>
        <v>0</v>
      </c>
      <c r="BT632" s="174">
        <f t="shared" si="208"/>
        <v>598</v>
      </c>
      <c r="BU632" s="175">
        <f t="shared" si="208"/>
        <v>371</v>
      </c>
      <c r="BV632" s="174">
        <f t="shared" si="208"/>
        <v>643</v>
      </c>
      <c r="BW632" s="175">
        <f t="shared" si="208"/>
        <v>329</v>
      </c>
    </row>
    <row r="633" spans="1:75" ht="13" x14ac:dyDescent="0.25">
      <c r="A633" s="196"/>
      <c r="B633" s="197" t="s">
        <v>654</v>
      </c>
      <c r="C633" s="176">
        <f>SUM(C425:C426)</f>
        <v>2121</v>
      </c>
      <c r="D633" s="176">
        <f>SUM(D425:D426)</f>
        <v>1718</v>
      </c>
      <c r="E633" s="145">
        <f t="shared" si="19"/>
        <v>0.80999528524280995</v>
      </c>
      <c r="F633" s="174">
        <f t="shared" ref="F633:AK633" si="209">SUM(F425:F426)</f>
        <v>838</v>
      </c>
      <c r="G633" s="175">
        <f t="shared" si="209"/>
        <v>828</v>
      </c>
      <c r="H633" s="174">
        <f t="shared" si="209"/>
        <v>0</v>
      </c>
      <c r="I633" s="175">
        <f t="shared" si="209"/>
        <v>0</v>
      </c>
      <c r="J633" s="174">
        <f t="shared" si="209"/>
        <v>0</v>
      </c>
      <c r="K633" s="175">
        <f t="shared" si="209"/>
        <v>0</v>
      </c>
      <c r="L633" s="174">
        <f t="shared" si="209"/>
        <v>0</v>
      </c>
      <c r="M633" s="175">
        <f t="shared" si="209"/>
        <v>0</v>
      </c>
      <c r="N633" s="174">
        <f t="shared" si="209"/>
        <v>0</v>
      </c>
      <c r="O633" s="175">
        <f t="shared" si="209"/>
        <v>0</v>
      </c>
      <c r="P633" s="174">
        <f t="shared" si="209"/>
        <v>0</v>
      </c>
      <c r="Q633" s="175">
        <f t="shared" si="209"/>
        <v>0</v>
      </c>
      <c r="R633" s="174">
        <f t="shared" si="209"/>
        <v>0</v>
      </c>
      <c r="S633" s="175">
        <f t="shared" si="209"/>
        <v>0</v>
      </c>
      <c r="T633" s="174">
        <f t="shared" si="209"/>
        <v>0</v>
      </c>
      <c r="U633" s="175">
        <f t="shared" si="209"/>
        <v>0</v>
      </c>
      <c r="V633" s="174">
        <f t="shared" si="209"/>
        <v>0</v>
      </c>
      <c r="W633" s="175">
        <f t="shared" si="209"/>
        <v>0</v>
      </c>
      <c r="X633" s="174">
        <f t="shared" si="209"/>
        <v>0</v>
      </c>
      <c r="Y633" s="175">
        <f t="shared" si="209"/>
        <v>0</v>
      </c>
      <c r="Z633" s="174">
        <f t="shared" si="209"/>
        <v>0</v>
      </c>
      <c r="AA633" s="175">
        <f t="shared" si="209"/>
        <v>0</v>
      </c>
      <c r="AB633" s="174">
        <f t="shared" si="209"/>
        <v>0</v>
      </c>
      <c r="AC633" s="175">
        <f t="shared" si="209"/>
        <v>0</v>
      </c>
      <c r="AD633" s="174">
        <f t="shared" si="209"/>
        <v>1157</v>
      </c>
      <c r="AE633" s="175">
        <f t="shared" si="209"/>
        <v>495</v>
      </c>
      <c r="AF633" s="174">
        <f t="shared" si="209"/>
        <v>0</v>
      </c>
      <c r="AG633" s="175">
        <f t="shared" si="209"/>
        <v>0</v>
      </c>
      <c r="AH633" s="174">
        <f t="shared" si="209"/>
        <v>0</v>
      </c>
      <c r="AI633" s="175">
        <f t="shared" si="209"/>
        <v>0</v>
      </c>
      <c r="AJ633" s="174">
        <f t="shared" si="209"/>
        <v>0</v>
      </c>
      <c r="AK633" s="175">
        <f t="shared" si="209"/>
        <v>0</v>
      </c>
      <c r="AL633" s="174">
        <f t="shared" ref="AL633:BQ633" si="210">SUM(AL425:AL426)</f>
        <v>0</v>
      </c>
      <c r="AM633" s="175">
        <f t="shared" si="210"/>
        <v>0</v>
      </c>
      <c r="AN633" s="174">
        <f t="shared" si="210"/>
        <v>0</v>
      </c>
      <c r="AO633" s="175">
        <f t="shared" si="210"/>
        <v>0</v>
      </c>
      <c r="AP633" s="174">
        <f t="shared" si="210"/>
        <v>0</v>
      </c>
      <c r="AQ633" s="175">
        <f t="shared" si="210"/>
        <v>0</v>
      </c>
      <c r="AR633" s="174">
        <f t="shared" si="210"/>
        <v>0</v>
      </c>
      <c r="AS633" s="175">
        <f t="shared" si="210"/>
        <v>0</v>
      </c>
      <c r="AT633" s="174">
        <f t="shared" si="210"/>
        <v>0</v>
      </c>
      <c r="AU633" s="175">
        <f t="shared" si="210"/>
        <v>0</v>
      </c>
      <c r="AV633" s="174">
        <f t="shared" si="210"/>
        <v>0</v>
      </c>
      <c r="AW633" s="175">
        <f t="shared" si="210"/>
        <v>0</v>
      </c>
      <c r="AX633" s="174">
        <f t="shared" si="210"/>
        <v>0</v>
      </c>
      <c r="AY633" s="175">
        <f t="shared" si="210"/>
        <v>0</v>
      </c>
      <c r="AZ633" s="174">
        <f t="shared" si="210"/>
        <v>0</v>
      </c>
      <c r="BA633" s="175">
        <f t="shared" si="210"/>
        <v>0</v>
      </c>
      <c r="BB633" s="174">
        <f t="shared" si="210"/>
        <v>0</v>
      </c>
      <c r="BC633" s="175">
        <f t="shared" si="210"/>
        <v>0</v>
      </c>
      <c r="BD633" s="174">
        <f t="shared" si="210"/>
        <v>0</v>
      </c>
      <c r="BE633" s="175">
        <f t="shared" si="210"/>
        <v>0</v>
      </c>
      <c r="BF633" s="174">
        <f t="shared" si="210"/>
        <v>0</v>
      </c>
      <c r="BG633" s="175">
        <f t="shared" si="210"/>
        <v>0</v>
      </c>
      <c r="BH633" s="174">
        <f t="shared" si="210"/>
        <v>0</v>
      </c>
      <c r="BI633" s="175">
        <f t="shared" si="210"/>
        <v>0</v>
      </c>
      <c r="BJ633" s="174">
        <f t="shared" si="210"/>
        <v>0</v>
      </c>
      <c r="BK633" s="175">
        <f t="shared" si="210"/>
        <v>0</v>
      </c>
      <c r="BL633" s="174">
        <f t="shared" si="210"/>
        <v>779</v>
      </c>
      <c r="BM633" s="175">
        <f t="shared" si="210"/>
        <v>871</v>
      </c>
      <c r="BN633" s="174">
        <f t="shared" si="210"/>
        <v>0</v>
      </c>
      <c r="BO633" s="175">
        <f t="shared" si="210"/>
        <v>0</v>
      </c>
      <c r="BP633" s="174">
        <f t="shared" si="210"/>
        <v>0</v>
      </c>
      <c r="BQ633" s="175">
        <f t="shared" si="210"/>
        <v>0</v>
      </c>
      <c r="BR633" s="174">
        <f t="shared" ref="BR633:BW633" si="211">SUM(BR425:BR426)</f>
        <v>0</v>
      </c>
      <c r="BS633" s="175">
        <f t="shared" si="211"/>
        <v>0</v>
      </c>
      <c r="BT633" s="174">
        <f t="shared" si="211"/>
        <v>1056</v>
      </c>
      <c r="BU633" s="175">
        <f t="shared" si="211"/>
        <v>576</v>
      </c>
      <c r="BV633" s="174">
        <f t="shared" si="211"/>
        <v>1114</v>
      </c>
      <c r="BW633" s="175">
        <f t="shared" si="211"/>
        <v>526</v>
      </c>
    </row>
    <row r="634" spans="1:75" ht="13" x14ac:dyDescent="0.25">
      <c r="A634" s="196"/>
      <c r="B634" s="197" t="s">
        <v>655</v>
      </c>
      <c r="C634" s="176">
        <f>SUM(C427:C428)</f>
        <v>2683</v>
      </c>
      <c r="D634" s="176">
        <f>SUM(D427:D428)</f>
        <v>1773</v>
      </c>
      <c r="E634" s="145">
        <f t="shared" ref="E634:E663" si="212">SUM(D634/C634)</f>
        <v>0.66082743197912786</v>
      </c>
      <c r="F634" s="174">
        <f t="shared" ref="F634:AK634" si="213">SUM(F427:F428)</f>
        <v>1183</v>
      </c>
      <c r="G634" s="175">
        <f t="shared" si="213"/>
        <v>476</v>
      </c>
      <c r="H634" s="174">
        <f t="shared" si="213"/>
        <v>0</v>
      </c>
      <c r="I634" s="175">
        <f t="shared" si="213"/>
        <v>0</v>
      </c>
      <c r="J634" s="174">
        <f t="shared" si="213"/>
        <v>0</v>
      </c>
      <c r="K634" s="175">
        <f t="shared" si="213"/>
        <v>0</v>
      </c>
      <c r="L634" s="174">
        <f t="shared" si="213"/>
        <v>0</v>
      </c>
      <c r="M634" s="175">
        <f t="shared" si="213"/>
        <v>0</v>
      </c>
      <c r="N634" s="174">
        <f t="shared" si="213"/>
        <v>0</v>
      </c>
      <c r="O634" s="175">
        <f t="shared" si="213"/>
        <v>0</v>
      </c>
      <c r="P634" s="174">
        <f t="shared" si="213"/>
        <v>0</v>
      </c>
      <c r="Q634" s="175">
        <f t="shared" si="213"/>
        <v>0</v>
      </c>
      <c r="R634" s="174">
        <f t="shared" si="213"/>
        <v>0</v>
      </c>
      <c r="S634" s="175">
        <f t="shared" si="213"/>
        <v>0</v>
      </c>
      <c r="T634" s="174">
        <f t="shared" si="213"/>
        <v>0</v>
      </c>
      <c r="U634" s="175">
        <f t="shared" si="213"/>
        <v>0</v>
      </c>
      <c r="V634" s="174">
        <f t="shared" si="213"/>
        <v>0</v>
      </c>
      <c r="W634" s="175">
        <f t="shared" si="213"/>
        <v>0</v>
      </c>
      <c r="X634" s="174">
        <f t="shared" si="213"/>
        <v>0</v>
      </c>
      <c r="Y634" s="175">
        <f t="shared" si="213"/>
        <v>0</v>
      </c>
      <c r="Z634" s="174">
        <f t="shared" si="213"/>
        <v>0</v>
      </c>
      <c r="AA634" s="175">
        <f t="shared" si="213"/>
        <v>0</v>
      </c>
      <c r="AB634" s="174">
        <f t="shared" si="213"/>
        <v>0</v>
      </c>
      <c r="AC634" s="175">
        <f t="shared" si="213"/>
        <v>0</v>
      </c>
      <c r="AD634" s="174">
        <f t="shared" si="213"/>
        <v>0</v>
      </c>
      <c r="AE634" s="175">
        <f t="shared" si="213"/>
        <v>0</v>
      </c>
      <c r="AF634" s="174">
        <f t="shared" si="213"/>
        <v>884</v>
      </c>
      <c r="AG634" s="175">
        <f t="shared" si="213"/>
        <v>788</v>
      </c>
      <c r="AH634" s="174">
        <f t="shared" si="213"/>
        <v>0</v>
      </c>
      <c r="AI634" s="175">
        <f t="shared" si="213"/>
        <v>0</v>
      </c>
      <c r="AJ634" s="174">
        <f t="shared" si="213"/>
        <v>0</v>
      </c>
      <c r="AK634" s="175">
        <f t="shared" si="213"/>
        <v>0</v>
      </c>
      <c r="AL634" s="174">
        <f t="shared" ref="AL634:BQ634" si="214">SUM(AL427:AL428)</f>
        <v>0</v>
      </c>
      <c r="AM634" s="175">
        <f t="shared" si="214"/>
        <v>0</v>
      </c>
      <c r="AN634" s="174">
        <f t="shared" si="214"/>
        <v>0</v>
      </c>
      <c r="AO634" s="175">
        <f t="shared" si="214"/>
        <v>0</v>
      </c>
      <c r="AP634" s="174">
        <f t="shared" si="214"/>
        <v>0</v>
      </c>
      <c r="AQ634" s="175">
        <f t="shared" si="214"/>
        <v>0</v>
      </c>
      <c r="AR634" s="174">
        <f t="shared" si="214"/>
        <v>0</v>
      </c>
      <c r="AS634" s="175">
        <f t="shared" si="214"/>
        <v>0</v>
      </c>
      <c r="AT634" s="174">
        <f t="shared" si="214"/>
        <v>0</v>
      </c>
      <c r="AU634" s="175">
        <f t="shared" si="214"/>
        <v>0</v>
      </c>
      <c r="AV634" s="174">
        <f t="shared" si="214"/>
        <v>0</v>
      </c>
      <c r="AW634" s="175">
        <f t="shared" si="214"/>
        <v>0</v>
      </c>
      <c r="AX634" s="174">
        <f t="shared" si="214"/>
        <v>0</v>
      </c>
      <c r="AY634" s="175">
        <f t="shared" si="214"/>
        <v>0</v>
      </c>
      <c r="AZ634" s="174">
        <f t="shared" si="214"/>
        <v>0</v>
      </c>
      <c r="BA634" s="175">
        <f t="shared" si="214"/>
        <v>0</v>
      </c>
      <c r="BB634" s="174">
        <f t="shared" si="214"/>
        <v>0</v>
      </c>
      <c r="BC634" s="175">
        <f t="shared" si="214"/>
        <v>0</v>
      </c>
      <c r="BD634" s="174">
        <f t="shared" si="214"/>
        <v>0</v>
      </c>
      <c r="BE634" s="175">
        <f t="shared" si="214"/>
        <v>0</v>
      </c>
      <c r="BF634" s="174">
        <f t="shared" si="214"/>
        <v>0</v>
      </c>
      <c r="BG634" s="175">
        <f t="shared" si="214"/>
        <v>0</v>
      </c>
      <c r="BH634" s="174">
        <f t="shared" si="214"/>
        <v>0</v>
      </c>
      <c r="BI634" s="175">
        <f t="shared" si="214"/>
        <v>0</v>
      </c>
      <c r="BJ634" s="174">
        <f t="shared" si="214"/>
        <v>0</v>
      </c>
      <c r="BK634" s="175">
        <f t="shared" si="214"/>
        <v>0</v>
      </c>
      <c r="BL634" s="174">
        <f t="shared" si="214"/>
        <v>0</v>
      </c>
      <c r="BM634" s="175">
        <f t="shared" si="214"/>
        <v>0</v>
      </c>
      <c r="BN634" s="174">
        <f t="shared" si="214"/>
        <v>0</v>
      </c>
      <c r="BO634" s="175">
        <f t="shared" si="214"/>
        <v>0</v>
      </c>
      <c r="BP634" s="174">
        <f t="shared" si="214"/>
        <v>0</v>
      </c>
      <c r="BQ634" s="175">
        <f t="shared" si="214"/>
        <v>0</v>
      </c>
      <c r="BR634" s="174">
        <f t="shared" ref="BR634:BW634" si="215">SUM(BR427:BR428)</f>
        <v>0</v>
      </c>
      <c r="BS634" s="175">
        <f t="shared" si="215"/>
        <v>0</v>
      </c>
      <c r="BT634" s="174">
        <f t="shared" si="215"/>
        <v>1127</v>
      </c>
      <c r="BU634" s="175">
        <f t="shared" si="215"/>
        <v>553</v>
      </c>
      <c r="BV634" s="174">
        <f t="shared" si="215"/>
        <v>1146</v>
      </c>
      <c r="BW634" s="175">
        <f t="shared" si="215"/>
        <v>536</v>
      </c>
    </row>
    <row r="635" spans="1:75" ht="13" x14ac:dyDescent="0.25">
      <c r="A635" s="196"/>
      <c r="B635" s="197" t="s">
        <v>656</v>
      </c>
      <c r="C635" s="176">
        <f>SUM(C472:C474)</f>
        <v>2653</v>
      </c>
      <c r="D635" s="176">
        <f>SUM(D472:D474)</f>
        <v>1955</v>
      </c>
      <c r="E635" s="145">
        <f t="shared" si="212"/>
        <v>0.73690162080663402</v>
      </c>
      <c r="F635" s="174">
        <f t="shared" ref="F635:AK635" si="216">SUM(F472:F474)</f>
        <v>951</v>
      </c>
      <c r="G635" s="175">
        <f t="shared" si="216"/>
        <v>910</v>
      </c>
      <c r="H635" s="174">
        <f t="shared" si="216"/>
        <v>0</v>
      </c>
      <c r="I635" s="175">
        <f t="shared" si="216"/>
        <v>0</v>
      </c>
      <c r="J635" s="174">
        <f t="shared" si="216"/>
        <v>0</v>
      </c>
      <c r="K635" s="175">
        <f t="shared" si="216"/>
        <v>0</v>
      </c>
      <c r="L635" s="174">
        <f t="shared" si="216"/>
        <v>0</v>
      </c>
      <c r="M635" s="175">
        <f t="shared" si="216"/>
        <v>0</v>
      </c>
      <c r="N635" s="174">
        <f t="shared" si="216"/>
        <v>0</v>
      </c>
      <c r="O635" s="175">
        <f t="shared" si="216"/>
        <v>0</v>
      </c>
      <c r="P635" s="174">
        <f t="shared" si="216"/>
        <v>0</v>
      </c>
      <c r="Q635" s="175">
        <f t="shared" si="216"/>
        <v>0</v>
      </c>
      <c r="R635" s="174">
        <f t="shared" si="216"/>
        <v>0</v>
      </c>
      <c r="S635" s="175">
        <f t="shared" si="216"/>
        <v>0</v>
      </c>
      <c r="T635" s="174">
        <f t="shared" si="216"/>
        <v>0</v>
      </c>
      <c r="U635" s="175">
        <f t="shared" si="216"/>
        <v>0</v>
      </c>
      <c r="V635" s="174">
        <f t="shared" si="216"/>
        <v>0</v>
      </c>
      <c r="W635" s="175">
        <f t="shared" si="216"/>
        <v>0</v>
      </c>
      <c r="X635" s="174">
        <f t="shared" si="216"/>
        <v>0</v>
      </c>
      <c r="Y635" s="175">
        <f t="shared" si="216"/>
        <v>0</v>
      </c>
      <c r="Z635" s="174">
        <f t="shared" si="216"/>
        <v>0</v>
      </c>
      <c r="AA635" s="175">
        <f t="shared" si="216"/>
        <v>0</v>
      </c>
      <c r="AB635" s="174">
        <f t="shared" si="216"/>
        <v>0</v>
      </c>
      <c r="AC635" s="175">
        <f t="shared" si="216"/>
        <v>0</v>
      </c>
      <c r="AD635" s="174">
        <f t="shared" si="216"/>
        <v>0</v>
      </c>
      <c r="AE635" s="175">
        <f t="shared" si="216"/>
        <v>0</v>
      </c>
      <c r="AF635" s="174">
        <f t="shared" si="216"/>
        <v>0</v>
      </c>
      <c r="AG635" s="175">
        <f t="shared" si="216"/>
        <v>0</v>
      </c>
      <c r="AH635" s="174">
        <f t="shared" si="216"/>
        <v>1245</v>
      </c>
      <c r="AI635" s="175">
        <f t="shared" si="216"/>
        <v>646</v>
      </c>
      <c r="AJ635" s="174">
        <f t="shared" si="216"/>
        <v>1286</v>
      </c>
      <c r="AK635" s="175">
        <f t="shared" si="216"/>
        <v>601</v>
      </c>
      <c r="AL635" s="174">
        <f t="shared" ref="AL635:BQ635" si="217">SUM(AL472:AL474)</f>
        <v>0</v>
      </c>
      <c r="AM635" s="175">
        <f t="shared" si="217"/>
        <v>0</v>
      </c>
      <c r="AN635" s="174">
        <f t="shared" si="217"/>
        <v>0</v>
      </c>
      <c r="AO635" s="175">
        <f t="shared" si="217"/>
        <v>0</v>
      </c>
      <c r="AP635" s="174">
        <f t="shared" si="217"/>
        <v>0</v>
      </c>
      <c r="AQ635" s="175">
        <f t="shared" si="217"/>
        <v>0</v>
      </c>
      <c r="AR635" s="174">
        <f t="shared" si="217"/>
        <v>0</v>
      </c>
      <c r="AS635" s="175">
        <f t="shared" si="217"/>
        <v>0</v>
      </c>
      <c r="AT635" s="174">
        <f t="shared" si="217"/>
        <v>0</v>
      </c>
      <c r="AU635" s="175">
        <f t="shared" si="217"/>
        <v>0</v>
      </c>
      <c r="AV635" s="174">
        <f t="shared" si="217"/>
        <v>0</v>
      </c>
      <c r="AW635" s="175">
        <f t="shared" si="217"/>
        <v>0</v>
      </c>
      <c r="AX635" s="174">
        <f t="shared" si="217"/>
        <v>0</v>
      </c>
      <c r="AY635" s="175">
        <f t="shared" si="217"/>
        <v>0</v>
      </c>
      <c r="AZ635" s="174">
        <f t="shared" si="217"/>
        <v>0</v>
      </c>
      <c r="BA635" s="175">
        <f t="shared" si="217"/>
        <v>0</v>
      </c>
      <c r="BB635" s="174">
        <f t="shared" si="217"/>
        <v>0</v>
      </c>
      <c r="BC635" s="175">
        <f t="shared" si="217"/>
        <v>0</v>
      </c>
      <c r="BD635" s="174">
        <f t="shared" si="217"/>
        <v>0</v>
      </c>
      <c r="BE635" s="175">
        <f t="shared" si="217"/>
        <v>0</v>
      </c>
      <c r="BF635" s="174">
        <f t="shared" si="217"/>
        <v>0</v>
      </c>
      <c r="BG635" s="175">
        <f t="shared" si="217"/>
        <v>0</v>
      </c>
      <c r="BH635" s="174">
        <f t="shared" si="217"/>
        <v>0</v>
      </c>
      <c r="BI635" s="175">
        <f t="shared" si="217"/>
        <v>0</v>
      </c>
      <c r="BJ635" s="174">
        <f t="shared" si="217"/>
        <v>0</v>
      </c>
      <c r="BK635" s="175">
        <f t="shared" si="217"/>
        <v>0</v>
      </c>
      <c r="BL635" s="174">
        <f t="shared" si="217"/>
        <v>0</v>
      </c>
      <c r="BM635" s="175">
        <f t="shared" si="217"/>
        <v>0</v>
      </c>
      <c r="BN635" s="174">
        <f t="shared" si="217"/>
        <v>0</v>
      </c>
      <c r="BO635" s="175">
        <f t="shared" si="217"/>
        <v>0</v>
      </c>
      <c r="BP635" s="174">
        <f t="shared" si="217"/>
        <v>0</v>
      </c>
      <c r="BQ635" s="175">
        <f t="shared" si="217"/>
        <v>0</v>
      </c>
      <c r="BR635" s="174">
        <f t="shared" ref="BR635:BW635" si="218">SUM(BR472:BR474)</f>
        <v>0</v>
      </c>
      <c r="BS635" s="175">
        <f t="shared" si="218"/>
        <v>0</v>
      </c>
      <c r="BT635" s="174">
        <f t="shared" si="218"/>
        <v>1176</v>
      </c>
      <c r="BU635" s="175">
        <f t="shared" si="218"/>
        <v>696</v>
      </c>
      <c r="BV635" s="174">
        <f t="shared" si="218"/>
        <v>1204</v>
      </c>
      <c r="BW635" s="175">
        <f t="shared" si="218"/>
        <v>676</v>
      </c>
    </row>
    <row r="636" spans="1:75" ht="13" x14ac:dyDescent="0.25">
      <c r="A636" s="196"/>
      <c r="B636" s="197" t="s">
        <v>657</v>
      </c>
      <c r="C636" s="176">
        <f>SUM(C478:C479)</f>
        <v>2045</v>
      </c>
      <c r="D636" s="176">
        <f>SUM(D478:D479)</f>
        <v>1150</v>
      </c>
      <c r="E636" s="145">
        <f t="shared" si="212"/>
        <v>0.56234718826405872</v>
      </c>
      <c r="F636" s="174">
        <f t="shared" ref="F636:AK636" si="219">SUM(F478:F479)</f>
        <v>837</v>
      </c>
      <c r="G636" s="175">
        <f t="shared" si="219"/>
        <v>218</v>
      </c>
      <c r="H636" s="174">
        <f t="shared" si="219"/>
        <v>0</v>
      </c>
      <c r="I636" s="175">
        <f t="shared" si="219"/>
        <v>0</v>
      </c>
      <c r="J636" s="174">
        <f t="shared" si="219"/>
        <v>0</v>
      </c>
      <c r="K636" s="175">
        <f t="shared" si="219"/>
        <v>0</v>
      </c>
      <c r="L636" s="174">
        <f t="shared" si="219"/>
        <v>0</v>
      </c>
      <c r="M636" s="175">
        <f t="shared" si="219"/>
        <v>0</v>
      </c>
      <c r="N636" s="174">
        <f t="shared" si="219"/>
        <v>0</v>
      </c>
      <c r="O636" s="175">
        <f t="shared" si="219"/>
        <v>0</v>
      </c>
      <c r="P636" s="174">
        <f t="shared" si="219"/>
        <v>0</v>
      </c>
      <c r="Q636" s="175">
        <f t="shared" si="219"/>
        <v>0</v>
      </c>
      <c r="R636" s="174">
        <f t="shared" si="219"/>
        <v>0</v>
      </c>
      <c r="S636" s="175">
        <f t="shared" si="219"/>
        <v>0</v>
      </c>
      <c r="T636" s="174">
        <f t="shared" si="219"/>
        <v>0</v>
      </c>
      <c r="U636" s="175">
        <f t="shared" si="219"/>
        <v>0</v>
      </c>
      <c r="V636" s="174">
        <f t="shared" si="219"/>
        <v>0</v>
      </c>
      <c r="W636" s="175">
        <f t="shared" si="219"/>
        <v>0</v>
      </c>
      <c r="X636" s="174">
        <f t="shared" si="219"/>
        <v>0</v>
      </c>
      <c r="Y636" s="175">
        <f t="shared" si="219"/>
        <v>0</v>
      </c>
      <c r="Z636" s="174">
        <f t="shared" si="219"/>
        <v>0</v>
      </c>
      <c r="AA636" s="175">
        <f t="shared" si="219"/>
        <v>0</v>
      </c>
      <c r="AB636" s="174">
        <f t="shared" si="219"/>
        <v>0</v>
      </c>
      <c r="AC636" s="175">
        <f t="shared" si="219"/>
        <v>0</v>
      </c>
      <c r="AD636" s="174">
        <f t="shared" si="219"/>
        <v>0</v>
      </c>
      <c r="AE636" s="175">
        <f t="shared" si="219"/>
        <v>0</v>
      </c>
      <c r="AF636" s="174">
        <f t="shared" si="219"/>
        <v>0</v>
      </c>
      <c r="AG636" s="175">
        <f t="shared" si="219"/>
        <v>0</v>
      </c>
      <c r="AH636" s="174">
        <f t="shared" si="219"/>
        <v>0</v>
      </c>
      <c r="AI636" s="175">
        <f t="shared" si="219"/>
        <v>0</v>
      </c>
      <c r="AJ636" s="174">
        <f t="shared" si="219"/>
        <v>0</v>
      </c>
      <c r="AK636" s="175">
        <f t="shared" si="219"/>
        <v>0</v>
      </c>
      <c r="AL636" s="174">
        <f t="shared" ref="AL636:BQ636" si="220">SUM(AL478:AL479)</f>
        <v>0</v>
      </c>
      <c r="AM636" s="175">
        <f t="shared" si="220"/>
        <v>0</v>
      </c>
      <c r="AN636" s="174">
        <f t="shared" si="220"/>
        <v>0</v>
      </c>
      <c r="AO636" s="175">
        <f t="shared" si="220"/>
        <v>0</v>
      </c>
      <c r="AP636" s="174">
        <f t="shared" si="220"/>
        <v>0</v>
      </c>
      <c r="AQ636" s="175">
        <f t="shared" si="220"/>
        <v>0</v>
      </c>
      <c r="AR636" s="174">
        <f t="shared" si="220"/>
        <v>0</v>
      </c>
      <c r="AS636" s="175">
        <f t="shared" si="220"/>
        <v>0</v>
      </c>
      <c r="AT636" s="174">
        <f t="shared" si="220"/>
        <v>0</v>
      </c>
      <c r="AU636" s="175">
        <f t="shared" si="220"/>
        <v>0</v>
      </c>
      <c r="AV636" s="174">
        <f t="shared" si="220"/>
        <v>0</v>
      </c>
      <c r="AW636" s="175">
        <f t="shared" si="220"/>
        <v>0</v>
      </c>
      <c r="AX636" s="174">
        <f t="shared" si="220"/>
        <v>0</v>
      </c>
      <c r="AY636" s="175">
        <f t="shared" si="220"/>
        <v>0</v>
      </c>
      <c r="AZ636" s="174">
        <f t="shared" si="220"/>
        <v>0</v>
      </c>
      <c r="BA636" s="175">
        <f t="shared" si="220"/>
        <v>0</v>
      </c>
      <c r="BB636" s="174">
        <f t="shared" si="220"/>
        <v>0</v>
      </c>
      <c r="BC636" s="175">
        <f t="shared" si="220"/>
        <v>0</v>
      </c>
      <c r="BD636" s="174">
        <f t="shared" si="220"/>
        <v>0</v>
      </c>
      <c r="BE636" s="175">
        <f t="shared" si="220"/>
        <v>0</v>
      </c>
      <c r="BF636" s="174">
        <f t="shared" si="220"/>
        <v>0</v>
      </c>
      <c r="BG636" s="175">
        <f t="shared" si="220"/>
        <v>0</v>
      </c>
      <c r="BH636" s="174">
        <f t="shared" si="220"/>
        <v>0</v>
      </c>
      <c r="BI636" s="175">
        <f t="shared" si="220"/>
        <v>0</v>
      </c>
      <c r="BJ636" s="174">
        <f t="shared" si="220"/>
        <v>0</v>
      </c>
      <c r="BK636" s="175">
        <f t="shared" si="220"/>
        <v>0</v>
      </c>
      <c r="BL636" s="174">
        <f t="shared" si="220"/>
        <v>694</v>
      </c>
      <c r="BM636" s="175">
        <f t="shared" si="220"/>
        <v>369</v>
      </c>
      <c r="BN636" s="174">
        <f t="shared" si="220"/>
        <v>0</v>
      </c>
      <c r="BO636" s="175">
        <f t="shared" si="220"/>
        <v>0</v>
      </c>
      <c r="BP636" s="174">
        <f t="shared" si="220"/>
        <v>0</v>
      </c>
      <c r="BQ636" s="175">
        <f t="shared" si="220"/>
        <v>0</v>
      </c>
      <c r="BR636" s="174">
        <f t="shared" ref="BR636:BW636" si="221">SUM(BR478:BR479)</f>
        <v>0</v>
      </c>
      <c r="BS636" s="175">
        <f t="shared" si="221"/>
        <v>0</v>
      </c>
      <c r="BT636" s="174">
        <f t="shared" si="221"/>
        <v>780</v>
      </c>
      <c r="BU636" s="175">
        <f t="shared" si="221"/>
        <v>276</v>
      </c>
      <c r="BV636" s="174">
        <f t="shared" si="221"/>
        <v>836</v>
      </c>
      <c r="BW636" s="175">
        <f t="shared" si="221"/>
        <v>233</v>
      </c>
    </row>
    <row r="637" spans="1:75" ht="13" x14ac:dyDescent="0.25">
      <c r="A637" s="196"/>
      <c r="B637" s="197" t="s">
        <v>658</v>
      </c>
      <c r="C637" s="176">
        <f>SUM(C480:C481)</f>
        <v>2120</v>
      </c>
      <c r="D637" s="176">
        <f>SUM(D480:D481)</f>
        <v>1215</v>
      </c>
      <c r="E637" s="145">
        <f t="shared" si="212"/>
        <v>0.57311320754716977</v>
      </c>
      <c r="F637" s="174">
        <f t="shared" ref="F637:AK637" si="222">SUM(F480:F481)</f>
        <v>608</v>
      </c>
      <c r="G637" s="175">
        <f t="shared" si="222"/>
        <v>515</v>
      </c>
      <c r="H637" s="174">
        <f t="shared" si="222"/>
        <v>0</v>
      </c>
      <c r="I637" s="175">
        <f t="shared" si="222"/>
        <v>0</v>
      </c>
      <c r="J637" s="174">
        <f t="shared" si="222"/>
        <v>0</v>
      </c>
      <c r="K637" s="175">
        <f t="shared" si="222"/>
        <v>0</v>
      </c>
      <c r="L637" s="174">
        <f t="shared" si="222"/>
        <v>0</v>
      </c>
      <c r="M637" s="175">
        <f t="shared" si="222"/>
        <v>0</v>
      </c>
      <c r="N637" s="174">
        <f t="shared" si="222"/>
        <v>0</v>
      </c>
      <c r="O637" s="175">
        <f t="shared" si="222"/>
        <v>0</v>
      </c>
      <c r="P637" s="174">
        <f t="shared" si="222"/>
        <v>0</v>
      </c>
      <c r="Q637" s="175">
        <f t="shared" si="222"/>
        <v>0</v>
      </c>
      <c r="R637" s="174">
        <f t="shared" si="222"/>
        <v>0</v>
      </c>
      <c r="S637" s="175">
        <f t="shared" si="222"/>
        <v>0</v>
      </c>
      <c r="T637" s="174">
        <f t="shared" si="222"/>
        <v>0</v>
      </c>
      <c r="U637" s="175">
        <f t="shared" si="222"/>
        <v>0</v>
      </c>
      <c r="V637" s="174">
        <f t="shared" si="222"/>
        <v>0</v>
      </c>
      <c r="W637" s="175">
        <f t="shared" si="222"/>
        <v>0</v>
      </c>
      <c r="X637" s="174">
        <f t="shared" si="222"/>
        <v>0</v>
      </c>
      <c r="Y637" s="175">
        <f t="shared" si="222"/>
        <v>0</v>
      </c>
      <c r="Z637" s="174">
        <f t="shared" si="222"/>
        <v>0</v>
      </c>
      <c r="AA637" s="175">
        <f t="shared" si="222"/>
        <v>0</v>
      </c>
      <c r="AB637" s="174">
        <f t="shared" si="222"/>
        <v>0</v>
      </c>
      <c r="AC637" s="175">
        <f t="shared" si="222"/>
        <v>0</v>
      </c>
      <c r="AD637" s="174">
        <f t="shared" si="222"/>
        <v>0</v>
      </c>
      <c r="AE637" s="175">
        <f t="shared" si="222"/>
        <v>0</v>
      </c>
      <c r="AF637" s="174">
        <f t="shared" si="222"/>
        <v>0</v>
      </c>
      <c r="AG637" s="175">
        <f t="shared" si="222"/>
        <v>0</v>
      </c>
      <c r="AH637" s="174">
        <f t="shared" si="222"/>
        <v>0</v>
      </c>
      <c r="AI637" s="175">
        <f t="shared" si="222"/>
        <v>0</v>
      </c>
      <c r="AJ637" s="174">
        <f t="shared" si="222"/>
        <v>0</v>
      </c>
      <c r="AK637" s="175">
        <f t="shared" si="222"/>
        <v>0</v>
      </c>
      <c r="AL637" s="174">
        <f t="shared" ref="AL637:BQ637" si="223">SUM(AL480:AL481)</f>
        <v>0</v>
      </c>
      <c r="AM637" s="175">
        <f t="shared" si="223"/>
        <v>0</v>
      </c>
      <c r="AN637" s="174">
        <f t="shared" si="223"/>
        <v>0</v>
      </c>
      <c r="AO637" s="175">
        <f t="shared" si="223"/>
        <v>0</v>
      </c>
      <c r="AP637" s="174">
        <f t="shared" si="223"/>
        <v>0</v>
      </c>
      <c r="AQ637" s="175">
        <f t="shared" si="223"/>
        <v>0</v>
      </c>
      <c r="AR637" s="174">
        <f t="shared" si="223"/>
        <v>0</v>
      </c>
      <c r="AS637" s="175">
        <f t="shared" si="223"/>
        <v>0</v>
      </c>
      <c r="AT637" s="174">
        <f t="shared" si="223"/>
        <v>0</v>
      </c>
      <c r="AU637" s="175">
        <f t="shared" si="223"/>
        <v>0</v>
      </c>
      <c r="AV637" s="174">
        <f t="shared" si="223"/>
        <v>0</v>
      </c>
      <c r="AW637" s="175">
        <f t="shared" si="223"/>
        <v>0</v>
      </c>
      <c r="AX637" s="174">
        <f t="shared" si="223"/>
        <v>0</v>
      </c>
      <c r="AY637" s="175">
        <f t="shared" si="223"/>
        <v>0</v>
      </c>
      <c r="AZ637" s="174">
        <f t="shared" si="223"/>
        <v>0</v>
      </c>
      <c r="BA637" s="175">
        <f t="shared" si="223"/>
        <v>0</v>
      </c>
      <c r="BB637" s="174">
        <f t="shared" si="223"/>
        <v>0</v>
      </c>
      <c r="BC637" s="175">
        <f t="shared" si="223"/>
        <v>0</v>
      </c>
      <c r="BD637" s="174">
        <f t="shared" si="223"/>
        <v>0</v>
      </c>
      <c r="BE637" s="175">
        <f t="shared" si="223"/>
        <v>0</v>
      </c>
      <c r="BF637" s="174">
        <f t="shared" si="223"/>
        <v>0</v>
      </c>
      <c r="BG637" s="175">
        <f t="shared" si="223"/>
        <v>0</v>
      </c>
      <c r="BH637" s="174">
        <f t="shared" si="223"/>
        <v>0</v>
      </c>
      <c r="BI637" s="175">
        <f t="shared" si="223"/>
        <v>0</v>
      </c>
      <c r="BJ637" s="174">
        <f t="shared" si="223"/>
        <v>0</v>
      </c>
      <c r="BK637" s="175">
        <f t="shared" si="223"/>
        <v>0</v>
      </c>
      <c r="BL637" s="174">
        <f t="shared" si="223"/>
        <v>0</v>
      </c>
      <c r="BM637" s="175">
        <f t="shared" si="223"/>
        <v>0</v>
      </c>
      <c r="BN637" s="174">
        <f t="shared" si="223"/>
        <v>0</v>
      </c>
      <c r="BO637" s="175">
        <f t="shared" si="223"/>
        <v>0</v>
      </c>
      <c r="BP637" s="174">
        <f t="shared" si="223"/>
        <v>0</v>
      </c>
      <c r="BQ637" s="175">
        <f t="shared" si="223"/>
        <v>0</v>
      </c>
      <c r="BR637" s="174">
        <f t="shared" ref="BR637:BW637" si="224">SUM(BR480:BR481)</f>
        <v>0</v>
      </c>
      <c r="BS637" s="175">
        <f t="shared" si="224"/>
        <v>0</v>
      </c>
      <c r="BT637" s="174">
        <f t="shared" si="224"/>
        <v>654</v>
      </c>
      <c r="BU637" s="175">
        <f t="shared" si="224"/>
        <v>460</v>
      </c>
      <c r="BV637" s="174">
        <f t="shared" si="224"/>
        <v>679</v>
      </c>
      <c r="BW637" s="175">
        <f t="shared" si="224"/>
        <v>432</v>
      </c>
    </row>
    <row r="638" spans="1:75" ht="13" x14ac:dyDescent="0.25">
      <c r="A638" s="196"/>
      <c r="B638" s="197" t="s">
        <v>659</v>
      </c>
      <c r="C638" s="176">
        <f>SUM(C482:C483)</f>
        <v>2852</v>
      </c>
      <c r="D638" s="176">
        <f>SUM(D482:D483)</f>
        <v>2303</v>
      </c>
      <c r="E638" s="145">
        <f t="shared" si="212"/>
        <v>0.80750350631136047</v>
      </c>
      <c r="F638" s="174">
        <f t="shared" ref="F638:AK638" si="225">SUM(F482:F483)</f>
        <v>1348</v>
      </c>
      <c r="G638" s="175">
        <f t="shared" si="225"/>
        <v>829</v>
      </c>
      <c r="H638" s="174">
        <f t="shared" si="225"/>
        <v>0</v>
      </c>
      <c r="I638" s="175">
        <f t="shared" si="225"/>
        <v>0</v>
      </c>
      <c r="J638" s="174">
        <f t="shared" si="225"/>
        <v>0</v>
      </c>
      <c r="K638" s="175">
        <f t="shared" si="225"/>
        <v>0</v>
      </c>
      <c r="L638" s="174">
        <f t="shared" si="225"/>
        <v>0</v>
      </c>
      <c r="M638" s="175">
        <f t="shared" si="225"/>
        <v>0</v>
      </c>
      <c r="N638" s="174">
        <f t="shared" si="225"/>
        <v>0</v>
      </c>
      <c r="O638" s="175">
        <f t="shared" si="225"/>
        <v>0</v>
      </c>
      <c r="P638" s="174">
        <f t="shared" si="225"/>
        <v>0</v>
      </c>
      <c r="Q638" s="175">
        <f t="shared" si="225"/>
        <v>0</v>
      </c>
      <c r="R638" s="174">
        <f t="shared" si="225"/>
        <v>0</v>
      </c>
      <c r="S638" s="175">
        <f t="shared" si="225"/>
        <v>0</v>
      </c>
      <c r="T638" s="174">
        <f t="shared" si="225"/>
        <v>0</v>
      </c>
      <c r="U638" s="175">
        <f t="shared" si="225"/>
        <v>0</v>
      </c>
      <c r="V638" s="174">
        <f t="shared" si="225"/>
        <v>0</v>
      </c>
      <c r="W638" s="175">
        <f t="shared" si="225"/>
        <v>0</v>
      </c>
      <c r="X638" s="174">
        <f t="shared" si="225"/>
        <v>0</v>
      </c>
      <c r="Y638" s="175">
        <f t="shared" si="225"/>
        <v>0</v>
      </c>
      <c r="Z638" s="174">
        <f t="shared" si="225"/>
        <v>0</v>
      </c>
      <c r="AA638" s="175">
        <f t="shared" si="225"/>
        <v>0</v>
      </c>
      <c r="AB638" s="174">
        <f t="shared" si="225"/>
        <v>0</v>
      </c>
      <c r="AC638" s="175">
        <f t="shared" si="225"/>
        <v>0</v>
      </c>
      <c r="AD638" s="174">
        <f t="shared" si="225"/>
        <v>0</v>
      </c>
      <c r="AE638" s="175">
        <f t="shared" si="225"/>
        <v>0</v>
      </c>
      <c r="AF638" s="174">
        <f t="shared" si="225"/>
        <v>0</v>
      </c>
      <c r="AG638" s="175">
        <f t="shared" si="225"/>
        <v>0</v>
      </c>
      <c r="AH638" s="174">
        <f t="shared" si="225"/>
        <v>0</v>
      </c>
      <c r="AI638" s="175">
        <f t="shared" si="225"/>
        <v>0</v>
      </c>
      <c r="AJ638" s="174">
        <f t="shared" si="225"/>
        <v>0</v>
      </c>
      <c r="AK638" s="175">
        <f t="shared" si="225"/>
        <v>0</v>
      </c>
      <c r="AL638" s="174">
        <f t="shared" ref="AL638:BQ638" si="226">SUM(AL482:AL483)</f>
        <v>0</v>
      </c>
      <c r="AM638" s="175">
        <f t="shared" si="226"/>
        <v>0</v>
      </c>
      <c r="AN638" s="174">
        <f t="shared" si="226"/>
        <v>0</v>
      </c>
      <c r="AO638" s="175">
        <f t="shared" si="226"/>
        <v>0</v>
      </c>
      <c r="AP638" s="174">
        <f t="shared" si="226"/>
        <v>0</v>
      </c>
      <c r="AQ638" s="175">
        <f t="shared" si="226"/>
        <v>0</v>
      </c>
      <c r="AR638" s="174">
        <f t="shared" si="226"/>
        <v>0</v>
      </c>
      <c r="AS638" s="175">
        <f t="shared" si="226"/>
        <v>0</v>
      </c>
      <c r="AT638" s="174">
        <f t="shared" si="226"/>
        <v>0</v>
      </c>
      <c r="AU638" s="175">
        <f t="shared" si="226"/>
        <v>0</v>
      </c>
      <c r="AV638" s="174">
        <f t="shared" si="226"/>
        <v>0</v>
      </c>
      <c r="AW638" s="175">
        <f t="shared" si="226"/>
        <v>0</v>
      </c>
      <c r="AX638" s="174">
        <f t="shared" si="226"/>
        <v>0</v>
      </c>
      <c r="AY638" s="175">
        <f t="shared" si="226"/>
        <v>0</v>
      </c>
      <c r="AZ638" s="174">
        <f t="shared" si="226"/>
        <v>0</v>
      </c>
      <c r="BA638" s="175">
        <f t="shared" si="226"/>
        <v>0</v>
      </c>
      <c r="BB638" s="174">
        <f t="shared" si="226"/>
        <v>0</v>
      </c>
      <c r="BC638" s="175">
        <f t="shared" si="226"/>
        <v>0</v>
      </c>
      <c r="BD638" s="174">
        <f t="shared" si="226"/>
        <v>0</v>
      </c>
      <c r="BE638" s="175">
        <f t="shared" si="226"/>
        <v>0</v>
      </c>
      <c r="BF638" s="174">
        <f t="shared" si="226"/>
        <v>1361</v>
      </c>
      <c r="BG638" s="175">
        <f t="shared" si="226"/>
        <v>862</v>
      </c>
      <c r="BH638" s="174">
        <f t="shared" si="226"/>
        <v>0</v>
      </c>
      <c r="BI638" s="175">
        <f t="shared" si="226"/>
        <v>0</v>
      </c>
      <c r="BJ638" s="174">
        <f t="shared" si="226"/>
        <v>0</v>
      </c>
      <c r="BK638" s="175">
        <f t="shared" si="226"/>
        <v>0</v>
      </c>
      <c r="BL638" s="174">
        <f t="shared" si="226"/>
        <v>0</v>
      </c>
      <c r="BM638" s="175">
        <f t="shared" si="226"/>
        <v>0</v>
      </c>
      <c r="BN638" s="174">
        <f t="shared" si="226"/>
        <v>0</v>
      </c>
      <c r="BO638" s="175">
        <f t="shared" si="226"/>
        <v>0</v>
      </c>
      <c r="BP638" s="174">
        <f t="shared" si="226"/>
        <v>0</v>
      </c>
      <c r="BQ638" s="175">
        <f t="shared" si="226"/>
        <v>0</v>
      </c>
      <c r="BR638" s="174">
        <f t="shared" ref="BR638:BW638" si="227">SUM(BR482:BR483)</f>
        <v>0</v>
      </c>
      <c r="BS638" s="175">
        <f t="shared" si="227"/>
        <v>0</v>
      </c>
      <c r="BT638" s="174">
        <f t="shared" si="227"/>
        <v>1623</v>
      </c>
      <c r="BU638" s="175">
        <f t="shared" si="227"/>
        <v>565</v>
      </c>
      <c r="BV638" s="174">
        <f t="shared" si="227"/>
        <v>1631</v>
      </c>
      <c r="BW638" s="175">
        <f t="shared" si="227"/>
        <v>554</v>
      </c>
    </row>
    <row r="639" spans="1:75" ht="13" x14ac:dyDescent="0.25">
      <c r="A639" s="196"/>
      <c r="B639" s="197" t="s">
        <v>660</v>
      </c>
      <c r="C639" s="176">
        <f>SUM(C496:C497)</f>
        <v>2050</v>
      </c>
      <c r="D639" s="176">
        <f>SUM(D496:D497)</f>
        <v>1552</v>
      </c>
      <c r="E639" s="145">
        <f t="shared" si="212"/>
        <v>0.75707317073170732</v>
      </c>
      <c r="F639" s="174">
        <f t="shared" ref="F639:AK639" si="228">SUM(F496:F497)</f>
        <v>627</v>
      </c>
      <c r="G639" s="175">
        <f t="shared" si="228"/>
        <v>866</v>
      </c>
      <c r="H639" s="174">
        <f t="shared" si="228"/>
        <v>0</v>
      </c>
      <c r="I639" s="175">
        <f t="shared" si="228"/>
        <v>0</v>
      </c>
      <c r="J639" s="174">
        <f t="shared" si="228"/>
        <v>0</v>
      </c>
      <c r="K639" s="175">
        <f t="shared" si="228"/>
        <v>0</v>
      </c>
      <c r="L639" s="174">
        <f t="shared" si="228"/>
        <v>0</v>
      </c>
      <c r="M639" s="175">
        <f t="shared" si="228"/>
        <v>0</v>
      </c>
      <c r="N639" s="174">
        <f t="shared" si="228"/>
        <v>0</v>
      </c>
      <c r="O639" s="175">
        <f t="shared" si="228"/>
        <v>0</v>
      </c>
      <c r="P639" s="174">
        <f t="shared" si="228"/>
        <v>0</v>
      </c>
      <c r="Q639" s="175">
        <f t="shared" si="228"/>
        <v>0</v>
      </c>
      <c r="R639" s="174">
        <f t="shared" si="228"/>
        <v>0</v>
      </c>
      <c r="S639" s="175">
        <f t="shared" si="228"/>
        <v>0</v>
      </c>
      <c r="T639" s="174">
        <f t="shared" si="228"/>
        <v>0</v>
      </c>
      <c r="U639" s="175">
        <f t="shared" si="228"/>
        <v>0</v>
      </c>
      <c r="V639" s="174">
        <f t="shared" si="228"/>
        <v>0</v>
      </c>
      <c r="W639" s="175">
        <f t="shared" si="228"/>
        <v>0</v>
      </c>
      <c r="X639" s="174">
        <f t="shared" si="228"/>
        <v>0</v>
      </c>
      <c r="Y639" s="175">
        <f t="shared" si="228"/>
        <v>0</v>
      </c>
      <c r="Z639" s="174">
        <f t="shared" si="228"/>
        <v>0</v>
      </c>
      <c r="AA639" s="175">
        <f t="shared" si="228"/>
        <v>0</v>
      </c>
      <c r="AB639" s="174">
        <f t="shared" si="228"/>
        <v>0</v>
      </c>
      <c r="AC639" s="175">
        <f t="shared" si="228"/>
        <v>0</v>
      </c>
      <c r="AD639" s="174">
        <f t="shared" si="228"/>
        <v>0</v>
      </c>
      <c r="AE639" s="175">
        <f t="shared" si="228"/>
        <v>0</v>
      </c>
      <c r="AF639" s="174">
        <f t="shared" si="228"/>
        <v>0</v>
      </c>
      <c r="AG639" s="175">
        <f t="shared" si="228"/>
        <v>0</v>
      </c>
      <c r="AH639" s="174">
        <f t="shared" si="228"/>
        <v>0</v>
      </c>
      <c r="AI639" s="175">
        <f t="shared" si="228"/>
        <v>0</v>
      </c>
      <c r="AJ639" s="174">
        <f t="shared" si="228"/>
        <v>0</v>
      </c>
      <c r="AK639" s="175">
        <f t="shared" si="228"/>
        <v>0</v>
      </c>
      <c r="AL639" s="174">
        <f t="shared" ref="AL639:BQ639" si="229">SUM(AL496:AL497)</f>
        <v>0</v>
      </c>
      <c r="AM639" s="175">
        <f t="shared" si="229"/>
        <v>0</v>
      </c>
      <c r="AN639" s="174">
        <f t="shared" si="229"/>
        <v>0</v>
      </c>
      <c r="AO639" s="175">
        <f t="shared" si="229"/>
        <v>0</v>
      </c>
      <c r="AP639" s="174">
        <f t="shared" si="229"/>
        <v>0</v>
      </c>
      <c r="AQ639" s="175">
        <f t="shared" si="229"/>
        <v>0</v>
      </c>
      <c r="AR639" s="174">
        <f t="shared" si="229"/>
        <v>0</v>
      </c>
      <c r="AS639" s="175">
        <f t="shared" si="229"/>
        <v>0</v>
      </c>
      <c r="AT639" s="174">
        <f t="shared" si="229"/>
        <v>0</v>
      </c>
      <c r="AU639" s="175">
        <f t="shared" si="229"/>
        <v>0</v>
      </c>
      <c r="AV639" s="174">
        <f t="shared" si="229"/>
        <v>0</v>
      </c>
      <c r="AW639" s="175">
        <f t="shared" si="229"/>
        <v>0</v>
      </c>
      <c r="AX639" s="174">
        <f t="shared" si="229"/>
        <v>0</v>
      </c>
      <c r="AY639" s="175">
        <f t="shared" si="229"/>
        <v>0</v>
      </c>
      <c r="AZ639" s="174">
        <f t="shared" si="229"/>
        <v>0</v>
      </c>
      <c r="BA639" s="175">
        <f t="shared" si="229"/>
        <v>0</v>
      </c>
      <c r="BB639" s="174">
        <f t="shared" si="229"/>
        <v>0</v>
      </c>
      <c r="BC639" s="175">
        <f t="shared" si="229"/>
        <v>0</v>
      </c>
      <c r="BD639" s="174">
        <f t="shared" si="229"/>
        <v>0</v>
      </c>
      <c r="BE639" s="175">
        <f t="shared" si="229"/>
        <v>0</v>
      </c>
      <c r="BF639" s="174">
        <f t="shared" si="229"/>
        <v>0</v>
      </c>
      <c r="BG639" s="175">
        <f t="shared" si="229"/>
        <v>0</v>
      </c>
      <c r="BH639" s="174">
        <f t="shared" si="229"/>
        <v>0</v>
      </c>
      <c r="BI639" s="175">
        <f t="shared" si="229"/>
        <v>0</v>
      </c>
      <c r="BJ639" s="174">
        <f t="shared" si="229"/>
        <v>0</v>
      </c>
      <c r="BK639" s="175">
        <f t="shared" si="229"/>
        <v>0</v>
      </c>
      <c r="BL639" s="174">
        <f t="shared" si="229"/>
        <v>0</v>
      </c>
      <c r="BM639" s="175">
        <f t="shared" si="229"/>
        <v>0</v>
      </c>
      <c r="BN639" s="174">
        <f t="shared" si="229"/>
        <v>0</v>
      </c>
      <c r="BO639" s="175">
        <f t="shared" si="229"/>
        <v>0</v>
      </c>
      <c r="BP639" s="174">
        <f t="shared" si="229"/>
        <v>0</v>
      </c>
      <c r="BQ639" s="175">
        <f t="shared" si="229"/>
        <v>0</v>
      </c>
      <c r="BR639" s="174">
        <f t="shared" ref="BR639:BW639" si="230">SUM(BR496:BR497)</f>
        <v>0</v>
      </c>
      <c r="BS639" s="175">
        <f t="shared" si="230"/>
        <v>0</v>
      </c>
      <c r="BT639" s="174">
        <f t="shared" si="230"/>
        <v>814</v>
      </c>
      <c r="BU639" s="175">
        <f t="shared" si="230"/>
        <v>662</v>
      </c>
      <c r="BV639" s="174">
        <f t="shared" si="230"/>
        <v>846</v>
      </c>
      <c r="BW639" s="175">
        <f t="shared" si="230"/>
        <v>629</v>
      </c>
    </row>
    <row r="640" spans="1:75" ht="13" x14ac:dyDescent="0.25">
      <c r="A640" s="196"/>
      <c r="B640" s="197" t="s">
        <v>661</v>
      </c>
      <c r="C640" s="176">
        <f>SUM(C487)</f>
        <v>771</v>
      </c>
      <c r="D640" s="176">
        <f>SUM(D487)</f>
        <v>618</v>
      </c>
      <c r="E640" s="145">
        <f t="shared" si="212"/>
        <v>0.80155642023346307</v>
      </c>
      <c r="F640" s="174">
        <f t="shared" ref="F640:AK640" si="231">SUM(F487)</f>
        <v>155</v>
      </c>
      <c r="G640" s="175">
        <f t="shared" si="231"/>
        <v>435</v>
      </c>
      <c r="H640" s="174">
        <f t="shared" si="231"/>
        <v>0</v>
      </c>
      <c r="I640" s="175">
        <f t="shared" si="231"/>
        <v>0</v>
      </c>
      <c r="J640" s="174">
        <f t="shared" si="231"/>
        <v>0</v>
      </c>
      <c r="K640" s="175">
        <f t="shared" si="231"/>
        <v>0</v>
      </c>
      <c r="L640" s="174">
        <f t="shared" si="231"/>
        <v>0</v>
      </c>
      <c r="M640" s="175">
        <f t="shared" si="231"/>
        <v>0</v>
      </c>
      <c r="N640" s="174">
        <f t="shared" si="231"/>
        <v>0</v>
      </c>
      <c r="O640" s="175">
        <f t="shared" si="231"/>
        <v>0</v>
      </c>
      <c r="P640" s="174">
        <f t="shared" si="231"/>
        <v>0</v>
      </c>
      <c r="Q640" s="175">
        <f t="shared" si="231"/>
        <v>0</v>
      </c>
      <c r="R640" s="174">
        <f t="shared" si="231"/>
        <v>0</v>
      </c>
      <c r="S640" s="175">
        <f t="shared" si="231"/>
        <v>0</v>
      </c>
      <c r="T640" s="174">
        <f t="shared" si="231"/>
        <v>0</v>
      </c>
      <c r="U640" s="175">
        <f t="shared" si="231"/>
        <v>0</v>
      </c>
      <c r="V640" s="174">
        <f t="shared" si="231"/>
        <v>0</v>
      </c>
      <c r="W640" s="175">
        <f t="shared" si="231"/>
        <v>0</v>
      </c>
      <c r="X640" s="174">
        <f t="shared" si="231"/>
        <v>0</v>
      </c>
      <c r="Y640" s="175">
        <f t="shared" si="231"/>
        <v>0</v>
      </c>
      <c r="Z640" s="174">
        <f t="shared" si="231"/>
        <v>0</v>
      </c>
      <c r="AA640" s="175">
        <f t="shared" si="231"/>
        <v>0</v>
      </c>
      <c r="AB640" s="174">
        <f t="shared" si="231"/>
        <v>0</v>
      </c>
      <c r="AC640" s="175">
        <f t="shared" si="231"/>
        <v>0</v>
      </c>
      <c r="AD640" s="174">
        <f t="shared" si="231"/>
        <v>0</v>
      </c>
      <c r="AE640" s="175">
        <f t="shared" si="231"/>
        <v>0</v>
      </c>
      <c r="AF640" s="174">
        <f t="shared" si="231"/>
        <v>0</v>
      </c>
      <c r="AG640" s="175">
        <f t="shared" si="231"/>
        <v>0</v>
      </c>
      <c r="AH640" s="174">
        <f t="shared" si="231"/>
        <v>0</v>
      </c>
      <c r="AI640" s="175">
        <f t="shared" si="231"/>
        <v>0</v>
      </c>
      <c r="AJ640" s="174">
        <f t="shared" si="231"/>
        <v>0</v>
      </c>
      <c r="AK640" s="175">
        <f t="shared" si="231"/>
        <v>0</v>
      </c>
      <c r="AL640" s="174">
        <f t="shared" ref="AL640:BQ640" si="232">SUM(AL487)</f>
        <v>401</v>
      </c>
      <c r="AM640" s="175">
        <f t="shared" si="232"/>
        <v>194</v>
      </c>
      <c r="AN640" s="174">
        <f t="shared" si="232"/>
        <v>269</v>
      </c>
      <c r="AO640" s="175">
        <f t="shared" si="232"/>
        <v>316</v>
      </c>
      <c r="AP640" s="174">
        <f t="shared" si="232"/>
        <v>0</v>
      </c>
      <c r="AQ640" s="175">
        <f t="shared" si="232"/>
        <v>0</v>
      </c>
      <c r="AR640" s="174">
        <f t="shared" si="232"/>
        <v>0</v>
      </c>
      <c r="AS640" s="175">
        <f t="shared" si="232"/>
        <v>0</v>
      </c>
      <c r="AT640" s="174">
        <f t="shared" si="232"/>
        <v>0</v>
      </c>
      <c r="AU640" s="175">
        <f t="shared" si="232"/>
        <v>0</v>
      </c>
      <c r="AV640" s="174">
        <f t="shared" si="232"/>
        <v>0</v>
      </c>
      <c r="AW640" s="175">
        <f t="shared" si="232"/>
        <v>0</v>
      </c>
      <c r="AX640" s="174">
        <f t="shared" si="232"/>
        <v>0</v>
      </c>
      <c r="AY640" s="175">
        <f t="shared" si="232"/>
        <v>0</v>
      </c>
      <c r="AZ640" s="174">
        <f t="shared" si="232"/>
        <v>0</v>
      </c>
      <c r="BA640" s="175">
        <f t="shared" si="232"/>
        <v>0</v>
      </c>
      <c r="BB640" s="174">
        <f t="shared" si="232"/>
        <v>0</v>
      </c>
      <c r="BC640" s="175">
        <f t="shared" si="232"/>
        <v>0</v>
      </c>
      <c r="BD640" s="174">
        <f t="shared" si="232"/>
        <v>0</v>
      </c>
      <c r="BE640" s="175">
        <f t="shared" si="232"/>
        <v>0</v>
      </c>
      <c r="BF640" s="174">
        <f t="shared" si="232"/>
        <v>0</v>
      </c>
      <c r="BG640" s="175">
        <f t="shared" si="232"/>
        <v>0</v>
      </c>
      <c r="BH640" s="174">
        <f t="shared" si="232"/>
        <v>0</v>
      </c>
      <c r="BI640" s="175">
        <f t="shared" si="232"/>
        <v>0</v>
      </c>
      <c r="BJ640" s="174">
        <f t="shared" si="232"/>
        <v>0</v>
      </c>
      <c r="BK640" s="175">
        <f t="shared" si="232"/>
        <v>0</v>
      </c>
      <c r="BL640" s="174">
        <f t="shared" si="232"/>
        <v>0</v>
      </c>
      <c r="BM640" s="175">
        <f t="shared" si="232"/>
        <v>0</v>
      </c>
      <c r="BN640" s="174">
        <f t="shared" si="232"/>
        <v>0</v>
      </c>
      <c r="BO640" s="175">
        <f t="shared" si="232"/>
        <v>0</v>
      </c>
      <c r="BP640" s="174">
        <f t="shared" si="232"/>
        <v>0</v>
      </c>
      <c r="BQ640" s="175">
        <f t="shared" si="232"/>
        <v>0</v>
      </c>
      <c r="BR640" s="174">
        <f t="shared" ref="BR640:BW640" si="233">SUM(BR487)</f>
        <v>0</v>
      </c>
      <c r="BS640" s="175">
        <f t="shared" si="233"/>
        <v>0</v>
      </c>
      <c r="BT640" s="174">
        <f t="shared" si="233"/>
        <v>321</v>
      </c>
      <c r="BU640" s="175">
        <f t="shared" si="233"/>
        <v>272</v>
      </c>
      <c r="BV640" s="174">
        <f t="shared" si="233"/>
        <v>346</v>
      </c>
      <c r="BW640" s="175">
        <f t="shared" si="233"/>
        <v>250</v>
      </c>
    </row>
    <row r="641" spans="1:75" ht="13" x14ac:dyDescent="0.25">
      <c r="A641" s="196"/>
      <c r="B641" s="197" t="s">
        <v>662</v>
      </c>
      <c r="C641" s="176">
        <f>SUM(C498:C501)</f>
        <v>3061</v>
      </c>
      <c r="D641" s="176">
        <f>SUM(D498:D501)</f>
        <v>2144</v>
      </c>
      <c r="E641" s="145">
        <f t="shared" si="212"/>
        <v>0.70042469781117278</v>
      </c>
      <c r="F641" s="174">
        <f t="shared" ref="F641:AK641" si="234">SUM(F498:F501)</f>
        <v>1100</v>
      </c>
      <c r="G641" s="175">
        <f t="shared" si="234"/>
        <v>936</v>
      </c>
      <c r="H641" s="174">
        <f t="shared" si="234"/>
        <v>0</v>
      </c>
      <c r="I641" s="175">
        <f t="shared" si="234"/>
        <v>0</v>
      </c>
      <c r="J641" s="174">
        <f t="shared" si="234"/>
        <v>0</v>
      </c>
      <c r="K641" s="175">
        <f t="shared" si="234"/>
        <v>0</v>
      </c>
      <c r="L641" s="174">
        <f t="shared" si="234"/>
        <v>0</v>
      </c>
      <c r="M641" s="175">
        <f t="shared" si="234"/>
        <v>0</v>
      </c>
      <c r="N641" s="174">
        <f t="shared" si="234"/>
        <v>0</v>
      </c>
      <c r="O641" s="175">
        <f t="shared" si="234"/>
        <v>0</v>
      </c>
      <c r="P641" s="174">
        <f t="shared" si="234"/>
        <v>0</v>
      </c>
      <c r="Q641" s="175">
        <f t="shared" si="234"/>
        <v>0</v>
      </c>
      <c r="R641" s="174">
        <f t="shared" si="234"/>
        <v>0</v>
      </c>
      <c r="S641" s="175">
        <f t="shared" si="234"/>
        <v>0</v>
      </c>
      <c r="T641" s="174">
        <f t="shared" si="234"/>
        <v>0</v>
      </c>
      <c r="U641" s="175">
        <f t="shared" si="234"/>
        <v>0</v>
      </c>
      <c r="V641" s="174">
        <f t="shared" si="234"/>
        <v>0</v>
      </c>
      <c r="W641" s="175">
        <f t="shared" si="234"/>
        <v>0</v>
      </c>
      <c r="X641" s="174">
        <f t="shared" si="234"/>
        <v>0</v>
      </c>
      <c r="Y641" s="175">
        <f t="shared" si="234"/>
        <v>0</v>
      </c>
      <c r="Z641" s="174">
        <f t="shared" si="234"/>
        <v>0</v>
      </c>
      <c r="AA641" s="175">
        <f t="shared" si="234"/>
        <v>0</v>
      </c>
      <c r="AB641" s="174">
        <f t="shared" si="234"/>
        <v>0</v>
      </c>
      <c r="AC641" s="175">
        <f t="shared" si="234"/>
        <v>0</v>
      </c>
      <c r="AD641" s="174">
        <f t="shared" si="234"/>
        <v>0</v>
      </c>
      <c r="AE641" s="175">
        <f t="shared" si="234"/>
        <v>0</v>
      </c>
      <c r="AF641" s="174">
        <f t="shared" si="234"/>
        <v>0</v>
      </c>
      <c r="AG641" s="175">
        <f t="shared" si="234"/>
        <v>0</v>
      </c>
      <c r="AH641" s="174">
        <f t="shared" si="234"/>
        <v>0</v>
      </c>
      <c r="AI641" s="175">
        <f t="shared" si="234"/>
        <v>0</v>
      </c>
      <c r="AJ641" s="174">
        <f t="shared" si="234"/>
        <v>0</v>
      </c>
      <c r="AK641" s="175">
        <f t="shared" si="234"/>
        <v>0</v>
      </c>
      <c r="AL641" s="174">
        <f t="shared" ref="AL641:BQ641" si="235">SUM(AL498:AL501)</f>
        <v>0</v>
      </c>
      <c r="AM641" s="175">
        <f t="shared" si="235"/>
        <v>0</v>
      </c>
      <c r="AN641" s="174">
        <f t="shared" si="235"/>
        <v>0</v>
      </c>
      <c r="AO641" s="175">
        <f t="shared" si="235"/>
        <v>0</v>
      </c>
      <c r="AP641" s="174">
        <f t="shared" si="235"/>
        <v>0</v>
      </c>
      <c r="AQ641" s="175">
        <f t="shared" si="235"/>
        <v>0</v>
      </c>
      <c r="AR641" s="174">
        <f t="shared" si="235"/>
        <v>0</v>
      </c>
      <c r="AS641" s="175">
        <f t="shared" si="235"/>
        <v>0</v>
      </c>
      <c r="AT641" s="174">
        <f t="shared" si="235"/>
        <v>0</v>
      </c>
      <c r="AU641" s="175">
        <f t="shared" si="235"/>
        <v>0</v>
      </c>
      <c r="AV641" s="174">
        <f t="shared" si="235"/>
        <v>0</v>
      </c>
      <c r="AW641" s="175">
        <f t="shared" si="235"/>
        <v>0</v>
      </c>
      <c r="AX641" s="174">
        <f t="shared" si="235"/>
        <v>0</v>
      </c>
      <c r="AY641" s="175">
        <f t="shared" si="235"/>
        <v>0</v>
      </c>
      <c r="AZ641" s="174">
        <f t="shared" si="235"/>
        <v>0</v>
      </c>
      <c r="BA641" s="175">
        <f t="shared" si="235"/>
        <v>0</v>
      </c>
      <c r="BB641" s="174">
        <f t="shared" si="235"/>
        <v>0</v>
      </c>
      <c r="BC641" s="175">
        <f t="shared" si="235"/>
        <v>0</v>
      </c>
      <c r="BD641" s="174">
        <f t="shared" si="235"/>
        <v>0</v>
      </c>
      <c r="BE641" s="175">
        <f t="shared" si="235"/>
        <v>0</v>
      </c>
      <c r="BF641" s="174">
        <f t="shared" si="235"/>
        <v>0</v>
      </c>
      <c r="BG641" s="175">
        <f t="shared" si="235"/>
        <v>0</v>
      </c>
      <c r="BH641" s="174">
        <f t="shared" si="235"/>
        <v>0</v>
      </c>
      <c r="BI641" s="175">
        <f t="shared" si="235"/>
        <v>0</v>
      </c>
      <c r="BJ641" s="174">
        <f t="shared" si="235"/>
        <v>0</v>
      </c>
      <c r="BK641" s="175">
        <f t="shared" si="235"/>
        <v>0</v>
      </c>
      <c r="BL641" s="174">
        <f t="shared" si="235"/>
        <v>0</v>
      </c>
      <c r="BM641" s="175">
        <f t="shared" si="235"/>
        <v>0</v>
      </c>
      <c r="BN641" s="174">
        <f t="shared" si="235"/>
        <v>0</v>
      </c>
      <c r="BO641" s="175">
        <f t="shared" si="235"/>
        <v>0</v>
      </c>
      <c r="BP641" s="174">
        <f t="shared" si="235"/>
        <v>0</v>
      </c>
      <c r="BQ641" s="175">
        <f t="shared" si="235"/>
        <v>0</v>
      </c>
      <c r="BR641" s="174">
        <f t="shared" ref="BR641:BW641" si="236">SUM(BR498:BR501)</f>
        <v>0</v>
      </c>
      <c r="BS641" s="175">
        <f t="shared" si="236"/>
        <v>0</v>
      </c>
      <c r="BT641" s="174">
        <f t="shared" si="236"/>
        <v>1229</v>
      </c>
      <c r="BU641" s="175">
        <f t="shared" si="236"/>
        <v>789</v>
      </c>
      <c r="BV641" s="174">
        <f t="shared" si="236"/>
        <v>1333</v>
      </c>
      <c r="BW641" s="175">
        <f t="shared" si="236"/>
        <v>683</v>
      </c>
    </row>
    <row r="642" spans="1:75" ht="13" x14ac:dyDescent="0.25">
      <c r="A642" s="196"/>
      <c r="B642" s="197" t="s">
        <v>663</v>
      </c>
      <c r="C642" s="176">
        <f>SUM(C502:C504)</f>
        <v>3808</v>
      </c>
      <c r="D642" s="176">
        <f>SUM(D502:D504)</f>
        <v>2653</v>
      </c>
      <c r="E642" s="145">
        <f t="shared" si="212"/>
        <v>0.6966911764705882</v>
      </c>
      <c r="F642" s="174">
        <f t="shared" ref="F642:AK642" si="237">SUM(F502:F504)</f>
        <v>1766</v>
      </c>
      <c r="G642" s="175">
        <f t="shared" si="237"/>
        <v>768</v>
      </c>
      <c r="H642" s="174">
        <f t="shared" si="237"/>
        <v>0</v>
      </c>
      <c r="I642" s="175">
        <f t="shared" si="237"/>
        <v>0</v>
      </c>
      <c r="J642" s="174">
        <f t="shared" si="237"/>
        <v>0</v>
      </c>
      <c r="K642" s="175">
        <f t="shared" si="237"/>
        <v>0</v>
      </c>
      <c r="L642" s="174">
        <f t="shared" si="237"/>
        <v>0</v>
      </c>
      <c r="M642" s="175">
        <f t="shared" si="237"/>
        <v>0</v>
      </c>
      <c r="N642" s="174">
        <f t="shared" si="237"/>
        <v>0</v>
      </c>
      <c r="O642" s="175">
        <f t="shared" si="237"/>
        <v>0</v>
      </c>
      <c r="P642" s="174">
        <f t="shared" si="237"/>
        <v>0</v>
      </c>
      <c r="Q642" s="175">
        <f t="shared" si="237"/>
        <v>0</v>
      </c>
      <c r="R642" s="174">
        <f t="shared" si="237"/>
        <v>0</v>
      </c>
      <c r="S642" s="175">
        <f t="shared" si="237"/>
        <v>0</v>
      </c>
      <c r="T642" s="174">
        <f t="shared" si="237"/>
        <v>0</v>
      </c>
      <c r="U642" s="175">
        <f t="shared" si="237"/>
        <v>0</v>
      </c>
      <c r="V642" s="174">
        <f t="shared" si="237"/>
        <v>0</v>
      </c>
      <c r="W642" s="175">
        <f t="shared" si="237"/>
        <v>0</v>
      </c>
      <c r="X642" s="174">
        <f t="shared" si="237"/>
        <v>0</v>
      </c>
      <c r="Y642" s="175">
        <f t="shared" si="237"/>
        <v>0</v>
      </c>
      <c r="Z642" s="174">
        <f t="shared" si="237"/>
        <v>0</v>
      </c>
      <c r="AA642" s="175">
        <f t="shared" si="237"/>
        <v>0</v>
      </c>
      <c r="AB642" s="174">
        <f t="shared" si="237"/>
        <v>0</v>
      </c>
      <c r="AC642" s="175">
        <f t="shared" si="237"/>
        <v>0</v>
      </c>
      <c r="AD642" s="174">
        <f t="shared" si="237"/>
        <v>0</v>
      </c>
      <c r="AE642" s="175">
        <f t="shared" si="237"/>
        <v>0</v>
      </c>
      <c r="AF642" s="174">
        <f t="shared" si="237"/>
        <v>0</v>
      </c>
      <c r="AG642" s="175">
        <f t="shared" si="237"/>
        <v>0</v>
      </c>
      <c r="AH642" s="174">
        <f t="shared" si="237"/>
        <v>0</v>
      </c>
      <c r="AI642" s="175">
        <f t="shared" si="237"/>
        <v>0</v>
      </c>
      <c r="AJ642" s="174">
        <f t="shared" si="237"/>
        <v>0</v>
      </c>
      <c r="AK642" s="175">
        <f t="shared" si="237"/>
        <v>0</v>
      </c>
      <c r="AL642" s="174">
        <f t="shared" ref="AL642:BQ642" si="238">SUM(AL502:AL504)</f>
        <v>0</v>
      </c>
      <c r="AM642" s="175">
        <f t="shared" si="238"/>
        <v>0</v>
      </c>
      <c r="AN642" s="174">
        <f t="shared" si="238"/>
        <v>0</v>
      </c>
      <c r="AO642" s="175">
        <f t="shared" si="238"/>
        <v>0</v>
      </c>
      <c r="AP642" s="174">
        <f t="shared" si="238"/>
        <v>0</v>
      </c>
      <c r="AQ642" s="175">
        <f t="shared" si="238"/>
        <v>0</v>
      </c>
      <c r="AR642" s="174">
        <f t="shared" si="238"/>
        <v>0</v>
      </c>
      <c r="AS642" s="175">
        <f t="shared" si="238"/>
        <v>0</v>
      </c>
      <c r="AT642" s="174">
        <f t="shared" si="238"/>
        <v>0</v>
      </c>
      <c r="AU642" s="175">
        <f t="shared" si="238"/>
        <v>0</v>
      </c>
      <c r="AV642" s="174">
        <f t="shared" si="238"/>
        <v>0</v>
      </c>
      <c r="AW642" s="175">
        <f t="shared" si="238"/>
        <v>0</v>
      </c>
      <c r="AX642" s="174">
        <f t="shared" si="238"/>
        <v>0</v>
      </c>
      <c r="AY642" s="175">
        <f t="shared" si="238"/>
        <v>0</v>
      </c>
      <c r="AZ642" s="174">
        <f t="shared" si="238"/>
        <v>0</v>
      </c>
      <c r="BA642" s="175">
        <f t="shared" si="238"/>
        <v>0</v>
      </c>
      <c r="BB642" s="174">
        <f t="shared" si="238"/>
        <v>0</v>
      </c>
      <c r="BC642" s="175">
        <f t="shared" si="238"/>
        <v>0</v>
      </c>
      <c r="BD642" s="174">
        <f t="shared" si="238"/>
        <v>0</v>
      </c>
      <c r="BE642" s="175">
        <f t="shared" si="238"/>
        <v>0</v>
      </c>
      <c r="BF642" s="174">
        <f t="shared" si="238"/>
        <v>0</v>
      </c>
      <c r="BG642" s="175">
        <f t="shared" si="238"/>
        <v>0</v>
      </c>
      <c r="BH642" s="174">
        <f t="shared" si="238"/>
        <v>0</v>
      </c>
      <c r="BI642" s="175">
        <f t="shared" si="238"/>
        <v>0</v>
      </c>
      <c r="BJ642" s="174">
        <f t="shared" si="238"/>
        <v>0</v>
      </c>
      <c r="BK642" s="175">
        <f t="shared" si="238"/>
        <v>0</v>
      </c>
      <c r="BL642" s="174">
        <f t="shared" si="238"/>
        <v>0</v>
      </c>
      <c r="BM642" s="175">
        <f t="shared" si="238"/>
        <v>0</v>
      </c>
      <c r="BN642" s="174">
        <f t="shared" si="238"/>
        <v>0</v>
      </c>
      <c r="BO642" s="175">
        <f t="shared" si="238"/>
        <v>0</v>
      </c>
      <c r="BP642" s="174">
        <f t="shared" si="238"/>
        <v>0</v>
      </c>
      <c r="BQ642" s="175">
        <f t="shared" si="238"/>
        <v>0</v>
      </c>
      <c r="BR642" s="174">
        <f t="shared" ref="BR642:BW642" si="239">SUM(BR502:BR504)</f>
        <v>0</v>
      </c>
      <c r="BS642" s="175">
        <f t="shared" si="239"/>
        <v>0</v>
      </c>
      <c r="BT642" s="174">
        <f t="shared" si="239"/>
        <v>1863</v>
      </c>
      <c r="BU642" s="175">
        <f t="shared" si="239"/>
        <v>673</v>
      </c>
      <c r="BV642" s="174">
        <f t="shared" si="239"/>
        <v>1931</v>
      </c>
      <c r="BW642" s="175">
        <f t="shared" si="239"/>
        <v>595</v>
      </c>
    </row>
    <row r="643" spans="1:75" ht="13" x14ac:dyDescent="0.25">
      <c r="A643" s="196"/>
      <c r="B643" s="197" t="s">
        <v>664</v>
      </c>
      <c r="C643" s="176">
        <f>SUM(C559:C560)</f>
        <v>1939</v>
      </c>
      <c r="D643" s="176">
        <f>SUM(D559:D560)</f>
        <v>1552</v>
      </c>
      <c r="E643" s="145">
        <f t="shared" si="212"/>
        <v>0.8004125838060856</v>
      </c>
      <c r="F643" s="174">
        <f t="shared" ref="F643:AK643" si="240">SUM(F559:F560)</f>
        <v>780</v>
      </c>
      <c r="G643" s="175">
        <f t="shared" si="240"/>
        <v>691</v>
      </c>
      <c r="H643" s="174">
        <f t="shared" si="240"/>
        <v>0</v>
      </c>
      <c r="I643" s="175">
        <f t="shared" si="240"/>
        <v>0</v>
      </c>
      <c r="J643" s="174">
        <f t="shared" si="240"/>
        <v>0</v>
      </c>
      <c r="K643" s="175">
        <f t="shared" si="240"/>
        <v>0</v>
      </c>
      <c r="L643" s="174">
        <f t="shared" si="240"/>
        <v>0</v>
      </c>
      <c r="M643" s="175">
        <f t="shared" si="240"/>
        <v>0</v>
      </c>
      <c r="N643" s="174">
        <f t="shared" si="240"/>
        <v>0</v>
      </c>
      <c r="O643" s="175">
        <f t="shared" si="240"/>
        <v>0</v>
      </c>
      <c r="P643" s="174">
        <f t="shared" si="240"/>
        <v>0</v>
      </c>
      <c r="Q643" s="175">
        <f t="shared" si="240"/>
        <v>0</v>
      </c>
      <c r="R643" s="174">
        <f t="shared" si="240"/>
        <v>0</v>
      </c>
      <c r="S643" s="175">
        <f t="shared" si="240"/>
        <v>0</v>
      </c>
      <c r="T643" s="174">
        <f t="shared" si="240"/>
        <v>0</v>
      </c>
      <c r="U643" s="175">
        <f t="shared" si="240"/>
        <v>0</v>
      </c>
      <c r="V643" s="174">
        <f t="shared" si="240"/>
        <v>0</v>
      </c>
      <c r="W643" s="175">
        <f t="shared" si="240"/>
        <v>0</v>
      </c>
      <c r="X643" s="174">
        <f t="shared" si="240"/>
        <v>0</v>
      </c>
      <c r="Y643" s="175">
        <f t="shared" si="240"/>
        <v>0</v>
      </c>
      <c r="Z643" s="174">
        <f t="shared" si="240"/>
        <v>0</v>
      </c>
      <c r="AA643" s="175">
        <f t="shared" si="240"/>
        <v>0</v>
      </c>
      <c r="AB643" s="174">
        <f t="shared" si="240"/>
        <v>0</v>
      </c>
      <c r="AC643" s="175">
        <f t="shared" si="240"/>
        <v>0</v>
      </c>
      <c r="AD643" s="174">
        <f t="shared" si="240"/>
        <v>0</v>
      </c>
      <c r="AE643" s="175">
        <f t="shared" si="240"/>
        <v>0</v>
      </c>
      <c r="AF643" s="174">
        <f t="shared" si="240"/>
        <v>0</v>
      </c>
      <c r="AG643" s="175">
        <f t="shared" si="240"/>
        <v>0</v>
      </c>
      <c r="AH643" s="174">
        <f t="shared" si="240"/>
        <v>0</v>
      </c>
      <c r="AI643" s="175">
        <f t="shared" si="240"/>
        <v>0</v>
      </c>
      <c r="AJ643" s="174">
        <f t="shared" si="240"/>
        <v>0</v>
      </c>
      <c r="AK643" s="175">
        <f t="shared" si="240"/>
        <v>0</v>
      </c>
      <c r="AL643" s="174">
        <f t="shared" ref="AL643:BQ643" si="241">SUM(AL559:AL560)</f>
        <v>0</v>
      </c>
      <c r="AM643" s="175">
        <f t="shared" si="241"/>
        <v>0</v>
      </c>
      <c r="AN643" s="174">
        <f t="shared" si="241"/>
        <v>0</v>
      </c>
      <c r="AO643" s="175">
        <f t="shared" si="241"/>
        <v>0</v>
      </c>
      <c r="AP643" s="174">
        <f t="shared" si="241"/>
        <v>0</v>
      </c>
      <c r="AQ643" s="175">
        <f t="shared" si="241"/>
        <v>0</v>
      </c>
      <c r="AR643" s="174">
        <f t="shared" si="241"/>
        <v>0</v>
      </c>
      <c r="AS643" s="175">
        <f t="shared" si="241"/>
        <v>0</v>
      </c>
      <c r="AT643" s="174">
        <f t="shared" si="241"/>
        <v>0</v>
      </c>
      <c r="AU643" s="175">
        <f t="shared" si="241"/>
        <v>0</v>
      </c>
      <c r="AV643" s="174">
        <f t="shared" si="241"/>
        <v>0</v>
      </c>
      <c r="AW643" s="175">
        <f t="shared" si="241"/>
        <v>0</v>
      </c>
      <c r="AX643" s="174">
        <f t="shared" si="241"/>
        <v>0</v>
      </c>
      <c r="AY643" s="175">
        <f t="shared" si="241"/>
        <v>0</v>
      </c>
      <c r="AZ643" s="174">
        <f t="shared" si="241"/>
        <v>0</v>
      </c>
      <c r="BA643" s="175">
        <f t="shared" si="241"/>
        <v>0</v>
      </c>
      <c r="BB643" s="174">
        <f t="shared" si="241"/>
        <v>0</v>
      </c>
      <c r="BC643" s="175">
        <f t="shared" si="241"/>
        <v>0</v>
      </c>
      <c r="BD643" s="174">
        <f t="shared" si="241"/>
        <v>0</v>
      </c>
      <c r="BE643" s="175">
        <f t="shared" si="241"/>
        <v>0</v>
      </c>
      <c r="BF643" s="174">
        <f t="shared" si="241"/>
        <v>1053</v>
      </c>
      <c r="BG643" s="175">
        <f t="shared" si="241"/>
        <v>466</v>
      </c>
      <c r="BH643" s="174">
        <f t="shared" si="241"/>
        <v>0</v>
      </c>
      <c r="BI643" s="175">
        <f t="shared" si="241"/>
        <v>0</v>
      </c>
      <c r="BJ643" s="174">
        <f t="shared" si="241"/>
        <v>0</v>
      </c>
      <c r="BK643" s="175">
        <f t="shared" si="241"/>
        <v>0</v>
      </c>
      <c r="BL643" s="174">
        <f t="shared" si="241"/>
        <v>0</v>
      </c>
      <c r="BM643" s="175">
        <f t="shared" si="241"/>
        <v>0</v>
      </c>
      <c r="BN643" s="174">
        <f t="shared" si="241"/>
        <v>0</v>
      </c>
      <c r="BO643" s="175">
        <f t="shared" si="241"/>
        <v>0</v>
      </c>
      <c r="BP643" s="174">
        <f t="shared" si="241"/>
        <v>0</v>
      </c>
      <c r="BQ643" s="175">
        <f t="shared" si="241"/>
        <v>0</v>
      </c>
      <c r="BR643" s="174">
        <f t="shared" ref="BR643:BW643" si="242">SUM(BR559:BR560)</f>
        <v>0</v>
      </c>
      <c r="BS643" s="175">
        <f t="shared" si="242"/>
        <v>0</v>
      </c>
      <c r="BT643" s="174">
        <f t="shared" si="242"/>
        <v>1057</v>
      </c>
      <c r="BU643" s="175">
        <f t="shared" si="242"/>
        <v>419</v>
      </c>
      <c r="BV643" s="174">
        <f t="shared" si="242"/>
        <v>1071</v>
      </c>
      <c r="BW643" s="175">
        <f t="shared" si="242"/>
        <v>408</v>
      </c>
    </row>
    <row r="644" spans="1:75" ht="13" x14ac:dyDescent="0.25">
      <c r="A644" s="196"/>
      <c r="B644" s="197" t="s">
        <v>665</v>
      </c>
      <c r="C644" s="176">
        <f>SUM(C564:C565)</f>
        <v>2609</v>
      </c>
      <c r="D644" s="176">
        <f>SUM(D564:D565)</f>
        <v>1696</v>
      </c>
      <c r="E644" s="145">
        <f t="shared" si="212"/>
        <v>0.65005749329244922</v>
      </c>
      <c r="F644" s="174">
        <f t="shared" ref="F644:AK644" si="243">SUM(F564:F565)</f>
        <v>1230</v>
      </c>
      <c r="G644" s="175">
        <f t="shared" si="243"/>
        <v>371</v>
      </c>
      <c r="H644" s="174">
        <f t="shared" si="243"/>
        <v>0</v>
      </c>
      <c r="I644" s="175">
        <f t="shared" si="243"/>
        <v>0</v>
      </c>
      <c r="J644" s="174">
        <f t="shared" si="243"/>
        <v>0</v>
      </c>
      <c r="K644" s="175">
        <f t="shared" si="243"/>
        <v>0</v>
      </c>
      <c r="L644" s="174">
        <f t="shared" si="243"/>
        <v>0</v>
      </c>
      <c r="M644" s="175">
        <f t="shared" si="243"/>
        <v>0</v>
      </c>
      <c r="N644" s="174">
        <f t="shared" si="243"/>
        <v>0</v>
      </c>
      <c r="O644" s="175">
        <f t="shared" si="243"/>
        <v>0</v>
      </c>
      <c r="P644" s="174">
        <f t="shared" si="243"/>
        <v>0</v>
      </c>
      <c r="Q644" s="175">
        <f t="shared" si="243"/>
        <v>0</v>
      </c>
      <c r="R644" s="174">
        <f t="shared" si="243"/>
        <v>0</v>
      </c>
      <c r="S644" s="175">
        <f t="shared" si="243"/>
        <v>0</v>
      </c>
      <c r="T644" s="174">
        <f t="shared" si="243"/>
        <v>0</v>
      </c>
      <c r="U644" s="175">
        <f t="shared" si="243"/>
        <v>0</v>
      </c>
      <c r="V644" s="174">
        <f t="shared" si="243"/>
        <v>0</v>
      </c>
      <c r="W644" s="175">
        <f t="shared" si="243"/>
        <v>0</v>
      </c>
      <c r="X644" s="174">
        <f t="shared" si="243"/>
        <v>0</v>
      </c>
      <c r="Y644" s="175">
        <f t="shared" si="243"/>
        <v>0</v>
      </c>
      <c r="Z644" s="174">
        <f t="shared" si="243"/>
        <v>0</v>
      </c>
      <c r="AA644" s="175">
        <f t="shared" si="243"/>
        <v>0</v>
      </c>
      <c r="AB644" s="174">
        <f t="shared" si="243"/>
        <v>0</v>
      </c>
      <c r="AC644" s="175">
        <f t="shared" si="243"/>
        <v>0</v>
      </c>
      <c r="AD644" s="174">
        <f t="shared" si="243"/>
        <v>0</v>
      </c>
      <c r="AE644" s="175">
        <f t="shared" si="243"/>
        <v>0</v>
      </c>
      <c r="AF644" s="174">
        <f t="shared" si="243"/>
        <v>0</v>
      </c>
      <c r="AG644" s="175">
        <f t="shared" si="243"/>
        <v>0</v>
      </c>
      <c r="AH644" s="174">
        <f t="shared" si="243"/>
        <v>0</v>
      </c>
      <c r="AI644" s="175">
        <f t="shared" si="243"/>
        <v>0</v>
      </c>
      <c r="AJ644" s="174">
        <f t="shared" si="243"/>
        <v>0</v>
      </c>
      <c r="AK644" s="175">
        <f t="shared" si="243"/>
        <v>0</v>
      </c>
      <c r="AL644" s="174">
        <f t="shared" ref="AL644:BQ644" si="244">SUM(AL564:AL565)</f>
        <v>0</v>
      </c>
      <c r="AM644" s="175">
        <f t="shared" si="244"/>
        <v>0</v>
      </c>
      <c r="AN644" s="174">
        <f t="shared" si="244"/>
        <v>0</v>
      </c>
      <c r="AO644" s="175">
        <f t="shared" si="244"/>
        <v>0</v>
      </c>
      <c r="AP644" s="174">
        <f t="shared" si="244"/>
        <v>1144</v>
      </c>
      <c r="AQ644" s="175">
        <f t="shared" si="244"/>
        <v>473</v>
      </c>
      <c r="AR644" s="174">
        <f t="shared" si="244"/>
        <v>1094</v>
      </c>
      <c r="AS644" s="175">
        <f t="shared" si="244"/>
        <v>456</v>
      </c>
      <c r="AT644" s="174">
        <f t="shared" si="244"/>
        <v>0</v>
      </c>
      <c r="AU644" s="175">
        <f t="shared" si="244"/>
        <v>0</v>
      </c>
      <c r="AV644" s="174">
        <f t="shared" si="244"/>
        <v>0</v>
      </c>
      <c r="AW644" s="175">
        <f t="shared" si="244"/>
        <v>0</v>
      </c>
      <c r="AX644" s="174">
        <f t="shared" si="244"/>
        <v>0</v>
      </c>
      <c r="AY644" s="175">
        <f t="shared" si="244"/>
        <v>0</v>
      </c>
      <c r="AZ644" s="174">
        <f t="shared" si="244"/>
        <v>0</v>
      </c>
      <c r="BA644" s="175">
        <f t="shared" si="244"/>
        <v>0</v>
      </c>
      <c r="BB644" s="174">
        <f t="shared" si="244"/>
        <v>0</v>
      </c>
      <c r="BC644" s="175">
        <f t="shared" si="244"/>
        <v>0</v>
      </c>
      <c r="BD644" s="174">
        <f t="shared" si="244"/>
        <v>0</v>
      </c>
      <c r="BE644" s="175">
        <f t="shared" si="244"/>
        <v>0</v>
      </c>
      <c r="BF644" s="174">
        <f t="shared" si="244"/>
        <v>0</v>
      </c>
      <c r="BG644" s="175">
        <f t="shared" si="244"/>
        <v>0</v>
      </c>
      <c r="BH644" s="174">
        <f t="shared" si="244"/>
        <v>0</v>
      </c>
      <c r="BI644" s="175">
        <f t="shared" si="244"/>
        <v>0</v>
      </c>
      <c r="BJ644" s="174">
        <f t="shared" si="244"/>
        <v>0</v>
      </c>
      <c r="BK644" s="175">
        <f t="shared" si="244"/>
        <v>0</v>
      </c>
      <c r="BL644" s="174">
        <f t="shared" si="244"/>
        <v>976</v>
      </c>
      <c r="BM644" s="175">
        <f t="shared" si="244"/>
        <v>620</v>
      </c>
      <c r="BN644" s="174">
        <f t="shared" si="244"/>
        <v>0</v>
      </c>
      <c r="BO644" s="175">
        <f t="shared" si="244"/>
        <v>0</v>
      </c>
      <c r="BP644" s="174">
        <f t="shared" si="244"/>
        <v>0</v>
      </c>
      <c r="BQ644" s="175">
        <f t="shared" si="244"/>
        <v>0</v>
      </c>
      <c r="BR644" s="174">
        <f t="shared" ref="BR644:BW644" si="245">SUM(BR564:BR565)</f>
        <v>0</v>
      </c>
      <c r="BS644" s="175">
        <f t="shared" si="245"/>
        <v>0</v>
      </c>
      <c r="BT644" s="174">
        <f t="shared" si="245"/>
        <v>1138</v>
      </c>
      <c r="BU644" s="175">
        <f t="shared" si="245"/>
        <v>474</v>
      </c>
      <c r="BV644" s="174">
        <f t="shared" si="245"/>
        <v>1210</v>
      </c>
      <c r="BW644" s="175">
        <f t="shared" si="245"/>
        <v>410</v>
      </c>
    </row>
    <row r="645" spans="1:75" ht="13" x14ac:dyDescent="0.25">
      <c r="A645" s="196"/>
      <c r="B645" s="197" t="s">
        <v>666</v>
      </c>
      <c r="C645" s="90">
        <f>SUM(C4:C204)+SUM(C209:C212)+SUM(C233:C263)+SUM(C275:C295)+SUM(C297:C298)+SUM(C301)+SUM(C315:C351)+SUM(C390:C398)+SUM(C401:C424)+SUM(C427:C428)+SUM(C482:C483)+SUM(C496:C504)+SUM(C509)+SUM(C513)+SUM(C515:C516)+SUM(C533:C560)</f>
        <v>401369</v>
      </c>
      <c r="D645" s="90">
        <f>SUM(D4:D204)+SUM(D209:D212)+SUM(D233:D263)+SUM(D275:D295)+SUM(D297:D298)+SUM(D301)+SUM(D315:D351)+SUM(D390:D398)+SUM(D401:D424)+SUM(D427:D428)+SUM(D482:D483)+SUM(D496:D504)+SUM(D509)+SUM(D513)+SUM(D515:D516)+SUM(D533:D560)</f>
        <v>267937</v>
      </c>
      <c r="E645" s="145">
        <f t="shared" si="212"/>
        <v>0.66755778348601913</v>
      </c>
      <c r="F645" s="174">
        <f t="shared" ref="F645:AK645" si="246">SUM(F4:F204)+SUM(F209:F212)+SUM(F233:F263)+SUM(F275:F295)+SUM(F297:F298)+SUM(F301)+SUM(F315:F351)+SUM(F390:F398)+SUM(F401:F424)+SUM(F427:F428)+SUM(F482:F483)+SUM(F496:F504)+SUM(F509)+SUM(F513)+SUM(F515:F516)+SUM(F533:F560)</f>
        <v>154669</v>
      </c>
      <c r="G645" s="175">
        <f t="shared" si="246"/>
        <v>100736</v>
      </c>
      <c r="H645" s="174">
        <f t="shared" si="246"/>
        <v>0</v>
      </c>
      <c r="I645" s="175">
        <f t="shared" si="246"/>
        <v>0</v>
      </c>
      <c r="J645" s="174">
        <f t="shared" si="246"/>
        <v>723</v>
      </c>
      <c r="K645" s="175">
        <f t="shared" si="246"/>
        <v>146</v>
      </c>
      <c r="L645" s="174">
        <f t="shared" si="246"/>
        <v>680</v>
      </c>
      <c r="M645" s="175">
        <f t="shared" si="246"/>
        <v>143</v>
      </c>
      <c r="N645" s="174">
        <f t="shared" si="246"/>
        <v>895</v>
      </c>
      <c r="O645" s="175">
        <f t="shared" si="246"/>
        <v>188</v>
      </c>
      <c r="P645" s="174">
        <f t="shared" si="246"/>
        <v>292</v>
      </c>
      <c r="Q645" s="175">
        <f t="shared" si="246"/>
        <v>153</v>
      </c>
      <c r="R645" s="174">
        <f t="shared" si="246"/>
        <v>290</v>
      </c>
      <c r="S645" s="175">
        <f t="shared" si="246"/>
        <v>158</v>
      </c>
      <c r="T645" s="174">
        <f t="shared" si="246"/>
        <v>2925</v>
      </c>
      <c r="U645" s="175">
        <f t="shared" si="246"/>
        <v>840</v>
      </c>
      <c r="V645" s="174">
        <f t="shared" si="246"/>
        <v>9</v>
      </c>
      <c r="W645" s="175">
        <f t="shared" si="246"/>
        <v>10</v>
      </c>
      <c r="X645" s="174">
        <f t="shared" si="246"/>
        <v>658</v>
      </c>
      <c r="Y645" s="175">
        <f t="shared" si="246"/>
        <v>113</v>
      </c>
      <c r="Z645" s="174">
        <f t="shared" si="246"/>
        <v>0</v>
      </c>
      <c r="AA645" s="175">
        <f t="shared" si="246"/>
        <v>0</v>
      </c>
      <c r="AB645" s="174">
        <f t="shared" si="246"/>
        <v>0</v>
      </c>
      <c r="AC645" s="175">
        <f t="shared" si="246"/>
        <v>0</v>
      </c>
      <c r="AD645" s="174">
        <f t="shared" si="246"/>
        <v>0</v>
      </c>
      <c r="AE645" s="175">
        <f t="shared" si="246"/>
        <v>0</v>
      </c>
      <c r="AF645" s="174">
        <f t="shared" si="246"/>
        <v>884</v>
      </c>
      <c r="AG645" s="175">
        <f t="shared" si="246"/>
        <v>788</v>
      </c>
      <c r="AH645" s="174">
        <f t="shared" si="246"/>
        <v>0</v>
      </c>
      <c r="AI645" s="175">
        <f t="shared" si="246"/>
        <v>0</v>
      </c>
      <c r="AJ645" s="174">
        <f t="shared" si="246"/>
        <v>0</v>
      </c>
      <c r="AK645" s="175">
        <f t="shared" si="246"/>
        <v>0</v>
      </c>
      <c r="AL645" s="174">
        <f t="shared" ref="AL645:BQ645" si="247">SUM(AL4:AL204)+SUM(AL209:AL212)+SUM(AL233:AL263)+SUM(AL275:AL295)+SUM(AL297:AL298)+SUM(AL301)+SUM(AL315:AL351)+SUM(AL390:AL398)+SUM(AL401:AL424)+SUM(AL427:AL428)+SUM(AL482:AL483)+SUM(AL496:AL504)+SUM(AL509)+SUM(AL513)+SUM(AL515:AL516)+SUM(AL533:AL560)</f>
        <v>0</v>
      </c>
      <c r="AM645" s="175">
        <f t="shared" si="247"/>
        <v>0</v>
      </c>
      <c r="AN645" s="174">
        <f t="shared" si="247"/>
        <v>0</v>
      </c>
      <c r="AO645" s="175">
        <f t="shared" si="247"/>
        <v>0</v>
      </c>
      <c r="AP645" s="174">
        <f t="shared" si="247"/>
        <v>0</v>
      </c>
      <c r="AQ645" s="175">
        <f t="shared" si="247"/>
        <v>0</v>
      </c>
      <c r="AR645" s="174">
        <f t="shared" si="247"/>
        <v>0</v>
      </c>
      <c r="AS645" s="175">
        <f t="shared" si="247"/>
        <v>0</v>
      </c>
      <c r="AT645" s="174">
        <f t="shared" si="247"/>
        <v>13899</v>
      </c>
      <c r="AU645" s="175">
        <f t="shared" si="247"/>
        <v>13501</v>
      </c>
      <c r="AV645" s="174">
        <f t="shared" si="247"/>
        <v>0</v>
      </c>
      <c r="AW645" s="175">
        <f t="shared" si="247"/>
        <v>0</v>
      </c>
      <c r="AX645" s="174">
        <f t="shared" si="247"/>
        <v>0</v>
      </c>
      <c r="AY645" s="175">
        <f t="shared" si="247"/>
        <v>0</v>
      </c>
      <c r="AZ645" s="174">
        <f t="shared" si="247"/>
        <v>728</v>
      </c>
      <c r="BA645" s="175">
        <f t="shared" si="247"/>
        <v>624</v>
      </c>
      <c r="BB645" s="174">
        <f t="shared" si="247"/>
        <v>4618</v>
      </c>
      <c r="BC645" s="175">
        <f t="shared" si="247"/>
        <v>3864</v>
      </c>
      <c r="BD645" s="174">
        <f t="shared" si="247"/>
        <v>0</v>
      </c>
      <c r="BE645" s="175">
        <f t="shared" si="247"/>
        <v>0</v>
      </c>
      <c r="BF645" s="174">
        <f t="shared" si="247"/>
        <v>3308</v>
      </c>
      <c r="BG645" s="175">
        <f t="shared" si="247"/>
        <v>2006</v>
      </c>
      <c r="BH645" s="174">
        <f t="shared" si="247"/>
        <v>1</v>
      </c>
      <c r="BI645" s="175">
        <f t="shared" si="247"/>
        <v>6</v>
      </c>
      <c r="BJ645" s="174">
        <f t="shared" si="247"/>
        <v>0</v>
      </c>
      <c r="BK645" s="175">
        <f t="shared" si="247"/>
        <v>0</v>
      </c>
      <c r="BL645" s="174">
        <f t="shared" si="247"/>
        <v>2999</v>
      </c>
      <c r="BM645" s="175">
        <f t="shared" si="247"/>
        <v>4162</v>
      </c>
      <c r="BN645" s="174">
        <f t="shared" si="247"/>
        <v>0</v>
      </c>
      <c r="BO645" s="175">
        <f t="shared" si="247"/>
        <v>0</v>
      </c>
      <c r="BP645" s="174">
        <f t="shared" si="247"/>
        <v>13437</v>
      </c>
      <c r="BQ645" s="175">
        <f t="shared" si="247"/>
        <v>14024</v>
      </c>
      <c r="BR645" s="174">
        <f t="shared" ref="BR645:BW645" si="248">SUM(BR4:BR204)+SUM(BR209:BR212)+SUM(BR233:BR263)+SUM(BR275:BR295)+SUM(BR297:BR298)+SUM(BR301)+SUM(BR315:BR351)+SUM(BR390:BR398)+SUM(BR401:BR424)+SUM(BR427:BR428)+SUM(BR482:BR483)+SUM(BR496:BR504)+SUM(BR509)+SUM(BR513)+SUM(BR515:BR516)+SUM(BR533:BR560)</f>
        <v>1877</v>
      </c>
      <c r="BS645" s="175">
        <f t="shared" si="248"/>
        <v>508</v>
      </c>
      <c r="BT645" s="174">
        <f t="shared" si="248"/>
        <v>171395</v>
      </c>
      <c r="BU645" s="175">
        <f t="shared" si="248"/>
        <v>82659</v>
      </c>
      <c r="BV645" s="174">
        <f t="shared" si="248"/>
        <v>178444</v>
      </c>
      <c r="BW645" s="175">
        <f t="shared" si="248"/>
        <v>75729</v>
      </c>
    </row>
    <row r="646" spans="1:75" ht="13" x14ac:dyDescent="0.25">
      <c r="A646" s="196"/>
      <c r="B646" s="197" t="s">
        <v>667</v>
      </c>
      <c r="C646" s="90">
        <f>SUM(C205:C208)+SUM(C213:C232)+SUM(C264:C274)+SUM(C295:C300)+SUM(C302:C314)+SUM(C352:C389)+SUM(C399:C400)+SUM(C425:C426)+SUM(C429:C481)+SUM(C484:C495)+SUM(C505:C508)+SUM(C510:C512)+SUM(C514)+SUM(C517:C532)+SUM(C561:C565)</f>
        <v>206238</v>
      </c>
      <c r="D646" s="90">
        <f>SUM(D205:D208)+SUM(D213:D232)+SUM(D264:D274)+SUM(D295:D300)+SUM(D302:D314)+SUM(D352:D389)+SUM(D399:D400)+SUM(D425:D426)+SUM(D429:D481)+SUM(D484:D495)+SUM(D505:D508)+SUM(D510:D512)+SUM(D514)+SUM(D517:D532)+SUM(D561:D565)</f>
        <v>151010</v>
      </c>
      <c r="E646" s="145">
        <f t="shared" si="212"/>
        <v>0.73221229841251367</v>
      </c>
      <c r="F646" s="174">
        <f t="shared" ref="F646:AK646" si="249">SUM(F205:F208)+SUM(F213:F232)+SUM(F264:F274)+SUM(F295:F300)+SUM(F302:F314)+SUM(F352:F389)+SUM(F399:F400)+SUM(F425:F426)+SUM(F429:F481)+SUM(F484:F495)+SUM(F505:F508)+SUM(F510:F512)+SUM(F514)+SUM(F517:F532)+SUM(F561:F565)</f>
        <v>67154</v>
      </c>
      <c r="G646" s="175">
        <f t="shared" si="249"/>
        <v>76236</v>
      </c>
      <c r="H646" s="174">
        <f t="shared" si="249"/>
        <v>1817</v>
      </c>
      <c r="I646" s="175">
        <f t="shared" si="249"/>
        <v>1803</v>
      </c>
      <c r="J646" s="174">
        <f t="shared" si="249"/>
        <v>0</v>
      </c>
      <c r="K646" s="175">
        <f t="shared" si="249"/>
        <v>0</v>
      </c>
      <c r="L646" s="174">
        <f t="shared" si="249"/>
        <v>0</v>
      </c>
      <c r="M646" s="175">
        <f t="shared" si="249"/>
        <v>0</v>
      </c>
      <c r="N646" s="174">
        <f t="shared" si="249"/>
        <v>0</v>
      </c>
      <c r="O646" s="175">
        <f t="shared" si="249"/>
        <v>0</v>
      </c>
      <c r="P646" s="174">
        <f t="shared" si="249"/>
        <v>0</v>
      </c>
      <c r="Q646" s="175">
        <f t="shared" si="249"/>
        <v>0</v>
      </c>
      <c r="R646" s="174">
        <f t="shared" si="249"/>
        <v>0</v>
      </c>
      <c r="S646" s="175">
        <f t="shared" si="249"/>
        <v>0</v>
      </c>
      <c r="T646" s="174">
        <f t="shared" si="249"/>
        <v>0</v>
      </c>
      <c r="U646" s="175">
        <f t="shared" si="249"/>
        <v>0</v>
      </c>
      <c r="V646" s="174">
        <f t="shared" si="249"/>
        <v>0</v>
      </c>
      <c r="W646" s="175">
        <f t="shared" si="249"/>
        <v>0</v>
      </c>
      <c r="X646" s="174">
        <f t="shared" si="249"/>
        <v>0</v>
      </c>
      <c r="Y646" s="175">
        <f t="shared" si="249"/>
        <v>0</v>
      </c>
      <c r="Z646" s="174">
        <f t="shared" si="249"/>
        <v>442</v>
      </c>
      <c r="AA646" s="175">
        <f t="shared" si="249"/>
        <v>131</v>
      </c>
      <c r="AB646" s="174">
        <f t="shared" si="249"/>
        <v>172</v>
      </c>
      <c r="AC646" s="175">
        <f t="shared" si="249"/>
        <v>123</v>
      </c>
      <c r="AD646" s="174">
        <f t="shared" si="249"/>
        <v>1157</v>
      </c>
      <c r="AE646" s="175">
        <f t="shared" si="249"/>
        <v>495</v>
      </c>
      <c r="AF646" s="174">
        <f t="shared" si="249"/>
        <v>0</v>
      </c>
      <c r="AG646" s="175">
        <f t="shared" si="249"/>
        <v>0</v>
      </c>
      <c r="AH646" s="174">
        <f t="shared" si="249"/>
        <v>1245</v>
      </c>
      <c r="AI646" s="175">
        <f t="shared" si="249"/>
        <v>646</v>
      </c>
      <c r="AJ646" s="174">
        <f t="shared" si="249"/>
        <v>1286</v>
      </c>
      <c r="AK646" s="175">
        <f t="shared" si="249"/>
        <v>601</v>
      </c>
      <c r="AL646" s="174">
        <f t="shared" ref="AL646:BQ646" si="250">SUM(AL205:AL208)+SUM(AL213:AL232)+SUM(AL264:AL274)+SUM(AL295:AL300)+SUM(AL302:AL314)+SUM(AL352:AL389)+SUM(AL399:AL400)+SUM(AL425:AL426)+SUM(AL429:AL481)+SUM(AL484:AL495)+SUM(AL505:AL508)+SUM(AL510:AL512)+SUM(AL514)+SUM(AL517:AL532)+SUM(AL561:AL565)</f>
        <v>401</v>
      </c>
      <c r="AM646" s="175">
        <f t="shared" si="250"/>
        <v>194</v>
      </c>
      <c r="AN646" s="174">
        <f t="shared" si="250"/>
        <v>269</v>
      </c>
      <c r="AO646" s="175">
        <f t="shared" si="250"/>
        <v>316</v>
      </c>
      <c r="AP646" s="174">
        <f t="shared" si="250"/>
        <v>1144</v>
      </c>
      <c r="AQ646" s="175">
        <f t="shared" si="250"/>
        <v>473</v>
      </c>
      <c r="AR646" s="174">
        <f t="shared" si="250"/>
        <v>1094</v>
      </c>
      <c r="AS646" s="175">
        <f t="shared" si="250"/>
        <v>456</v>
      </c>
      <c r="AT646" s="174">
        <f t="shared" si="250"/>
        <v>0</v>
      </c>
      <c r="AU646" s="175">
        <f t="shared" si="250"/>
        <v>0</v>
      </c>
      <c r="AV646" s="174">
        <f t="shared" si="250"/>
        <v>3263</v>
      </c>
      <c r="AW646" s="175">
        <f t="shared" si="250"/>
        <v>3805</v>
      </c>
      <c r="AX646" s="174">
        <f t="shared" si="250"/>
        <v>4306</v>
      </c>
      <c r="AY646" s="175">
        <f t="shared" si="250"/>
        <v>2740</v>
      </c>
      <c r="AZ646" s="174">
        <f t="shared" si="250"/>
        <v>9609</v>
      </c>
      <c r="BA646" s="175">
        <f t="shared" si="250"/>
        <v>7513</v>
      </c>
      <c r="BB646" s="174">
        <f t="shared" si="250"/>
        <v>0</v>
      </c>
      <c r="BC646" s="175">
        <f t="shared" si="250"/>
        <v>0</v>
      </c>
      <c r="BD646" s="174">
        <f t="shared" si="250"/>
        <v>966</v>
      </c>
      <c r="BE646" s="175">
        <f t="shared" si="250"/>
        <v>1622</v>
      </c>
      <c r="BF646" s="174">
        <f t="shared" si="250"/>
        <v>0</v>
      </c>
      <c r="BG646" s="175">
        <f t="shared" si="250"/>
        <v>0</v>
      </c>
      <c r="BH646" s="174">
        <f t="shared" si="250"/>
        <v>0</v>
      </c>
      <c r="BI646" s="175">
        <f t="shared" si="250"/>
        <v>0</v>
      </c>
      <c r="BJ646" s="174">
        <f t="shared" si="250"/>
        <v>4597</v>
      </c>
      <c r="BK646" s="175">
        <f t="shared" si="250"/>
        <v>5699</v>
      </c>
      <c r="BL646" s="174">
        <f t="shared" si="250"/>
        <v>7035</v>
      </c>
      <c r="BM646" s="175">
        <f t="shared" si="250"/>
        <v>6544</v>
      </c>
      <c r="BN646" s="174">
        <f t="shared" si="250"/>
        <v>3854</v>
      </c>
      <c r="BO646" s="175">
        <f t="shared" si="250"/>
        <v>1742</v>
      </c>
      <c r="BP646" s="174">
        <f t="shared" si="250"/>
        <v>0</v>
      </c>
      <c r="BQ646" s="175">
        <f t="shared" si="250"/>
        <v>0</v>
      </c>
      <c r="BR646" s="174">
        <f t="shared" ref="BR646:BW646" si="251">SUM(BR205:BR208)+SUM(BR213:BR232)+SUM(BR264:BR274)+SUM(BR295:BR300)+SUM(BR302:BR314)+SUM(BR352:BR389)+SUM(BR399:BR400)+SUM(BR425:BR426)+SUM(BR429:BR481)+SUM(BR484:BR495)+SUM(BR505:BR508)+SUM(BR510:BR512)+SUM(BR514)+SUM(BR517:BR532)+SUM(BR561:BR565)</f>
        <v>0</v>
      </c>
      <c r="BS646" s="175">
        <f t="shared" si="251"/>
        <v>0</v>
      </c>
      <c r="BT646" s="174">
        <f t="shared" si="251"/>
        <v>79763</v>
      </c>
      <c r="BU646" s="175">
        <f t="shared" si="251"/>
        <v>63204</v>
      </c>
      <c r="BV646" s="174">
        <f t="shared" si="251"/>
        <v>85362</v>
      </c>
      <c r="BW646" s="175">
        <f t="shared" si="251"/>
        <v>57862</v>
      </c>
    </row>
    <row r="647" spans="1:75" ht="13" x14ac:dyDescent="0.25">
      <c r="A647" s="196"/>
      <c r="B647" s="197" t="s">
        <v>668</v>
      </c>
      <c r="C647" s="90">
        <f>SUM(C194:C204)+SUM(C209:C225)+SUM(C239:C245)+SUM(C255:C263)+SUM(C295:C309)+SUM(C421:C423)+SUM(C508)+SUM(C524)+SUM(C531)+SUM(C534:C546)+SUM(C548:C558)</f>
        <v>89015</v>
      </c>
      <c r="D647" s="90">
        <f>SUM(D194:D204)+SUM(D209:D225)+SUM(D239:D245)+SUM(D255:D263)+SUM(D295:D309)+SUM(D421:D423)+SUM(D508)+SUM(D524)+SUM(D531)+SUM(D534:D546)+SUM(D548:D558)</f>
        <v>67019</v>
      </c>
      <c r="E647" s="145">
        <f t="shared" si="212"/>
        <v>0.75289557939673091</v>
      </c>
      <c r="F647" s="174">
        <f t="shared" ref="F647:AK647" si="252">SUM(F194:F204)+SUM(F209:F225)+SUM(F239:F245)+SUM(F255:F263)+SUM(F295:F309)+SUM(F421:F423)+SUM(F508)+SUM(F524)+SUM(F531)+SUM(F534:F546)+SUM(F548:F558)</f>
        <v>35313</v>
      </c>
      <c r="G647" s="175">
        <f t="shared" si="252"/>
        <v>28610</v>
      </c>
      <c r="H647" s="174">
        <f t="shared" si="252"/>
        <v>0</v>
      </c>
      <c r="I647" s="175">
        <f t="shared" si="252"/>
        <v>0</v>
      </c>
      <c r="J647" s="174">
        <f t="shared" si="252"/>
        <v>0</v>
      </c>
      <c r="K647" s="175">
        <f t="shared" si="252"/>
        <v>0</v>
      </c>
      <c r="L647" s="174">
        <f t="shared" si="252"/>
        <v>0</v>
      </c>
      <c r="M647" s="175">
        <f t="shared" si="252"/>
        <v>0</v>
      </c>
      <c r="N647" s="174">
        <f t="shared" si="252"/>
        <v>0</v>
      </c>
      <c r="O647" s="175">
        <f t="shared" si="252"/>
        <v>0</v>
      </c>
      <c r="P647" s="174">
        <f t="shared" si="252"/>
        <v>0</v>
      </c>
      <c r="Q647" s="175">
        <f t="shared" si="252"/>
        <v>0</v>
      </c>
      <c r="R647" s="174">
        <f t="shared" si="252"/>
        <v>0</v>
      </c>
      <c r="S647" s="175">
        <f t="shared" si="252"/>
        <v>0</v>
      </c>
      <c r="T647" s="174">
        <f t="shared" si="252"/>
        <v>0</v>
      </c>
      <c r="U647" s="175">
        <f t="shared" si="252"/>
        <v>0</v>
      </c>
      <c r="V647" s="174">
        <f t="shared" si="252"/>
        <v>0</v>
      </c>
      <c r="W647" s="175">
        <f t="shared" si="252"/>
        <v>0</v>
      </c>
      <c r="X647" s="174">
        <f t="shared" si="252"/>
        <v>0</v>
      </c>
      <c r="Y647" s="175">
        <f t="shared" si="252"/>
        <v>0</v>
      </c>
      <c r="Z647" s="174">
        <f t="shared" si="252"/>
        <v>442</v>
      </c>
      <c r="AA647" s="175">
        <f t="shared" si="252"/>
        <v>131</v>
      </c>
      <c r="AB647" s="174">
        <f t="shared" si="252"/>
        <v>0</v>
      </c>
      <c r="AC647" s="175">
        <f t="shared" si="252"/>
        <v>0</v>
      </c>
      <c r="AD647" s="174">
        <f t="shared" si="252"/>
        <v>0</v>
      </c>
      <c r="AE647" s="175">
        <f t="shared" si="252"/>
        <v>0</v>
      </c>
      <c r="AF647" s="174">
        <f t="shared" si="252"/>
        <v>0</v>
      </c>
      <c r="AG647" s="175">
        <f t="shared" si="252"/>
        <v>0</v>
      </c>
      <c r="AH647" s="174">
        <f t="shared" si="252"/>
        <v>0</v>
      </c>
      <c r="AI647" s="175">
        <f t="shared" si="252"/>
        <v>0</v>
      </c>
      <c r="AJ647" s="174">
        <f t="shared" si="252"/>
        <v>0</v>
      </c>
      <c r="AK647" s="175">
        <f t="shared" si="252"/>
        <v>0</v>
      </c>
      <c r="AL647" s="174">
        <f t="shared" ref="AL647:BQ647" si="253">SUM(AL194:AL204)+SUM(AL209:AL225)+SUM(AL239:AL245)+SUM(AL255:AL263)+SUM(AL295:AL309)+SUM(AL421:AL423)+SUM(AL508)+SUM(AL524)+SUM(AL531)+SUM(AL534:AL546)+SUM(AL548:AL558)</f>
        <v>0</v>
      </c>
      <c r="AM647" s="175">
        <f t="shared" si="253"/>
        <v>0</v>
      </c>
      <c r="AN647" s="174">
        <f t="shared" si="253"/>
        <v>0</v>
      </c>
      <c r="AO647" s="175">
        <f t="shared" si="253"/>
        <v>0</v>
      </c>
      <c r="AP647" s="174">
        <f t="shared" si="253"/>
        <v>0</v>
      </c>
      <c r="AQ647" s="175">
        <f t="shared" si="253"/>
        <v>0</v>
      </c>
      <c r="AR647" s="174">
        <f t="shared" si="253"/>
        <v>0</v>
      </c>
      <c r="AS647" s="175">
        <f t="shared" si="253"/>
        <v>0</v>
      </c>
      <c r="AT647" s="174">
        <f t="shared" si="253"/>
        <v>0</v>
      </c>
      <c r="AU647" s="175">
        <f t="shared" si="253"/>
        <v>0</v>
      </c>
      <c r="AV647" s="174">
        <f t="shared" si="253"/>
        <v>0</v>
      </c>
      <c r="AW647" s="175">
        <f t="shared" si="253"/>
        <v>0</v>
      </c>
      <c r="AX647" s="174">
        <f t="shared" si="253"/>
        <v>0</v>
      </c>
      <c r="AY647" s="175">
        <f t="shared" si="253"/>
        <v>0</v>
      </c>
      <c r="AZ647" s="174">
        <f t="shared" si="253"/>
        <v>1199</v>
      </c>
      <c r="BA647" s="175">
        <f t="shared" si="253"/>
        <v>1149</v>
      </c>
      <c r="BB647" s="174">
        <f t="shared" si="253"/>
        <v>4503</v>
      </c>
      <c r="BC647" s="175">
        <f t="shared" si="253"/>
        <v>3735</v>
      </c>
      <c r="BD647" s="174">
        <f t="shared" si="253"/>
        <v>0</v>
      </c>
      <c r="BE647" s="175">
        <f t="shared" si="253"/>
        <v>0</v>
      </c>
      <c r="BF647" s="174">
        <f t="shared" si="253"/>
        <v>0</v>
      </c>
      <c r="BG647" s="175">
        <f t="shared" si="253"/>
        <v>0</v>
      </c>
      <c r="BH647" s="174">
        <f t="shared" si="253"/>
        <v>0</v>
      </c>
      <c r="BI647" s="175">
        <f t="shared" si="253"/>
        <v>0</v>
      </c>
      <c r="BJ647" s="174">
        <f t="shared" si="253"/>
        <v>0</v>
      </c>
      <c r="BK647" s="175">
        <f t="shared" si="253"/>
        <v>0</v>
      </c>
      <c r="BL647" s="174">
        <f t="shared" si="253"/>
        <v>6408</v>
      </c>
      <c r="BM647" s="175">
        <f t="shared" si="253"/>
        <v>7490</v>
      </c>
      <c r="BN647" s="174">
        <f t="shared" si="253"/>
        <v>0</v>
      </c>
      <c r="BO647" s="175">
        <f t="shared" si="253"/>
        <v>0</v>
      </c>
      <c r="BP647" s="174">
        <f t="shared" si="253"/>
        <v>0</v>
      </c>
      <c r="BQ647" s="175">
        <f t="shared" si="253"/>
        <v>0</v>
      </c>
      <c r="BR647" s="174">
        <f t="shared" ref="BR647:BW647" si="254">SUM(BR194:BR204)+SUM(BR209:BR225)+SUM(BR239:BR245)+SUM(BR255:BR263)+SUM(BR295:BR309)+SUM(BR421:BR423)+SUM(BR508)+SUM(BR524)+SUM(BR531)+SUM(BR534:BR546)+SUM(BR548:BR558)</f>
        <v>0</v>
      </c>
      <c r="BS647" s="175">
        <f t="shared" si="254"/>
        <v>0</v>
      </c>
      <c r="BT647" s="174">
        <f t="shared" si="254"/>
        <v>40968</v>
      </c>
      <c r="BU647" s="175">
        <f t="shared" si="254"/>
        <v>22561</v>
      </c>
      <c r="BV647" s="174">
        <f t="shared" si="254"/>
        <v>42432</v>
      </c>
      <c r="BW647" s="175">
        <f t="shared" si="254"/>
        <v>21227</v>
      </c>
    </row>
    <row r="648" spans="1:75" ht="13" x14ac:dyDescent="0.25">
      <c r="A648" s="196"/>
      <c r="B648" s="197" t="s">
        <v>669</v>
      </c>
      <c r="C648" s="29">
        <f>SUM(C205:C208)+SUM(C226:C238)+SUM(C246:C254)+SUM(C264:C274)+SUM(C287:C294)+SUM(C310:C350)+SUM(C352:C390)+SUM(C392:C394)+SUM(C397)+SUM(C399:C419)+SUM(C425:C426)+SUM(C429:C481)+SUM(C484:C497)+SUM(C502:C507)+SUM(C509:C512)+SUM(C514:C515)+SUM(C517:C523)+SUM(C525:C530)+SUM(C532:C533)+SUM(C547)+SUM(C559:C565)</f>
        <v>267492</v>
      </c>
      <c r="D648" s="29">
        <f>SUM(D205:D208)+SUM(D226:D238)+SUM(D246:D254)+SUM(D264:D274)+SUM(D287:D294)+SUM(D310:D350)+SUM(D352:D390)+SUM(D392:D394)+SUM(D397)+SUM(D399:D419)+SUM(D425:D426)+SUM(D429:D481)+SUM(D484:D497)+SUM(D502:D507)+SUM(D509:D512)+SUM(D514:D515)+SUM(D517:D523)+SUM(D525:D530)+SUM(D532:D533)+SUM(D547)+SUM(D559:D565)</f>
        <v>201738</v>
      </c>
      <c r="E648" s="145">
        <f t="shared" si="212"/>
        <v>0.75418330267821099</v>
      </c>
      <c r="F648" s="174">
        <f t="shared" ref="F648:AK648" si="255">SUM(F205:F208)+SUM(F226:F238)+SUM(F246:F254)+SUM(F264:F274)+SUM(F287:F294)+SUM(F310:F350)+SUM(F352:F390)+SUM(F392:F394)+SUM(F397)+SUM(F399:F419)+SUM(F425:F426)+SUM(F429:F481)+SUM(F484:F497)+SUM(F502:F507)+SUM(F509:F512)+SUM(F514:F515)+SUM(F517:F523)+SUM(F525:F530)+SUM(F532:F533)+SUM(F547)+SUM(F559:F565)</f>
        <v>86586</v>
      </c>
      <c r="G648" s="175">
        <f t="shared" si="255"/>
        <v>105334</v>
      </c>
      <c r="H648" s="174">
        <f t="shared" si="255"/>
        <v>1817</v>
      </c>
      <c r="I648" s="175">
        <f t="shared" si="255"/>
        <v>1803</v>
      </c>
      <c r="J648" s="174">
        <f t="shared" si="255"/>
        <v>0</v>
      </c>
      <c r="K648" s="175">
        <f t="shared" si="255"/>
        <v>0</v>
      </c>
      <c r="L648" s="174">
        <f t="shared" si="255"/>
        <v>0</v>
      </c>
      <c r="M648" s="175">
        <f t="shared" si="255"/>
        <v>0</v>
      </c>
      <c r="N648" s="174">
        <f t="shared" si="255"/>
        <v>0</v>
      </c>
      <c r="O648" s="175">
        <f t="shared" si="255"/>
        <v>0</v>
      </c>
      <c r="P648" s="174">
        <f t="shared" si="255"/>
        <v>0</v>
      </c>
      <c r="Q648" s="175">
        <f t="shared" si="255"/>
        <v>0</v>
      </c>
      <c r="R648" s="174">
        <f t="shared" si="255"/>
        <v>0</v>
      </c>
      <c r="S648" s="175">
        <f t="shared" si="255"/>
        <v>0</v>
      </c>
      <c r="T648" s="174">
        <f t="shared" si="255"/>
        <v>2925</v>
      </c>
      <c r="U648" s="175">
        <f t="shared" si="255"/>
        <v>840</v>
      </c>
      <c r="V648" s="174">
        <f t="shared" si="255"/>
        <v>9</v>
      </c>
      <c r="W648" s="175">
        <f t="shared" si="255"/>
        <v>10</v>
      </c>
      <c r="X648" s="174">
        <f t="shared" si="255"/>
        <v>0</v>
      </c>
      <c r="Y648" s="175">
        <f t="shared" si="255"/>
        <v>0</v>
      </c>
      <c r="Z648" s="174">
        <f t="shared" si="255"/>
        <v>0</v>
      </c>
      <c r="AA648" s="175">
        <f t="shared" si="255"/>
        <v>0</v>
      </c>
      <c r="AB648" s="174">
        <f t="shared" si="255"/>
        <v>172</v>
      </c>
      <c r="AC648" s="175">
        <f t="shared" si="255"/>
        <v>123</v>
      </c>
      <c r="AD648" s="174">
        <f t="shared" si="255"/>
        <v>1157</v>
      </c>
      <c r="AE648" s="175">
        <f t="shared" si="255"/>
        <v>495</v>
      </c>
      <c r="AF648" s="174">
        <f t="shared" si="255"/>
        <v>0</v>
      </c>
      <c r="AG648" s="175">
        <f t="shared" si="255"/>
        <v>0</v>
      </c>
      <c r="AH648" s="174">
        <f t="shared" si="255"/>
        <v>1245</v>
      </c>
      <c r="AI648" s="175">
        <f t="shared" si="255"/>
        <v>646</v>
      </c>
      <c r="AJ648" s="174">
        <f t="shared" si="255"/>
        <v>1286</v>
      </c>
      <c r="AK648" s="175">
        <f t="shared" si="255"/>
        <v>601</v>
      </c>
      <c r="AL648" s="174">
        <f t="shared" ref="AL648:BQ648" si="256">SUM(AL205:AL208)+SUM(AL226:AL238)+SUM(AL246:AL254)+SUM(AL264:AL274)+SUM(AL287:AL294)+SUM(AL310:AL350)+SUM(AL352:AL390)+SUM(AL392:AL394)+SUM(AL397)+SUM(AL399:AL419)+SUM(AL425:AL426)+SUM(AL429:AL481)+SUM(AL484:AL497)+SUM(AL502:AL507)+SUM(AL509:AL512)+SUM(AL514:AL515)+SUM(AL517:AL523)+SUM(AL525:AL530)+SUM(AL532:AL533)+SUM(AL547)+SUM(AL559:AL565)</f>
        <v>401</v>
      </c>
      <c r="AM648" s="175">
        <f t="shared" si="256"/>
        <v>194</v>
      </c>
      <c r="AN648" s="174">
        <f t="shared" si="256"/>
        <v>269</v>
      </c>
      <c r="AO648" s="175">
        <f t="shared" si="256"/>
        <v>316</v>
      </c>
      <c r="AP648" s="174">
        <f t="shared" si="256"/>
        <v>1144</v>
      </c>
      <c r="AQ648" s="175">
        <f t="shared" si="256"/>
        <v>473</v>
      </c>
      <c r="AR648" s="174">
        <f t="shared" si="256"/>
        <v>1094</v>
      </c>
      <c r="AS648" s="175">
        <f t="shared" si="256"/>
        <v>456</v>
      </c>
      <c r="AT648" s="174">
        <f t="shared" si="256"/>
        <v>13899</v>
      </c>
      <c r="AU648" s="175">
        <f t="shared" si="256"/>
        <v>13501</v>
      </c>
      <c r="AV648" s="174">
        <f t="shared" si="256"/>
        <v>3263</v>
      </c>
      <c r="AW648" s="175">
        <f t="shared" si="256"/>
        <v>3805</v>
      </c>
      <c r="AX648" s="174">
        <f t="shared" si="256"/>
        <v>4306</v>
      </c>
      <c r="AY648" s="175">
        <f t="shared" si="256"/>
        <v>2740</v>
      </c>
      <c r="AZ648" s="174">
        <f t="shared" si="256"/>
        <v>8863</v>
      </c>
      <c r="BA648" s="175">
        <f t="shared" si="256"/>
        <v>6778</v>
      </c>
      <c r="BB648" s="174">
        <f t="shared" si="256"/>
        <v>115</v>
      </c>
      <c r="BC648" s="175">
        <f t="shared" si="256"/>
        <v>129</v>
      </c>
      <c r="BD648" s="174">
        <f t="shared" si="256"/>
        <v>966</v>
      </c>
      <c r="BE648" s="175">
        <f t="shared" si="256"/>
        <v>1622</v>
      </c>
      <c r="BF648" s="174">
        <f t="shared" si="256"/>
        <v>1058</v>
      </c>
      <c r="BG648" s="175">
        <f t="shared" si="256"/>
        <v>468</v>
      </c>
      <c r="BH648" s="174">
        <f t="shared" si="256"/>
        <v>1</v>
      </c>
      <c r="BI648" s="175">
        <f t="shared" si="256"/>
        <v>6</v>
      </c>
      <c r="BJ648" s="174">
        <f t="shared" si="256"/>
        <v>4597</v>
      </c>
      <c r="BK648" s="175">
        <f t="shared" si="256"/>
        <v>5699</v>
      </c>
      <c r="BL648" s="174">
        <f t="shared" si="256"/>
        <v>2615</v>
      </c>
      <c r="BM648" s="175">
        <f t="shared" si="256"/>
        <v>1965</v>
      </c>
      <c r="BN648" s="174">
        <f t="shared" si="256"/>
        <v>3854</v>
      </c>
      <c r="BO648" s="175">
        <f t="shared" si="256"/>
        <v>1742</v>
      </c>
      <c r="BP648" s="174">
        <f t="shared" si="256"/>
        <v>13437</v>
      </c>
      <c r="BQ648" s="175">
        <f t="shared" si="256"/>
        <v>14024</v>
      </c>
      <c r="BR648" s="174">
        <f t="shared" ref="BR648:BW648" si="257">SUM(BR205:BR208)+SUM(BR226:BR238)+SUM(BR246:BR254)+SUM(BR264:BR274)+SUM(BR287:BR294)+SUM(BR310:BR350)+SUM(BR352:BR390)+SUM(BR392:BR394)+SUM(BR397)+SUM(BR399:BR419)+SUM(BR425:BR426)+SUM(BR429:BR481)+SUM(BR484:BR497)+SUM(BR502:BR507)+SUM(BR509:BR512)+SUM(BR514:BR515)+SUM(BR517:BR523)+SUM(BR525:BR530)+SUM(BR532:BR533)+SUM(BR547)+SUM(BR559:BR565)</f>
        <v>826</v>
      </c>
      <c r="BS648" s="175">
        <f t="shared" si="257"/>
        <v>209</v>
      </c>
      <c r="BT648" s="174">
        <f t="shared" si="257"/>
        <v>106087</v>
      </c>
      <c r="BU648" s="175">
        <f t="shared" si="257"/>
        <v>85030</v>
      </c>
      <c r="BV648" s="174">
        <f t="shared" si="257"/>
        <v>113305</v>
      </c>
      <c r="BW648" s="175">
        <f t="shared" si="257"/>
        <v>78088</v>
      </c>
    </row>
    <row r="649" spans="1:75" ht="13" x14ac:dyDescent="0.25">
      <c r="A649" s="196"/>
      <c r="B649" s="197" t="s">
        <v>670</v>
      </c>
      <c r="C649" s="29">
        <f>SUM(C4:C193)+SUM(C275:C286)+SUM(C351)+SUM(C391)+SUM(C395:C396)+SUM(C398)+SUM(C420)+SUM(C424)+SUM(C427:C428)+SUM(C482:C483)+SUM(C498:C501)+SUM(C513)+SUM(C516)</f>
        <v>247692</v>
      </c>
      <c r="D649" s="29">
        <f>SUM(D4:D193)+SUM(D275:D286)+SUM(D351)+SUM(D391)+SUM(D395:D396)+SUM(D398)+SUM(D420)+SUM(D424)+SUM(D427:D428)+SUM(D482:D483)+SUM(D498:D501)+SUM(D513)+SUM(D516)</f>
        <v>147791</v>
      </c>
      <c r="E649" s="145">
        <f t="shared" si="212"/>
        <v>0.59667248033848486</v>
      </c>
      <c r="F649" s="174">
        <f t="shared" ref="F649:AK649" si="258">SUM(F4:F193)+SUM(F275:F286)+SUM(F351)+SUM(F391)+SUM(F395:F396)+SUM(F398)+SUM(F420)+SUM(F424)+SUM(F427:F428)+SUM(F482:F483)+SUM(F498:F501)+SUM(F513)+SUM(F516)</f>
        <v>98727</v>
      </c>
      <c r="G649" s="175">
        <f t="shared" si="258"/>
        <v>41936</v>
      </c>
      <c r="H649" s="174">
        <f t="shared" si="258"/>
        <v>0</v>
      </c>
      <c r="I649" s="175">
        <f t="shared" si="258"/>
        <v>0</v>
      </c>
      <c r="J649" s="174">
        <f t="shared" si="258"/>
        <v>723</v>
      </c>
      <c r="K649" s="175">
        <f t="shared" si="258"/>
        <v>146</v>
      </c>
      <c r="L649" s="174">
        <f t="shared" si="258"/>
        <v>680</v>
      </c>
      <c r="M649" s="175">
        <f t="shared" si="258"/>
        <v>143</v>
      </c>
      <c r="N649" s="174">
        <f t="shared" si="258"/>
        <v>895</v>
      </c>
      <c r="O649" s="175">
        <f t="shared" si="258"/>
        <v>188</v>
      </c>
      <c r="P649" s="174">
        <f t="shared" si="258"/>
        <v>292</v>
      </c>
      <c r="Q649" s="175">
        <f t="shared" si="258"/>
        <v>153</v>
      </c>
      <c r="R649" s="174">
        <f t="shared" si="258"/>
        <v>290</v>
      </c>
      <c r="S649" s="175">
        <f t="shared" si="258"/>
        <v>158</v>
      </c>
      <c r="T649" s="174">
        <f t="shared" si="258"/>
        <v>0</v>
      </c>
      <c r="U649" s="175">
        <f t="shared" si="258"/>
        <v>0</v>
      </c>
      <c r="V649" s="174">
        <f t="shared" si="258"/>
        <v>0</v>
      </c>
      <c r="W649" s="175">
        <f t="shared" si="258"/>
        <v>0</v>
      </c>
      <c r="X649" s="174">
        <f t="shared" si="258"/>
        <v>658</v>
      </c>
      <c r="Y649" s="175">
        <f t="shared" si="258"/>
        <v>113</v>
      </c>
      <c r="Z649" s="174">
        <f t="shared" si="258"/>
        <v>0</v>
      </c>
      <c r="AA649" s="175">
        <f t="shared" si="258"/>
        <v>0</v>
      </c>
      <c r="AB649" s="174">
        <f t="shared" si="258"/>
        <v>0</v>
      </c>
      <c r="AC649" s="175">
        <f t="shared" si="258"/>
        <v>0</v>
      </c>
      <c r="AD649" s="174">
        <f t="shared" si="258"/>
        <v>0</v>
      </c>
      <c r="AE649" s="175">
        <f t="shared" si="258"/>
        <v>0</v>
      </c>
      <c r="AF649" s="174">
        <f t="shared" si="258"/>
        <v>884</v>
      </c>
      <c r="AG649" s="175">
        <f t="shared" si="258"/>
        <v>788</v>
      </c>
      <c r="AH649" s="174">
        <f t="shared" si="258"/>
        <v>0</v>
      </c>
      <c r="AI649" s="175">
        <f t="shared" si="258"/>
        <v>0</v>
      </c>
      <c r="AJ649" s="174">
        <f t="shared" si="258"/>
        <v>0</v>
      </c>
      <c r="AK649" s="175">
        <f t="shared" si="258"/>
        <v>0</v>
      </c>
      <c r="AL649" s="174">
        <f t="shared" ref="AL649:BQ649" si="259">SUM(AL4:AL193)+SUM(AL275:AL286)+SUM(AL351)+SUM(AL391)+SUM(AL395:AL396)+SUM(AL398)+SUM(AL420)+SUM(AL424)+SUM(AL427:AL428)+SUM(AL482:AL483)+SUM(AL498:AL501)+SUM(AL513)+SUM(AL516)</f>
        <v>0</v>
      </c>
      <c r="AM649" s="175">
        <f t="shared" si="259"/>
        <v>0</v>
      </c>
      <c r="AN649" s="174">
        <f t="shared" si="259"/>
        <v>0</v>
      </c>
      <c r="AO649" s="175">
        <f t="shared" si="259"/>
        <v>0</v>
      </c>
      <c r="AP649" s="174">
        <f t="shared" si="259"/>
        <v>0</v>
      </c>
      <c r="AQ649" s="175">
        <f t="shared" si="259"/>
        <v>0</v>
      </c>
      <c r="AR649" s="174">
        <f t="shared" si="259"/>
        <v>0</v>
      </c>
      <c r="AS649" s="175">
        <f t="shared" si="259"/>
        <v>0</v>
      </c>
      <c r="AT649" s="174">
        <f t="shared" si="259"/>
        <v>0</v>
      </c>
      <c r="AU649" s="175">
        <f t="shared" si="259"/>
        <v>0</v>
      </c>
      <c r="AV649" s="174">
        <f t="shared" si="259"/>
        <v>0</v>
      </c>
      <c r="AW649" s="175">
        <f t="shared" si="259"/>
        <v>0</v>
      </c>
      <c r="AX649" s="174">
        <f t="shared" si="259"/>
        <v>0</v>
      </c>
      <c r="AY649" s="175">
        <f t="shared" si="259"/>
        <v>0</v>
      </c>
      <c r="AZ649" s="174">
        <f t="shared" si="259"/>
        <v>275</v>
      </c>
      <c r="BA649" s="175">
        <f t="shared" si="259"/>
        <v>210</v>
      </c>
      <c r="BB649" s="174">
        <f t="shared" si="259"/>
        <v>0</v>
      </c>
      <c r="BC649" s="175">
        <f t="shared" si="259"/>
        <v>0</v>
      </c>
      <c r="BD649" s="174">
        <f t="shared" si="259"/>
        <v>0</v>
      </c>
      <c r="BE649" s="175">
        <f t="shared" si="259"/>
        <v>0</v>
      </c>
      <c r="BF649" s="174">
        <f t="shared" si="259"/>
        <v>2250</v>
      </c>
      <c r="BG649" s="175">
        <f t="shared" si="259"/>
        <v>1538</v>
      </c>
      <c r="BH649" s="174">
        <f t="shared" si="259"/>
        <v>0</v>
      </c>
      <c r="BI649" s="175">
        <f t="shared" si="259"/>
        <v>0</v>
      </c>
      <c r="BJ649" s="174">
        <f t="shared" si="259"/>
        <v>0</v>
      </c>
      <c r="BK649" s="175">
        <f t="shared" si="259"/>
        <v>0</v>
      </c>
      <c r="BL649" s="174">
        <f t="shared" si="259"/>
        <v>0</v>
      </c>
      <c r="BM649" s="175">
        <f t="shared" si="259"/>
        <v>0</v>
      </c>
      <c r="BN649" s="174">
        <f t="shared" si="259"/>
        <v>0</v>
      </c>
      <c r="BO649" s="175">
        <f t="shared" si="259"/>
        <v>0</v>
      </c>
      <c r="BP649" s="174">
        <f t="shared" si="259"/>
        <v>0</v>
      </c>
      <c r="BQ649" s="175">
        <f t="shared" si="259"/>
        <v>0</v>
      </c>
      <c r="BR649" s="174">
        <f t="shared" ref="BR649:BW649" si="260">SUM(BR4:BR193)+SUM(BR275:BR286)+SUM(BR351)+SUM(BR391)+SUM(BR395:BR396)+SUM(BR398)+SUM(BR420)+SUM(BR424)+SUM(BR427:BR428)+SUM(BR482:BR483)+SUM(BR498:BR501)+SUM(BR513)+SUM(BR516)</f>
        <v>1051</v>
      </c>
      <c r="BS649" s="175">
        <f t="shared" si="260"/>
        <v>299</v>
      </c>
      <c r="BT649" s="174">
        <f t="shared" si="260"/>
        <v>102750</v>
      </c>
      <c r="BU649" s="175">
        <f t="shared" si="260"/>
        <v>37353</v>
      </c>
      <c r="BV649" s="174">
        <f t="shared" si="260"/>
        <v>106668</v>
      </c>
      <c r="BW649" s="175">
        <f t="shared" si="260"/>
        <v>33394</v>
      </c>
    </row>
    <row r="650" spans="1:75" ht="13" x14ac:dyDescent="0.25">
      <c r="A650" s="196"/>
      <c r="B650" s="197" t="s">
        <v>671</v>
      </c>
      <c r="C650" s="90">
        <f>SUM(C50:C54)+SUM(C66:C69)+SUM(C74:C80)+SUM(C113:C132)+SUM(C163:C193)</f>
        <v>79354</v>
      </c>
      <c r="D650" s="90">
        <f>SUM(D50:D54)+SUM(D66:D69)+SUM(D74:D80)+SUM(D113:D132)+SUM(D163:D193)</f>
        <v>40439</v>
      </c>
      <c r="E650" s="145">
        <f t="shared" si="212"/>
        <v>0.50960254051465581</v>
      </c>
      <c r="F650" s="174">
        <f t="shared" ref="F650:AK650" si="261">SUM(F50:F54)+SUM(F66:F69)+SUM(F74:F80)+SUM(F113:F132)+SUM(F163:F193)</f>
        <v>26047</v>
      </c>
      <c r="G650" s="175">
        <f t="shared" si="261"/>
        <v>12221</v>
      </c>
      <c r="H650" s="174">
        <f t="shared" si="261"/>
        <v>0</v>
      </c>
      <c r="I650" s="175">
        <f t="shared" si="261"/>
        <v>0</v>
      </c>
      <c r="J650" s="174">
        <f t="shared" si="261"/>
        <v>0</v>
      </c>
      <c r="K650" s="175">
        <f t="shared" si="261"/>
        <v>0</v>
      </c>
      <c r="L650" s="174">
        <f t="shared" si="261"/>
        <v>0</v>
      </c>
      <c r="M650" s="175">
        <f t="shared" si="261"/>
        <v>0</v>
      </c>
      <c r="N650" s="174">
        <f t="shared" si="261"/>
        <v>895</v>
      </c>
      <c r="O650" s="175">
        <f t="shared" si="261"/>
        <v>188</v>
      </c>
      <c r="P650" s="174">
        <f t="shared" si="261"/>
        <v>292</v>
      </c>
      <c r="Q650" s="175">
        <f t="shared" si="261"/>
        <v>153</v>
      </c>
      <c r="R650" s="174">
        <f t="shared" si="261"/>
        <v>290</v>
      </c>
      <c r="S650" s="175">
        <f t="shared" si="261"/>
        <v>158</v>
      </c>
      <c r="T650" s="174">
        <f t="shared" si="261"/>
        <v>0</v>
      </c>
      <c r="U650" s="175">
        <f t="shared" si="261"/>
        <v>0</v>
      </c>
      <c r="V650" s="174">
        <f t="shared" si="261"/>
        <v>0</v>
      </c>
      <c r="W650" s="175">
        <f t="shared" si="261"/>
        <v>0</v>
      </c>
      <c r="X650" s="174">
        <f t="shared" si="261"/>
        <v>0</v>
      </c>
      <c r="Y650" s="175">
        <f t="shared" si="261"/>
        <v>0</v>
      </c>
      <c r="Z650" s="174">
        <f t="shared" si="261"/>
        <v>0</v>
      </c>
      <c r="AA650" s="175">
        <f t="shared" si="261"/>
        <v>0</v>
      </c>
      <c r="AB650" s="174">
        <f t="shared" si="261"/>
        <v>0</v>
      </c>
      <c r="AC650" s="175">
        <f t="shared" si="261"/>
        <v>0</v>
      </c>
      <c r="AD650" s="174">
        <f t="shared" si="261"/>
        <v>0</v>
      </c>
      <c r="AE650" s="175">
        <f t="shared" si="261"/>
        <v>0</v>
      </c>
      <c r="AF650" s="174">
        <f t="shared" si="261"/>
        <v>0</v>
      </c>
      <c r="AG650" s="175">
        <f t="shared" si="261"/>
        <v>0</v>
      </c>
      <c r="AH650" s="174">
        <f t="shared" si="261"/>
        <v>0</v>
      </c>
      <c r="AI650" s="175">
        <f t="shared" si="261"/>
        <v>0</v>
      </c>
      <c r="AJ650" s="174">
        <f t="shared" si="261"/>
        <v>0</v>
      </c>
      <c r="AK650" s="175">
        <f t="shared" si="261"/>
        <v>0</v>
      </c>
      <c r="AL650" s="174">
        <f t="shared" ref="AL650:BQ650" si="262">SUM(AL50:AL54)+SUM(AL66:AL69)+SUM(AL74:AL80)+SUM(AL113:AL132)+SUM(AL163:AL193)</f>
        <v>0</v>
      </c>
      <c r="AM650" s="175">
        <f t="shared" si="262"/>
        <v>0</v>
      </c>
      <c r="AN650" s="174">
        <f t="shared" si="262"/>
        <v>0</v>
      </c>
      <c r="AO650" s="175">
        <f t="shared" si="262"/>
        <v>0</v>
      </c>
      <c r="AP650" s="174">
        <f t="shared" si="262"/>
        <v>0</v>
      </c>
      <c r="AQ650" s="175">
        <f t="shared" si="262"/>
        <v>0</v>
      </c>
      <c r="AR650" s="174">
        <f t="shared" si="262"/>
        <v>0</v>
      </c>
      <c r="AS650" s="175">
        <f t="shared" si="262"/>
        <v>0</v>
      </c>
      <c r="AT650" s="174">
        <f t="shared" si="262"/>
        <v>0</v>
      </c>
      <c r="AU650" s="175">
        <f t="shared" si="262"/>
        <v>0</v>
      </c>
      <c r="AV650" s="174">
        <f t="shared" si="262"/>
        <v>0</v>
      </c>
      <c r="AW650" s="175">
        <f t="shared" si="262"/>
        <v>0</v>
      </c>
      <c r="AX650" s="174">
        <f t="shared" si="262"/>
        <v>0</v>
      </c>
      <c r="AY650" s="175">
        <f t="shared" si="262"/>
        <v>0</v>
      </c>
      <c r="AZ650" s="174">
        <f t="shared" si="262"/>
        <v>0</v>
      </c>
      <c r="BA650" s="175">
        <f t="shared" si="262"/>
        <v>0</v>
      </c>
      <c r="BB650" s="174">
        <f t="shared" si="262"/>
        <v>0</v>
      </c>
      <c r="BC650" s="175">
        <f t="shared" si="262"/>
        <v>0</v>
      </c>
      <c r="BD650" s="174">
        <f t="shared" si="262"/>
        <v>0</v>
      </c>
      <c r="BE650" s="175">
        <f t="shared" si="262"/>
        <v>0</v>
      </c>
      <c r="BF650" s="174">
        <f t="shared" si="262"/>
        <v>0</v>
      </c>
      <c r="BG650" s="175">
        <f t="shared" si="262"/>
        <v>0</v>
      </c>
      <c r="BH650" s="174">
        <f t="shared" si="262"/>
        <v>0</v>
      </c>
      <c r="BI650" s="175">
        <f t="shared" si="262"/>
        <v>0</v>
      </c>
      <c r="BJ650" s="174">
        <f t="shared" si="262"/>
        <v>0</v>
      </c>
      <c r="BK650" s="175">
        <f t="shared" si="262"/>
        <v>0</v>
      </c>
      <c r="BL650" s="174">
        <f t="shared" si="262"/>
        <v>0</v>
      </c>
      <c r="BM650" s="175">
        <f t="shared" si="262"/>
        <v>0</v>
      </c>
      <c r="BN650" s="174">
        <f t="shared" si="262"/>
        <v>0</v>
      </c>
      <c r="BO650" s="175">
        <f t="shared" si="262"/>
        <v>0</v>
      </c>
      <c r="BP650" s="174">
        <f t="shared" si="262"/>
        <v>0</v>
      </c>
      <c r="BQ650" s="175">
        <f t="shared" si="262"/>
        <v>0</v>
      </c>
      <c r="BR650" s="174">
        <f t="shared" ref="BR650:BW650" si="263">SUM(BR50:BR54)+SUM(BR66:BR69)+SUM(BR74:BR80)+SUM(BR113:BR132)+SUM(BR163:BR193)</f>
        <v>0</v>
      </c>
      <c r="BS650" s="175">
        <f t="shared" si="263"/>
        <v>0</v>
      </c>
      <c r="BT650" s="174">
        <f t="shared" si="263"/>
        <v>27205</v>
      </c>
      <c r="BU650" s="175">
        <f t="shared" si="263"/>
        <v>10969</v>
      </c>
      <c r="BV650" s="174">
        <f t="shared" si="263"/>
        <v>28484</v>
      </c>
      <c r="BW650" s="175">
        <f t="shared" si="263"/>
        <v>9669</v>
      </c>
    </row>
    <row r="651" spans="1:75" ht="13" x14ac:dyDescent="0.25">
      <c r="A651" s="196"/>
      <c r="B651" s="197" t="s">
        <v>672</v>
      </c>
      <c r="C651" s="90">
        <f>SUM(C55)+SUM(C58)+SUM(C61:C62)+SUM(C65)+SUM(C70:C73)+SUM(C81:C93)+SUM(C103:C112)+SUM(C133:C162)+SUM(C351)+SUM(C420)+SUM(C498:C501)+SUM(C513)+SUM(C516)</f>
        <v>75709</v>
      </c>
      <c r="D651" s="90">
        <f>SUM(D55)+SUM(D58)+SUM(D61:D62)+SUM(D65)+SUM(D70:D73)+SUM(D81:D93)+SUM(D103:D112)+SUM(D133:D162)+SUM(D351)+SUM(D420)+SUM(D498:D501)+SUM(D513)+SUM(D516)</f>
        <v>42288</v>
      </c>
      <c r="E651" s="145">
        <f t="shared" si="212"/>
        <v>0.55855974851074508</v>
      </c>
      <c r="F651" s="174">
        <f t="shared" ref="F651:AK651" si="264">SUM(F55)+SUM(F58)+SUM(F61:F62)+SUM(F65)+SUM(F70:F73)+SUM(F81:F93)+SUM(F103:F112)+SUM(F133:F162)+SUM(F351)+SUM(F420)+SUM(F498:F501)+SUM(F513)+SUM(F516)</f>
        <v>30842</v>
      </c>
      <c r="G651" s="175">
        <f t="shared" si="264"/>
        <v>9421</v>
      </c>
      <c r="H651" s="174">
        <f t="shared" si="264"/>
        <v>0</v>
      </c>
      <c r="I651" s="175">
        <f t="shared" si="264"/>
        <v>0</v>
      </c>
      <c r="J651" s="174">
        <f t="shared" si="264"/>
        <v>0</v>
      </c>
      <c r="K651" s="175">
        <f t="shared" si="264"/>
        <v>0</v>
      </c>
      <c r="L651" s="174">
        <f t="shared" si="264"/>
        <v>0</v>
      </c>
      <c r="M651" s="175">
        <f t="shared" si="264"/>
        <v>0</v>
      </c>
      <c r="N651" s="174">
        <f t="shared" si="264"/>
        <v>0</v>
      </c>
      <c r="O651" s="175">
        <f t="shared" si="264"/>
        <v>0</v>
      </c>
      <c r="P651" s="174">
        <f t="shared" si="264"/>
        <v>0</v>
      </c>
      <c r="Q651" s="175">
        <f t="shared" si="264"/>
        <v>0</v>
      </c>
      <c r="R651" s="174">
        <f t="shared" si="264"/>
        <v>0</v>
      </c>
      <c r="S651" s="175">
        <f t="shared" si="264"/>
        <v>0</v>
      </c>
      <c r="T651" s="174">
        <f t="shared" si="264"/>
        <v>0</v>
      </c>
      <c r="U651" s="175">
        <f t="shared" si="264"/>
        <v>0</v>
      </c>
      <c r="V651" s="174">
        <f t="shared" si="264"/>
        <v>0</v>
      </c>
      <c r="W651" s="175">
        <f t="shared" si="264"/>
        <v>0</v>
      </c>
      <c r="X651" s="174">
        <f t="shared" si="264"/>
        <v>0</v>
      </c>
      <c r="Y651" s="175">
        <f t="shared" si="264"/>
        <v>0</v>
      </c>
      <c r="Z651" s="174">
        <f t="shared" si="264"/>
        <v>0</v>
      </c>
      <c r="AA651" s="175">
        <f t="shared" si="264"/>
        <v>0</v>
      </c>
      <c r="AB651" s="174">
        <f t="shared" si="264"/>
        <v>0</v>
      </c>
      <c r="AC651" s="175">
        <f t="shared" si="264"/>
        <v>0</v>
      </c>
      <c r="AD651" s="174">
        <f t="shared" si="264"/>
        <v>0</v>
      </c>
      <c r="AE651" s="175">
        <f t="shared" si="264"/>
        <v>0</v>
      </c>
      <c r="AF651" s="174">
        <f t="shared" si="264"/>
        <v>0</v>
      </c>
      <c r="AG651" s="175">
        <f t="shared" si="264"/>
        <v>0</v>
      </c>
      <c r="AH651" s="174">
        <f t="shared" si="264"/>
        <v>0</v>
      </c>
      <c r="AI651" s="175">
        <f t="shared" si="264"/>
        <v>0</v>
      </c>
      <c r="AJ651" s="174">
        <f t="shared" si="264"/>
        <v>0</v>
      </c>
      <c r="AK651" s="175">
        <f t="shared" si="264"/>
        <v>0</v>
      </c>
      <c r="AL651" s="174">
        <f t="shared" ref="AL651:BQ651" si="265">SUM(AL55)+SUM(AL58)+SUM(AL61:AL62)+SUM(AL65)+SUM(AL70:AL73)+SUM(AL81:AL93)+SUM(AL103:AL112)+SUM(AL133:AL162)+SUM(AL351)+SUM(AL420)+SUM(AL498:AL501)+SUM(AL513)+SUM(AL516)</f>
        <v>0</v>
      </c>
      <c r="AM651" s="175">
        <f t="shared" si="265"/>
        <v>0</v>
      </c>
      <c r="AN651" s="174">
        <f t="shared" si="265"/>
        <v>0</v>
      </c>
      <c r="AO651" s="175">
        <f t="shared" si="265"/>
        <v>0</v>
      </c>
      <c r="AP651" s="174">
        <f t="shared" si="265"/>
        <v>0</v>
      </c>
      <c r="AQ651" s="175">
        <f t="shared" si="265"/>
        <v>0</v>
      </c>
      <c r="AR651" s="174">
        <f t="shared" si="265"/>
        <v>0</v>
      </c>
      <c r="AS651" s="175">
        <f t="shared" si="265"/>
        <v>0</v>
      </c>
      <c r="AT651" s="174">
        <f t="shared" si="265"/>
        <v>0</v>
      </c>
      <c r="AU651" s="175">
        <f t="shared" si="265"/>
        <v>0</v>
      </c>
      <c r="AV651" s="174">
        <f t="shared" si="265"/>
        <v>0</v>
      </c>
      <c r="AW651" s="175">
        <f t="shared" si="265"/>
        <v>0</v>
      </c>
      <c r="AX651" s="174">
        <f t="shared" si="265"/>
        <v>0</v>
      </c>
      <c r="AY651" s="175">
        <f t="shared" si="265"/>
        <v>0</v>
      </c>
      <c r="AZ651" s="174">
        <f t="shared" si="265"/>
        <v>275</v>
      </c>
      <c r="BA651" s="175">
        <f t="shared" si="265"/>
        <v>210</v>
      </c>
      <c r="BB651" s="174">
        <f t="shared" si="265"/>
        <v>0</v>
      </c>
      <c r="BC651" s="175">
        <f t="shared" si="265"/>
        <v>0</v>
      </c>
      <c r="BD651" s="174">
        <f t="shared" si="265"/>
        <v>0</v>
      </c>
      <c r="BE651" s="175">
        <f t="shared" si="265"/>
        <v>0</v>
      </c>
      <c r="BF651" s="174">
        <f t="shared" si="265"/>
        <v>0</v>
      </c>
      <c r="BG651" s="175">
        <f t="shared" si="265"/>
        <v>0</v>
      </c>
      <c r="BH651" s="174">
        <f t="shared" si="265"/>
        <v>0</v>
      </c>
      <c r="BI651" s="175">
        <f t="shared" si="265"/>
        <v>0</v>
      </c>
      <c r="BJ651" s="174">
        <f t="shared" si="265"/>
        <v>0</v>
      </c>
      <c r="BK651" s="175">
        <f t="shared" si="265"/>
        <v>0</v>
      </c>
      <c r="BL651" s="174">
        <f t="shared" si="265"/>
        <v>0</v>
      </c>
      <c r="BM651" s="175">
        <f t="shared" si="265"/>
        <v>0</v>
      </c>
      <c r="BN651" s="174">
        <f t="shared" si="265"/>
        <v>0</v>
      </c>
      <c r="BO651" s="175">
        <f t="shared" si="265"/>
        <v>0</v>
      </c>
      <c r="BP651" s="174">
        <f t="shared" si="265"/>
        <v>0</v>
      </c>
      <c r="BQ651" s="175">
        <f t="shared" si="265"/>
        <v>0</v>
      </c>
      <c r="BR651" s="174">
        <f t="shared" ref="BR651:BW651" si="266">SUM(BR55)+SUM(BR58)+SUM(BR61:BR62)+SUM(BR65)+SUM(BR70:BR73)+SUM(BR81:BR93)+SUM(BR103:BR112)+SUM(BR133:BR162)+SUM(BR351)+SUM(BR420)+SUM(BR498:BR501)+SUM(BR513)+SUM(BR516)</f>
        <v>0</v>
      </c>
      <c r="BS651" s="175">
        <f t="shared" si="266"/>
        <v>0</v>
      </c>
      <c r="BT651" s="174">
        <f t="shared" si="266"/>
        <v>30996</v>
      </c>
      <c r="BU651" s="175">
        <f t="shared" si="266"/>
        <v>9184</v>
      </c>
      <c r="BV651" s="174">
        <f t="shared" si="266"/>
        <v>31961</v>
      </c>
      <c r="BW651" s="175">
        <f t="shared" si="266"/>
        <v>8182</v>
      </c>
    </row>
    <row r="652" spans="1:75" ht="13" x14ac:dyDescent="0.25">
      <c r="A652" s="196"/>
      <c r="B652" s="197" t="s">
        <v>673</v>
      </c>
      <c r="C652" s="90">
        <f>SUM(C4:C49)+SUM(C56:C57)+SUM(C59:C60)+SUM(C63:C64)+SUM(C94:C102)+SUM(C275:C286)+SUM(C391)+SUM(C395:C396)+SUM(C398)+SUM(C424)+SUM(C427:C428)+SUM(C482:C483)</f>
        <v>92629</v>
      </c>
      <c r="D652" s="90">
        <f>SUM(D4:D49)+SUM(D56:D57)+SUM(D59:D60)+SUM(D63:D64)+SUM(D94:D102)+SUM(D275:D286)+SUM(D391)+SUM(D395:D396)+SUM(D398)+SUM(D424)+SUM(D427:D428)+SUM(D482:D483)</f>
        <v>65064</v>
      </c>
      <c r="E652" s="145">
        <f t="shared" si="212"/>
        <v>0.70241501041790366</v>
      </c>
      <c r="F652" s="174">
        <f t="shared" ref="F652:AK652" si="267">SUM(F4:F49)+SUM(F56:F57)+SUM(F59:F60)+SUM(F63:F64)+SUM(F94:F102)+SUM(F275:F286)+SUM(F391)+SUM(F395:F396)+SUM(F398)+SUM(F424)+SUM(F427:F428)+SUM(F482:F483)</f>
        <v>41838</v>
      </c>
      <c r="G652" s="175">
        <f t="shared" si="267"/>
        <v>20294</v>
      </c>
      <c r="H652" s="174">
        <f t="shared" si="267"/>
        <v>0</v>
      </c>
      <c r="I652" s="175">
        <f t="shared" si="267"/>
        <v>0</v>
      </c>
      <c r="J652" s="174">
        <f t="shared" si="267"/>
        <v>723</v>
      </c>
      <c r="K652" s="175">
        <f t="shared" si="267"/>
        <v>146</v>
      </c>
      <c r="L652" s="174">
        <f t="shared" si="267"/>
        <v>680</v>
      </c>
      <c r="M652" s="175">
        <f t="shared" si="267"/>
        <v>143</v>
      </c>
      <c r="N652" s="174">
        <f t="shared" si="267"/>
        <v>0</v>
      </c>
      <c r="O652" s="175">
        <f t="shared" si="267"/>
        <v>0</v>
      </c>
      <c r="P652" s="174">
        <f t="shared" si="267"/>
        <v>0</v>
      </c>
      <c r="Q652" s="175">
        <f t="shared" si="267"/>
        <v>0</v>
      </c>
      <c r="R652" s="174">
        <f t="shared" si="267"/>
        <v>0</v>
      </c>
      <c r="S652" s="175">
        <f t="shared" si="267"/>
        <v>0</v>
      </c>
      <c r="T652" s="174">
        <f t="shared" si="267"/>
        <v>0</v>
      </c>
      <c r="U652" s="175">
        <f t="shared" si="267"/>
        <v>0</v>
      </c>
      <c r="V652" s="174">
        <f t="shared" si="267"/>
        <v>0</v>
      </c>
      <c r="W652" s="175">
        <f t="shared" si="267"/>
        <v>0</v>
      </c>
      <c r="X652" s="174">
        <f t="shared" si="267"/>
        <v>658</v>
      </c>
      <c r="Y652" s="175">
        <f t="shared" si="267"/>
        <v>113</v>
      </c>
      <c r="Z652" s="174">
        <f t="shared" si="267"/>
        <v>0</v>
      </c>
      <c r="AA652" s="175">
        <f t="shared" si="267"/>
        <v>0</v>
      </c>
      <c r="AB652" s="174">
        <f t="shared" si="267"/>
        <v>0</v>
      </c>
      <c r="AC652" s="175">
        <f t="shared" si="267"/>
        <v>0</v>
      </c>
      <c r="AD652" s="174">
        <f t="shared" si="267"/>
        <v>0</v>
      </c>
      <c r="AE652" s="175">
        <f t="shared" si="267"/>
        <v>0</v>
      </c>
      <c r="AF652" s="174">
        <f t="shared" si="267"/>
        <v>884</v>
      </c>
      <c r="AG652" s="175">
        <f t="shared" si="267"/>
        <v>788</v>
      </c>
      <c r="AH652" s="174">
        <f t="shared" si="267"/>
        <v>0</v>
      </c>
      <c r="AI652" s="175">
        <f t="shared" si="267"/>
        <v>0</v>
      </c>
      <c r="AJ652" s="174">
        <f t="shared" si="267"/>
        <v>0</v>
      </c>
      <c r="AK652" s="175">
        <f t="shared" si="267"/>
        <v>0</v>
      </c>
      <c r="AL652" s="174">
        <f t="shared" ref="AL652:BQ652" si="268">SUM(AL4:AL49)+SUM(AL56:AL57)+SUM(AL59:AL60)+SUM(AL63:AL64)+SUM(AL94:AL102)+SUM(AL275:AL286)+SUM(AL391)+SUM(AL395:AL396)+SUM(AL398)+SUM(AL424)+SUM(AL427:AL428)+SUM(AL482:AL483)</f>
        <v>0</v>
      </c>
      <c r="AM652" s="175">
        <f t="shared" si="268"/>
        <v>0</v>
      </c>
      <c r="AN652" s="174">
        <f t="shared" si="268"/>
        <v>0</v>
      </c>
      <c r="AO652" s="175">
        <f t="shared" si="268"/>
        <v>0</v>
      </c>
      <c r="AP652" s="174">
        <f t="shared" si="268"/>
        <v>0</v>
      </c>
      <c r="AQ652" s="175">
        <f t="shared" si="268"/>
        <v>0</v>
      </c>
      <c r="AR652" s="174">
        <f t="shared" si="268"/>
        <v>0</v>
      </c>
      <c r="AS652" s="175">
        <f t="shared" si="268"/>
        <v>0</v>
      </c>
      <c r="AT652" s="174">
        <f t="shared" si="268"/>
        <v>0</v>
      </c>
      <c r="AU652" s="175">
        <f t="shared" si="268"/>
        <v>0</v>
      </c>
      <c r="AV652" s="174">
        <f t="shared" si="268"/>
        <v>0</v>
      </c>
      <c r="AW652" s="175">
        <f t="shared" si="268"/>
        <v>0</v>
      </c>
      <c r="AX652" s="174">
        <f t="shared" si="268"/>
        <v>0</v>
      </c>
      <c r="AY652" s="175">
        <f t="shared" si="268"/>
        <v>0</v>
      </c>
      <c r="AZ652" s="174">
        <f t="shared" si="268"/>
        <v>0</v>
      </c>
      <c r="BA652" s="175">
        <f t="shared" si="268"/>
        <v>0</v>
      </c>
      <c r="BB652" s="174">
        <f t="shared" si="268"/>
        <v>0</v>
      </c>
      <c r="BC652" s="175">
        <f t="shared" si="268"/>
        <v>0</v>
      </c>
      <c r="BD652" s="174">
        <f t="shared" si="268"/>
        <v>0</v>
      </c>
      <c r="BE652" s="175">
        <f t="shared" si="268"/>
        <v>0</v>
      </c>
      <c r="BF652" s="174">
        <f t="shared" si="268"/>
        <v>2250</v>
      </c>
      <c r="BG652" s="175">
        <f t="shared" si="268"/>
        <v>1538</v>
      </c>
      <c r="BH652" s="174">
        <f t="shared" si="268"/>
        <v>0</v>
      </c>
      <c r="BI652" s="175">
        <f t="shared" si="268"/>
        <v>0</v>
      </c>
      <c r="BJ652" s="174">
        <f t="shared" si="268"/>
        <v>0</v>
      </c>
      <c r="BK652" s="175">
        <f t="shared" si="268"/>
        <v>0</v>
      </c>
      <c r="BL652" s="174">
        <f t="shared" si="268"/>
        <v>0</v>
      </c>
      <c r="BM652" s="175">
        <f t="shared" si="268"/>
        <v>0</v>
      </c>
      <c r="BN652" s="174">
        <f t="shared" si="268"/>
        <v>0</v>
      </c>
      <c r="BO652" s="175">
        <f t="shared" si="268"/>
        <v>0</v>
      </c>
      <c r="BP652" s="174">
        <f t="shared" si="268"/>
        <v>0</v>
      </c>
      <c r="BQ652" s="175">
        <f t="shared" si="268"/>
        <v>0</v>
      </c>
      <c r="BR652" s="174">
        <f t="shared" ref="BR652:BW652" si="269">SUM(BR4:BR49)+SUM(BR56:BR57)+SUM(BR59:BR60)+SUM(BR63:BR64)+SUM(BR94:BR102)+SUM(BR275:BR286)+SUM(BR391)+SUM(BR395:BR396)+SUM(BR398)+SUM(BR424)+SUM(BR427:BR428)+SUM(BR482:BR483)</f>
        <v>1051</v>
      </c>
      <c r="BS652" s="175">
        <f t="shared" si="269"/>
        <v>299</v>
      </c>
      <c r="BT652" s="174">
        <f t="shared" si="269"/>
        <v>44549</v>
      </c>
      <c r="BU652" s="175">
        <f t="shared" si="269"/>
        <v>17200</v>
      </c>
      <c r="BV652" s="174">
        <f t="shared" si="269"/>
        <v>46223</v>
      </c>
      <c r="BW652" s="175">
        <f t="shared" si="269"/>
        <v>15543</v>
      </c>
    </row>
    <row r="653" spans="1:75" ht="13" x14ac:dyDescent="0.25">
      <c r="A653" s="196"/>
      <c r="B653" s="197" t="s">
        <v>674</v>
      </c>
      <c r="C653" s="90">
        <f>SUM(C233:C238)+SUM(C246:C254)+SUM(C287:C294)+SUM(C310:C350)+SUM(C390)+SUM(C392:C394)+SUM(C397)+SUM(C478:C481)+SUM(C496:C497)+SUM(C502:C507)+SUM(C509)+SUM(C511)+SUM(C514)+SUM(C518:C520)+SUM(C522:C523)+SUM(C525:C528)+SUM(C530)+SUM(C533)+SUM(C547)+SUM(C559:C560)+SUM(C564:C565)</f>
        <v>98010</v>
      </c>
      <c r="D653" s="90">
        <f>SUM(D233:D238)+SUM(D246:D254)+SUM(D287:D294)+SUM(D310:D350)+SUM(D390)+SUM(D392:D394)+SUM(D397)+SUM(D478:D481)+SUM(D496:D497)+SUM(D502:D507)+SUM(D509)+SUM(D511)+SUM(D514)+SUM(D518:D520)+SUM(D522:D523)+SUM(D525:D528)+SUM(D530)+SUM(D533)+SUM(D547)+SUM(D559:D560)+SUM(D564:D565)</f>
        <v>75641</v>
      </c>
      <c r="E653" s="145">
        <f t="shared" si="212"/>
        <v>0.77176818691970206</v>
      </c>
      <c r="F653" s="174">
        <f t="shared" ref="F653:AK653" si="270">SUM(F233:F238)+SUM(F246:F254)+SUM(F287:F294)+SUM(F310:F350)+SUM(F390)+SUM(F392:F394)+SUM(F397)+SUM(F478:F481)+SUM(F496:F497)+SUM(F502:F507)+SUM(F509)+SUM(F511)+SUM(F514)+SUM(F518:F520)+SUM(F522:F523)+SUM(F525:F528)+SUM(F530)+SUM(F533)+SUM(F547)+SUM(F559:F560)+SUM(F564:F565)</f>
        <v>38873</v>
      </c>
      <c r="G653" s="175">
        <f t="shared" si="270"/>
        <v>33334</v>
      </c>
      <c r="H653" s="174">
        <f t="shared" si="270"/>
        <v>0</v>
      </c>
      <c r="I653" s="175">
        <f t="shared" si="270"/>
        <v>0</v>
      </c>
      <c r="J653" s="174">
        <f t="shared" si="270"/>
        <v>0</v>
      </c>
      <c r="K653" s="175">
        <f t="shared" si="270"/>
        <v>0</v>
      </c>
      <c r="L653" s="174">
        <f t="shared" si="270"/>
        <v>0</v>
      </c>
      <c r="M653" s="175">
        <f t="shared" si="270"/>
        <v>0</v>
      </c>
      <c r="N653" s="174">
        <f t="shared" si="270"/>
        <v>0</v>
      </c>
      <c r="O653" s="175">
        <f t="shared" si="270"/>
        <v>0</v>
      </c>
      <c r="P653" s="174">
        <f t="shared" si="270"/>
        <v>0</v>
      </c>
      <c r="Q653" s="175">
        <f t="shared" si="270"/>
        <v>0</v>
      </c>
      <c r="R653" s="174">
        <f t="shared" si="270"/>
        <v>0</v>
      </c>
      <c r="S653" s="175">
        <f t="shared" si="270"/>
        <v>0</v>
      </c>
      <c r="T653" s="174">
        <f t="shared" si="270"/>
        <v>2925</v>
      </c>
      <c r="U653" s="175">
        <f t="shared" si="270"/>
        <v>840</v>
      </c>
      <c r="V653" s="174">
        <f t="shared" si="270"/>
        <v>9</v>
      </c>
      <c r="W653" s="175">
        <f t="shared" si="270"/>
        <v>10</v>
      </c>
      <c r="X653" s="174">
        <f t="shared" si="270"/>
        <v>0</v>
      </c>
      <c r="Y653" s="175">
        <f t="shared" si="270"/>
        <v>0</v>
      </c>
      <c r="Z653" s="174">
        <f t="shared" si="270"/>
        <v>0</v>
      </c>
      <c r="AA653" s="175">
        <f t="shared" si="270"/>
        <v>0</v>
      </c>
      <c r="AB653" s="174">
        <f t="shared" si="270"/>
        <v>0</v>
      </c>
      <c r="AC653" s="175">
        <f t="shared" si="270"/>
        <v>0</v>
      </c>
      <c r="AD653" s="174">
        <f t="shared" si="270"/>
        <v>0</v>
      </c>
      <c r="AE653" s="175">
        <f t="shared" si="270"/>
        <v>0</v>
      </c>
      <c r="AF653" s="174">
        <f t="shared" si="270"/>
        <v>0</v>
      </c>
      <c r="AG653" s="175">
        <f t="shared" si="270"/>
        <v>0</v>
      </c>
      <c r="AH653" s="174">
        <f t="shared" si="270"/>
        <v>0</v>
      </c>
      <c r="AI653" s="175">
        <f t="shared" si="270"/>
        <v>0</v>
      </c>
      <c r="AJ653" s="174">
        <f t="shared" si="270"/>
        <v>0</v>
      </c>
      <c r="AK653" s="175">
        <f t="shared" si="270"/>
        <v>0</v>
      </c>
      <c r="AL653" s="174">
        <f t="shared" ref="AL653:BQ653" si="271">SUM(AL233:AL238)+SUM(AL246:AL254)+SUM(AL287:AL294)+SUM(AL310:AL350)+SUM(AL390)+SUM(AL392:AL394)+SUM(AL397)+SUM(AL478:AL481)+SUM(AL496:AL497)+SUM(AL502:AL507)+SUM(AL509)+SUM(AL511)+SUM(AL514)+SUM(AL518:AL520)+SUM(AL522:AL523)+SUM(AL525:AL528)+SUM(AL530)+SUM(AL533)+SUM(AL547)+SUM(AL559:AL560)+SUM(AL564:AL565)</f>
        <v>0</v>
      </c>
      <c r="AM653" s="175">
        <f t="shared" si="271"/>
        <v>0</v>
      </c>
      <c r="AN653" s="174">
        <f t="shared" si="271"/>
        <v>0</v>
      </c>
      <c r="AO653" s="175">
        <f t="shared" si="271"/>
        <v>0</v>
      </c>
      <c r="AP653" s="174">
        <f t="shared" si="271"/>
        <v>1144</v>
      </c>
      <c r="AQ653" s="175">
        <f t="shared" si="271"/>
        <v>473</v>
      </c>
      <c r="AR653" s="174">
        <f t="shared" si="271"/>
        <v>1094</v>
      </c>
      <c r="AS653" s="175">
        <f t="shared" si="271"/>
        <v>456</v>
      </c>
      <c r="AT653" s="174">
        <f t="shared" si="271"/>
        <v>13899</v>
      </c>
      <c r="AU653" s="175">
        <f t="shared" si="271"/>
        <v>13501</v>
      </c>
      <c r="AV653" s="174">
        <f t="shared" si="271"/>
        <v>0</v>
      </c>
      <c r="AW653" s="175">
        <f t="shared" si="271"/>
        <v>0</v>
      </c>
      <c r="AX653" s="174">
        <f t="shared" si="271"/>
        <v>0</v>
      </c>
      <c r="AY653" s="175">
        <f t="shared" si="271"/>
        <v>0</v>
      </c>
      <c r="AZ653" s="174">
        <f t="shared" si="271"/>
        <v>6422</v>
      </c>
      <c r="BA653" s="175">
        <f t="shared" si="271"/>
        <v>4658</v>
      </c>
      <c r="BB653" s="174">
        <f t="shared" si="271"/>
        <v>115</v>
      </c>
      <c r="BC653" s="175">
        <f t="shared" si="271"/>
        <v>129</v>
      </c>
      <c r="BD653" s="174">
        <f t="shared" si="271"/>
        <v>0</v>
      </c>
      <c r="BE653" s="175">
        <f t="shared" si="271"/>
        <v>0</v>
      </c>
      <c r="BF653" s="174">
        <f t="shared" si="271"/>
        <v>1058</v>
      </c>
      <c r="BG653" s="175">
        <f t="shared" si="271"/>
        <v>468</v>
      </c>
      <c r="BH653" s="174">
        <f t="shared" si="271"/>
        <v>1</v>
      </c>
      <c r="BI653" s="175">
        <f t="shared" si="271"/>
        <v>6</v>
      </c>
      <c r="BJ653" s="174">
        <f t="shared" si="271"/>
        <v>1205</v>
      </c>
      <c r="BK653" s="175">
        <f t="shared" si="271"/>
        <v>1203</v>
      </c>
      <c r="BL653" s="174">
        <f t="shared" si="271"/>
        <v>1836</v>
      </c>
      <c r="BM653" s="175">
        <f t="shared" si="271"/>
        <v>1094</v>
      </c>
      <c r="BN653" s="174">
        <f t="shared" si="271"/>
        <v>3854</v>
      </c>
      <c r="BO653" s="175">
        <f t="shared" si="271"/>
        <v>1742</v>
      </c>
      <c r="BP653" s="174">
        <f t="shared" si="271"/>
        <v>13437</v>
      </c>
      <c r="BQ653" s="175">
        <f t="shared" si="271"/>
        <v>14024</v>
      </c>
      <c r="BR653" s="174">
        <f t="shared" ref="BR653:BW653" si="272">SUM(BR233:BR238)+SUM(BR246:BR254)+SUM(BR287:BR294)+SUM(BR310:BR350)+SUM(BR390)+SUM(BR392:BR394)+SUM(BR397)+SUM(BR478:BR481)+SUM(BR496:BR497)+SUM(BR502:BR507)+SUM(BR509)+SUM(BR511)+SUM(BR514)+SUM(BR518:BR520)+SUM(BR522:BR523)+SUM(BR525:BR528)+SUM(BR530)+SUM(BR533)+SUM(BR547)+SUM(BR559:BR560)+SUM(BR564:BR565)</f>
        <v>826</v>
      </c>
      <c r="BS653" s="175">
        <f t="shared" si="272"/>
        <v>209</v>
      </c>
      <c r="BT653" s="174">
        <f t="shared" si="272"/>
        <v>45103</v>
      </c>
      <c r="BU653" s="175">
        <f t="shared" si="272"/>
        <v>26858</v>
      </c>
      <c r="BV653" s="174">
        <f t="shared" si="272"/>
        <v>46768</v>
      </c>
      <c r="BW653" s="175">
        <f t="shared" si="272"/>
        <v>25286</v>
      </c>
    </row>
    <row r="654" spans="1:75" ht="13" x14ac:dyDescent="0.25">
      <c r="A654" s="196"/>
      <c r="B654" s="197" t="s">
        <v>675</v>
      </c>
      <c r="C654" s="90">
        <f>SUM(C194:C204)+SUM(C209:C225)+SUM(C239:C245)+SUM(C255:C263)+SUM(C295:C309)+SUM(C421:C423)+SUM(C508)+SUM(C524)+SUM(C531)+SUM(C534:C546)+SUM(C548:C558)</f>
        <v>89015</v>
      </c>
      <c r="D654" s="90">
        <f>SUM(D194:D204)+SUM(D209:D225)+SUM(D239:D245)+SUM(D255:D263)+SUM(D295:D309)+SUM(D421:D423)+SUM(D508)+SUM(D524)+SUM(D531)+SUM(D534:D546)+SUM(D548:D558)</f>
        <v>67019</v>
      </c>
      <c r="E654" s="145">
        <f t="shared" si="212"/>
        <v>0.75289557939673091</v>
      </c>
      <c r="F654" s="174">
        <f t="shared" ref="F654:AK654" si="273">SUM(F194:F204)+SUM(F209:F225)+SUM(F239:F245)+SUM(F255:F263)+SUM(F295:F309)+SUM(F421:F423)+SUM(F508)+SUM(F524)+SUM(F531)+SUM(F534:F546)+SUM(F548:F558)</f>
        <v>35313</v>
      </c>
      <c r="G654" s="175">
        <f t="shared" si="273"/>
        <v>28610</v>
      </c>
      <c r="H654" s="174">
        <f t="shared" si="273"/>
        <v>0</v>
      </c>
      <c r="I654" s="175">
        <f t="shared" si="273"/>
        <v>0</v>
      </c>
      <c r="J654" s="174">
        <f t="shared" si="273"/>
        <v>0</v>
      </c>
      <c r="K654" s="175">
        <f t="shared" si="273"/>
        <v>0</v>
      </c>
      <c r="L654" s="174">
        <f t="shared" si="273"/>
        <v>0</v>
      </c>
      <c r="M654" s="175">
        <f t="shared" si="273"/>
        <v>0</v>
      </c>
      <c r="N654" s="174">
        <f t="shared" si="273"/>
        <v>0</v>
      </c>
      <c r="O654" s="175">
        <f t="shared" si="273"/>
        <v>0</v>
      </c>
      <c r="P654" s="174">
        <f t="shared" si="273"/>
        <v>0</v>
      </c>
      <c r="Q654" s="175">
        <f t="shared" si="273"/>
        <v>0</v>
      </c>
      <c r="R654" s="174">
        <f t="shared" si="273"/>
        <v>0</v>
      </c>
      <c r="S654" s="175">
        <f t="shared" si="273"/>
        <v>0</v>
      </c>
      <c r="T654" s="174">
        <f t="shared" si="273"/>
        <v>0</v>
      </c>
      <c r="U654" s="175">
        <f t="shared" si="273"/>
        <v>0</v>
      </c>
      <c r="V654" s="174">
        <f t="shared" si="273"/>
        <v>0</v>
      </c>
      <c r="W654" s="175">
        <f t="shared" si="273"/>
        <v>0</v>
      </c>
      <c r="X654" s="174">
        <f t="shared" si="273"/>
        <v>0</v>
      </c>
      <c r="Y654" s="175">
        <f t="shared" si="273"/>
        <v>0</v>
      </c>
      <c r="Z654" s="174">
        <f t="shared" si="273"/>
        <v>442</v>
      </c>
      <c r="AA654" s="175">
        <f t="shared" si="273"/>
        <v>131</v>
      </c>
      <c r="AB654" s="174">
        <f t="shared" si="273"/>
        <v>0</v>
      </c>
      <c r="AC654" s="175">
        <f t="shared" si="273"/>
        <v>0</v>
      </c>
      <c r="AD654" s="174">
        <f t="shared" si="273"/>
        <v>0</v>
      </c>
      <c r="AE654" s="175">
        <f t="shared" si="273"/>
        <v>0</v>
      </c>
      <c r="AF654" s="174">
        <f t="shared" si="273"/>
        <v>0</v>
      </c>
      <c r="AG654" s="175">
        <f t="shared" si="273"/>
        <v>0</v>
      </c>
      <c r="AH654" s="174">
        <f t="shared" si="273"/>
        <v>0</v>
      </c>
      <c r="AI654" s="175">
        <f t="shared" si="273"/>
        <v>0</v>
      </c>
      <c r="AJ654" s="174">
        <f t="shared" si="273"/>
        <v>0</v>
      </c>
      <c r="AK654" s="175">
        <f t="shared" si="273"/>
        <v>0</v>
      </c>
      <c r="AL654" s="174">
        <f t="shared" ref="AL654:BQ654" si="274">SUM(AL194:AL204)+SUM(AL209:AL225)+SUM(AL239:AL245)+SUM(AL255:AL263)+SUM(AL295:AL309)+SUM(AL421:AL423)+SUM(AL508)+SUM(AL524)+SUM(AL531)+SUM(AL534:AL546)+SUM(AL548:AL558)</f>
        <v>0</v>
      </c>
      <c r="AM654" s="175">
        <f t="shared" si="274"/>
        <v>0</v>
      </c>
      <c r="AN654" s="174">
        <f t="shared" si="274"/>
        <v>0</v>
      </c>
      <c r="AO654" s="175">
        <f t="shared" si="274"/>
        <v>0</v>
      </c>
      <c r="AP654" s="174">
        <f t="shared" si="274"/>
        <v>0</v>
      </c>
      <c r="AQ654" s="175">
        <f t="shared" si="274"/>
        <v>0</v>
      </c>
      <c r="AR654" s="174">
        <f t="shared" si="274"/>
        <v>0</v>
      </c>
      <c r="AS654" s="175">
        <f t="shared" si="274"/>
        <v>0</v>
      </c>
      <c r="AT654" s="174">
        <f t="shared" si="274"/>
        <v>0</v>
      </c>
      <c r="AU654" s="175">
        <f t="shared" si="274"/>
        <v>0</v>
      </c>
      <c r="AV654" s="174">
        <f t="shared" si="274"/>
        <v>0</v>
      </c>
      <c r="AW654" s="175">
        <f t="shared" si="274"/>
        <v>0</v>
      </c>
      <c r="AX654" s="174">
        <f t="shared" si="274"/>
        <v>0</v>
      </c>
      <c r="AY654" s="175">
        <f t="shared" si="274"/>
        <v>0</v>
      </c>
      <c r="AZ654" s="174">
        <f t="shared" si="274"/>
        <v>1199</v>
      </c>
      <c r="BA654" s="175">
        <f t="shared" si="274"/>
        <v>1149</v>
      </c>
      <c r="BB654" s="174">
        <f t="shared" si="274"/>
        <v>4503</v>
      </c>
      <c r="BC654" s="175">
        <f t="shared" si="274"/>
        <v>3735</v>
      </c>
      <c r="BD654" s="174">
        <f t="shared" si="274"/>
        <v>0</v>
      </c>
      <c r="BE654" s="175">
        <f t="shared" si="274"/>
        <v>0</v>
      </c>
      <c r="BF654" s="174">
        <f t="shared" si="274"/>
        <v>0</v>
      </c>
      <c r="BG654" s="175">
        <f t="shared" si="274"/>
        <v>0</v>
      </c>
      <c r="BH654" s="174">
        <f t="shared" si="274"/>
        <v>0</v>
      </c>
      <c r="BI654" s="175">
        <f t="shared" si="274"/>
        <v>0</v>
      </c>
      <c r="BJ654" s="174">
        <f t="shared" si="274"/>
        <v>0</v>
      </c>
      <c r="BK654" s="175">
        <f t="shared" si="274"/>
        <v>0</v>
      </c>
      <c r="BL654" s="174">
        <f t="shared" si="274"/>
        <v>6408</v>
      </c>
      <c r="BM654" s="175">
        <f t="shared" si="274"/>
        <v>7490</v>
      </c>
      <c r="BN654" s="174">
        <f t="shared" si="274"/>
        <v>0</v>
      </c>
      <c r="BO654" s="175">
        <f t="shared" si="274"/>
        <v>0</v>
      </c>
      <c r="BP654" s="174">
        <f t="shared" si="274"/>
        <v>0</v>
      </c>
      <c r="BQ654" s="175">
        <f t="shared" si="274"/>
        <v>0</v>
      </c>
      <c r="BR654" s="174">
        <f t="shared" ref="BR654:BW654" si="275">SUM(BR194:BR204)+SUM(BR209:BR225)+SUM(BR239:BR245)+SUM(BR255:BR263)+SUM(BR295:BR309)+SUM(BR421:BR423)+SUM(BR508)+SUM(BR524)+SUM(BR531)+SUM(BR534:BR546)+SUM(BR548:BR558)</f>
        <v>0</v>
      </c>
      <c r="BS654" s="175">
        <f t="shared" si="275"/>
        <v>0</v>
      </c>
      <c r="BT654" s="174">
        <f t="shared" si="275"/>
        <v>40968</v>
      </c>
      <c r="BU654" s="175">
        <f t="shared" si="275"/>
        <v>22561</v>
      </c>
      <c r="BV654" s="174">
        <f t="shared" si="275"/>
        <v>42432</v>
      </c>
      <c r="BW654" s="175">
        <f t="shared" si="275"/>
        <v>21227</v>
      </c>
    </row>
    <row r="655" spans="1:75" ht="13" x14ac:dyDescent="0.25">
      <c r="A655" s="196"/>
      <c r="B655" s="197" t="s">
        <v>676</v>
      </c>
      <c r="C655" s="90">
        <f>SUM(C226:C232)+SUM(C264:C274)+SUM(C352:C389)+SUM(C399:C400)+SUM(C425:C426)+SUM(C472:C477)+SUM(C510)+SUM(C512)+SUM(C515)+SUM(C517)+SUM(C521)+SUM(C525:C526)+SUM(C528)+SUM(C529)+SUM(C532)+SUM(C561:C563)</f>
        <v>87127</v>
      </c>
      <c r="D655" s="90">
        <f>SUM(D226:D232)+SUM(D264:D274)+SUM(D352:D389)+SUM(D399:D400)+SUM(D425:D426)+SUM(D472:D477)+SUM(D510)+SUM(D512)+SUM(D515)+SUM(D517)+SUM(D521)+SUM(D525:D526)+SUM(D528)+SUM(D529)+SUM(D532)+SUM(D561:D563)</f>
        <v>62198</v>
      </c>
      <c r="E655" s="145">
        <f t="shared" si="212"/>
        <v>0.71387744327246438</v>
      </c>
      <c r="F655" s="174">
        <f t="shared" ref="F655:AK655" si="276">SUM(F226:F232)+SUM(F264:F274)+SUM(F352:F389)+SUM(F399:F400)+SUM(F425:F426)+SUM(F472:F477)+SUM(F510)+SUM(F512)+SUM(F515)+SUM(F517)+SUM(F521)+SUM(F525:F526)+SUM(F528)+SUM(F529)+SUM(F532)+SUM(F561:F563)</f>
        <v>26529</v>
      </c>
      <c r="G655" s="175">
        <f t="shared" si="276"/>
        <v>32466</v>
      </c>
      <c r="H655" s="174">
        <f t="shared" si="276"/>
        <v>0</v>
      </c>
      <c r="I655" s="175">
        <f t="shared" si="276"/>
        <v>0</v>
      </c>
      <c r="J655" s="174">
        <f t="shared" si="276"/>
        <v>0</v>
      </c>
      <c r="K655" s="175">
        <f t="shared" si="276"/>
        <v>0</v>
      </c>
      <c r="L655" s="174">
        <f t="shared" si="276"/>
        <v>0</v>
      </c>
      <c r="M655" s="175">
        <f t="shared" si="276"/>
        <v>0</v>
      </c>
      <c r="N655" s="174">
        <f t="shared" si="276"/>
        <v>0</v>
      </c>
      <c r="O655" s="175">
        <f t="shared" si="276"/>
        <v>0</v>
      </c>
      <c r="P655" s="174">
        <f t="shared" si="276"/>
        <v>0</v>
      </c>
      <c r="Q655" s="175">
        <f t="shared" si="276"/>
        <v>0</v>
      </c>
      <c r="R655" s="174">
        <f t="shared" si="276"/>
        <v>0</v>
      </c>
      <c r="S655" s="175">
        <f t="shared" si="276"/>
        <v>0</v>
      </c>
      <c r="T655" s="174">
        <f t="shared" si="276"/>
        <v>0</v>
      </c>
      <c r="U655" s="175">
        <f t="shared" si="276"/>
        <v>0</v>
      </c>
      <c r="V655" s="174">
        <f t="shared" si="276"/>
        <v>0</v>
      </c>
      <c r="W655" s="175">
        <f t="shared" si="276"/>
        <v>0</v>
      </c>
      <c r="X655" s="174">
        <f t="shared" si="276"/>
        <v>0</v>
      </c>
      <c r="Y655" s="175">
        <f t="shared" si="276"/>
        <v>0</v>
      </c>
      <c r="Z655" s="174">
        <f t="shared" si="276"/>
        <v>0</v>
      </c>
      <c r="AA655" s="175">
        <f t="shared" si="276"/>
        <v>0</v>
      </c>
      <c r="AB655" s="174">
        <f t="shared" si="276"/>
        <v>0</v>
      </c>
      <c r="AC655" s="175">
        <f t="shared" si="276"/>
        <v>0</v>
      </c>
      <c r="AD655" s="174">
        <f t="shared" si="276"/>
        <v>1157</v>
      </c>
      <c r="AE655" s="175">
        <f t="shared" si="276"/>
        <v>495</v>
      </c>
      <c r="AF655" s="174">
        <f t="shared" si="276"/>
        <v>0</v>
      </c>
      <c r="AG655" s="175">
        <f t="shared" si="276"/>
        <v>0</v>
      </c>
      <c r="AH655" s="174">
        <f t="shared" si="276"/>
        <v>1245</v>
      </c>
      <c r="AI655" s="175">
        <f t="shared" si="276"/>
        <v>646</v>
      </c>
      <c r="AJ655" s="174">
        <f t="shared" si="276"/>
        <v>1286</v>
      </c>
      <c r="AK655" s="175">
        <f t="shared" si="276"/>
        <v>601</v>
      </c>
      <c r="AL655" s="174">
        <f t="shared" ref="AL655:BQ655" si="277">SUM(AL226:AL232)+SUM(AL264:AL274)+SUM(AL352:AL389)+SUM(AL399:AL400)+SUM(AL425:AL426)+SUM(AL472:AL477)+SUM(AL510)+SUM(AL512)+SUM(AL515)+SUM(AL517)+SUM(AL521)+SUM(AL525:AL526)+SUM(AL528)+SUM(AL529)+SUM(AL532)+SUM(AL561:AL563)</f>
        <v>0</v>
      </c>
      <c r="AM655" s="175">
        <f t="shared" si="277"/>
        <v>0</v>
      </c>
      <c r="AN655" s="174">
        <f t="shared" si="277"/>
        <v>0</v>
      </c>
      <c r="AO655" s="175">
        <f t="shared" si="277"/>
        <v>0</v>
      </c>
      <c r="AP655" s="174">
        <f t="shared" si="277"/>
        <v>0</v>
      </c>
      <c r="AQ655" s="175">
        <f t="shared" si="277"/>
        <v>0</v>
      </c>
      <c r="AR655" s="174">
        <f t="shared" si="277"/>
        <v>0</v>
      </c>
      <c r="AS655" s="175">
        <f t="shared" si="277"/>
        <v>0</v>
      </c>
      <c r="AT655" s="174">
        <f t="shared" si="277"/>
        <v>0</v>
      </c>
      <c r="AU655" s="175">
        <f t="shared" si="277"/>
        <v>0</v>
      </c>
      <c r="AV655" s="174">
        <f t="shared" si="277"/>
        <v>0</v>
      </c>
      <c r="AW655" s="175">
        <f t="shared" si="277"/>
        <v>0</v>
      </c>
      <c r="AX655" s="174">
        <f t="shared" si="277"/>
        <v>0</v>
      </c>
      <c r="AY655" s="175">
        <f t="shared" si="277"/>
        <v>0</v>
      </c>
      <c r="AZ655" s="174">
        <f t="shared" si="277"/>
        <v>3858</v>
      </c>
      <c r="BA655" s="175">
        <f t="shared" si="277"/>
        <v>3043</v>
      </c>
      <c r="BB655" s="174">
        <f t="shared" si="277"/>
        <v>0</v>
      </c>
      <c r="BC655" s="175">
        <f t="shared" si="277"/>
        <v>0</v>
      </c>
      <c r="BD655" s="174">
        <f t="shared" si="277"/>
        <v>966</v>
      </c>
      <c r="BE655" s="175">
        <f t="shared" si="277"/>
        <v>1622</v>
      </c>
      <c r="BF655" s="174">
        <f t="shared" si="277"/>
        <v>0</v>
      </c>
      <c r="BG655" s="175">
        <f t="shared" si="277"/>
        <v>0</v>
      </c>
      <c r="BH655" s="174">
        <f t="shared" si="277"/>
        <v>0</v>
      </c>
      <c r="BI655" s="175">
        <f t="shared" si="277"/>
        <v>0</v>
      </c>
      <c r="BJ655" s="174">
        <f t="shared" si="277"/>
        <v>3392</v>
      </c>
      <c r="BK655" s="175">
        <f t="shared" si="277"/>
        <v>4496</v>
      </c>
      <c r="BL655" s="174">
        <f t="shared" si="277"/>
        <v>945</v>
      </c>
      <c r="BM655" s="175">
        <f t="shared" si="277"/>
        <v>976</v>
      </c>
      <c r="BN655" s="174">
        <f t="shared" si="277"/>
        <v>0</v>
      </c>
      <c r="BO655" s="175">
        <f t="shared" si="277"/>
        <v>0</v>
      </c>
      <c r="BP655" s="174">
        <f t="shared" si="277"/>
        <v>0</v>
      </c>
      <c r="BQ655" s="175">
        <f t="shared" si="277"/>
        <v>0</v>
      </c>
      <c r="BR655" s="174">
        <f t="shared" ref="BR655:BW655" si="278">SUM(BR226:BR232)+SUM(BR264:BR274)+SUM(BR352:BR389)+SUM(BR399:BR400)+SUM(BR425:BR426)+SUM(BR472:BR477)+SUM(BR510)+SUM(BR512)+SUM(BR515)+SUM(BR517)+SUM(BR521)+SUM(BR525:BR526)+SUM(BR528)+SUM(BR529)+SUM(BR532)+SUM(BR561:BR563)</f>
        <v>0</v>
      </c>
      <c r="BS655" s="175">
        <f t="shared" si="278"/>
        <v>0</v>
      </c>
      <c r="BT655" s="174">
        <f t="shared" si="278"/>
        <v>31169</v>
      </c>
      <c r="BU655" s="175">
        <f t="shared" si="278"/>
        <v>27747</v>
      </c>
      <c r="BV655" s="174">
        <f t="shared" si="278"/>
        <v>33550</v>
      </c>
      <c r="BW655" s="175">
        <f t="shared" si="278"/>
        <v>25441</v>
      </c>
    </row>
    <row r="656" spans="1:75" ht="13" x14ac:dyDescent="0.25">
      <c r="A656" s="196"/>
      <c r="B656" s="197" t="s">
        <v>677</v>
      </c>
      <c r="C656" s="90">
        <f>SUM(C205:C208)+SUM(C401:C419)+SUM(C429:C471)+SUM(C484:C495)</f>
        <v>85412</v>
      </c>
      <c r="D656" s="90">
        <f>SUM(D205:D208)+SUM(D401:D419)+SUM(D429:D471)+SUM(D484:D495)</f>
        <v>66325</v>
      </c>
      <c r="E656" s="145">
        <f t="shared" si="212"/>
        <v>0.77653022994427012</v>
      </c>
      <c r="F656" s="174">
        <f t="shared" ref="F656:AK656" si="279">SUM(F205:F208)+SUM(F401:F419)+SUM(F429:F471)+SUM(F484:F495)</f>
        <v>22574</v>
      </c>
      <c r="G656" s="175">
        <f t="shared" si="279"/>
        <v>40477</v>
      </c>
      <c r="H656" s="174">
        <f t="shared" si="279"/>
        <v>1817</v>
      </c>
      <c r="I656" s="175">
        <f t="shared" si="279"/>
        <v>1803</v>
      </c>
      <c r="J656" s="174">
        <f t="shared" si="279"/>
        <v>0</v>
      </c>
      <c r="K656" s="175">
        <f t="shared" si="279"/>
        <v>0</v>
      </c>
      <c r="L656" s="174">
        <f t="shared" si="279"/>
        <v>0</v>
      </c>
      <c r="M656" s="175">
        <f t="shared" si="279"/>
        <v>0</v>
      </c>
      <c r="N656" s="174">
        <f t="shared" si="279"/>
        <v>0</v>
      </c>
      <c r="O656" s="175">
        <f t="shared" si="279"/>
        <v>0</v>
      </c>
      <c r="P656" s="174">
        <f t="shared" si="279"/>
        <v>0</v>
      </c>
      <c r="Q656" s="175">
        <f t="shared" si="279"/>
        <v>0</v>
      </c>
      <c r="R656" s="174">
        <f t="shared" si="279"/>
        <v>0</v>
      </c>
      <c r="S656" s="175">
        <f t="shared" si="279"/>
        <v>0</v>
      </c>
      <c r="T656" s="174">
        <f t="shared" si="279"/>
        <v>0</v>
      </c>
      <c r="U656" s="175">
        <f t="shared" si="279"/>
        <v>0</v>
      </c>
      <c r="V656" s="174">
        <f t="shared" si="279"/>
        <v>0</v>
      </c>
      <c r="W656" s="175">
        <f t="shared" si="279"/>
        <v>0</v>
      </c>
      <c r="X656" s="174">
        <f t="shared" si="279"/>
        <v>0</v>
      </c>
      <c r="Y656" s="175">
        <f t="shared" si="279"/>
        <v>0</v>
      </c>
      <c r="Z656" s="174">
        <f t="shared" si="279"/>
        <v>0</v>
      </c>
      <c r="AA656" s="175">
        <f t="shared" si="279"/>
        <v>0</v>
      </c>
      <c r="AB656" s="174">
        <f t="shared" si="279"/>
        <v>172</v>
      </c>
      <c r="AC656" s="175">
        <f t="shared" si="279"/>
        <v>123</v>
      </c>
      <c r="AD656" s="174">
        <f t="shared" si="279"/>
        <v>0</v>
      </c>
      <c r="AE656" s="175">
        <f t="shared" si="279"/>
        <v>0</v>
      </c>
      <c r="AF656" s="174">
        <f t="shared" si="279"/>
        <v>0</v>
      </c>
      <c r="AG656" s="175">
        <f t="shared" si="279"/>
        <v>0</v>
      </c>
      <c r="AH656" s="174">
        <f t="shared" si="279"/>
        <v>0</v>
      </c>
      <c r="AI656" s="175">
        <f t="shared" si="279"/>
        <v>0</v>
      </c>
      <c r="AJ656" s="174">
        <f t="shared" si="279"/>
        <v>0</v>
      </c>
      <c r="AK656" s="175">
        <f t="shared" si="279"/>
        <v>0</v>
      </c>
      <c r="AL656" s="174">
        <f t="shared" ref="AL656:BQ656" si="280">SUM(AL205:AL208)+SUM(AL401:AL419)+SUM(AL429:AL471)+SUM(AL484:AL495)</f>
        <v>401</v>
      </c>
      <c r="AM656" s="175">
        <f t="shared" si="280"/>
        <v>194</v>
      </c>
      <c r="AN656" s="174">
        <f t="shared" si="280"/>
        <v>269</v>
      </c>
      <c r="AO656" s="175">
        <f t="shared" si="280"/>
        <v>316</v>
      </c>
      <c r="AP656" s="174">
        <f t="shared" si="280"/>
        <v>0</v>
      </c>
      <c r="AQ656" s="175">
        <f t="shared" si="280"/>
        <v>0</v>
      </c>
      <c r="AR656" s="174">
        <f t="shared" si="280"/>
        <v>0</v>
      </c>
      <c r="AS656" s="175">
        <f t="shared" si="280"/>
        <v>0</v>
      </c>
      <c r="AT656" s="174">
        <f t="shared" si="280"/>
        <v>0</v>
      </c>
      <c r="AU656" s="175">
        <f t="shared" si="280"/>
        <v>0</v>
      </c>
      <c r="AV656" s="174">
        <f t="shared" si="280"/>
        <v>3263</v>
      </c>
      <c r="AW656" s="175">
        <f t="shared" si="280"/>
        <v>3805</v>
      </c>
      <c r="AX656" s="174">
        <f t="shared" si="280"/>
        <v>4306</v>
      </c>
      <c r="AY656" s="175">
        <f t="shared" si="280"/>
        <v>2740</v>
      </c>
      <c r="AZ656" s="174">
        <f t="shared" si="280"/>
        <v>0</v>
      </c>
      <c r="BA656" s="175">
        <f t="shared" si="280"/>
        <v>0</v>
      </c>
      <c r="BB656" s="174">
        <f t="shared" si="280"/>
        <v>0</v>
      </c>
      <c r="BC656" s="175">
        <f t="shared" si="280"/>
        <v>0</v>
      </c>
      <c r="BD656" s="174">
        <f t="shared" si="280"/>
        <v>0</v>
      </c>
      <c r="BE656" s="175">
        <f t="shared" si="280"/>
        <v>0</v>
      </c>
      <c r="BF656" s="174">
        <f t="shared" si="280"/>
        <v>0</v>
      </c>
      <c r="BG656" s="175">
        <f t="shared" si="280"/>
        <v>0</v>
      </c>
      <c r="BH656" s="174">
        <f t="shared" si="280"/>
        <v>0</v>
      </c>
      <c r="BI656" s="175">
        <f t="shared" si="280"/>
        <v>0</v>
      </c>
      <c r="BJ656" s="174">
        <f t="shared" si="280"/>
        <v>0</v>
      </c>
      <c r="BK656" s="175">
        <f t="shared" si="280"/>
        <v>0</v>
      </c>
      <c r="BL656" s="174">
        <f t="shared" si="280"/>
        <v>0</v>
      </c>
      <c r="BM656" s="175">
        <f t="shared" si="280"/>
        <v>0</v>
      </c>
      <c r="BN656" s="174">
        <f t="shared" si="280"/>
        <v>0</v>
      </c>
      <c r="BO656" s="175">
        <f t="shared" si="280"/>
        <v>0</v>
      </c>
      <c r="BP656" s="174">
        <f t="shared" si="280"/>
        <v>0</v>
      </c>
      <c r="BQ656" s="175">
        <f t="shared" si="280"/>
        <v>0</v>
      </c>
      <c r="BR656" s="174">
        <f t="shared" ref="BR656:BW656" si="281">SUM(BR205:BR208)+SUM(BR401:BR419)+SUM(BR429:BR471)+SUM(BR484:BR495)</f>
        <v>0</v>
      </c>
      <c r="BS656" s="175">
        <f t="shared" si="281"/>
        <v>0</v>
      </c>
      <c r="BT656" s="174">
        <f t="shared" si="281"/>
        <v>31357</v>
      </c>
      <c r="BU656" s="175">
        <f t="shared" si="281"/>
        <v>31219</v>
      </c>
      <c r="BV656" s="174">
        <f t="shared" si="281"/>
        <v>34588</v>
      </c>
      <c r="BW656" s="175">
        <f t="shared" si="281"/>
        <v>28111</v>
      </c>
    </row>
    <row r="657" spans="1:75" ht="13" x14ac:dyDescent="0.25">
      <c r="A657" s="196"/>
      <c r="B657" s="197" t="s">
        <v>678</v>
      </c>
      <c r="C657" s="90">
        <f>SUM(C28:C32)+C43+C48+SUM(C52:C53)+SUM(C66:C67)+SUM(C69:C86)+SUM(C88:C89)+C92+SUM(C105:C106)+SUM(C112:C118)+C122+C129+C132+SUM(C134:C135)+C176+SUM(C178:C179)+C182+SUM(C187:C188)+SUM(C191:C192)</f>
        <v>63612</v>
      </c>
      <c r="D657" s="90">
        <f>SUM(D28:D32)+D43+D48+SUM(D52:D53)+SUM(D66:D67)+SUM(D69:D86)+SUM(D88:D89)+D92+SUM(D105:D106)+SUM(D112:D118)+D122+D129+D132+SUM(D134:D135)+D176+SUM(D178:D179)+D182+SUM(D187:D188)+SUM(D191:D192)</f>
        <v>29519</v>
      </c>
      <c r="E657" s="145">
        <f t="shared" si="212"/>
        <v>0.4640476639627743</v>
      </c>
      <c r="F657" s="174">
        <f t="shared" ref="F657:AK657" si="282">SUM(F28:F32)+F43+F48+SUM(F52:F53)+SUM(F66:F67)+SUM(F69:F86)+SUM(F88:F89)+F92+SUM(F105:F106)+SUM(F112:F118)+F122+F129+F132+SUM(F134:F135)+F176+SUM(F178:F179)+F182+SUM(F187:F188)+SUM(F191:F192)</f>
        <v>21580</v>
      </c>
      <c r="G657" s="175">
        <f t="shared" si="282"/>
        <v>6264</v>
      </c>
      <c r="H657" s="174">
        <f t="shared" si="282"/>
        <v>0</v>
      </c>
      <c r="I657" s="175">
        <f t="shared" si="282"/>
        <v>0</v>
      </c>
      <c r="J657" s="174">
        <f t="shared" si="282"/>
        <v>0</v>
      </c>
      <c r="K657" s="175">
        <f t="shared" si="282"/>
        <v>0</v>
      </c>
      <c r="L657" s="174">
        <f t="shared" si="282"/>
        <v>0</v>
      </c>
      <c r="M657" s="175">
        <f t="shared" si="282"/>
        <v>0</v>
      </c>
      <c r="N657" s="174">
        <f t="shared" si="282"/>
        <v>0</v>
      </c>
      <c r="O657" s="175">
        <f t="shared" si="282"/>
        <v>0</v>
      </c>
      <c r="P657" s="174">
        <f t="shared" si="282"/>
        <v>0</v>
      </c>
      <c r="Q657" s="175">
        <f t="shared" si="282"/>
        <v>0</v>
      </c>
      <c r="R657" s="174">
        <f t="shared" si="282"/>
        <v>0</v>
      </c>
      <c r="S657" s="175">
        <f t="shared" si="282"/>
        <v>0</v>
      </c>
      <c r="T657" s="174">
        <f t="shared" si="282"/>
        <v>0</v>
      </c>
      <c r="U657" s="175">
        <f t="shared" si="282"/>
        <v>0</v>
      </c>
      <c r="V657" s="174">
        <f t="shared" si="282"/>
        <v>0</v>
      </c>
      <c r="W657" s="175">
        <f t="shared" si="282"/>
        <v>0</v>
      </c>
      <c r="X657" s="174">
        <f t="shared" si="282"/>
        <v>0</v>
      </c>
      <c r="Y657" s="175">
        <f t="shared" si="282"/>
        <v>0</v>
      </c>
      <c r="Z657" s="174">
        <f t="shared" si="282"/>
        <v>0</v>
      </c>
      <c r="AA657" s="175">
        <f t="shared" si="282"/>
        <v>0</v>
      </c>
      <c r="AB657" s="174">
        <f t="shared" si="282"/>
        <v>0</v>
      </c>
      <c r="AC657" s="175">
        <f t="shared" si="282"/>
        <v>0</v>
      </c>
      <c r="AD657" s="174">
        <f t="shared" si="282"/>
        <v>0</v>
      </c>
      <c r="AE657" s="175">
        <f t="shared" si="282"/>
        <v>0</v>
      </c>
      <c r="AF657" s="174">
        <f t="shared" si="282"/>
        <v>0</v>
      </c>
      <c r="AG657" s="175">
        <f t="shared" si="282"/>
        <v>0</v>
      </c>
      <c r="AH657" s="174">
        <f t="shared" si="282"/>
        <v>0</v>
      </c>
      <c r="AI657" s="175">
        <f t="shared" si="282"/>
        <v>0</v>
      </c>
      <c r="AJ657" s="174">
        <f t="shared" si="282"/>
        <v>0</v>
      </c>
      <c r="AK657" s="175">
        <f t="shared" si="282"/>
        <v>0</v>
      </c>
      <c r="AL657" s="174">
        <f t="shared" ref="AL657:BQ657" si="283">SUM(AL28:AL32)+AL43+AL48+SUM(AL52:AL53)+SUM(AL66:AL67)+SUM(AL69:AL86)+SUM(AL88:AL89)+AL92+SUM(AL105:AL106)+SUM(AL112:AL118)+AL122+AL129+AL132+SUM(AL134:AL135)+AL176+SUM(AL178:AL179)+AL182+SUM(AL187:AL188)+SUM(AL191:AL192)</f>
        <v>0</v>
      </c>
      <c r="AM657" s="175">
        <f t="shared" si="283"/>
        <v>0</v>
      </c>
      <c r="AN657" s="174">
        <f t="shared" si="283"/>
        <v>0</v>
      </c>
      <c r="AO657" s="175">
        <f t="shared" si="283"/>
        <v>0</v>
      </c>
      <c r="AP657" s="174">
        <f t="shared" si="283"/>
        <v>0</v>
      </c>
      <c r="AQ657" s="175">
        <f t="shared" si="283"/>
        <v>0</v>
      </c>
      <c r="AR657" s="174">
        <f t="shared" si="283"/>
        <v>0</v>
      </c>
      <c r="AS657" s="175">
        <f t="shared" si="283"/>
        <v>0</v>
      </c>
      <c r="AT657" s="174">
        <f t="shared" si="283"/>
        <v>0</v>
      </c>
      <c r="AU657" s="175">
        <f t="shared" si="283"/>
        <v>0</v>
      </c>
      <c r="AV657" s="174">
        <f t="shared" si="283"/>
        <v>0</v>
      </c>
      <c r="AW657" s="175">
        <f t="shared" si="283"/>
        <v>0</v>
      </c>
      <c r="AX657" s="174">
        <f t="shared" si="283"/>
        <v>0</v>
      </c>
      <c r="AY657" s="175">
        <f t="shared" si="283"/>
        <v>0</v>
      </c>
      <c r="AZ657" s="174">
        <f t="shared" si="283"/>
        <v>0</v>
      </c>
      <c r="BA657" s="175">
        <f t="shared" si="283"/>
        <v>0</v>
      </c>
      <c r="BB657" s="174">
        <f t="shared" si="283"/>
        <v>0</v>
      </c>
      <c r="BC657" s="175">
        <f t="shared" si="283"/>
        <v>0</v>
      </c>
      <c r="BD657" s="174">
        <f t="shared" si="283"/>
        <v>0</v>
      </c>
      <c r="BE657" s="175">
        <f t="shared" si="283"/>
        <v>0</v>
      </c>
      <c r="BF657" s="174">
        <f t="shared" si="283"/>
        <v>0</v>
      </c>
      <c r="BG657" s="175">
        <f t="shared" si="283"/>
        <v>0</v>
      </c>
      <c r="BH657" s="174">
        <f t="shared" si="283"/>
        <v>0</v>
      </c>
      <c r="BI657" s="175">
        <f t="shared" si="283"/>
        <v>0</v>
      </c>
      <c r="BJ657" s="174">
        <f t="shared" si="283"/>
        <v>0</v>
      </c>
      <c r="BK657" s="175">
        <f t="shared" si="283"/>
        <v>0</v>
      </c>
      <c r="BL657" s="174">
        <f t="shared" si="283"/>
        <v>0</v>
      </c>
      <c r="BM657" s="175">
        <f t="shared" si="283"/>
        <v>0</v>
      </c>
      <c r="BN657" s="174">
        <f t="shared" si="283"/>
        <v>0</v>
      </c>
      <c r="BO657" s="175">
        <f t="shared" si="283"/>
        <v>0</v>
      </c>
      <c r="BP657" s="174">
        <f t="shared" si="283"/>
        <v>0</v>
      </c>
      <c r="BQ657" s="175">
        <f t="shared" si="283"/>
        <v>0</v>
      </c>
      <c r="BR657" s="174">
        <f t="shared" ref="BR657:BW657" si="284">SUM(BR28:BR32)+BR43+BR48+SUM(BR52:BR53)+SUM(BR66:BR67)+SUM(BR69:BR86)+SUM(BR88:BR89)+BR92+SUM(BR105:BR106)+SUM(BR112:BR118)+BR122+BR129+BR132+SUM(BR134:BR135)+BR176+SUM(BR178:BR179)+BR182+SUM(BR187:BR188)+SUM(BR191:BR192)</f>
        <v>0</v>
      </c>
      <c r="BS657" s="175">
        <f t="shared" si="284"/>
        <v>0</v>
      </c>
      <c r="BT657" s="174">
        <f t="shared" si="284"/>
        <v>21739</v>
      </c>
      <c r="BU657" s="175">
        <f t="shared" si="284"/>
        <v>6002</v>
      </c>
      <c r="BV657" s="174">
        <f t="shared" si="284"/>
        <v>22485</v>
      </c>
      <c r="BW657" s="175">
        <f t="shared" si="284"/>
        <v>5204</v>
      </c>
    </row>
    <row r="658" spans="1:75" ht="13" x14ac:dyDescent="0.25">
      <c r="A658" s="196"/>
      <c r="B658" s="197" t="s">
        <v>679</v>
      </c>
      <c r="C658" s="90">
        <f>SUM(C17:C18)+C20+C22+SUM(C24:C25)+SUM(C55:C61)+C64+C87+SUM(C90:C91)+C93+SUM(C94:C102)+SUM(C103:C104)+SUM(C107:C111)+C133+SUM(C136:C141)+SUM(C144:C149)+SUM(C151:C153)+SUM(C154:C155)+SUM(C158:C159)+SUM(C161:C162)+C175+C177+SUM(C180:C181)+SUM(C183:C185)+C189+SUM(C391:C395)+C420+SUM(C498:C501)</f>
        <v>78207</v>
      </c>
      <c r="D658" s="90">
        <f>SUM(D17:D18)+D20+D22+SUM(D24:D25)+SUM(D55:D61)+D64+D87+SUM(D90:D91)+D93+SUM(D94:D102)+SUM(D103:D104)+SUM(D107:D111)+D133+SUM(D136:D141)+SUM(D144:D149)+SUM(D151:D153)+SUM(D154:D155)+SUM(D158:D159)+SUM(D161:D162)+D175+D177+SUM(D180:D181)+SUM(D183:D185)+D189+SUM(D391:D395)+D420+SUM(D498:D501)</f>
        <v>49495</v>
      </c>
      <c r="E658" s="145">
        <f t="shared" si="212"/>
        <v>0.63287173782397999</v>
      </c>
      <c r="F658" s="174">
        <f t="shared" ref="F658:AK658" si="285">SUM(F17:F18)+F20+F22+SUM(F24:F25)+SUM(F55:F61)+F64+F87+SUM(F90:F91)+F93+SUM(F94:F102)+SUM(F103:F104)+SUM(F107:F111)+F133+SUM(F136:F141)+SUM(F144:F149)+SUM(F151:F153)+SUM(F154:F155)+SUM(F158:F159)+SUM(F161:F162)+F175+F177+SUM(F180:F181)+SUM(F183:F185)+F189+SUM(F391:F395)+F420+SUM(F498:F501)</f>
        <v>36040</v>
      </c>
      <c r="G658" s="175">
        <f t="shared" si="285"/>
        <v>11392</v>
      </c>
      <c r="H658" s="174">
        <f t="shared" si="285"/>
        <v>0</v>
      </c>
      <c r="I658" s="175">
        <f t="shared" si="285"/>
        <v>0</v>
      </c>
      <c r="J658" s="174">
        <f t="shared" si="285"/>
        <v>0</v>
      </c>
      <c r="K658" s="175">
        <f t="shared" si="285"/>
        <v>0</v>
      </c>
      <c r="L658" s="174">
        <f t="shared" si="285"/>
        <v>680</v>
      </c>
      <c r="M658" s="175">
        <f t="shared" si="285"/>
        <v>143</v>
      </c>
      <c r="N658" s="174">
        <f t="shared" si="285"/>
        <v>0</v>
      </c>
      <c r="O658" s="175">
        <f t="shared" si="285"/>
        <v>0</v>
      </c>
      <c r="P658" s="174">
        <f t="shared" si="285"/>
        <v>0</v>
      </c>
      <c r="Q658" s="175">
        <f t="shared" si="285"/>
        <v>0</v>
      </c>
      <c r="R658" s="174">
        <f t="shared" si="285"/>
        <v>0</v>
      </c>
      <c r="S658" s="175">
        <f t="shared" si="285"/>
        <v>0</v>
      </c>
      <c r="T658" s="174">
        <f t="shared" si="285"/>
        <v>0</v>
      </c>
      <c r="U658" s="175">
        <f t="shared" si="285"/>
        <v>0</v>
      </c>
      <c r="V658" s="174">
        <f t="shared" si="285"/>
        <v>0</v>
      </c>
      <c r="W658" s="175">
        <f t="shared" si="285"/>
        <v>0</v>
      </c>
      <c r="X658" s="174">
        <f t="shared" si="285"/>
        <v>0</v>
      </c>
      <c r="Y658" s="175">
        <f t="shared" si="285"/>
        <v>0</v>
      </c>
      <c r="Z658" s="174">
        <f t="shared" si="285"/>
        <v>0</v>
      </c>
      <c r="AA658" s="175">
        <f t="shared" si="285"/>
        <v>0</v>
      </c>
      <c r="AB658" s="174">
        <f t="shared" si="285"/>
        <v>0</v>
      </c>
      <c r="AC658" s="175">
        <f t="shared" si="285"/>
        <v>0</v>
      </c>
      <c r="AD658" s="174">
        <f t="shared" si="285"/>
        <v>0</v>
      </c>
      <c r="AE658" s="175">
        <f t="shared" si="285"/>
        <v>0</v>
      </c>
      <c r="AF658" s="174">
        <f t="shared" si="285"/>
        <v>0</v>
      </c>
      <c r="AG658" s="175">
        <f t="shared" si="285"/>
        <v>0</v>
      </c>
      <c r="AH658" s="174">
        <f t="shared" si="285"/>
        <v>0</v>
      </c>
      <c r="AI658" s="175">
        <f t="shared" si="285"/>
        <v>0</v>
      </c>
      <c r="AJ658" s="174">
        <f t="shared" si="285"/>
        <v>0</v>
      </c>
      <c r="AK658" s="175">
        <f t="shared" si="285"/>
        <v>0</v>
      </c>
      <c r="AL658" s="174">
        <f t="shared" ref="AL658:BQ658" si="286">SUM(AL17:AL18)+AL20+AL22+SUM(AL24:AL25)+SUM(AL55:AL61)+AL64+AL87+SUM(AL90:AL91)+AL93+SUM(AL94:AL102)+SUM(AL103:AL104)+SUM(AL107:AL111)+AL133+SUM(AL136:AL141)+SUM(AL144:AL149)+SUM(AL151:AL153)+SUM(AL154:AL155)+SUM(AL158:AL159)+SUM(AL161:AL162)+AL175+AL177+SUM(AL180:AL181)+SUM(AL183:AL185)+AL189+SUM(AL391:AL395)+AL420+SUM(AL498:AL501)</f>
        <v>0</v>
      </c>
      <c r="AM658" s="175">
        <f t="shared" si="286"/>
        <v>0</v>
      </c>
      <c r="AN658" s="174">
        <f t="shared" si="286"/>
        <v>0</v>
      </c>
      <c r="AO658" s="175">
        <f t="shared" si="286"/>
        <v>0</v>
      </c>
      <c r="AP658" s="174">
        <f t="shared" si="286"/>
        <v>0</v>
      </c>
      <c r="AQ658" s="175">
        <f t="shared" si="286"/>
        <v>0</v>
      </c>
      <c r="AR658" s="174">
        <f t="shared" si="286"/>
        <v>0</v>
      </c>
      <c r="AS658" s="175">
        <f t="shared" si="286"/>
        <v>0</v>
      </c>
      <c r="AT658" s="174">
        <f t="shared" si="286"/>
        <v>0</v>
      </c>
      <c r="AU658" s="175">
        <f t="shared" si="286"/>
        <v>0</v>
      </c>
      <c r="AV658" s="174">
        <f t="shared" si="286"/>
        <v>0</v>
      </c>
      <c r="AW658" s="175">
        <f t="shared" si="286"/>
        <v>0</v>
      </c>
      <c r="AX658" s="174">
        <f t="shared" si="286"/>
        <v>0</v>
      </c>
      <c r="AY658" s="175">
        <f t="shared" si="286"/>
        <v>0</v>
      </c>
      <c r="AZ658" s="174">
        <f t="shared" si="286"/>
        <v>0</v>
      </c>
      <c r="BA658" s="175">
        <f t="shared" si="286"/>
        <v>0</v>
      </c>
      <c r="BB658" s="174">
        <f t="shared" si="286"/>
        <v>0</v>
      </c>
      <c r="BC658" s="175">
        <f t="shared" si="286"/>
        <v>0</v>
      </c>
      <c r="BD658" s="174">
        <f t="shared" si="286"/>
        <v>0</v>
      </c>
      <c r="BE658" s="175">
        <f t="shared" si="286"/>
        <v>0</v>
      </c>
      <c r="BF658" s="174">
        <f t="shared" si="286"/>
        <v>0</v>
      </c>
      <c r="BG658" s="175">
        <f t="shared" si="286"/>
        <v>0</v>
      </c>
      <c r="BH658" s="174">
        <f t="shared" si="286"/>
        <v>0</v>
      </c>
      <c r="BI658" s="175">
        <f t="shared" si="286"/>
        <v>0</v>
      </c>
      <c r="BJ658" s="174">
        <f t="shared" si="286"/>
        <v>0</v>
      </c>
      <c r="BK658" s="175">
        <f t="shared" si="286"/>
        <v>0</v>
      </c>
      <c r="BL658" s="174">
        <f t="shared" si="286"/>
        <v>0</v>
      </c>
      <c r="BM658" s="175">
        <f t="shared" si="286"/>
        <v>0</v>
      </c>
      <c r="BN658" s="174">
        <f t="shared" si="286"/>
        <v>0</v>
      </c>
      <c r="BO658" s="175">
        <f t="shared" si="286"/>
        <v>0</v>
      </c>
      <c r="BP658" s="174">
        <f t="shared" si="286"/>
        <v>0</v>
      </c>
      <c r="BQ658" s="175">
        <f t="shared" si="286"/>
        <v>0</v>
      </c>
      <c r="BR658" s="174">
        <f t="shared" ref="BR658:BW658" si="287">SUM(BR17:BR18)+BR20+BR22+SUM(BR24:BR25)+SUM(BR55:BR61)+BR64+BR87+SUM(BR90:BR91)+BR93+SUM(BR94:BR102)+SUM(BR103:BR104)+SUM(BR107:BR111)+BR133+SUM(BR136:BR141)+SUM(BR144:BR149)+SUM(BR151:BR153)+SUM(BR154:BR155)+SUM(BR158:BR159)+SUM(BR161:BR162)+BR175+BR177+SUM(BR180:BR181)+SUM(BR183:BR185)+BR189+SUM(BR391:BR395)+BR420+SUM(BR498:BR501)</f>
        <v>1307</v>
      </c>
      <c r="BS658" s="175">
        <f t="shared" si="287"/>
        <v>329</v>
      </c>
      <c r="BT658" s="174">
        <f t="shared" si="287"/>
        <v>36293</v>
      </c>
      <c r="BU658" s="175">
        <f t="shared" si="287"/>
        <v>10984</v>
      </c>
      <c r="BV658" s="174">
        <f t="shared" si="287"/>
        <v>37501</v>
      </c>
      <c r="BW658" s="175">
        <f t="shared" si="287"/>
        <v>9763</v>
      </c>
    </row>
    <row r="659" spans="1:75" ht="13" x14ac:dyDescent="0.25">
      <c r="A659" s="196"/>
      <c r="B659" s="197" t="s">
        <v>680</v>
      </c>
      <c r="C659" s="90">
        <f>SUM(C62:C63)+C65+SUM(C142:C143)+C150+SUM(C156:C157)+C160+SUM(C213:C225)+SUM(C264:C274)+SUM(C310:C314)+SUM(C315:C318)+C351+SUM(C427:C428)+SUM(C472:C474)+SUM(C478:C481)+SUM(C502:C504)+SUM(C505:C507)+SUM(C509:C523)+SUM(C525:C532)+SUM(C564:C565)</f>
        <v>85058</v>
      </c>
      <c r="D659" s="90">
        <f>SUM(D62:D63)+D65+SUM(D142:D143)+D150+SUM(D156:D157)+D160+SUM(D213:D225)+SUM(D264:D274)+SUM(D310:D314)+SUM(D315:D318)+D351+SUM(D427:D428)+SUM(D472:D474)+SUM(D478:D481)+SUM(D502:D504)+SUM(D505:D507)+SUM(D509:D523)+SUM(D525:D532)+SUM(D564:D565)</f>
        <v>58153</v>
      </c>
      <c r="E659" s="145">
        <f t="shared" si="212"/>
        <v>0.68368642573302918</v>
      </c>
      <c r="F659" s="174">
        <f t="shared" ref="F659:AK659" si="288">SUM(F62:F63)+F65+SUM(F142:F143)+F150+SUM(F156:F157)+F160+SUM(F213:F225)+SUM(F264:F274)+SUM(F310:F314)+SUM(F315:F318)+F351+SUM(F427:F428)+SUM(F472:F474)+SUM(F478:F481)+SUM(F502:F504)+SUM(F505:F507)+SUM(F509:F523)+SUM(F525:F532)+SUM(F564:F565)</f>
        <v>36602</v>
      </c>
      <c r="G659" s="175">
        <f t="shared" si="288"/>
        <v>18687</v>
      </c>
      <c r="H659" s="174">
        <f t="shared" si="288"/>
        <v>0</v>
      </c>
      <c r="I659" s="175">
        <f t="shared" si="288"/>
        <v>0</v>
      </c>
      <c r="J659" s="174">
        <f t="shared" si="288"/>
        <v>0</v>
      </c>
      <c r="K659" s="175">
        <f t="shared" si="288"/>
        <v>0</v>
      </c>
      <c r="L659" s="174">
        <f t="shared" si="288"/>
        <v>0</v>
      </c>
      <c r="M659" s="175">
        <f t="shared" si="288"/>
        <v>0</v>
      </c>
      <c r="N659" s="174">
        <f t="shared" si="288"/>
        <v>0</v>
      </c>
      <c r="O659" s="175">
        <f t="shared" si="288"/>
        <v>0</v>
      </c>
      <c r="P659" s="174">
        <f t="shared" si="288"/>
        <v>0</v>
      </c>
      <c r="Q659" s="175">
        <f t="shared" si="288"/>
        <v>0</v>
      </c>
      <c r="R659" s="174">
        <f t="shared" si="288"/>
        <v>0</v>
      </c>
      <c r="S659" s="175">
        <f t="shared" si="288"/>
        <v>0</v>
      </c>
      <c r="T659" s="174">
        <f t="shared" si="288"/>
        <v>0</v>
      </c>
      <c r="U659" s="175">
        <f t="shared" si="288"/>
        <v>0</v>
      </c>
      <c r="V659" s="174">
        <f t="shared" si="288"/>
        <v>0</v>
      </c>
      <c r="W659" s="175">
        <f t="shared" si="288"/>
        <v>0</v>
      </c>
      <c r="X659" s="174">
        <f t="shared" si="288"/>
        <v>0</v>
      </c>
      <c r="Y659" s="175">
        <f t="shared" si="288"/>
        <v>0</v>
      </c>
      <c r="Z659" s="174">
        <f t="shared" si="288"/>
        <v>0</v>
      </c>
      <c r="AA659" s="175">
        <f t="shared" si="288"/>
        <v>0</v>
      </c>
      <c r="AB659" s="174">
        <f t="shared" si="288"/>
        <v>0</v>
      </c>
      <c r="AC659" s="175">
        <f t="shared" si="288"/>
        <v>0</v>
      </c>
      <c r="AD659" s="174">
        <f t="shared" si="288"/>
        <v>0</v>
      </c>
      <c r="AE659" s="175">
        <f t="shared" si="288"/>
        <v>0</v>
      </c>
      <c r="AF659" s="174">
        <f t="shared" si="288"/>
        <v>884</v>
      </c>
      <c r="AG659" s="175">
        <f t="shared" si="288"/>
        <v>788</v>
      </c>
      <c r="AH659" s="174">
        <f t="shared" si="288"/>
        <v>1245</v>
      </c>
      <c r="AI659" s="175">
        <f t="shared" si="288"/>
        <v>646</v>
      </c>
      <c r="AJ659" s="174">
        <f t="shared" si="288"/>
        <v>1286</v>
      </c>
      <c r="AK659" s="175">
        <f t="shared" si="288"/>
        <v>601</v>
      </c>
      <c r="AL659" s="174">
        <f t="shared" ref="AL659:BQ659" si="289">SUM(AL62:AL63)+AL65+SUM(AL142:AL143)+AL150+SUM(AL156:AL157)+AL160+SUM(AL213:AL225)+SUM(AL264:AL274)+SUM(AL310:AL314)+SUM(AL315:AL318)+AL351+SUM(AL427:AL428)+SUM(AL472:AL474)+SUM(AL478:AL481)+SUM(AL502:AL504)+SUM(AL505:AL507)+SUM(AL509:AL523)+SUM(AL525:AL532)+SUM(AL564:AL565)</f>
        <v>0</v>
      </c>
      <c r="AM659" s="175">
        <f t="shared" si="289"/>
        <v>0</v>
      </c>
      <c r="AN659" s="174">
        <f t="shared" si="289"/>
        <v>0</v>
      </c>
      <c r="AO659" s="175">
        <f t="shared" si="289"/>
        <v>0</v>
      </c>
      <c r="AP659" s="174">
        <f t="shared" si="289"/>
        <v>1144</v>
      </c>
      <c r="AQ659" s="175">
        <f t="shared" si="289"/>
        <v>473</v>
      </c>
      <c r="AR659" s="174">
        <f t="shared" si="289"/>
        <v>1094</v>
      </c>
      <c r="AS659" s="175">
        <f t="shared" si="289"/>
        <v>456</v>
      </c>
      <c r="AT659" s="174">
        <f t="shared" si="289"/>
        <v>0</v>
      </c>
      <c r="AU659" s="175">
        <f t="shared" si="289"/>
        <v>0</v>
      </c>
      <c r="AV659" s="174">
        <f t="shared" si="289"/>
        <v>0</v>
      </c>
      <c r="AW659" s="175">
        <f t="shared" si="289"/>
        <v>0</v>
      </c>
      <c r="AX659" s="174">
        <f t="shared" si="289"/>
        <v>0</v>
      </c>
      <c r="AY659" s="175">
        <f t="shared" si="289"/>
        <v>0</v>
      </c>
      <c r="AZ659" s="174">
        <f t="shared" si="289"/>
        <v>9528</v>
      </c>
      <c r="BA659" s="175">
        <f t="shared" si="289"/>
        <v>7344</v>
      </c>
      <c r="BB659" s="174">
        <f t="shared" si="289"/>
        <v>0</v>
      </c>
      <c r="BC659" s="175">
        <f t="shared" si="289"/>
        <v>0</v>
      </c>
      <c r="BD659" s="174">
        <f t="shared" si="289"/>
        <v>0</v>
      </c>
      <c r="BE659" s="175">
        <f t="shared" si="289"/>
        <v>0</v>
      </c>
      <c r="BF659" s="174">
        <f t="shared" si="289"/>
        <v>0</v>
      </c>
      <c r="BG659" s="175">
        <f t="shared" si="289"/>
        <v>0</v>
      </c>
      <c r="BH659" s="174">
        <f t="shared" si="289"/>
        <v>0</v>
      </c>
      <c r="BI659" s="175">
        <f t="shared" si="289"/>
        <v>0</v>
      </c>
      <c r="BJ659" s="174">
        <f t="shared" si="289"/>
        <v>3555</v>
      </c>
      <c r="BK659" s="175">
        <f t="shared" si="289"/>
        <v>4117</v>
      </c>
      <c r="BL659" s="174">
        <f t="shared" si="289"/>
        <v>1836</v>
      </c>
      <c r="BM659" s="175">
        <f t="shared" si="289"/>
        <v>1094</v>
      </c>
      <c r="BN659" s="174">
        <f t="shared" si="289"/>
        <v>3854</v>
      </c>
      <c r="BO659" s="175">
        <f t="shared" si="289"/>
        <v>1742</v>
      </c>
      <c r="BP659" s="174">
        <f t="shared" si="289"/>
        <v>0</v>
      </c>
      <c r="BQ659" s="175">
        <f t="shared" si="289"/>
        <v>0</v>
      </c>
      <c r="BR659" s="174">
        <f t="shared" ref="BR659:BW659" si="290">SUM(BR62:BR63)+BR65+SUM(BR142:BR143)+BR150+SUM(BR156:BR157)+BR160+SUM(BR213:BR225)+SUM(BR264:BR274)+SUM(BR310:BR314)+SUM(BR315:BR318)+BR351+SUM(BR427:BR428)+SUM(BR472:BR474)+SUM(BR478:BR481)+SUM(BR502:BR504)+SUM(BR505:BR507)+SUM(BR509:BR523)+SUM(BR525:BR532)+SUM(BR564:BR565)</f>
        <v>0</v>
      </c>
      <c r="BS659" s="175">
        <f t="shared" si="290"/>
        <v>0</v>
      </c>
      <c r="BT659" s="174">
        <f t="shared" si="290"/>
        <v>37814</v>
      </c>
      <c r="BU659" s="175">
        <f t="shared" si="290"/>
        <v>17550</v>
      </c>
      <c r="BV659" s="174">
        <f t="shared" si="290"/>
        <v>39125</v>
      </c>
      <c r="BW659" s="175">
        <f t="shared" si="290"/>
        <v>16308</v>
      </c>
    </row>
    <row r="660" spans="1:75" ht="13" x14ac:dyDescent="0.25">
      <c r="A660" s="196"/>
      <c r="B660" s="197" t="s">
        <v>681</v>
      </c>
      <c r="C660" s="90">
        <f>SUM(C4:C16)+C19+C21+C23+C26+C27+SUM(C33:C42)+SUM(C44:C47)+SUM(C49:C51)+C54+C68+SUM(C275:C286)+SUM(C319:C350)+C396+C424+SUM(C482:C483)+SUM(C496:C497)</f>
        <v>100772</v>
      </c>
      <c r="D660" s="90">
        <f>SUM(D4:D16)+D19+D21+D23+D26+D27+SUM(D33:D42)+SUM(D44:D47)+SUM(D49:D51)+D54+D68+SUM(D275:D286)+SUM(D319:D350)+D396+D424+SUM(D482:D483)+SUM(D496:D497)</f>
        <v>75367</v>
      </c>
      <c r="E660" s="145">
        <f t="shared" si="212"/>
        <v>0.74789624101933072</v>
      </c>
      <c r="F660" s="174">
        <f t="shared" ref="F660:AK660" si="291">SUM(F4:F16)+F19+F21+F23+F26+F27+SUM(F33:F42)+SUM(F44:F47)+SUM(F49:F51)+F54+F68+SUM(F275:F286)+SUM(F319:F350)+F396+F424+SUM(F482:F483)+SUM(F496:F497)</f>
        <v>40637</v>
      </c>
      <c r="G660" s="175">
        <f t="shared" si="291"/>
        <v>31395</v>
      </c>
      <c r="H660" s="174">
        <f t="shared" si="291"/>
        <v>0</v>
      </c>
      <c r="I660" s="175">
        <f t="shared" si="291"/>
        <v>0</v>
      </c>
      <c r="J660" s="174">
        <f t="shared" si="291"/>
        <v>723</v>
      </c>
      <c r="K660" s="175">
        <f t="shared" si="291"/>
        <v>146</v>
      </c>
      <c r="L660" s="174">
        <f t="shared" si="291"/>
        <v>0</v>
      </c>
      <c r="M660" s="175">
        <f t="shared" si="291"/>
        <v>0</v>
      </c>
      <c r="N660" s="174">
        <f t="shared" si="291"/>
        <v>895</v>
      </c>
      <c r="O660" s="175">
        <f t="shared" si="291"/>
        <v>188</v>
      </c>
      <c r="P660" s="174">
        <f t="shared" si="291"/>
        <v>0</v>
      </c>
      <c r="Q660" s="175">
        <f t="shared" si="291"/>
        <v>0</v>
      </c>
      <c r="R660" s="174">
        <f t="shared" si="291"/>
        <v>0</v>
      </c>
      <c r="S660" s="175">
        <f t="shared" si="291"/>
        <v>0</v>
      </c>
      <c r="T660" s="174">
        <f t="shared" si="291"/>
        <v>0</v>
      </c>
      <c r="U660" s="175">
        <f t="shared" si="291"/>
        <v>0</v>
      </c>
      <c r="V660" s="174">
        <f t="shared" si="291"/>
        <v>0</v>
      </c>
      <c r="W660" s="175">
        <f t="shared" si="291"/>
        <v>0</v>
      </c>
      <c r="X660" s="174">
        <f t="shared" si="291"/>
        <v>658</v>
      </c>
      <c r="Y660" s="175">
        <f t="shared" si="291"/>
        <v>113</v>
      </c>
      <c r="Z660" s="174">
        <f t="shared" si="291"/>
        <v>0</v>
      </c>
      <c r="AA660" s="175">
        <f t="shared" si="291"/>
        <v>0</v>
      </c>
      <c r="AB660" s="174">
        <f t="shared" si="291"/>
        <v>0</v>
      </c>
      <c r="AC660" s="175">
        <f t="shared" si="291"/>
        <v>0</v>
      </c>
      <c r="AD660" s="174">
        <f t="shared" si="291"/>
        <v>0</v>
      </c>
      <c r="AE660" s="175">
        <f t="shared" si="291"/>
        <v>0</v>
      </c>
      <c r="AF660" s="174">
        <f t="shared" si="291"/>
        <v>0</v>
      </c>
      <c r="AG660" s="175">
        <f t="shared" si="291"/>
        <v>0</v>
      </c>
      <c r="AH660" s="174">
        <f t="shared" si="291"/>
        <v>0</v>
      </c>
      <c r="AI660" s="175">
        <f t="shared" si="291"/>
        <v>0</v>
      </c>
      <c r="AJ660" s="174">
        <f t="shared" si="291"/>
        <v>0</v>
      </c>
      <c r="AK660" s="175">
        <f t="shared" si="291"/>
        <v>0</v>
      </c>
      <c r="AL660" s="174">
        <f t="shared" ref="AL660:BQ660" si="292">SUM(AL4:AL16)+AL19+AL21+AL23+AL26+AL27+SUM(AL33:AL42)+SUM(AL44:AL47)+SUM(AL49:AL51)+AL54+AL68+SUM(AL275:AL286)+SUM(AL319:AL350)+AL396+AL424+SUM(AL482:AL483)+SUM(AL496:AL497)</f>
        <v>0</v>
      </c>
      <c r="AM660" s="175">
        <f t="shared" si="292"/>
        <v>0</v>
      </c>
      <c r="AN660" s="174">
        <f t="shared" si="292"/>
        <v>0</v>
      </c>
      <c r="AO660" s="175">
        <f t="shared" si="292"/>
        <v>0</v>
      </c>
      <c r="AP660" s="174">
        <f t="shared" si="292"/>
        <v>0</v>
      </c>
      <c r="AQ660" s="175">
        <f t="shared" si="292"/>
        <v>0</v>
      </c>
      <c r="AR660" s="174">
        <f t="shared" si="292"/>
        <v>0</v>
      </c>
      <c r="AS660" s="175">
        <f t="shared" si="292"/>
        <v>0</v>
      </c>
      <c r="AT660" s="174">
        <f t="shared" si="292"/>
        <v>13899</v>
      </c>
      <c r="AU660" s="175">
        <f t="shared" si="292"/>
        <v>13501</v>
      </c>
      <c r="AV660" s="174">
        <f t="shared" si="292"/>
        <v>0</v>
      </c>
      <c r="AW660" s="175">
        <f t="shared" si="292"/>
        <v>0</v>
      </c>
      <c r="AX660" s="174">
        <f t="shared" si="292"/>
        <v>0</v>
      </c>
      <c r="AY660" s="175">
        <f t="shared" si="292"/>
        <v>0</v>
      </c>
      <c r="AZ660" s="174">
        <f t="shared" si="292"/>
        <v>0</v>
      </c>
      <c r="BA660" s="175">
        <f t="shared" si="292"/>
        <v>0</v>
      </c>
      <c r="BB660" s="174">
        <f t="shared" si="292"/>
        <v>0</v>
      </c>
      <c r="BC660" s="175">
        <f t="shared" si="292"/>
        <v>0</v>
      </c>
      <c r="BD660" s="174">
        <f t="shared" si="292"/>
        <v>0</v>
      </c>
      <c r="BE660" s="175">
        <f t="shared" si="292"/>
        <v>0</v>
      </c>
      <c r="BF660" s="174">
        <f t="shared" si="292"/>
        <v>2250</v>
      </c>
      <c r="BG660" s="175">
        <f t="shared" si="292"/>
        <v>1538</v>
      </c>
      <c r="BH660" s="174">
        <f t="shared" si="292"/>
        <v>0</v>
      </c>
      <c r="BI660" s="175">
        <f t="shared" si="292"/>
        <v>0</v>
      </c>
      <c r="BJ660" s="174">
        <f t="shared" si="292"/>
        <v>0</v>
      </c>
      <c r="BK660" s="175">
        <f t="shared" si="292"/>
        <v>0</v>
      </c>
      <c r="BL660" s="174">
        <f t="shared" si="292"/>
        <v>0</v>
      </c>
      <c r="BM660" s="175">
        <f t="shared" si="292"/>
        <v>0</v>
      </c>
      <c r="BN660" s="174">
        <f t="shared" si="292"/>
        <v>0</v>
      </c>
      <c r="BO660" s="175">
        <f t="shared" si="292"/>
        <v>0</v>
      </c>
      <c r="BP660" s="174">
        <f t="shared" si="292"/>
        <v>13437</v>
      </c>
      <c r="BQ660" s="175">
        <f t="shared" si="292"/>
        <v>14024</v>
      </c>
      <c r="BR660" s="174">
        <f t="shared" ref="BR660:BW660" si="293">SUM(BR4:BR16)+BR19+BR21+BR23+BR26+BR27+SUM(BR33:BR42)+SUM(BR44:BR47)+SUM(BR49:BR51)+BR54+BR68+SUM(BR275:BR286)+SUM(BR319:BR350)+BR396+BR424+SUM(BR482:BR483)+SUM(BR496:BR497)</f>
        <v>439</v>
      </c>
      <c r="BS660" s="175">
        <f t="shared" si="293"/>
        <v>129</v>
      </c>
      <c r="BT660" s="174">
        <f t="shared" si="293"/>
        <v>46469</v>
      </c>
      <c r="BU660" s="175">
        <f t="shared" si="293"/>
        <v>25134</v>
      </c>
      <c r="BV660" s="174">
        <f t="shared" si="293"/>
        <v>48286</v>
      </c>
      <c r="BW660" s="175">
        <f t="shared" si="293"/>
        <v>23380</v>
      </c>
    </row>
    <row r="661" spans="1:75" ht="13" x14ac:dyDescent="0.25">
      <c r="A661" s="196"/>
      <c r="B661" s="197" t="s">
        <v>682</v>
      </c>
      <c r="C661" s="90">
        <f>SUM(C194:C204)+SUM(C209:C212)+SUM(C233:C238)+SUM(C239:C263)+SUM(C287:C309)+C390+SUM(C397:C398)+SUM(C421:C423)+SUM(C425:C426)+SUM(C533:C560)</f>
        <v>98109</v>
      </c>
      <c r="D661" s="90">
        <f>SUM(D194:D204)+SUM(D209:D212)+SUM(D233:D238)+SUM(D239:D263)+SUM(D287:D309)+D390+SUM(D397:D398)+SUM(D421:D423)+SUM(D425:D426)+SUM(D533:D560)</f>
        <v>75867</v>
      </c>
      <c r="E661" s="145">
        <f t="shared" si="212"/>
        <v>0.77329297006390851</v>
      </c>
      <c r="F661" s="174">
        <f t="shared" ref="F661:AK661" si="294">SUM(F194:F204)+SUM(F209:F212)+SUM(F233:F238)+SUM(F239:F263)+SUM(F287:F309)+F390+SUM(F397:F398)+SUM(F421:F423)+SUM(F425:F426)+SUM(F533:F560)</f>
        <v>37060</v>
      </c>
      <c r="G661" s="175">
        <f t="shared" si="294"/>
        <v>35409</v>
      </c>
      <c r="H661" s="174">
        <f t="shared" si="294"/>
        <v>0</v>
      </c>
      <c r="I661" s="175">
        <f t="shared" si="294"/>
        <v>0</v>
      </c>
      <c r="J661" s="174">
        <f t="shared" si="294"/>
        <v>0</v>
      </c>
      <c r="K661" s="175">
        <f t="shared" si="294"/>
        <v>0</v>
      </c>
      <c r="L661" s="174">
        <f t="shared" si="294"/>
        <v>0</v>
      </c>
      <c r="M661" s="175">
        <f t="shared" si="294"/>
        <v>0</v>
      </c>
      <c r="N661" s="174">
        <f t="shared" si="294"/>
        <v>0</v>
      </c>
      <c r="O661" s="175">
        <f t="shared" si="294"/>
        <v>0</v>
      </c>
      <c r="P661" s="174">
        <f t="shared" si="294"/>
        <v>0</v>
      </c>
      <c r="Q661" s="175">
        <f t="shared" si="294"/>
        <v>0</v>
      </c>
      <c r="R661" s="174">
        <f t="shared" si="294"/>
        <v>0</v>
      </c>
      <c r="S661" s="175">
        <f t="shared" si="294"/>
        <v>0</v>
      </c>
      <c r="T661" s="174">
        <f t="shared" si="294"/>
        <v>2925</v>
      </c>
      <c r="U661" s="175">
        <f t="shared" si="294"/>
        <v>840</v>
      </c>
      <c r="V661" s="174">
        <f t="shared" si="294"/>
        <v>9</v>
      </c>
      <c r="W661" s="175">
        <f t="shared" si="294"/>
        <v>10</v>
      </c>
      <c r="X661" s="174">
        <f t="shared" si="294"/>
        <v>0</v>
      </c>
      <c r="Y661" s="175">
        <f t="shared" si="294"/>
        <v>0</v>
      </c>
      <c r="Z661" s="174">
        <f t="shared" si="294"/>
        <v>442</v>
      </c>
      <c r="AA661" s="175">
        <f t="shared" si="294"/>
        <v>131</v>
      </c>
      <c r="AB661" s="174">
        <f t="shared" si="294"/>
        <v>0</v>
      </c>
      <c r="AC661" s="175">
        <f t="shared" si="294"/>
        <v>0</v>
      </c>
      <c r="AD661" s="174">
        <f t="shared" si="294"/>
        <v>1157</v>
      </c>
      <c r="AE661" s="175">
        <f t="shared" si="294"/>
        <v>495</v>
      </c>
      <c r="AF661" s="174">
        <f t="shared" si="294"/>
        <v>0</v>
      </c>
      <c r="AG661" s="175">
        <f t="shared" si="294"/>
        <v>0</v>
      </c>
      <c r="AH661" s="174">
        <f t="shared" si="294"/>
        <v>0</v>
      </c>
      <c r="AI661" s="175">
        <f t="shared" si="294"/>
        <v>0</v>
      </c>
      <c r="AJ661" s="174">
        <f t="shared" si="294"/>
        <v>0</v>
      </c>
      <c r="AK661" s="175">
        <f t="shared" si="294"/>
        <v>0</v>
      </c>
      <c r="AL661" s="174">
        <f t="shared" ref="AL661:BQ661" si="295">SUM(AL194:AL204)+SUM(AL209:AL212)+SUM(AL233:AL238)+SUM(AL239:AL263)+SUM(AL287:AL309)+AL390+SUM(AL397:AL398)+SUM(AL421:AL423)+SUM(AL425:AL426)+SUM(AL533:AL560)</f>
        <v>0</v>
      </c>
      <c r="AM661" s="175">
        <f t="shared" si="295"/>
        <v>0</v>
      </c>
      <c r="AN661" s="174">
        <f t="shared" si="295"/>
        <v>0</v>
      </c>
      <c r="AO661" s="175">
        <f t="shared" si="295"/>
        <v>0</v>
      </c>
      <c r="AP661" s="174">
        <f t="shared" si="295"/>
        <v>0</v>
      </c>
      <c r="AQ661" s="175">
        <f t="shared" si="295"/>
        <v>0</v>
      </c>
      <c r="AR661" s="174">
        <f t="shared" si="295"/>
        <v>0</v>
      </c>
      <c r="AS661" s="175">
        <f t="shared" si="295"/>
        <v>0</v>
      </c>
      <c r="AT661" s="174">
        <f t="shared" si="295"/>
        <v>0</v>
      </c>
      <c r="AU661" s="175">
        <f t="shared" si="295"/>
        <v>0</v>
      </c>
      <c r="AV661" s="174">
        <f t="shared" si="295"/>
        <v>0</v>
      </c>
      <c r="AW661" s="175">
        <f t="shared" si="295"/>
        <v>0</v>
      </c>
      <c r="AX661" s="174">
        <f t="shared" si="295"/>
        <v>0</v>
      </c>
      <c r="AY661" s="175">
        <f t="shared" si="295"/>
        <v>0</v>
      </c>
      <c r="AZ661" s="174">
        <f t="shared" si="295"/>
        <v>0</v>
      </c>
      <c r="BA661" s="175">
        <f t="shared" si="295"/>
        <v>0</v>
      </c>
      <c r="BB661" s="174">
        <f t="shared" si="295"/>
        <v>4618</v>
      </c>
      <c r="BC661" s="175">
        <f t="shared" si="295"/>
        <v>3864</v>
      </c>
      <c r="BD661" s="174">
        <f t="shared" si="295"/>
        <v>0</v>
      </c>
      <c r="BE661" s="175">
        <f t="shared" si="295"/>
        <v>0</v>
      </c>
      <c r="BF661" s="174">
        <f t="shared" si="295"/>
        <v>1058</v>
      </c>
      <c r="BG661" s="175">
        <f t="shared" si="295"/>
        <v>468</v>
      </c>
      <c r="BH661" s="174">
        <f t="shared" si="295"/>
        <v>1</v>
      </c>
      <c r="BI661" s="175">
        <f t="shared" si="295"/>
        <v>6</v>
      </c>
      <c r="BJ661" s="174">
        <f t="shared" si="295"/>
        <v>0</v>
      </c>
      <c r="BK661" s="175">
        <f t="shared" si="295"/>
        <v>0</v>
      </c>
      <c r="BL661" s="174">
        <f t="shared" si="295"/>
        <v>7187</v>
      </c>
      <c r="BM661" s="175">
        <f t="shared" si="295"/>
        <v>8361</v>
      </c>
      <c r="BN661" s="174">
        <f t="shared" si="295"/>
        <v>0</v>
      </c>
      <c r="BO661" s="175">
        <f t="shared" si="295"/>
        <v>0</v>
      </c>
      <c r="BP661" s="174">
        <f t="shared" si="295"/>
        <v>0</v>
      </c>
      <c r="BQ661" s="175">
        <f t="shared" si="295"/>
        <v>0</v>
      </c>
      <c r="BR661" s="174">
        <f t="shared" ref="BR661:BW661" si="296">SUM(BR194:BR204)+SUM(BR209:BR212)+SUM(BR233:BR238)+SUM(BR239:BR263)+SUM(BR287:BR309)+BR390+SUM(BR397:BR398)+SUM(BR421:BR423)+SUM(BR425:BR426)+SUM(BR533:BR560)</f>
        <v>131</v>
      </c>
      <c r="BS661" s="175">
        <f t="shared" si="296"/>
        <v>50</v>
      </c>
      <c r="BT661" s="174">
        <f t="shared" si="296"/>
        <v>45404</v>
      </c>
      <c r="BU661" s="175">
        <f t="shared" si="296"/>
        <v>26394</v>
      </c>
      <c r="BV661" s="174">
        <f t="shared" si="296"/>
        <v>47104</v>
      </c>
      <c r="BW661" s="175">
        <f t="shared" si="296"/>
        <v>24829</v>
      </c>
    </row>
    <row r="662" spans="1:75" ht="13" x14ac:dyDescent="0.25">
      <c r="A662" s="196"/>
      <c r="B662" s="197" t="s">
        <v>683</v>
      </c>
      <c r="C662" s="90">
        <f>SUM(C205:C208)+SUM(C352:C389)+SUM(C429:C471)+SUM(C508)+SUM(C524)</f>
        <v>96092</v>
      </c>
      <c r="D662" s="90">
        <f>SUM(D205:D208)+SUM(D352:D389)+SUM(D429:D471)+SUM(D508)+SUM(D524)</f>
        <v>72064</v>
      </c>
      <c r="E662" s="145">
        <f t="shared" si="212"/>
        <v>0.74994796653207341</v>
      </c>
      <c r="F662" s="174">
        <f t="shared" ref="F662:AK662" si="297">SUM(F205:F208)+SUM(F352:F389)+SUM(F429:F471)+SUM(F508)+SUM(F524)</f>
        <v>28016</v>
      </c>
      <c r="G662" s="175">
        <f t="shared" si="297"/>
        <v>40475</v>
      </c>
      <c r="H662" s="174">
        <f t="shared" si="297"/>
        <v>1817</v>
      </c>
      <c r="I662" s="175">
        <f t="shared" si="297"/>
        <v>1803</v>
      </c>
      <c r="J662" s="174">
        <f t="shared" si="297"/>
        <v>0</v>
      </c>
      <c r="K662" s="175">
        <f t="shared" si="297"/>
        <v>0</v>
      </c>
      <c r="L662" s="174">
        <f t="shared" si="297"/>
        <v>0</v>
      </c>
      <c r="M662" s="175">
        <f t="shared" si="297"/>
        <v>0</v>
      </c>
      <c r="N662" s="174">
        <f t="shared" si="297"/>
        <v>0</v>
      </c>
      <c r="O662" s="175">
        <f t="shared" si="297"/>
        <v>0</v>
      </c>
      <c r="P662" s="174">
        <f t="shared" si="297"/>
        <v>0</v>
      </c>
      <c r="Q662" s="175">
        <f t="shared" si="297"/>
        <v>0</v>
      </c>
      <c r="R662" s="174">
        <f t="shared" si="297"/>
        <v>0</v>
      </c>
      <c r="S662" s="175">
        <f t="shared" si="297"/>
        <v>0</v>
      </c>
      <c r="T662" s="174">
        <f t="shared" si="297"/>
        <v>0</v>
      </c>
      <c r="U662" s="175">
        <f t="shared" si="297"/>
        <v>0</v>
      </c>
      <c r="V662" s="174">
        <f t="shared" si="297"/>
        <v>0</v>
      </c>
      <c r="W662" s="175">
        <f t="shared" si="297"/>
        <v>0</v>
      </c>
      <c r="X662" s="174">
        <f t="shared" si="297"/>
        <v>0</v>
      </c>
      <c r="Y662" s="175">
        <f t="shared" si="297"/>
        <v>0</v>
      </c>
      <c r="Z662" s="174">
        <f t="shared" si="297"/>
        <v>0</v>
      </c>
      <c r="AA662" s="175">
        <f t="shared" si="297"/>
        <v>0</v>
      </c>
      <c r="AB662" s="174">
        <f t="shared" si="297"/>
        <v>0</v>
      </c>
      <c r="AC662" s="175">
        <f t="shared" si="297"/>
        <v>0</v>
      </c>
      <c r="AD662" s="174">
        <f t="shared" si="297"/>
        <v>0</v>
      </c>
      <c r="AE662" s="175">
        <f t="shared" si="297"/>
        <v>0</v>
      </c>
      <c r="AF662" s="174">
        <f t="shared" si="297"/>
        <v>0</v>
      </c>
      <c r="AG662" s="175">
        <f t="shared" si="297"/>
        <v>0</v>
      </c>
      <c r="AH662" s="174">
        <f t="shared" si="297"/>
        <v>0</v>
      </c>
      <c r="AI662" s="175">
        <f t="shared" si="297"/>
        <v>0</v>
      </c>
      <c r="AJ662" s="174">
        <f t="shared" si="297"/>
        <v>0</v>
      </c>
      <c r="AK662" s="175">
        <f t="shared" si="297"/>
        <v>0</v>
      </c>
      <c r="AL662" s="174">
        <f t="shared" ref="AL662:BQ662" si="298">SUM(AL205:AL208)+SUM(AL352:AL389)+SUM(AL429:AL471)+SUM(AL508)+SUM(AL524)</f>
        <v>0</v>
      </c>
      <c r="AM662" s="175">
        <f t="shared" si="298"/>
        <v>0</v>
      </c>
      <c r="AN662" s="174">
        <f t="shared" si="298"/>
        <v>0</v>
      </c>
      <c r="AO662" s="175">
        <f t="shared" si="298"/>
        <v>0</v>
      </c>
      <c r="AP662" s="174">
        <f t="shared" si="298"/>
        <v>0</v>
      </c>
      <c r="AQ662" s="175">
        <f t="shared" si="298"/>
        <v>0</v>
      </c>
      <c r="AR662" s="174">
        <f t="shared" si="298"/>
        <v>0</v>
      </c>
      <c r="AS662" s="175">
        <f t="shared" si="298"/>
        <v>0</v>
      </c>
      <c r="AT662" s="174">
        <f t="shared" si="298"/>
        <v>0</v>
      </c>
      <c r="AU662" s="175">
        <f t="shared" si="298"/>
        <v>0</v>
      </c>
      <c r="AV662" s="174">
        <f t="shared" si="298"/>
        <v>0</v>
      </c>
      <c r="AW662" s="175">
        <f t="shared" si="298"/>
        <v>0</v>
      </c>
      <c r="AX662" s="174">
        <f t="shared" si="298"/>
        <v>0</v>
      </c>
      <c r="AY662" s="175">
        <f t="shared" si="298"/>
        <v>0</v>
      </c>
      <c r="AZ662" s="174">
        <f t="shared" si="298"/>
        <v>809</v>
      </c>
      <c r="BA662" s="175">
        <f t="shared" si="298"/>
        <v>793</v>
      </c>
      <c r="BB662" s="174">
        <f t="shared" si="298"/>
        <v>0</v>
      </c>
      <c r="BC662" s="175">
        <f t="shared" si="298"/>
        <v>0</v>
      </c>
      <c r="BD662" s="174">
        <f t="shared" si="298"/>
        <v>0</v>
      </c>
      <c r="BE662" s="175">
        <f t="shared" si="298"/>
        <v>0</v>
      </c>
      <c r="BF662" s="174">
        <f t="shared" si="298"/>
        <v>0</v>
      </c>
      <c r="BG662" s="175">
        <f t="shared" si="298"/>
        <v>0</v>
      </c>
      <c r="BH662" s="174">
        <f t="shared" si="298"/>
        <v>0</v>
      </c>
      <c r="BI662" s="175">
        <f t="shared" si="298"/>
        <v>0</v>
      </c>
      <c r="BJ662" s="174">
        <f t="shared" si="298"/>
        <v>1042</v>
      </c>
      <c r="BK662" s="175">
        <f t="shared" si="298"/>
        <v>1582</v>
      </c>
      <c r="BL662" s="174">
        <f t="shared" si="298"/>
        <v>0</v>
      </c>
      <c r="BM662" s="175">
        <f t="shared" si="298"/>
        <v>0</v>
      </c>
      <c r="BN662" s="174">
        <f t="shared" si="298"/>
        <v>0</v>
      </c>
      <c r="BO662" s="175">
        <f t="shared" si="298"/>
        <v>0</v>
      </c>
      <c r="BP662" s="174">
        <f t="shared" si="298"/>
        <v>0</v>
      </c>
      <c r="BQ662" s="175">
        <f t="shared" si="298"/>
        <v>0</v>
      </c>
      <c r="BR662" s="174">
        <f t="shared" ref="BR662:BW662" si="299">SUM(BR205:BR208)+SUM(BR352:BR389)+SUM(BR429:BR471)+SUM(BR508)+SUM(BR524)</f>
        <v>0</v>
      </c>
      <c r="BS662" s="175">
        <f t="shared" si="299"/>
        <v>0</v>
      </c>
      <c r="BT662" s="174">
        <f t="shared" si="299"/>
        <v>35307</v>
      </c>
      <c r="BU662" s="175">
        <f t="shared" si="299"/>
        <v>32892</v>
      </c>
      <c r="BV662" s="174">
        <f t="shared" si="299"/>
        <v>38198</v>
      </c>
      <c r="BW662" s="175">
        <f t="shared" si="299"/>
        <v>30079</v>
      </c>
    </row>
    <row r="663" spans="1:75" ht="13.5" thickBot="1" x14ac:dyDescent="0.3">
      <c r="A663" s="198"/>
      <c r="B663" s="199" t="s">
        <v>684</v>
      </c>
      <c r="C663" s="177">
        <f>SUM(C119:C121)+SUM(C123:C128)+C130+C131+SUM(C163:C174)+C186+C190+C193+SUM(C226:C232)+SUM(C399:C419)+SUM(C475:C477)+SUM(C484:C495)+SUM(C561:C563)</f>
        <v>82349</v>
      </c>
      <c r="D663" s="177">
        <f>SUM(D119:D121)+SUM(D123:D128)+D130+D131+SUM(D163:D174)+D186+D190+D193+SUM(D226:D232)+SUM(D399:D419)+SUM(D475:D477)+SUM(D484:D495)+SUM(D561:D563)</f>
        <v>56083</v>
      </c>
      <c r="E663" s="178">
        <f t="shared" si="212"/>
        <v>0.68104044979295442</v>
      </c>
      <c r="F663" s="179">
        <f t="shared" ref="F663:AK663" si="300">SUM(F119:F121)+SUM(F123:F128)+F130+F131+SUM(F163:F174)+F186+F190+F193+SUM(F226:F232)+SUM(F399:F419)+SUM(F475:F477)+SUM(F484:F495)+SUM(F561:F563)</f>
        <v>20691</v>
      </c>
      <c r="G663" s="180">
        <f t="shared" si="300"/>
        <v>32258</v>
      </c>
      <c r="H663" s="179">
        <f t="shared" si="300"/>
        <v>0</v>
      </c>
      <c r="I663" s="180">
        <f t="shared" si="300"/>
        <v>0</v>
      </c>
      <c r="J663" s="179">
        <f t="shared" si="300"/>
        <v>0</v>
      </c>
      <c r="K663" s="180">
        <f t="shared" si="300"/>
        <v>0</v>
      </c>
      <c r="L663" s="179">
        <f t="shared" si="300"/>
        <v>0</v>
      </c>
      <c r="M663" s="180">
        <f t="shared" si="300"/>
        <v>0</v>
      </c>
      <c r="N663" s="179">
        <f t="shared" si="300"/>
        <v>0</v>
      </c>
      <c r="O663" s="180">
        <f t="shared" si="300"/>
        <v>0</v>
      </c>
      <c r="P663" s="179">
        <f t="shared" si="300"/>
        <v>292</v>
      </c>
      <c r="Q663" s="180">
        <f t="shared" si="300"/>
        <v>153</v>
      </c>
      <c r="R663" s="179">
        <f t="shared" si="300"/>
        <v>290</v>
      </c>
      <c r="S663" s="180">
        <f t="shared" si="300"/>
        <v>158</v>
      </c>
      <c r="T663" s="179">
        <f t="shared" si="300"/>
        <v>0</v>
      </c>
      <c r="U663" s="180">
        <f t="shared" si="300"/>
        <v>0</v>
      </c>
      <c r="V663" s="179">
        <f t="shared" si="300"/>
        <v>0</v>
      </c>
      <c r="W663" s="180">
        <f t="shared" si="300"/>
        <v>0</v>
      </c>
      <c r="X663" s="179">
        <f t="shared" si="300"/>
        <v>0</v>
      </c>
      <c r="Y663" s="180">
        <f t="shared" si="300"/>
        <v>0</v>
      </c>
      <c r="Z663" s="179">
        <f t="shared" si="300"/>
        <v>0</v>
      </c>
      <c r="AA663" s="180">
        <f t="shared" si="300"/>
        <v>0</v>
      </c>
      <c r="AB663" s="179">
        <f t="shared" si="300"/>
        <v>172</v>
      </c>
      <c r="AC663" s="180">
        <f t="shared" si="300"/>
        <v>123</v>
      </c>
      <c r="AD663" s="179">
        <f t="shared" si="300"/>
        <v>0</v>
      </c>
      <c r="AE663" s="180">
        <f t="shared" si="300"/>
        <v>0</v>
      </c>
      <c r="AF663" s="179">
        <f t="shared" si="300"/>
        <v>0</v>
      </c>
      <c r="AG663" s="180">
        <f t="shared" si="300"/>
        <v>0</v>
      </c>
      <c r="AH663" s="179">
        <f t="shared" si="300"/>
        <v>0</v>
      </c>
      <c r="AI663" s="180">
        <f t="shared" si="300"/>
        <v>0</v>
      </c>
      <c r="AJ663" s="179">
        <f t="shared" si="300"/>
        <v>0</v>
      </c>
      <c r="AK663" s="180">
        <f t="shared" si="300"/>
        <v>0</v>
      </c>
      <c r="AL663" s="179">
        <f t="shared" ref="AL663:BQ663" si="301">SUM(AL119:AL121)+SUM(AL123:AL128)+AL130+AL131+SUM(AL163:AL174)+AL186+AL190+AL193+SUM(AL226:AL232)+SUM(AL399:AL419)+SUM(AL475:AL477)+SUM(AL484:AL495)+SUM(AL561:AL563)</f>
        <v>401</v>
      </c>
      <c r="AM663" s="180">
        <f t="shared" si="301"/>
        <v>194</v>
      </c>
      <c r="AN663" s="179">
        <f t="shared" si="301"/>
        <v>269</v>
      </c>
      <c r="AO663" s="180">
        <f t="shared" si="301"/>
        <v>316</v>
      </c>
      <c r="AP663" s="179">
        <f t="shared" si="301"/>
        <v>0</v>
      </c>
      <c r="AQ663" s="180">
        <f t="shared" si="301"/>
        <v>0</v>
      </c>
      <c r="AR663" s="179">
        <f t="shared" si="301"/>
        <v>0</v>
      </c>
      <c r="AS663" s="180">
        <f t="shared" si="301"/>
        <v>0</v>
      </c>
      <c r="AT663" s="179">
        <f t="shared" si="301"/>
        <v>0</v>
      </c>
      <c r="AU663" s="180">
        <f t="shared" si="301"/>
        <v>0</v>
      </c>
      <c r="AV663" s="179">
        <f t="shared" si="301"/>
        <v>3263</v>
      </c>
      <c r="AW663" s="180">
        <f t="shared" si="301"/>
        <v>3805</v>
      </c>
      <c r="AX663" s="179">
        <f t="shared" si="301"/>
        <v>4306</v>
      </c>
      <c r="AY663" s="180">
        <f t="shared" si="301"/>
        <v>2740</v>
      </c>
      <c r="AZ663" s="179">
        <f t="shared" si="301"/>
        <v>0</v>
      </c>
      <c r="BA663" s="180">
        <f t="shared" si="301"/>
        <v>0</v>
      </c>
      <c r="BB663" s="179">
        <f t="shared" si="301"/>
        <v>0</v>
      </c>
      <c r="BC663" s="180">
        <f t="shared" si="301"/>
        <v>0</v>
      </c>
      <c r="BD663" s="179">
        <f t="shared" si="301"/>
        <v>966</v>
      </c>
      <c r="BE663" s="180">
        <f t="shared" si="301"/>
        <v>1622</v>
      </c>
      <c r="BF663" s="179">
        <f t="shared" si="301"/>
        <v>0</v>
      </c>
      <c r="BG663" s="180">
        <f t="shared" si="301"/>
        <v>0</v>
      </c>
      <c r="BH663" s="179">
        <f t="shared" si="301"/>
        <v>0</v>
      </c>
      <c r="BI663" s="180">
        <f t="shared" si="301"/>
        <v>0</v>
      </c>
      <c r="BJ663" s="179">
        <f t="shared" si="301"/>
        <v>0</v>
      </c>
      <c r="BK663" s="180">
        <f t="shared" si="301"/>
        <v>0</v>
      </c>
      <c r="BL663" s="179">
        <f t="shared" si="301"/>
        <v>0</v>
      </c>
      <c r="BM663" s="180">
        <f t="shared" si="301"/>
        <v>0</v>
      </c>
      <c r="BN663" s="179">
        <f t="shared" si="301"/>
        <v>0</v>
      </c>
      <c r="BO663" s="180">
        <f t="shared" si="301"/>
        <v>0</v>
      </c>
      <c r="BP663" s="179">
        <f t="shared" si="301"/>
        <v>0</v>
      </c>
      <c r="BQ663" s="180">
        <f t="shared" si="301"/>
        <v>0</v>
      </c>
      <c r="BR663" s="179">
        <f t="shared" ref="BR663:BW663" si="302">SUM(BR119:BR121)+SUM(BR123:BR128)+BR130+BR131+SUM(BR163:BR174)+BR186+BR190+BR193+SUM(BR226:BR232)+SUM(BR399:BR419)+SUM(BR475:BR477)+SUM(BR484:BR495)+SUM(BR561:BR563)</f>
        <v>0</v>
      </c>
      <c r="BS663" s="180">
        <f t="shared" si="302"/>
        <v>0</v>
      </c>
      <c r="BT663" s="179">
        <f t="shared" si="302"/>
        <v>26779</v>
      </c>
      <c r="BU663" s="180">
        <f t="shared" si="302"/>
        <v>25988</v>
      </c>
      <c r="BV663" s="179">
        <f t="shared" si="302"/>
        <v>29706</v>
      </c>
      <c r="BW663" s="180">
        <f t="shared" si="302"/>
        <v>23146</v>
      </c>
    </row>
    <row r="664" spans="1:75" ht="13" thickTop="1" x14ac:dyDescent="0.25"/>
  </sheetData>
  <mergeCells count="36">
    <mergeCell ref="P1:Q2"/>
    <mergeCell ref="R1:S2"/>
    <mergeCell ref="A1:E2"/>
    <mergeCell ref="F1:G2"/>
    <mergeCell ref="H1:I2"/>
    <mergeCell ref="J1:K2"/>
    <mergeCell ref="L1:M2"/>
    <mergeCell ref="N1:O2"/>
    <mergeCell ref="T1:U2"/>
    <mergeCell ref="V1:W2"/>
    <mergeCell ref="X1:Y2"/>
    <mergeCell ref="Z1:AA2"/>
    <mergeCell ref="AB1:AC2"/>
    <mergeCell ref="AD1:AE2"/>
    <mergeCell ref="AF1:AG2"/>
    <mergeCell ref="AH1:AI2"/>
    <mergeCell ref="AJ1:AK2"/>
    <mergeCell ref="AL1:AM2"/>
    <mergeCell ref="AN1:AO2"/>
    <mergeCell ref="AP1:AQ2"/>
    <mergeCell ref="AR1:AS2"/>
    <mergeCell ref="AT1:AU2"/>
    <mergeCell ref="AV1:AW2"/>
    <mergeCell ref="AX1:AY2"/>
    <mergeCell ref="AZ1:BA2"/>
    <mergeCell ref="BB1:BC2"/>
    <mergeCell ref="BD1:BE2"/>
    <mergeCell ref="BF1:BG2"/>
    <mergeCell ref="BV1:BW2"/>
    <mergeCell ref="BR1:BS2"/>
    <mergeCell ref="BT1:BU2"/>
    <mergeCell ref="BH1:BI2"/>
    <mergeCell ref="BJ1:BK2"/>
    <mergeCell ref="BL1:BM2"/>
    <mergeCell ref="BN1:BO2"/>
    <mergeCell ref="BP1:BQ2"/>
  </mergeCells>
  <pageMargins left="0.7" right="0.7" top="0.75" bottom="0.75" header="0.3" footer="0.3"/>
  <pageSetup paperSize="5" fitToWidth="0" fitToHeight="0" orientation="landscape" r:id="rId1"/>
  <ignoredErrors>
    <ignoredError sqref="C570:D630 C645:D663 AZ612:BA612 BJ606:BK608 BF604:BI606 N575:O575 H597:I599 F570:G644 F645:BW663 H570:BW574 H600:BW603 J597:BW599 H576:BW596 H575:M575 P575:BW575 H609:BW611 H604:BE606 BJ604:BW605 H607:BI608 BL607:BW608 BL606:BW606 H613:BW644 H612:AY612 BB612:BW612" formulaRange="1"/>
    <ignoredError sqref="E570:E663" formula="1" formulaRange="1"/>
    <ignoredError sqref="E566:E569" formula="1"/>
    <ignoredError sqref="C631:D644" formulaRange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G24 Contests Only</vt:lpstr>
      <vt:lpstr>G24 Issues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Cooper</dc:creator>
  <cp:lastModifiedBy>Todd Cooper</cp:lastModifiedBy>
  <dcterms:created xsi:type="dcterms:W3CDTF">2024-05-21T13:10:02Z</dcterms:created>
  <dcterms:modified xsi:type="dcterms:W3CDTF">2025-01-02T16:00:14Z</dcterms:modified>
</cp:coreProperties>
</file>